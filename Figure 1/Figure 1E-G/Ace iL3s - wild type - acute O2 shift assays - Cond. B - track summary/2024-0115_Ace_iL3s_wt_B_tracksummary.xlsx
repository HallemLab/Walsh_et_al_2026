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5\WormLab Data\"/>
    </mc:Choice>
  </mc:AlternateContent>
  <xr:revisionPtr revIDLastSave="0" documentId="13_ncr:1_{E8B21033-B239-467D-9464-06A921810A0D}" xr6:coauthVersionLast="36" xr6:coauthVersionMax="36" xr10:uidLastSave="{00000000-0000-0000-0000-000000000000}"/>
  <bookViews>
    <workbookView xWindow="0" yWindow="0" windowWidth="24225" windowHeight="10995" firstSheet="5" activeTab="11" xr2:uid="{AC36E3A3-89E7-4BAD-B076-2E2A1AC233EB}"/>
  </bookViews>
  <sheets>
    <sheet name="240115B001.4" sheetId="2" r:id="rId1"/>
    <sheet name="240115B001.5" sheetId="3" r:id="rId2"/>
    <sheet name="240115B002.2" sheetId="4" r:id="rId3"/>
    <sheet name="240115B002.3" sheetId="5" r:id="rId4"/>
    <sheet name="240115B002.4" sheetId="6" r:id="rId5"/>
    <sheet name="240115B002.5" sheetId="7" r:id="rId6"/>
    <sheet name="240115B003.1" sheetId="8" r:id="rId7"/>
    <sheet name="240115B003.2" sheetId="9" r:id="rId8"/>
    <sheet name="240115B003.3" sheetId="10" r:id="rId9"/>
    <sheet name="240115B003.4" sheetId="11" r:id="rId10"/>
    <sheet name="240115B003.5" sheetId="12" r:id="rId11"/>
    <sheet name="template" sheetId="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2" l="1"/>
  <c r="E37" i="12"/>
  <c r="C37" i="12"/>
  <c r="F35" i="12"/>
  <c r="D35" i="12"/>
  <c r="C31" i="12"/>
  <c r="B31" i="12"/>
  <c r="E30" i="12"/>
  <c r="D30" i="12"/>
  <c r="B30" i="12"/>
  <c r="F29" i="12"/>
  <c r="E29" i="12"/>
  <c r="D29" i="12"/>
  <c r="G28" i="12"/>
  <c r="G30" i="12" s="1"/>
  <c r="F28" i="12"/>
  <c r="F31" i="12" s="1"/>
  <c r="E28" i="12"/>
  <c r="E31" i="12" s="1"/>
  <c r="D28" i="12"/>
  <c r="D31" i="12" s="1"/>
  <c r="C28" i="12"/>
  <c r="C29" i="12" s="1"/>
  <c r="B28" i="12"/>
  <c r="B29" i="12" s="1"/>
  <c r="G37" i="11"/>
  <c r="E37" i="11"/>
  <c r="C37" i="11"/>
  <c r="F35" i="11"/>
  <c r="D35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G28" i="11"/>
  <c r="F28" i="11"/>
  <c r="E28" i="11"/>
  <c r="D28" i="11"/>
  <c r="D29" i="11" s="1"/>
  <c r="C28" i="11"/>
  <c r="C29" i="11" s="1"/>
  <c r="B28" i="11"/>
  <c r="B29" i="11" s="1"/>
  <c r="G37" i="10"/>
  <c r="E37" i="10"/>
  <c r="C37" i="10"/>
  <c r="F35" i="10"/>
  <c r="D35" i="10"/>
  <c r="G28" i="10"/>
  <c r="G30" i="10" s="1"/>
  <c r="F28" i="10"/>
  <c r="F30" i="10" s="1"/>
  <c r="E28" i="10"/>
  <c r="E30" i="10" s="1"/>
  <c r="D28" i="10"/>
  <c r="D29" i="10" s="1"/>
  <c r="C28" i="10"/>
  <c r="C29" i="10" s="1"/>
  <c r="B28" i="10"/>
  <c r="B29" i="10" s="1"/>
  <c r="G37" i="9"/>
  <c r="E37" i="9"/>
  <c r="C37" i="9"/>
  <c r="F35" i="9"/>
  <c r="D35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G28" i="9"/>
  <c r="G31" i="9" s="1"/>
  <c r="F28" i="9"/>
  <c r="F31" i="9" s="1"/>
  <c r="E28" i="9"/>
  <c r="D28" i="9"/>
  <c r="C28" i="9"/>
  <c r="C29" i="9" s="1"/>
  <c r="B28" i="9"/>
  <c r="B29" i="9" s="1"/>
  <c r="G37" i="8"/>
  <c r="E37" i="8"/>
  <c r="C37" i="8"/>
  <c r="F35" i="8"/>
  <c r="D35" i="8"/>
  <c r="G28" i="8"/>
  <c r="G31" i="8" s="1"/>
  <c r="F28" i="8"/>
  <c r="F31" i="8" s="1"/>
  <c r="E28" i="8"/>
  <c r="E31" i="8" s="1"/>
  <c r="D28" i="8"/>
  <c r="D29" i="8" s="1"/>
  <c r="C28" i="8"/>
  <c r="C29" i="8" s="1"/>
  <c r="B28" i="8"/>
  <c r="B29" i="8" s="1"/>
  <c r="G29" i="12" l="1"/>
  <c r="G31" i="12"/>
  <c r="F30" i="12"/>
  <c r="C30" i="12"/>
  <c r="B30" i="10"/>
  <c r="B31" i="10"/>
  <c r="E31" i="10"/>
  <c r="G31" i="10"/>
  <c r="F31" i="10"/>
  <c r="G29" i="10"/>
  <c r="E29" i="10"/>
  <c r="F29" i="10"/>
  <c r="C30" i="10"/>
  <c r="D30" i="10"/>
  <c r="C31" i="10"/>
  <c r="D31" i="10"/>
  <c r="E29" i="8"/>
  <c r="B30" i="8"/>
  <c r="B31" i="8"/>
  <c r="D31" i="8"/>
  <c r="G29" i="8"/>
  <c r="E30" i="8"/>
  <c r="G30" i="8"/>
  <c r="C31" i="8"/>
  <c r="F29" i="8"/>
  <c r="C30" i="8"/>
  <c r="D30" i="8"/>
  <c r="F30" i="8"/>
  <c r="G37" i="7"/>
  <c r="E37" i="7"/>
  <c r="C37" i="7"/>
  <c r="F35" i="7"/>
  <c r="D35" i="7"/>
  <c r="C31" i="7"/>
  <c r="B31" i="7"/>
  <c r="D30" i="7"/>
  <c r="C30" i="7"/>
  <c r="B30" i="7"/>
  <c r="G28" i="7"/>
  <c r="G31" i="7" s="1"/>
  <c r="F28" i="7"/>
  <c r="F30" i="7" s="1"/>
  <c r="E28" i="7"/>
  <c r="E31" i="7" s="1"/>
  <c r="D28" i="7"/>
  <c r="D29" i="7" s="1"/>
  <c r="C28" i="7"/>
  <c r="C29" i="7" s="1"/>
  <c r="B28" i="7"/>
  <c r="B29" i="7" s="1"/>
  <c r="G37" i="6"/>
  <c r="E37" i="6"/>
  <c r="C37" i="6"/>
  <c r="F35" i="6"/>
  <c r="D35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G28" i="6"/>
  <c r="G31" i="6" s="1"/>
  <c r="F28" i="6"/>
  <c r="E28" i="6"/>
  <c r="D28" i="6"/>
  <c r="C28" i="6"/>
  <c r="C29" i="6" s="1"/>
  <c r="B28" i="6"/>
  <c r="B29" i="6" s="1"/>
  <c r="G37" i="5"/>
  <c r="E37" i="5"/>
  <c r="C37" i="5"/>
  <c r="F35" i="5"/>
  <c r="D35" i="5"/>
  <c r="C31" i="5"/>
  <c r="B31" i="5"/>
  <c r="G28" i="5"/>
  <c r="G29" i="5" s="1"/>
  <c r="F28" i="5"/>
  <c r="F29" i="5" s="1"/>
  <c r="E28" i="5"/>
  <c r="E29" i="5" s="1"/>
  <c r="D28" i="5"/>
  <c r="D29" i="5" s="1"/>
  <c r="C28" i="5"/>
  <c r="C30" i="5" s="1"/>
  <c r="B28" i="5"/>
  <c r="B30" i="5" s="1"/>
  <c r="G37" i="4"/>
  <c r="E37" i="4"/>
  <c r="C37" i="4"/>
  <c r="F35" i="4"/>
  <c r="D35" i="4"/>
  <c r="G31" i="4"/>
  <c r="F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G28" i="2"/>
  <c r="F28" i="2"/>
  <c r="E28" i="2"/>
  <c r="D28" i="2"/>
  <c r="C28" i="2"/>
  <c r="B28" i="2"/>
  <c r="B29" i="2" s="1"/>
  <c r="E30" i="7" l="1"/>
  <c r="E29" i="7"/>
  <c r="F31" i="7"/>
  <c r="G29" i="7"/>
  <c r="G30" i="7"/>
  <c r="F29" i="7"/>
  <c r="D31" i="7"/>
  <c r="G30" i="6"/>
  <c r="G29" i="6"/>
  <c r="G30" i="5"/>
  <c r="D30" i="5"/>
  <c r="F30" i="5"/>
  <c r="E31" i="5"/>
  <c r="G31" i="5"/>
  <c r="E30" i="5"/>
  <c r="D31" i="5"/>
  <c r="F31" i="5"/>
  <c r="B29" i="5"/>
  <c r="C29" i="5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G28" i="1"/>
  <c r="F28" i="1"/>
  <c r="E28" i="1"/>
  <c r="E29" i="1" s="1"/>
  <c r="D28" i="1"/>
  <c r="D29" i="1" s="1"/>
  <c r="C28" i="1"/>
  <c r="C29" i="1" s="1"/>
  <c r="B28" i="1"/>
  <c r="B29" i="1" s="1"/>
</calcChain>
</file>

<file path=xl/sharedStrings.xml><?xml version="1.0" encoding="utf-8"?>
<sst xmlns="http://schemas.openxmlformats.org/spreadsheetml/2006/main" count="456" uniqueCount="37">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</sst>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520F-3A4F-4B0B-AA42-43A39454BA45}">
  <sheetPr codeName="Sheet1"/>
  <dimension ref="A1:G37"/>
  <sheetViews>
    <sheetView topLeftCell="A7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564.16</v>
      </c>
      <c r="C2" s="1">
        <v>536.12</v>
      </c>
      <c r="D2" s="1">
        <v>540.16999999999996</v>
      </c>
      <c r="E2" s="1">
        <v>577.34</v>
      </c>
      <c r="F2" s="1">
        <v>559.05999999999995</v>
      </c>
      <c r="G2" s="1">
        <v>557.19000000000005</v>
      </c>
    </row>
    <row r="3" spans="1:7" x14ac:dyDescent="0.25">
      <c r="A3" s="1" t="s">
        <v>7</v>
      </c>
      <c r="B3" s="1">
        <v>41.82</v>
      </c>
      <c r="C3" s="1">
        <v>36.96</v>
      </c>
      <c r="D3" s="1">
        <v>42.75</v>
      </c>
      <c r="E3" s="1">
        <v>43.73</v>
      </c>
      <c r="F3" s="1">
        <v>42.24</v>
      </c>
      <c r="G3" s="1">
        <v>43.1</v>
      </c>
    </row>
    <row r="4" spans="1:7" x14ac:dyDescent="0.25">
      <c r="A4" s="1" t="s">
        <v>8</v>
      </c>
      <c r="B4" s="1">
        <v>23986.65</v>
      </c>
      <c r="C4" s="1">
        <v>20159</v>
      </c>
      <c r="D4" s="1">
        <v>23486.04</v>
      </c>
      <c r="E4" s="1">
        <v>25664.19</v>
      </c>
      <c r="F4" s="1">
        <v>23972.92</v>
      </c>
      <c r="G4" s="1">
        <v>24403.99</v>
      </c>
    </row>
    <row r="5" spans="1:7" x14ac:dyDescent="0.25">
      <c r="A5" s="1" t="s">
        <v>9</v>
      </c>
      <c r="B5" s="1">
        <v>771.45</v>
      </c>
      <c r="C5" s="1">
        <v>594.37</v>
      </c>
      <c r="D5" s="1">
        <v>546.82000000000005</v>
      </c>
      <c r="E5" s="1">
        <v>332.1</v>
      </c>
      <c r="F5" s="1">
        <v>595.33000000000004</v>
      </c>
      <c r="G5" s="1">
        <v>455.9</v>
      </c>
    </row>
    <row r="6" spans="1:7" x14ac:dyDescent="0.25">
      <c r="A6" s="3" t="s">
        <v>10</v>
      </c>
      <c r="B6" s="3">
        <v>77.14</v>
      </c>
      <c r="C6" s="3">
        <v>60.04</v>
      </c>
      <c r="D6" s="3">
        <v>55.23</v>
      </c>
      <c r="E6" s="3">
        <v>33.549999999999997</v>
      </c>
      <c r="F6" s="3">
        <v>60.13</v>
      </c>
      <c r="G6" s="3">
        <v>46.52</v>
      </c>
    </row>
    <row r="7" spans="1:7" x14ac:dyDescent="0.25">
      <c r="A7" s="1" t="s">
        <v>11</v>
      </c>
      <c r="B7" s="1">
        <v>748.77</v>
      </c>
      <c r="C7" s="1">
        <v>582.07000000000005</v>
      </c>
      <c r="D7" s="1">
        <v>537.38</v>
      </c>
      <c r="E7" s="1">
        <v>327.5</v>
      </c>
      <c r="F7" s="1">
        <v>585.64</v>
      </c>
      <c r="G7" s="1">
        <v>448.88</v>
      </c>
    </row>
    <row r="8" spans="1:7" x14ac:dyDescent="0.25">
      <c r="A8" s="1" t="s">
        <v>12</v>
      </c>
      <c r="B8" s="1">
        <v>74.88</v>
      </c>
      <c r="C8" s="1">
        <v>58.8</v>
      </c>
      <c r="D8" s="1">
        <v>54.28</v>
      </c>
      <c r="E8" s="1">
        <v>33.08</v>
      </c>
      <c r="F8" s="1">
        <v>59.16</v>
      </c>
      <c r="G8" s="1">
        <v>45.8</v>
      </c>
    </row>
    <row r="9" spans="1:7" x14ac:dyDescent="0.25">
      <c r="A9" s="1" t="s">
        <v>13</v>
      </c>
      <c r="B9" s="1">
        <v>-478.83</v>
      </c>
      <c r="C9" s="1">
        <v>538.82000000000005</v>
      </c>
      <c r="D9" s="1">
        <v>532.76</v>
      </c>
      <c r="E9" s="1">
        <v>324.13</v>
      </c>
      <c r="F9" s="1">
        <v>-560.27</v>
      </c>
      <c r="G9" s="1">
        <v>441.84</v>
      </c>
    </row>
    <row r="10" spans="1:7" x14ac:dyDescent="0.25">
      <c r="A10" s="1" t="s">
        <v>14</v>
      </c>
      <c r="B10" s="1">
        <v>-47.88</v>
      </c>
      <c r="C10" s="1">
        <v>54.43</v>
      </c>
      <c r="D10" s="1">
        <v>53.81</v>
      </c>
      <c r="E10" s="1">
        <v>32.74</v>
      </c>
      <c r="F10" s="1">
        <v>-56.59</v>
      </c>
      <c r="G10" s="1">
        <v>45.09</v>
      </c>
    </row>
    <row r="11" spans="1:7" x14ac:dyDescent="0.25">
      <c r="A11" s="1" t="s">
        <v>15</v>
      </c>
      <c r="B11" s="1">
        <v>268.04000000000002</v>
      </c>
      <c r="C11" s="1">
        <v>503.21</v>
      </c>
      <c r="D11" s="1">
        <v>316.02999999999997</v>
      </c>
      <c r="E11" s="1">
        <v>283.74</v>
      </c>
      <c r="F11" s="1">
        <v>403.05</v>
      </c>
      <c r="G11" s="1">
        <v>384.63</v>
      </c>
    </row>
    <row r="12" spans="1:7" x14ac:dyDescent="0.25">
      <c r="A12" s="1" t="s">
        <v>16</v>
      </c>
      <c r="B12" s="1">
        <v>328.51</v>
      </c>
      <c r="C12" s="1">
        <v>268.7</v>
      </c>
      <c r="D12" s="1">
        <v>264.86</v>
      </c>
      <c r="E12" s="1">
        <v>313.81</v>
      </c>
      <c r="F12" s="1">
        <v>317.38</v>
      </c>
      <c r="G12" s="1">
        <v>279.42</v>
      </c>
    </row>
    <row r="13" spans="1:7" x14ac:dyDescent="0.25">
      <c r="A13" s="1" t="s">
        <v>17</v>
      </c>
      <c r="B13" s="1">
        <v>64.73</v>
      </c>
      <c r="C13" s="1">
        <v>20.309999999999999</v>
      </c>
      <c r="D13" s="1">
        <v>39.840000000000003</v>
      </c>
      <c r="E13" s="1">
        <v>53.83</v>
      </c>
      <c r="F13" s="1">
        <v>30.81</v>
      </c>
      <c r="G13" s="1">
        <v>49.01</v>
      </c>
    </row>
    <row r="14" spans="1:7" x14ac:dyDescent="0.25">
      <c r="A14" s="1" t="s">
        <v>18</v>
      </c>
      <c r="B14" s="1">
        <v>104.29</v>
      </c>
      <c r="C14" s="1">
        <v>37.39</v>
      </c>
      <c r="D14" s="1">
        <v>101.22</v>
      </c>
      <c r="E14" s="1">
        <v>74.959999999999994</v>
      </c>
      <c r="F14" s="1">
        <v>88.98</v>
      </c>
      <c r="G14" s="1">
        <v>92.13</v>
      </c>
    </row>
    <row r="15" spans="1:7" x14ac:dyDescent="0.25">
      <c r="A15" s="1" t="s">
        <v>19</v>
      </c>
      <c r="B15" s="1">
        <v>4</v>
      </c>
      <c r="C15" s="1">
        <v>3</v>
      </c>
      <c r="D15" s="1">
        <v>3</v>
      </c>
      <c r="E15" s="1">
        <v>1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134.97</v>
      </c>
      <c r="C17" s="1">
        <v>560.44000000000005</v>
      </c>
      <c r="D17" s="1">
        <v>535.07000000000005</v>
      </c>
      <c r="E17" s="1">
        <v>325.81</v>
      </c>
      <c r="F17" s="1">
        <v>12.68</v>
      </c>
      <c r="G17" s="1">
        <v>445.36</v>
      </c>
    </row>
    <row r="18" spans="1:7" x14ac:dyDescent="0.25">
      <c r="A18" s="1" t="s">
        <v>22</v>
      </c>
      <c r="B18" s="1">
        <v>613.79999999999995</v>
      </c>
      <c r="C18" s="1">
        <v>21.63</v>
      </c>
      <c r="D18" s="1">
        <v>2.31</v>
      </c>
      <c r="E18" s="1">
        <v>1.68</v>
      </c>
      <c r="F18" s="1">
        <v>572.95000000000005</v>
      </c>
      <c r="G18" s="1">
        <v>3.52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5.9</v>
      </c>
      <c r="C20" s="1">
        <v>0</v>
      </c>
      <c r="D20" s="1">
        <v>0</v>
      </c>
      <c r="E20" s="1">
        <v>0</v>
      </c>
      <c r="F20" s="1">
        <v>7.8</v>
      </c>
      <c r="G20" s="1">
        <v>0</v>
      </c>
    </row>
    <row r="21" spans="1:7" x14ac:dyDescent="0.25">
      <c r="A21" s="1" t="s">
        <v>25</v>
      </c>
      <c r="B21" s="1">
        <v>4.2</v>
      </c>
      <c r="C21" s="1">
        <v>10</v>
      </c>
      <c r="D21" s="1">
        <v>10</v>
      </c>
      <c r="E21" s="1">
        <v>10</v>
      </c>
      <c r="F21" s="1">
        <v>2.2000000000000002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6.2</v>
      </c>
      <c r="C24" s="1">
        <v>0</v>
      </c>
      <c r="D24" s="1">
        <v>0</v>
      </c>
      <c r="E24" s="1">
        <v>0</v>
      </c>
      <c r="F24" s="1">
        <v>6.2</v>
      </c>
      <c r="G24" s="1">
        <v>0</v>
      </c>
    </row>
    <row r="25" spans="1:7" x14ac:dyDescent="0.25">
      <c r="A25" s="1" t="s">
        <v>29</v>
      </c>
      <c r="B25" s="1">
        <v>1.4</v>
      </c>
      <c r="C25" s="1">
        <v>0</v>
      </c>
      <c r="D25" s="1">
        <v>1.1000000000000001</v>
      </c>
      <c r="E25" s="1">
        <v>3.4</v>
      </c>
      <c r="F25" s="1">
        <v>3.8</v>
      </c>
      <c r="G25" s="1">
        <v>1.9</v>
      </c>
    </row>
    <row r="26" spans="1:7" x14ac:dyDescent="0.25">
      <c r="A26" s="1" t="s">
        <v>30</v>
      </c>
      <c r="B26" s="1">
        <v>2.5</v>
      </c>
      <c r="C26" s="1">
        <v>10</v>
      </c>
      <c r="D26" s="1">
        <v>8.9</v>
      </c>
      <c r="E26" s="1">
        <v>6.6</v>
      </c>
      <c r="F26" s="1">
        <v>0</v>
      </c>
      <c r="G26" s="1">
        <v>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61.386138613861384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13.861386138613859</v>
      </c>
      <c r="C30" s="3">
        <f t="shared" ref="C30:G30" si="2">C25/C28*100</f>
        <v>0</v>
      </c>
      <c r="D30" s="3">
        <f t="shared" si="2"/>
        <v>11.000000000000002</v>
      </c>
      <c r="E30" s="3">
        <f t="shared" si="2"/>
        <v>34</v>
      </c>
      <c r="F30" s="3">
        <f t="shared" si="2"/>
        <v>38</v>
      </c>
      <c r="G30" s="3">
        <f t="shared" si="2"/>
        <v>19.19191919191919</v>
      </c>
    </row>
    <row r="31" spans="1:7" x14ac:dyDescent="0.25">
      <c r="A31" s="3" t="s">
        <v>34</v>
      </c>
      <c r="B31" s="3">
        <f>B26/B28*100</f>
        <v>24.752475247524753</v>
      </c>
      <c r="C31" s="3">
        <f t="shared" ref="C31:G31" si="3">C26/C28*100</f>
        <v>100</v>
      </c>
      <c r="D31" s="3">
        <f t="shared" si="3"/>
        <v>89</v>
      </c>
      <c r="E31" s="3">
        <f t="shared" si="3"/>
        <v>65.999999999999986</v>
      </c>
      <c r="F31" s="3">
        <f t="shared" si="3"/>
        <v>0</v>
      </c>
      <c r="G31" s="3">
        <f t="shared" si="3"/>
        <v>80.808080808080803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-24.4</v>
      </c>
      <c r="C33" s="3">
        <v>54.72</v>
      </c>
      <c r="D33" s="3">
        <v>54.3</v>
      </c>
      <c r="E33" s="3">
        <v>32.909999999999997</v>
      </c>
      <c r="F33" s="3">
        <v>-53.98</v>
      </c>
      <c r="G33" s="3">
        <v>45.34</v>
      </c>
    </row>
    <row r="35" spans="1:7" x14ac:dyDescent="0.25">
      <c r="A35" s="3" t="s">
        <v>36</v>
      </c>
      <c r="B35" s="3"/>
      <c r="C35" s="3"/>
      <c r="D35" s="3">
        <f>D33-C33</f>
        <v>-0.42000000000000171</v>
      </c>
      <c r="E35" s="3"/>
      <c r="F35" s="3">
        <f>F33-E33</f>
        <v>-86.889999999999986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-21.39</v>
      </c>
      <c r="F37" s="3"/>
      <c r="G37" s="3">
        <f>G33-F33</f>
        <v>99.32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0A97-4FCC-409C-BFCE-46CB8EECB57B}">
  <sheetPr codeName="Sheet3"/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529.61</v>
      </c>
      <c r="C2" s="1">
        <v>514.38</v>
      </c>
      <c r="D2" s="1">
        <v>521.09</v>
      </c>
      <c r="E2" s="1">
        <v>560.01</v>
      </c>
      <c r="F2" s="1">
        <v>552.41999999999996</v>
      </c>
      <c r="G2" s="1">
        <v>543.54</v>
      </c>
    </row>
    <row r="3" spans="1:7" x14ac:dyDescent="0.25">
      <c r="A3" s="1" t="s">
        <v>7</v>
      </c>
      <c r="B3" s="1">
        <v>42.48</v>
      </c>
      <c r="C3" s="1">
        <v>40.4</v>
      </c>
      <c r="D3" s="1">
        <v>41.13</v>
      </c>
      <c r="E3" s="1">
        <v>43.44</v>
      </c>
      <c r="F3" s="1">
        <v>43.05</v>
      </c>
      <c r="G3" s="1">
        <v>42.86</v>
      </c>
    </row>
    <row r="4" spans="1:7" x14ac:dyDescent="0.25">
      <c r="A4" s="1" t="s">
        <v>8</v>
      </c>
      <c r="B4" s="1">
        <v>22900.77</v>
      </c>
      <c r="C4" s="1">
        <v>21126.799999999999</v>
      </c>
      <c r="D4" s="1">
        <v>21796.15</v>
      </c>
      <c r="E4" s="1">
        <v>24736.58</v>
      </c>
      <c r="F4" s="1">
        <v>24176.21</v>
      </c>
      <c r="G4" s="1">
        <v>23689.41</v>
      </c>
    </row>
    <row r="5" spans="1:7" x14ac:dyDescent="0.25">
      <c r="A5" s="1" t="s">
        <v>9</v>
      </c>
      <c r="B5" s="1">
        <v>766.45</v>
      </c>
      <c r="C5" s="1">
        <v>730.31</v>
      </c>
      <c r="D5" s="1">
        <v>818.15</v>
      </c>
      <c r="E5" s="1">
        <v>685.9</v>
      </c>
      <c r="F5" s="1">
        <v>1036.25</v>
      </c>
      <c r="G5" s="1">
        <v>475.62</v>
      </c>
    </row>
    <row r="6" spans="1:7" x14ac:dyDescent="0.25">
      <c r="A6" s="3" t="s">
        <v>10</v>
      </c>
      <c r="B6" s="3">
        <v>76.650000000000006</v>
      </c>
      <c r="C6" s="3">
        <v>73.77</v>
      </c>
      <c r="D6" s="3">
        <v>82.64</v>
      </c>
      <c r="E6" s="3">
        <v>69.28</v>
      </c>
      <c r="F6" s="3">
        <v>104.67</v>
      </c>
      <c r="G6" s="3">
        <v>48.53</v>
      </c>
    </row>
    <row r="7" spans="1:7" x14ac:dyDescent="0.25">
      <c r="A7" s="1" t="s">
        <v>11</v>
      </c>
      <c r="B7" s="1">
        <v>751.15</v>
      </c>
      <c r="C7" s="1">
        <v>713.86</v>
      </c>
      <c r="D7" s="1">
        <v>795.41</v>
      </c>
      <c r="E7" s="1">
        <v>679.97</v>
      </c>
      <c r="F7" s="1">
        <v>1024.3900000000001</v>
      </c>
      <c r="G7" s="1">
        <v>449.08</v>
      </c>
    </row>
    <row r="8" spans="1:7" x14ac:dyDescent="0.25">
      <c r="A8" s="1" t="s">
        <v>12</v>
      </c>
      <c r="B8" s="1">
        <v>75.11</v>
      </c>
      <c r="C8" s="1">
        <v>72.11</v>
      </c>
      <c r="D8" s="1">
        <v>80.34</v>
      </c>
      <c r="E8" s="1">
        <v>68.680000000000007</v>
      </c>
      <c r="F8" s="1">
        <v>103.47</v>
      </c>
      <c r="G8" s="1">
        <v>45.82</v>
      </c>
    </row>
    <row r="9" spans="1:7" x14ac:dyDescent="0.25">
      <c r="A9" s="1" t="s">
        <v>13</v>
      </c>
      <c r="B9" s="1">
        <v>744.5</v>
      </c>
      <c r="C9" s="1">
        <v>713.05</v>
      </c>
      <c r="D9" s="1">
        <v>795.41</v>
      </c>
      <c r="E9" s="1">
        <v>652.41</v>
      </c>
      <c r="F9" s="1">
        <v>-991.34</v>
      </c>
      <c r="G9" s="1">
        <v>424.12</v>
      </c>
    </row>
    <row r="10" spans="1:7" x14ac:dyDescent="0.25">
      <c r="A10" s="1" t="s">
        <v>14</v>
      </c>
      <c r="B10" s="1">
        <v>74.45</v>
      </c>
      <c r="C10" s="1">
        <v>72.03</v>
      </c>
      <c r="D10" s="1">
        <v>80.34</v>
      </c>
      <c r="E10" s="1">
        <v>65.900000000000006</v>
      </c>
      <c r="F10" s="1">
        <v>-100.14</v>
      </c>
      <c r="G10" s="1">
        <v>43.28</v>
      </c>
    </row>
    <row r="11" spans="1:7" x14ac:dyDescent="0.25">
      <c r="A11" s="1" t="s">
        <v>15</v>
      </c>
      <c r="B11" s="1">
        <v>609.34</v>
      </c>
      <c r="C11" s="1">
        <v>603.15</v>
      </c>
      <c r="D11" s="1">
        <v>648.75</v>
      </c>
      <c r="E11" s="1">
        <v>569.24</v>
      </c>
      <c r="F11" s="1">
        <v>729.93</v>
      </c>
      <c r="G11" s="1">
        <v>312.52999999999997</v>
      </c>
    </row>
    <row r="12" spans="1:7" x14ac:dyDescent="0.25">
      <c r="A12" s="1" t="s">
        <v>16</v>
      </c>
      <c r="B12" s="1">
        <v>292.16000000000003</v>
      </c>
      <c r="C12" s="1">
        <v>299.75</v>
      </c>
      <c r="D12" s="1">
        <v>304.92</v>
      </c>
      <c r="E12" s="1">
        <v>304.61</v>
      </c>
      <c r="F12" s="1">
        <v>291.51</v>
      </c>
      <c r="G12" s="1">
        <v>255.42</v>
      </c>
    </row>
    <row r="13" spans="1:7" x14ac:dyDescent="0.25">
      <c r="A13" s="1" t="s">
        <v>17</v>
      </c>
      <c r="B13" s="1">
        <v>42.01</v>
      </c>
      <c r="C13" s="1">
        <v>28.63</v>
      </c>
      <c r="D13" s="1">
        <v>37.15</v>
      </c>
      <c r="E13" s="1">
        <v>28.4</v>
      </c>
      <c r="F13" s="1">
        <v>40.82</v>
      </c>
      <c r="G13" s="1">
        <v>43.79</v>
      </c>
    </row>
    <row r="14" spans="1:7" x14ac:dyDescent="0.25">
      <c r="A14" s="1" t="s">
        <v>18</v>
      </c>
      <c r="B14" s="1">
        <v>71.13</v>
      </c>
      <c r="C14" s="1">
        <v>60.28</v>
      </c>
      <c r="D14" s="1">
        <v>68.67</v>
      </c>
      <c r="E14" s="1">
        <v>55.92</v>
      </c>
      <c r="F14" s="1">
        <v>89.16</v>
      </c>
      <c r="G14" s="1">
        <v>84.72</v>
      </c>
    </row>
    <row r="15" spans="1:7" x14ac:dyDescent="0.25">
      <c r="A15" s="1" t="s">
        <v>19</v>
      </c>
      <c r="B15" s="1">
        <v>5</v>
      </c>
      <c r="C15" s="1">
        <v>3</v>
      </c>
      <c r="D15" s="1">
        <v>4</v>
      </c>
      <c r="E15" s="1">
        <v>1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747.82</v>
      </c>
      <c r="C17" s="1">
        <v>713.46</v>
      </c>
      <c r="D17" s="1">
        <v>795.41</v>
      </c>
      <c r="E17" s="1">
        <v>666.19</v>
      </c>
      <c r="F17" s="1">
        <v>16.53</v>
      </c>
      <c r="G17" s="1">
        <v>436.6</v>
      </c>
    </row>
    <row r="18" spans="1:7" x14ac:dyDescent="0.25">
      <c r="A18" s="1" t="s">
        <v>22</v>
      </c>
      <c r="B18" s="1">
        <v>3.32</v>
      </c>
      <c r="C18" s="1">
        <v>0.4</v>
      </c>
      <c r="D18" s="1">
        <v>0</v>
      </c>
      <c r="E18" s="1">
        <v>13.78</v>
      </c>
      <c r="F18" s="1">
        <v>1007.87</v>
      </c>
      <c r="G18" s="1">
        <v>12.48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8.6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7.8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1.2</v>
      </c>
      <c r="G25" s="1">
        <v>3.6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</v>
      </c>
      <c r="G26" s="1">
        <v>6.3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12</v>
      </c>
      <c r="G30" s="3">
        <f t="shared" si="2"/>
        <v>36.363636363636367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</v>
      </c>
      <c r="G31" s="3">
        <f t="shared" si="3"/>
        <v>63.636363636363633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75.83</v>
      </c>
      <c r="C33" s="3">
        <v>73.290000000000006</v>
      </c>
      <c r="D33" s="3">
        <v>82.76</v>
      </c>
      <c r="E33" s="3">
        <v>65.89</v>
      </c>
      <c r="F33" s="3">
        <v>-93.27</v>
      </c>
      <c r="G33" s="3">
        <v>44.24</v>
      </c>
    </row>
    <row r="35" spans="1:7" x14ac:dyDescent="0.25">
      <c r="A35" s="3" t="s">
        <v>36</v>
      </c>
      <c r="B35" s="3"/>
      <c r="C35" s="3"/>
      <c r="D35" s="3">
        <f>D33-C33</f>
        <v>9.4699999999999989</v>
      </c>
      <c r="E35" s="3"/>
      <c r="F35" s="3">
        <f>F33-E33</f>
        <v>-159.16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-16.870000000000005</v>
      </c>
      <c r="F37" s="3"/>
      <c r="G37" s="3">
        <f>G33-F33</f>
        <v>137.51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AA7E-226B-4DAD-82BD-7B6B17A316C0}">
  <sheetPr codeName="Sheet4"/>
  <dimension ref="A1:G37"/>
  <sheetViews>
    <sheetView topLeftCell="A10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521.91999999999996</v>
      </c>
      <c r="C2" s="1">
        <v>548.70000000000005</v>
      </c>
      <c r="D2" s="1">
        <v>578.04</v>
      </c>
      <c r="E2" s="1">
        <v>556.20000000000005</v>
      </c>
      <c r="F2" s="1">
        <v>547.99</v>
      </c>
      <c r="G2" s="1">
        <v>528.53</v>
      </c>
    </row>
    <row r="3" spans="1:7" x14ac:dyDescent="0.25">
      <c r="A3" s="1" t="s">
        <v>7</v>
      </c>
      <c r="B3" s="1">
        <v>44.69</v>
      </c>
      <c r="C3" s="1">
        <v>48.18</v>
      </c>
      <c r="D3" s="1">
        <v>48.5</v>
      </c>
      <c r="E3" s="1">
        <v>48.7</v>
      </c>
      <c r="F3" s="1">
        <v>48.88</v>
      </c>
      <c r="G3" s="1">
        <v>47.68</v>
      </c>
    </row>
    <row r="4" spans="1:7" x14ac:dyDescent="0.25">
      <c r="A4" s="1" t="s">
        <v>8</v>
      </c>
      <c r="B4" s="1">
        <v>23721.97</v>
      </c>
      <c r="C4" s="1">
        <v>26853.43</v>
      </c>
      <c r="D4" s="1">
        <v>28497.02</v>
      </c>
      <c r="E4" s="1">
        <v>27552.14</v>
      </c>
      <c r="F4" s="1">
        <v>27238.880000000001</v>
      </c>
      <c r="G4" s="1">
        <v>25631.38</v>
      </c>
    </row>
    <row r="5" spans="1:7" x14ac:dyDescent="0.25">
      <c r="A5" s="1" t="s">
        <v>9</v>
      </c>
      <c r="B5" s="1">
        <v>1151.94</v>
      </c>
      <c r="C5" s="1">
        <v>1181.0899999999999</v>
      </c>
      <c r="D5" s="1">
        <v>1484.74</v>
      </c>
      <c r="E5" s="1">
        <v>1560.51</v>
      </c>
      <c r="F5" s="1">
        <v>1113.5</v>
      </c>
      <c r="G5" s="1">
        <v>1256.96</v>
      </c>
    </row>
    <row r="6" spans="1:7" x14ac:dyDescent="0.25">
      <c r="A6" s="3" t="s">
        <v>10</v>
      </c>
      <c r="B6" s="3">
        <v>115.19</v>
      </c>
      <c r="C6" s="3">
        <v>119.3</v>
      </c>
      <c r="D6" s="3">
        <v>149.97</v>
      </c>
      <c r="E6" s="3">
        <v>157.63</v>
      </c>
      <c r="F6" s="3">
        <v>112.47</v>
      </c>
      <c r="G6" s="3">
        <v>128.26</v>
      </c>
    </row>
    <row r="7" spans="1:7" x14ac:dyDescent="0.25">
      <c r="A7" s="1" t="s">
        <v>11</v>
      </c>
      <c r="B7" s="1">
        <v>1020.08</v>
      </c>
      <c r="C7" s="1">
        <v>1133.9100000000001</v>
      </c>
      <c r="D7" s="1">
        <v>1448.88</v>
      </c>
      <c r="E7" s="1">
        <v>1489.98</v>
      </c>
      <c r="F7" s="1">
        <v>1071.46</v>
      </c>
      <c r="G7" s="1">
        <v>1165.44</v>
      </c>
    </row>
    <row r="8" spans="1:7" x14ac:dyDescent="0.25">
      <c r="A8" s="1" t="s">
        <v>12</v>
      </c>
      <c r="B8" s="1">
        <v>102.01</v>
      </c>
      <c r="C8" s="1">
        <v>114.54</v>
      </c>
      <c r="D8" s="1">
        <v>146.35</v>
      </c>
      <c r="E8" s="1">
        <v>150.5</v>
      </c>
      <c r="F8" s="1">
        <v>108.23</v>
      </c>
      <c r="G8" s="1">
        <v>118.92</v>
      </c>
    </row>
    <row r="9" spans="1:7" x14ac:dyDescent="0.25">
      <c r="A9" s="1" t="s">
        <v>13</v>
      </c>
      <c r="B9" s="1">
        <v>1014.01</v>
      </c>
      <c r="C9" s="1">
        <v>1133.9100000000001</v>
      </c>
      <c r="D9" s="1">
        <v>1448.88</v>
      </c>
      <c r="E9" s="1">
        <v>1489.98</v>
      </c>
      <c r="F9" s="1">
        <v>1034.3499999999999</v>
      </c>
      <c r="G9" s="1">
        <v>1163.1199999999999</v>
      </c>
    </row>
    <row r="10" spans="1:7" x14ac:dyDescent="0.25">
      <c r="A10" s="1" t="s">
        <v>14</v>
      </c>
      <c r="B10" s="1">
        <v>101.4</v>
      </c>
      <c r="C10" s="1">
        <v>114.54</v>
      </c>
      <c r="D10" s="1">
        <v>146.35</v>
      </c>
      <c r="E10" s="1">
        <v>150.5</v>
      </c>
      <c r="F10" s="1">
        <v>104.48</v>
      </c>
      <c r="G10" s="1">
        <v>118.69</v>
      </c>
    </row>
    <row r="11" spans="1:7" x14ac:dyDescent="0.25">
      <c r="A11" s="1" t="s">
        <v>15</v>
      </c>
      <c r="B11" s="1">
        <v>781.24</v>
      </c>
      <c r="C11" s="1">
        <v>870.87</v>
      </c>
      <c r="D11" s="1">
        <v>1174.3</v>
      </c>
      <c r="E11" s="1">
        <v>1215</v>
      </c>
      <c r="F11" s="1">
        <v>899.19</v>
      </c>
      <c r="G11" s="1">
        <v>955.67</v>
      </c>
    </row>
    <row r="12" spans="1:7" x14ac:dyDescent="0.25">
      <c r="A12" s="1" t="s">
        <v>16</v>
      </c>
      <c r="B12" s="1">
        <v>256.86</v>
      </c>
      <c r="C12" s="1">
        <v>279.25</v>
      </c>
      <c r="D12" s="1">
        <v>302.06</v>
      </c>
      <c r="E12" s="1">
        <v>292.62</v>
      </c>
      <c r="F12" s="1">
        <v>280.42</v>
      </c>
      <c r="G12" s="1">
        <v>277.98</v>
      </c>
    </row>
    <row r="13" spans="1:7" x14ac:dyDescent="0.25">
      <c r="A13" s="1" t="s">
        <v>17</v>
      </c>
      <c r="B13" s="1">
        <v>46.84</v>
      </c>
      <c r="C13" s="1">
        <v>53.54</v>
      </c>
      <c r="D13" s="1">
        <v>47.92</v>
      </c>
      <c r="E13" s="1">
        <v>43.92</v>
      </c>
      <c r="F13" s="1">
        <v>33.659999999999997</v>
      </c>
      <c r="G13" s="1">
        <v>38.18</v>
      </c>
    </row>
    <row r="14" spans="1:7" x14ac:dyDescent="0.25">
      <c r="A14" s="1" t="s">
        <v>18</v>
      </c>
      <c r="B14" s="1">
        <v>87.61</v>
      </c>
      <c r="C14" s="1">
        <v>93.24</v>
      </c>
      <c r="D14" s="1">
        <v>81.040000000000006</v>
      </c>
      <c r="E14" s="1">
        <v>91.19</v>
      </c>
      <c r="F14" s="1">
        <v>65.33</v>
      </c>
      <c r="G14" s="1">
        <v>76.67</v>
      </c>
    </row>
    <row r="15" spans="1:7" x14ac:dyDescent="0.25">
      <c r="A15" s="1" t="s">
        <v>19</v>
      </c>
      <c r="B15" s="1">
        <v>8</v>
      </c>
      <c r="C15" s="1">
        <v>7</v>
      </c>
      <c r="D15" s="1">
        <v>8</v>
      </c>
      <c r="E15" s="1">
        <v>6</v>
      </c>
      <c r="F15" s="1">
        <v>6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1017.05</v>
      </c>
      <c r="C17" s="1">
        <v>1133.9100000000001</v>
      </c>
      <c r="D17" s="1">
        <v>1448.88</v>
      </c>
      <c r="E17" s="1">
        <v>1489.98</v>
      </c>
      <c r="F17" s="1">
        <v>1052.9100000000001</v>
      </c>
      <c r="G17" s="1">
        <v>1164.28</v>
      </c>
    </row>
    <row r="18" spans="1:7" x14ac:dyDescent="0.25">
      <c r="A18" s="1" t="s">
        <v>22</v>
      </c>
      <c r="B18" s="1">
        <v>3.04</v>
      </c>
      <c r="C18" s="1">
        <v>0</v>
      </c>
      <c r="D18" s="1">
        <v>0</v>
      </c>
      <c r="E18" s="1">
        <v>0</v>
      </c>
      <c r="F18" s="1">
        <v>18.559999999999999</v>
      </c>
      <c r="G18" s="1">
        <v>1.1599999999999999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1.3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8.6999999999999993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13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86.999999999999986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110.97</v>
      </c>
      <c r="C33" s="3">
        <v>118.6</v>
      </c>
      <c r="D33" s="3">
        <v>149.19999999999999</v>
      </c>
      <c r="E33" s="3">
        <v>155.81</v>
      </c>
      <c r="F33" s="3">
        <v>107.03</v>
      </c>
      <c r="G33" s="3">
        <v>128.12</v>
      </c>
    </row>
    <row r="35" spans="1:7" x14ac:dyDescent="0.25">
      <c r="A35" s="3" t="s">
        <v>36</v>
      </c>
      <c r="B35" s="3"/>
      <c r="C35" s="3"/>
      <c r="D35" s="3">
        <f>D33-C33</f>
        <v>30.599999999999994</v>
      </c>
      <c r="E35" s="3"/>
      <c r="F35" s="3">
        <f>F33-E33</f>
        <v>-48.78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6.6100000000000136</v>
      </c>
      <c r="F37" s="3"/>
      <c r="G37" s="3">
        <f>G33-F33</f>
        <v>21.090000000000003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9071-0731-439C-866E-B4E933303049}">
  <sheetPr codeName="Sheet5"/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521.37</v>
      </c>
      <c r="C2" s="1">
        <v>532.17999999999995</v>
      </c>
      <c r="D2" s="1">
        <v>533.33000000000004</v>
      </c>
      <c r="E2" s="1">
        <v>523.91999999999996</v>
      </c>
      <c r="F2" s="1">
        <v>469</v>
      </c>
      <c r="G2" s="1">
        <v>510.46</v>
      </c>
    </row>
    <row r="3" spans="1:7" x14ac:dyDescent="0.25">
      <c r="A3" s="1" t="s">
        <v>7</v>
      </c>
      <c r="B3" s="1">
        <v>37.799999999999997</v>
      </c>
      <c r="C3" s="1">
        <v>42</v>
      </c>
      <c r="D3" s="1">
        <v>42.23</v>
      </c>
      <c r="E3" s="1">
        <v>41.71</v>
      </c>
      <c r="F3" s="1">
        <v>40</v>
      </c>
      <c r="G3" s="1">
        <v>41.21</v>
      </c>
    </row>
    <row r="4" spans="1:7" x14ac:dyDescent="0.25">
      <c r="A4" s="1" t="s">
        <v>8</v>
      </c>
      <c r="B4" s="1">
        <v>20003.599999999999</v>
      </c>
      <c r="C4" s="1">
        <v>22723.53</v>
      </c>
      <c r="D4" s="1">
        <v>22898.82</v>
      </c>
      <c r="E4" s="1">
        <v>22222.17</v>
      </c>
      <c r="F4" s="1">
        <v>19044.150000000001</v>
      </c>
      <c r="G4" s="1">
        <v>21369.75</v>
      </c>
    </row>
    <row r="5" spans="1:7" x14ac:dyDescent="0.25">
      <c r="A5" s="1" t="s">
        <v>9</v>
      </c>
      <c r="B5" s="1">
        <v>991.11</v>
      </c>
      <c r="C5" s="1">
        <v>1127.3599999999999</v>
      </c>
      <c r="D5" s="1">
        <v>1204.8699999999999</v>
      </c>
      <c r="E5" s="1">
        <v>1040.3900000000001</v>
      </c>
      <c r="F5" s="1">
        <v>1193.2</v>
      </c>
      <c r="G5" s="1">
        <v>982.05</v>
      </c>
    </row>
    <row r="6" spans="1:7" x14ac:dyDescent="0.25">
      <c r="A6" s="3" t="s">
        <v>10</v>
      </c>
      <c r="B6" s="3">
        <v>99.11</v>
      </c>
      <c r="C6" s="3">
        <v>113.87</v>
      </c>
      <c r="D6" s="3">
        <v>121.7</v>
      </c>
      <c r="E6" s="3">
        <v>105.09</v>
      </c>
      <c r="F6" s="3">
        <v>120.53</v>
      </c>
      <c r="G6" s="3">
        <v>100.21</v>
      </c>
    </row>
    <row r="7" spans="1:7" x14ac:dyDescent="0.25">
      <c r="A7" s="1" t="s">
        <v>11</v>
      </c>
      <c r="B7" s="1">
        <v>946.04</v>
      </c>
      <c r="C7" s="1">
        <v>1100.1199999999999</v>
      </c>
      <c r="D7" s="1">
        <v>1173.53</v>
      </c>
      <c r="E7" s="1">
        <v>1014.92</v>
      </c>
      <c r="F7" s="1">
        <v>1168.57</v>
      </c>
      <c r="G7" s="1">
        <v>939.27</v>
      </c>
    </row>
    <row r="8" spans="1:7" x14ac:dyDescent="0.25">
      <c r="A8" s="1" t="s">
        <v>12</v>
      </c>
      <c r="B8" s="1">
        <v>94.6</v>
      </c>
      <c r="C8" s="1">
        <v>111.12</v>
      </c>
      <c r="D8" s="1">
        <v>118.54</v>
      </c>
      <c r="E8" s="1">
        <v>102.52</v>
      </c>
      <c r="F8" s="1">
        <v>118.04</v>
      </c>
      <c r="G8" s="1">
        <v>95.84</v>
      </c>
    </row>
    <row r="9" spans="1:7" x14ac:dyDescent="0.25">
      <c r="A9" s="1" t="s">
        <v>13</v>
      </c>
      <c r="B9" s="1">
        <v>937.88</v>
      </c>
      <c r="C9" s="1">
        <v>1100.1199999999999</v>
      </c>
      <c r="D9" s="1">
        <v>1173.53</v>
      </c>
      <c r="E9" s="1">
        <v>1014.92</v>
      </c>
      <c r="F9" s="1">
        <v>-1069.45</v>
      </c>
      <c r="G9" s="1">
        <v>939.27</v>
      </c>
    </row>
    <row r="10" spans="1:7" x14ac:dyDescent="0.25">
      <c r="A10" s="1" t="s">
        <v>14</v>
      </c>
      <c r="B10" s="1">
        <v>93.79</v>
      </c>
      <c r="C10" s="1">
        <v>111.12</v>
      </c>
      <c r="D10" s="1">
        <v>118.54</v>
      </c>
      <c r="E10" s="1">
        <v>102.52</v>
      </c>
      <c r="F10" s="1">
        <v>-108.03</v>
      </c>
      <c r="G10" s="1">
        <v>95.84</v>
      </c>
    </row>
    <row r="11" spans="1:7" x14ac:dyDescent="0.25">
      <c r="A11" s="1" t="s">
        <v>15</v>
      </c>
      <c r="B11" s="1">
        <v>564.27</v>
      </c>
      <c r="C11" s="1">
        <v>912.86</v>
      </c>
      <c r="D11" s="1">
        <v>1019.85</v>
      </c>
      <c r="E11" s="1">
        <v>872.18</v>
      </c>
      <c r="F11" s="1">
        <v>518.27</v>
      </c>
      <c r="G11" s="1">
        <v>434.19</v>
      </c>
    </row>
    <row r="12" spans="1:7" x14ac:dyDescent="0.25">
      <c r="A12" s="1" t="s">
        <v>16</v>
      </c>
      <c r="B12" s="1">
        <v>238.65</v>
      </c>
      <c r="C12" s="1">
        <v>301.42</v>
      </c>
      <c r="D12" s="1">
        <v>314.35000000000002</v>
      </c>
      <c r="E12" s="1">
        <v>283.14</v>
      </c>
      <c r="F12" s="1">
        <v>277.07</v>
      </c>
      <c r="G12" s="1">
        <v>284.77999999999997</v>
      </c>
    </row>
    <row r="13" spans="1:7" x14ac:dyDescent="0.25">
      <c r="A13" s="1" t="s">
        <v>17</v>
      </c>
      <c r="B13" s="1">
        <v>52.08</v>
      </c>
      <c r="C13" s="1">
        <v>41.16</v>
      </c>
      <c r="D13" s="1">
        <v>34.909999999999997</v>
      </c>
      <c r="E13" s="1">
        <v>31.49</v>
      </c>
      <c r="F13" s="1">
        <v>40.14</v>
      </c>
      <c r="G13" s="1">
        <v>42</v>
      </c>
    </row>
    <row r="14" spans="1:7" x14ac:dyDescent="0.25">
      <c r="A14" s="1" t="s">
        <v>18</v>
      </c>
      <c r="B14" s="1">
        <v>99.62</v>
      </c>
      <c r="C14" s="1">
        <v>72.31</v>
      </c>
      <c r="D14" s="1">
        <v>65.45</v>
      </c>
      <c r="E14" s="1">
        <v>72.540000000000006</v>
      </c>
      <c r="F14" s="1">
        <v>94.86</v>
      </c>
      <c r="G14" s="1">
        <v>91.02</v>
      </c>
    </row>
    <row r="15" spans="1:7" x14ac:dyDescent="0.25">
      <c r="A15" s="1" t="s">
        <v>19</v>
      </c>
      <c r="B15" s="1">
        <v>4</v>
      </c>
      <c r="C15" s="1">
        <v>6</v>
      </c>
      <c r="D15" s="1">
        <v>6</v>
      </c>
      <c r="E15" s="1">
        <v>4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941.96</v>
      </c>
      <c r="C17" s="1">
        <v>1100.1199999999999</v>
      </c>
      <c r="D17" s="1">
        <v>1173.53</v>
      </c>
      <c r="E17" s="1">
        <v>1014.92</v>
      </c>
      <c r="F17" s="1">
        <v>49.56</v>
      </c>
      <c r="G17" s="1">
        <v>939.27</v>
      </c>
    </row>
    <row r="18" spans="1:7" x14ac:dyDescent="0.25">
      <c r="A18" s="1" t="s">
        <v>22</v>
      </c>
      <c r="B18" s="1">
        <v>4.08</v>
      </c>
      <c r="C18" s="1">
        <v>0</v>
      </c>
      <c r="D18" s="1">
        <v>0</v>
      </c>
      <c r="E18" s="1">
        <v>0</v>
      </c>
      <c r="F18" s="1">
        <v>1119.01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7.5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2.5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7.4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74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93.9</v>
      </c>
      <c r="C33" s="3">
        <v>114.95</v>
      </c>
      <c r="D33" s="3">
        <v>121.06</v>
      </c>
      <c r="E33" s="3">
        <v>103.98</v>
      </c>
      <c r="F33" s="3">
        <v>-94.4</v>
      </c>
      <c r="G33" s="3">
        <v>99.62</v>
      </c>
    </row>
    <row r="35" spans="1:7" x14ac:dyDescent="0.25">
      <c r="A35" s="3" t="s">
        <v>36</v>
      </c>
      <c r="B35" s="3"/>
      <c r="C35" s="3"/>
      <c r="D35" s="3">
        <f>D33-C33</f>
        <v>6.1099999999999994</v>
      </c>
      <c r="E35" s="3"/>
      <c r="F35" s="3">
        <f>F33-E33</f>
        <v>-198.38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-17.079999999999998</v>
      </c>
      <c r="F37" s="3"/>
      <c r="G37" s="3">
        <f>G33-F33</f>
        <v>194.02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F245-D6A0-4091-93E7-EBE55007A8D0}">
  <sheetPr codeName="Sheet6"/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533.92999999999995</v>
      </c>
      <c r="C2" s="1">
        <v>593.15</v>
      </c>
      <c r="D2" s="1">
        <v>543.86</v>
      </c>
      <c r="E2" s="1">
        <v>592.16999999999996</v>
      </c>
      <c r="F2" s="1">
        <v>569.96</v>
      </c>
      <c r="G2" s="1">
        <v>461.88</v>
      </c>
    </row>
    <row r="3" spans="1:7" x14ac:dyDescent="0.25">
      <c r="A3" s="1" t="s">
        <v>7</v>
      </c>
      <c r="B3" s="1">
        <v>43.08</v>
      </c>
      <c r="C3" s="1">
        <v>42.1</v>
      </c>
      <c r="D3" s="1">
        <v>46.24</v>
      </c>
      <c r="E3" s="1">
        <v>54.18</v>
      </c>
      <c r="F3" s="1">
        <v>52.83</v>
      </c>
      <c r="G3" s="1">
        <v>52.66</v>
      </c>
    </row>
    <row r="4" spans="1:7" x14ac:dyDescent="0.25">
      <c r="A4" s="1" t="s">
        <v>8</v>
      </c>
      <c r="B4" s="1">
        <v>23361.279999999999</v>
      </c>
      <c r="C4" s="1">
        <v>25414.98</v>
      </c>
      <c r="D4" s="1">
        <v>25420.77</v>
      </c>
      <c r="E4" s="1">
        <v>32635.97</v>
      </c>
      <c r="F4" s="1">
        <v>30581.82</v>
      </c>
      <c r="G4" s="1">
        <v>24632.92</v>
      </c>
    </row>
    <row r="5" spans="1:7" x14ac:dyDescent="0.25">
      <c r="A5" s="1" t="s">
        <v>9</v>
      </c>
      <c r="B5" s="1">
        <v>568.52</v>
      </c>
      <c r="C5" s="1">
        <v>287.39999999999998</v>
      </c>
      <c r="D5" s="1">
        <v>403.64</v>
      </c>
      <c r="E5" s="1">
        <v>201.88</v>
      </c>
      <c r="F5" s="1">
        <v>352.93</v>
      </c>
      <c r="G5" s="1">
        <v>813.43</v>
      </c>
    </row>
    <row r="6" spans="1:7" x14ac:dyDescent="0.25">
      <c r="A6" s="3" t="s">
        <v>10</v>
      </c>
      <c r="B6" s="3">
        <v>56.85</v>
      </c>
      <c r="C6" s="3">
        <v>29.03</v>
      </c>
      <c r="D6" s="3">
        <v>40.770000000000003</v>
      </c>
      <c r="E6" s="3">
        <v>20.39</v>
      </c>
      <c r="F6" s="3">
        <v>35.65</v>
      </c>
      <c r="G6" s="3">
        <v>83</v>
      </c>
    </row>
    <row r="7" spans="1:7" x14ac:dyDescent="0.25">
      <c r="A7" s="1" t="s">
        <v>11</v>
      </c>
      <c r="B7" s="1">
        <v>554.77</v>
      </c>
      <c r="C7" s="1">
        <v>280.83999999999997</v>
      </c>
      <c r="D7" s="1">
        <v>396.18</v>
      </c>
      <c r="E7" s="1">
        <v>197.28</v>
      </c>
      <c r="F7" s="1">
        <v>346.42</v>
      </c>
      <c r="G7" s="1">
        <v>730.53</v>
      </c>
    </row>
    <row r="8" spans="1:7" x14ac:dyDescent="0.25">
      <c r="A8" s="1" t="s">
        <v>12</v>
      </c>
      <c r="B8" s="1">
        <v>55.48</v>
      </c>
      <c r="C8" s="1">
        <v>28.37</v>
      </c>
      <c r="D8" s="1">
        <v>40.020000000000003</v>
      </c>
      <c r="E8" s="1">
        <v>19.93</v>
      </c>
      <c r="F8" s="1">
        <v>34.99</v>
      </c>
      <c r="G8" s="1">
        <v>74.540000000000006</v>
      </c>
    </row>
    <row r="9" spans="1:7" x14ac:dyDescent="0.25">
      <c r="A9" s="1" t="s">
        <v>13</v>
      </c>
      <c r="B9" s="1">
        <v>525.71</v>
      </c>
      <c r="C9" s="1">
        <v>146.5</v>
      </c>
      <c r="D9" s="1">
        <v>311.5</v>
      </c>
      <c r="E9" s="1">
        <v>129.02000000000001</v>
      </c>
      <c r="F9" s="1">
        <v>-157.91999999999999</v>
      </c>
      <c r="G9" s="1">
        <v>-480.24</v>
      </c>
    </row>
    <row r="10" spans="1:7" x14ac:dyDescent="0.25">
      <c r="A10" s="1" t="s">
        <v>14</v>
      </c>
      <c r="B10" s="1">
        <v>52.57</v>
      </c>
      <c r="C10" s="1">
        <v>14.8</v>
      </c>
      <c r="D10" s="1">
        <v>31.46</v>
      </c>
      <c r="E10" s="1">
        <v>13.03</v>
      </c>
      <c r="F10" s="1">
        <v>-15.95</v>
      </c>
      <c r="G10" s="1">
        <v>-49</v>
      </c>
    </row>
    <row r="11" spans="1:7" x14ac:dyDescent="0.25">
      <c r="A11" s="1" t="s">
        <v>15</v>
      </c>
      <c r="B11" s="1">
        <v>458.1</v>
      </c>
      <c r="C11" s="1">
        <v>85.8</v>
      </c>
      <c r="D11" s="1">
        <v>109.14</v>
      </c>
      <c r="E11" s="1">
        <v>127.35</v>
      </c>
      <c r="F11" s="1">
        <v>34.380000000000003</v>
      </c>
      <c r="G11" s="1">
        <v>279.2</v>
      </c>
    </row>
    <row r="12" spans="1:7" x14ac:dyDescent="0.25">
      <c r="A12" s="1" t="s">
        <v>16</v>
      </c>
      <c r="B12" s="1">
        <v>300.07</v>
      </c>
      <c r="C12" s="1">
        <v>264.11</v>
      </c>
      <c r="D12" s="1">
        <v>235.12</v>
      </c>
      <c r="E12" s="1">
        <v>263.62</v>
      </c>
      <c r="F12" s="1">
        <v>308.20999999999998</v>
      </c>
      <c r="G12" s="1">
        <v>228.73</v>
      </c>
    </row>
    <row r="13" spans="1:7" x14ac:dyDescent="0.25">
      <c r="A13" s="1" t="s">
        <v>17</v>
      </c>
      <c r="B13" s="1">
        <v>25.63</v>
      </c>
      <c r="C13" s="1">
        <v>46.32</v>
      </c>
      <c r="D13" s="1">
        <v>47.05</v>
      </c>
      <c r="E13" s="1">
        <v>51.35</v>
      </c>
      <c r="F13" s="1">
        <v>42.05</v>
      </c>
      <c r="G13" s="1">
        <v>59.21</v>
      </c>
    </row>
    <row r="14" spans="1:7" x14ac:dyDescent="0.25">
      <c r="A14" s="1" t="s">
        <v>18</v>
      </c>
      <c r="B14" s="1">
        <v>61.29</v>
      </c>
      <c r="C14" s="1">
        <v>91.25</v>
      </c>
      <c r="D14" s="1">
        <v>96.7</v>
      </c>
      <c r="E14" s="1">
        <v>73.33</v>
      </c>
      <c r="F14" s="1">
        <v>71.42</v>
      </c>
      <c r="G14" s="1">
        <v>85.01</v>
      </c>
    </row>
    <row r="15" spans="1:7" x14ac:dyDescent="0.25">
      <c r="A15" s="1" t="s">
        <v>19</v>
      </c>
      <c r="B15" s="1">
        <v>2</v>
      </c>
      <c r="C15" s="1">
        <v>1</v>
      </c>
      <c r="D15" s="1">
        <v>2</v>
      </c>
      <c r="E15" s="1">
        <v>1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540.24</v>
      </c>
      <c r="C17" s="1">
        <v>213.67</v>
      </c>
      <c r="D17" s="1">
        <v>353.84</v>
      </c>
      <c r="E17" s="1">
        <v>163.15</v>
      </c>
      <c r="F17" s="1">
        <v>94.25</v>
      </c>
      <c r="G17" s="1">
        <v>125.15</v>
      </c>
    </row>
    <row r="18" spans="1:7" x14ac:dyDescent="0.25">
      <c r="A18" s="1" t="s">
        <v>22</v>
      </c>
      <c r="B18" s="1">
        <v>14.53</v>
      </c>
      <c r="C18" s="1">
        <v>67.17</v>
      </c>
      <c r="D18" s="1">
        <v>42.34</v>
      </c>
      <c r="E18" s="1">
        <v>34.130000000000003</v>
      </c>
      <c r="F18" s="1">
        <v>252.17</v>
      </c>
      <c r="G18" s="1">
        <v>605.39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1.9</v>
      </c>
      <c r="D20" s="1">
        <v>2.5</v>
      </c>
      <c r="E20" s="1">
        <v>0</v>
      </c>
      <c r="F20" s="1">
        <v>5.3</v>
      </c>
      <c r="G20" s="1">
        <v>2.9</v>
      </c>
    </row>
    <row r="21" spans="1:7" x14ac:dyDescent="0.25">
      <c r="A21" s="1" t="s">
        <v>25</v>
      </c>
      <c r="B21" s="1">
        <v>10.1</v>
      </c>
      <c r="C21" s="1">
        <v>8.1</v>
      </c>
      <c r="D21" s="1">
        <v>7.5</v>
      </c>
      <c r="E21" s="1">
        <v>10</v>
      </c>
      <c r="F21" s="1">
        <v>4.7</v>
      </c>
      <c r="G21" s="1">
        <v>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1.9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1.8</v>
      </c>
      <c r="G24" s="1">
        <v>3.8</v>
      </c>
    </row>
    <row r="25" spans="1:7" x14ac:dyDescent="0.25">
      <c r="A25" s="1" t="s">
        <v>29</v>
      </c>
      <c r="B25" s="1">
        <v>0</v>
      </c>
      <c r="C25" s="1">
        <v>8.9</v>
      </c>
      <c r="D25" s="1">
        <v>4.4000000000000004</v>
      </c>
      <c r="E25" s="1">
        <v>8.9</v>
      </c>
      <c r="F25" s="1">
        <v>6</v>
      </c>
      <c r="G25" s="1">
        <v>6.1</v>
      </c>
    </row>
    <row r="26" spans="1:7" x14ac:dyDescent="0.25">
      <c r="A26" s="1" t="s">
        <v>30</v>
      </c>
      <c r="B26" s="1">
        <v>10.1</v>
      </c>
      <c r="C26" s="1">
        <v>1.1000000000000001</v>
      </c>
      <c r="D26" s="1">
        <v>5.6</v>
      </c>
      <c r="E26" s="1">
        <v>1.1000000000000001</v>
      </c>
      <c r="F26" s="1">
        <v>2.2000000000000002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18</v>
      </c>
      <c r="G29" s="3">
        <f t="shared" si="1"/>
        <v>38.383838383838388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89</v>
      </c>
      <c r="D30" s="3">
        <f t="shared" si="2"/>
        <v>44.000000000000007</v>
      </c>
      <c r="E30" s="3">
        <f t="shared" si="2"/>
        <v>89</v>
      </c>
      <c r="F30" s="3">
        <f t="shared" si="2"/>
        <v>60</v>
      </c>
      <c r="G30" s="3">
        <f t="shared" si="2"/>
        <v>61.616161616161627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11.000000000000002</v>
      </c>
      <c r="D31" s="3">
        <f t="shared" si="3"/>
        <v>55.999999999999993</v>
      </c>
      <c r="E31" s="3">
        <f t="shared" si="3"/>
        <v>11.000000000000002</v>
      </c>
      <c r="F31" s="3">
        <f t="shared" si="3"/>
        <v>22.000000000000004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51.54</v>
      </c>
      <c r="C33" s="3">
        <v>9.02</v>
      </c>
      <c r="D33" s="3">
        <v>23.57</v>
      </c>
      <c r="E33" s="3">
        <v>14.91</v>
      </c>
      <c r="F33" s="3">
        <v>-3.81</v>
      </c>
      <c r="G33" s="3">
        <v>-31.92</v>
      </c>
    </row>
    <row r="35" spans="1:7" x14ac:dyDescent="0.25">
      <c r="A35" s="3" t="s">
        <v>36</v>
      </c>
      <c r="B35" s="3"/>
      <c r="C35" s="3"/>
      <c r="D35" s="3">
        <f>D33-C33</f>
        <v>14.55</v>
      </c>
      <c r="E35" s="3"/>
      <c r="F35" s="3">
        <f>F33-E33</f>
        <v>-18.72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-8.66</v>
      </c>
      <c r="F37" s="3"/>
      <c r="G37" s="3">
        <f>G33-F33</f>
        <v>-28.110000000000003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AB8B-CB41-4337-8F47-CFCF10AFC6A0}">
  <sheetPr codeName="Sheet7"/>
  <dimension ref="A1:G37"/>
  <sheetViews>
    <sheetView topLeftCell="A13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518.26</v>
      </c>
      <c r="C2" s="1">
        <v>435.13</v>
      </c>
      <c r="D2" s="1">
        <v>467.88</v>
      </c>
      <c r="E2" s="1">
        <v>486.44</v>
      </c>
      <c r="F2" s="1">
        <v>513.07000000000005</v>
      </c>
      <c r="G2" s="1">
        <v>478.42</v>
      </c>
    </row>
    <row r="3" spans="1:7" x14ac:dyDescent="0.25">
      <c r="A3" s="1" t="s">
        <v>7</v>
      </c>
      <c r="B3" s="1">
        <v>37.880000000000003</v>
      </c>
      <c r="C3" s="1">
        <v>43.91</v>
      </c>
      <c r="D3" s="1">
        <v>39.729999999999997</v>
      </c>
      <c r="E3" s="1">
        <v>37.1</v>
      </c>
      <c r="F3" s="1">
        <v>36.15</v>
      </c>
      <c r="G3" s="1">
        <v>42.59</v>
      </c>
    </row>
    <row r="4" spans="1:7" x14ac:dyDescent="0.25">
      <c r="A4" s="1" t="s">
        <v>8</v>
      </c>
      <c r="B4" s="1">
        <v>19962.22</v>
      </c>
      <c r="C4" s="1">
        <v>19403.87</v>
      </c>
      <c r="D4" s="1">
        <v>18740.580000000002</v>
      </c>
      <c r="E4" s="1">
        <v>18294.86</v>
      </c>
      <c r="F4" s="1">
        <v>18790.79</v>
      </c>
      <c r="G4" s="1">
        <v>20733.39</v>
      </c>
    </row>
    <row r="5" spans="1:7" x14ac:dyDescent="0.25">
      <c r="A5" s="1" t="s">
        <v>9</v>
      </c>
      <c r="B5" s="1">
        <v>823.88</v>
      </c>
      <c r="C5" s="1">
        <v>884.92</v>
      </c>
      <c r="D5" s="1">
        <v>772.82</v>
      </c>
      <c r="E5" s="1">
        <v>546.35</v>
      </c>
      <c r="F5" s="1">
        <v>856.68</v>
      </c>
      <c r="G5" s="1">
        <v>886.81</v>
      </c>
    </row>
    <row r="6" spans="1:7" x14ac:dyDescent="0.25">
      <c r="A6" s="3" t="s">
        <v>10</v>
      </c>
      <c r="B6" s="3">
        <v>82.39</v>
      </c>
      <c r="C6" s="3">
        <v>89.39</v>
      </c>
      <c r="D6" s="3">
        <v>78.06</v>
      </c>
      <c r="E6" s="3">
        <v>55.19</v>
      </c>
      <c r="F6" s="3">
        <v>86.53</v>
      </c>
      <c r="G6" s="3">
        <v>90.49</v>
      </c>
    </row>
    <row r="7" spans="1:7" x14ac:dyDescent="0.25">
      <c r="A7" s="1" t="s">
        <v>11</v>
      </c>
      <c r="B7" s="1">
        <v>749.26</v>
      </c>
      <c r="C7" s="1">
        <v>722.21</v>
      </c>
      <c r="D7" s="1">
        <v>660.13</v>
      </c>
      <c r="E7" s="1">
        <v>525.80999999999995</v>
      </c>
      <c r="F7" s="1">
        <v>825.99</v>
      </c>
      <c r="G7" s="1">
        <v>831.24</v>
      </c>
    </row>
    <row r="8" spans="1:7" x14ac:dyDescent="0.25">
      <c r="A8" s="1" t="s">
        <v>12</v>
      </c>
      <c r="B8" s="1">
        <v>74.930000000000007</v>
      </c>
      <c r="C8" s="1">
        <v>72.95</v>
      </c>
      <c r="D8" s="1">
        <v>66.680000000000007</v>
      </c>
      <c r="E8" s="1">
        <v>53.11</v>
      </c>
      <c r="F8" s="1">
        <v>83.43</v>
      </c>
      <c r="G8" s="1">
        <v>84.82</v>
      </c>
    </row>
    <row r="9" spans="1:7" x14ac:dyDescent="0.25">
      <c r="A9" s="1" t="s">
        <v>13</v>
      </c>
      <c r="B9" s="1">
        <v>749.26</v>
      </c>
      <c r="C9" s="1">
        <v>467.66</v>
      </c>
      <c r="D9" s="1">
        <v>619.62</v>
      </c>
      <c r="E9" s="1">
        <v>489.49</v>
      </c>
      <c r="F9" s="1">
        <v>-481.57</v>
      </c>
      <c r="G9" s="1">
        <v>807.71</v>
      </c>
    </row>
    <row r="10" spans="1:7" x14ac:dyDescent="0.25">
      <c r="A10" s="1" t="s">
        <v>14</v>
      </c>
      <c r="B10" s="1">
        <v>74.930000000000007</v>
      </c>
      <c r="C10" s="1">
        <v>47.24</v>
      </c>
      <c r="D10" s="1">
        <v>62.59</v>
      </c>
      <c r="E10" s="1">
        <v>49.44</v>
      </c>
      <c r="F10" s="1">
        <v>-48.64</v>
      </c>
      <c r="G10" s="1">
        <v>82.42</v>
      </c>
    </row>
    <row r="11" spans="1:7" x14ac:dyDescent="0.25">
      <c r="A11" s="1" t="s">
        <v>15</v>
      </c>
      <c r="B11" s="1">
        <v>632.84</v>
      </c>
      <c r="C11" s="1">
        <v>199.28</v>
      </c>
      <c r="D11" s="1">
        <v>431.32</v>
      </c>
      <c r="E11" s="1">
        <v>392.03</v>
      </c>
      <c r="F11" s="1">
        <v>379.44</v>
      </c>
      <c r="G11" s="1">
        <v>529.33000000000004</v>
      </c>
    </row>
    <row r="12" spans="1:7" x14ac:dyDescent="0.25">
      <c r="A12" s="1" t="s">
        <v>16</v>
      </c>
      <c r="B12" s="1">
        <v>271.36</v>
      </c>
      <c r="C12" s="1">
        <v>157.84</v>
      </c>
      <c r="D12" s="1">
        <v>250.68</v>
      </c>
      <c r="E12" s="1">
        <v>277.08999999999997</v>
      </c>
      <c r="F12" s="1">
        <v>300.81</v>
      </c>
      <c r="G12" s="1">
        <v>239.49</v>
      </c>
    </row>
    <row r="13" spans="1:7" x14ac:dyDescent="0.25">
      <c r="A13" s="1" t="s">
        <v>17</v>
      </c>
      <c r="B13" s="1">
        <v>40.4</v>
      </c>
      <c r="C13" s="1">
        <v>47.2</v>
      </c>
      <c r="D13" s="1">
        <v>39.06</v>
      </c>
      <c r="E13" s="1">
        <v>29.55</v>
      </c>
      <c r="F13" s="1">
        <v>28.5</v>
      </c>
      <c r="G13" s="1">
        <v>36.08</v>
      </c>
    </row>
    <row r="14" spans="1:7" x14ac:dyDescent="0.25">
      <c r="A14" s="1" t="s">
        <v>18</v>
      </c>
      <c r="B14" s="1">
        <v>79.52</v>
      </c>
      <c r="C14" s="1">
        <v>100.33</v>
      </c>
      <c r="D14" s="1">
        <v>75.08</v>
      </c>
      <c r="E14" s="1">
        <v>65.05</v>
      </c>
      <c r="F14" s="1">
        <v>75.900000000000006</v>
      </c>
      <c r="G14" s="1">
        <v>103.54</v>
      </c>
    </row>
    <row r="15" spans="1:7" x14ac:dyDescent="0.25">
      <c r="A15" s="1" t="s">
        <v>19</v>
      </c>
      <c r="B15" s="1">
        <v>5</v>
      </c>
      <c r="C15" s="1">
        <v>7</v>
      </c>
      <c r="D15" s="1">
        <v>5</v>
      </c>
      <c r="E15" s="1">
        <v>1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749.26</v>
      </c>
      <c r="C17" s="1">
        <v>594.94000000000005</v>
      </c>
      <c r="D17" s="1">
        <v>639.87</v>
      </c>
      <c r="E17" s="1">
        <v>507.65</v>
      </c>
      <c r="F17" s="1">
        <v>172.21</v>
      </c>
      <c r="G17" s="1">
        <v>819.48</v>
      </c>
    </row>
    <row r="18" spans="1:7" x14ac:dyDescent="0.25">
      <c r="A18" s="1" t="s">
        <v>22</v>
      </c>
      <c r="B18" s="1">
        <v>0</v>
      </c>
      <c r="C18" s="1">
        <v>127.27</v>
      </c>
      <c r="D18" s="1">
        <v>20.260000000000002</v>
      </c>
      <c r="E18" s="1">
        <v>18.16</v>
      </c>
      <c r="F18" s="1">
        <v>653.78</v>
      </c>
      <c r="G18" s="1">
        <v>11.77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4.9000000000000004</v>
      </c>
      <c r="G24" s="1">
        <v>0</v>
      </c>
    </row>
    <row r="25" spans="1:7" x14ac:dyDescent="0.25">
      <c r="A25" s="1" t="s">
        <v>29</v>
      </c>
      <c r="B25" s="1">
        <v>0</v>
      </c>
      <c r="C25" s="1">
        <v>5</v>
      </c>
      <c r="D25" s="1">
        <v>2.2999999999999998</v>
      </c>
      <c r="E25" s="1">
        <v>1.2</v>
      </c>
      <c r="F25" s="1">
        <v>3.9</v>
      </c>
      <c r="G25" s="1">
        <v>2</v>
      </c>
    </row>
    <row r="26" spans="1:7" x14ac:dyDescent="0.25">
      <c r="A26" s="1" t="s">
        <v>30</v>
      </c>
      <c r="B26" s="1">
        <v>10.1</v>
      </c>
      <c r="C26" s="1">
        <v>5</v>
      </c>
      <c r="D26" s="1">
        <v>7.7</v>
      </c>
      <c r="E26" s="1">
        <v>8.8000000000000007</v>
      </c>
      <c r="F26" s="1">
        <v>1.2</v>
      </c>
      <c r="G26" s="1">
        <v>7.9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49.000000000000007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50</v>
      </c>
      <c r="D30" s="3">
        <f t="shared" si="2"/>
        <v>23</v>
      </c>
      <c r="E30" s="3">
        <f t="shared" si="2"/>
        <v>12</v>
      </c>
      <c r="F30" s="3">
        <f t="shared" si="2"/>
        <v>39</v>
      </c>
      <c r="G30" s="3">
        <f t="shared" si="2"/>
        <v>20.202020202020201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50</v>
      </c>
      <c r="D31" s="3">
        <f t="shared" si="3"/>
        <v>77</v>
      </c>
      <c r="E31" s="3">
        <f t="shared" si="3"/>
        <v>88.000000000000014</v>
      </c>
      <c r="F31" s="3">
        <f t="shared" si="3"/>
        <v>12</v>
      </c>
      <c r="G31" s="3">
        <f t="shared" si="3"/>
        <v>79.797979797979806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80.91</v>
      </c>
      <c r="C33" s="3">
        <v>37.46</v>
      </c>
      <c r="D33" s="3">
        <v>65.91</v>
      </c>
      <c r="E33" s="3">
        <v>50.97</v>
      </c>
      <c r="F33" s="3">
        <v>-44.34</v>
      </c>
      <c r="G33" s="3">
        <v>85.86</v>
      </c>
    </row>
    <row r="35" spans="1:7" x14ac:dyDescent="0.25">
      <c r="A35" s="3" t="s">
        <v>36</v>
      </c>
      <c r="B35" s="3"/>
      <c r="C35" s="3"/>
      <c r="D35" s="3">
        <f>D33-C33</f>
        <v>28.449999999999996</v>
      </c>
      <c r="E35" s="3"/>
      <c r="F35" s="3">
        <f>F33-E33</f>
        <v>-95.31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-14.939999999999998</v>
      </c>
      <c r="F37" s="3"/>
      <c r="G37" s="3">
        <f>G33-F33</f>
        <v>130.19999999999999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B50C-7FC5-4F83-9820-36CA78F718E8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585.04999999999995</v>
      </c>
      <c r="C2" s="1">
        <v>581.70000000000005</v>
      </c>
      <c r="D2" s="1">
        <v>574.74</v>
      </c>
      <c r="E2" s="1">
        <v>588.42999999999995</v>
      </c>
      <c r="F2" s="1">
        <v>576.37</v>
      </c>
      <c r="G2" s="1">
        <v>584.1</v>
      </c>
    </row>
    <row r="3" spans="1:7" x14ac:dyDescent="0.25">
      <c r="A3" s="1" t="s">
        <v>7</v>
      </c>
      <c r="B3" s="1">
        <v>48.83</v>
      </c>
      <c r="C3" s="1">
        <v>53.98</v>
      </c>
      <c r="D3" s="1">
        <v>51.11</v>
      </c>
      <c r="E3" s="1">
        <v>51.54</v>
      </c>
      <c r="F3" s="1">
        <v>49.47</v>
      </c>
      <c r="G3" s="1">
        <v>53.11</v>
      </c>
    </row>
    <row r="4" spans="1:7" x14ac:dyDescent="0.25">
      <c r="A4" s="1" t="s">
        <v>8</v>
      </c>
      <c r="B4" s="1">
        <v>29061.01</v>
      </c>
      <c r="C4" s="1">
        <v>31858.79</v>
      </c>
      <c r="D4" s="1">
        <v>29879.919999999998</v>
      </c>
      <c r="E4" s="1">
        <v>30839.85</v>
      </c>
      <c r="F4" s="1">
        <v>28986.29</v>
      </c>
      <c r="G4" s="1">
        <v>31550.35</v>
      </c>
    </row>
    <row r="5" spans="1:7" x14ac:dyDescent="0.25">
      <c r="A5" s="1" t="s">
        <v>9</v>
      </c>
      <c r="B5" s="1">
        <v>1038.99</v>
      </c>
      <c r="C5" s="1">
        <v>656.02</v>
      </c>
      <c r="D5" s="1">
        <v>947.83</v>
      </c>
      <c r="E5" s="1">
        <v>432.18</v>
      </c>
      <c r="F5" s="1">
        <v>504.02</v>
      </c>
      <c r="G5" s="1">
        <v>957.97</v>
      </c>
    </row>
    <row r="6" spans="1:7" x14ac:dyDescent="0.25">
      <c r="A6" s="3" t="s">
        <v>10</v>
      </c>
      <c r="B6" s="3">
        <v>103.9</v>
      </c>
      <c r="C6" s="3">
        <v>66.27</v>
      </c>
      <c r="D6" s="3">
        <v>95.74</v>
      </c>
      <c r="E6" s="3">
        <v>43.66</v>
      </c>
      <c r="F6" s="3">
        <v>50.91</v>
      </c>
      <c r="G6" s="3">
        <v>97.75</v>
      </c>
    </row>
    <row r="7" spans="1:7" x14ac:dyDescent="0.25">
      <c r="A7" s="1" t="s">
        <v>11</v>
      </c>
      <c r="B7" s="1">
        <v>1031.21</v>
      </c>
      <c r="C7" s="1">
        <v>600.21</v>
      </c>
      <c r="D7" s="1">
        <v>933.84</v>
      </c>
      <c r="E7" s="1">
        <v>428.26</v>
      </c>
      <c r="F7" s="1">
        <v>497.79</v>
      </c>
      <c r="G7" s="1">
        <v>943.7</v>
      </c>
    </row>
    <row r="8" spans="1:7" x14ac:dyDescent="0.25">
      <c r="A8" s="1" t="s">
        <v>12</v>
      </c>
      <c r="B8" s="1">
        <v>103.12</v>
      </c>
      <c r="C8" s="1">
        <v>60.63</v>
      </c>
      <c r="D8" s="1">
        <v>94.33</v>
      </c>
      <c r="E8" s="1">
        <v>43.26</v>
      </c>
      <c r="F8" s="1">
        <v>50.28</v>
      </c>
      <c r="G8" s="1">
        <v>96.3</v>
      </c>
    </row>
    <row r="9" spans="1:7" x14ac:dyDescent="0.25">
      <c r="A9" s="1" t="s">
        <v>13</v>
      </c>
      <c r="B9" s="1">
        <v>1031.21</v>
      </c>
      <c r="C9" s="1">
        <v>569.77</v>
      </c>
      <c r="D9" s="1">
        <v>933.84</v>
      </c>
      <c r="E9" s="1">
        <v>422.52</v>
      </c>
      <c r="F9" s="1">
        <v>-315.20999999999998</v>
      </c>
      <c r="G9" s="1">
        <v>940.51</v>
      </c>
    </row>
    <row r="10" spans="1:7" x14ac:dyDescent="0.25">
      <c r="A10" s="1" t="s">
        <v>14</v>
      </c>
      <c r="B10" s="1">
        <v>103.12</v>
      </c>
      <c r="C10" s="1">
        <v>57.55</v>
      </c>
      <c r="D10" s="1">
        <v>94.33</v>
      </c>
      <c r="E10" s="1">
        <v>42.68</v>
      </c>
      <c r="F10" s="1">
        <v>-31.84</v>
      </c>
      <c r="G10" s="1">
        <v>95.97</v>
      </c>
    </row>
    <row r="11" spans="1:7" x14ac:dyDescent="0.25">
      <c r="A11" s="1" t="s">
        <v>15</v>
      </c>
      <c r="B11" s="1">
        <v>768.15</v>
      </c>
      <c r="C11" s="1">
        <v>362.33</v>
      </c>
      <c r="D11" s="1">
        <v>555.21</v>
      </c>
      <c r="E11" s="1">
        <v>377.71</v>
      </c>
      <c r="F11" s="1">
        <v>204.84</v>
      </c>
      <c r="G11" s="1">
        <v>660.42</v>
      </c>
    </row>
    <row r="12" spans="1:7" x14ac:dyDescent="0.25">
      <c r="A12" s="1" t="s">
        <v>16</v>
      </c>
      <c r="B12" s="1">
        <v>295.08</v>
      </c>
      <c r="C12" s="1">
        <v>220.39</v>
      </c>
      <c r="D12" s="1">
        <v>280.55</v>
      </c>
      <c r="E12" s="1">
        <v>299.14</v>
      </c>
      <c r="F12" s="1">
        <v>305.23</v>
      </c>
      <c r="G12" s="1">
        <v>271.82</v>
      </c>
    </row>
    <row r="13" spans="1:7" x14ac:dyDescent="0.25">
      <c r="A13" s="1" t="s">
        <v>17</v>
      </c>
      <c r="B13" s="1">
        <v>42.31</v>
      </c>
      <c r="C13" s="1">
        <v>54.01</v>
      </c>
      <c r="D13" s="1">
        <v>56.83</v>
      </c>
      <c r="E13" s="1">
        <v>45.36</v>
      </c>
      <c r="F13" s="1">
        <v>39.14</v>
      </c>
      <c r="G13" s="1">
        <v>46.09</v>
      </c>
    </row>
    <row r="14" spans="1:7" x14ac:dyDescent="0.25">
      <c r="A14" s="1" t="s">
        <v>18</v>
      </c>
      <c r="B14" s="1">
        <v>79.98</v>
      </c>
      <c r="C14" s="1">
        <v>110.34</v>
      </c>
      <c r="D14" s="1">
        <v>107.57</v>
      </c>
      <c r="E14" s="1">
        <v>82.49</v>
      </c>
      <c r="F14" s="1">
        <v>75.260000000000005</v>
      </c>
      <c r="G14" s="1">
        <v>102.54</v>
      </c>
    </row>
    <row r="15" spans="1:7" x14ac:dyDescent="0.25">
      <c r="A15" s="1" t="s">
        <v>19</v>
      </c>
      <c r="B15" s="1">
        <v>4</v>
      </c>
      <c r="C15" s="1">
        <v>3</v>
      </c>
      <c r="D15" s="1">
        <v>4</v>
      </c>
      <c r="E15" s="1">
        <v>2</v>
      </c>
      <c r="F15" s="1">
        <v>1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1031.21</v>
      </c>
      <c r="C17" s="1">
        <v>584.99</v>
      </c>
      <c r="D17" s="1">
        <v>933.84</v>
      </c>
      <c r="E17" s="1">
        <v>425.39</v>
      </c>
      <c r="F17" s="1">
        <v>91.29</v>
      </c>
      <c r="G17" s="1">
        <v>942.11</v>
      </c>
    </row>
    <row r="18" spans="1:7" x14ac:dyDescent="0.25">
      <c r="A18" s="1" t="s">
        <v>22</v>
      </c>
      <c r="B18" s="1">
        <v>0</v>
      </c>
      <c r="C18" s="1">
        <v>15.22</v>
      </c>
      <c r="D18" s="1">
        <v>0</v>
      </c>
      <c r="E18" s="1">
        <v>2.87</v>
      </c>
      <c r="F18" s="1">
        <v>406.5</v>
      </c>
      <c r="G18" s="1">
        <v>1.59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4.5999999999999996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3.4</v>
      </c>
      <c r="F25" s="1">
        <v>4.5999999999999996</v>
      </c>
      <c r="G25" s="1">
        <v>1.1000000000000001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6.6</v>
      </c>
      <c r="F26" s="1">
        <v>1.4</v>
      </c>
      <c r="G26" s="1">
        <v>8.8000000000000007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34</v>
      </c>
      <c r="F30" s="3">
        <f t="shared" si="2"/>
        <v>46</v>
      </c>
      <c r="G30" s="3">
        <f t="shared" si="2"/>
        <v>11.111111111111112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65.999999999999986</v>
      </c>
      <c r="F31" s="3">
        <f t="shared" si="3"/>
        <v>13.999999999999998</v>
      </c>
      <c r="G31" s="3">
        <f t="shared" si="3"/>
        <v>88.8888888888889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103.11</v>
      </c>
      <c r="C33" s="3">
        <v>62.4</v>
      </c>
      <c r="D33" s="3">
        <v>95.65</v>
      </c>
      <c r="E33" s="3">
        <v>42.96</v>
      </c>
      <c r="F33" s="3">
        <v>-21.44</v>
      </c>
      <c r="G33" s="3">
        <v>94.26</v>
      </c>
    </row>
    <row r="35" spans="1:7" x14ac:dyDescent="0.25">
      <c r="A35" s="3" t="s">
        <v>36</v>
      </c>
      <c r="B35" s="3"/>
      <c r="C35" s="3"/>
      <c r="D35" s="3">
        <f>D33-C33</f>
        <v>33.250000000000007</v>
      </c>
      <c r="E35" s="3"/>
      <c r="F35" s="3">
        <f>F33-E33</f>
        <v>-64.400000000000006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-52.690000000000005</v>
      </c>
      <c r="F37" s="3"/>
      <c r="G37" s="3">
        <f>G33-F33</f>
        <v>115.7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9847-0C5E-4C7A-B5A4-4A96ACD97204}">
  <dimension ref="A1:G37"/>
  <sheetViews>
    <sheetView topLeftCell="A13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562.79999999999995</v>
      </c>
      <c r="C2" s="1">
        <v>549.37</v>
      </c>
      <c r="D2" s="1">
        <v>572.36</v>
      </c>
      <c r="E2" s="1">
        <v>563.11</v>
      </c>
      <c r="F2" s="1">
        <v>571.79999999999995</v>
      </c>
      <c r="G2" s="1">
        <v>560.13</v>
      </c>
    </row>
    <row r="3" spans="1:7" x14ac:dyDescent="0.25">
      <c r="A3" s="1" t="s">
        <v>7</v>
      </c>
      <c r="B3" s="1">
        <v>51.1</v>
      </c>
      <c r="C3" s="1">
        <v>48.09</v>
      </c>
      <c r="D3" s="1">
        <v>45.89</v>
      </c>
      <c r="E3" s="1">
        <v>50.39</v>
      </c>
      <c r="F3" s="1">
        <v>51.25</v>
      </c>
      <c r="G3" s="1">
        <v>49.64</v>
      </c>
    </row>
    <row r="4" spans="1:7" x14ac:dyDescent="0.25">
      <c r="A4" s="1" t="s">
        <v>8</v>
      </c>
      <c r="B4" s="1">
        <v>29241.200000000001</v>
      </c>
      <c r="C4" s="1">
        <v>26852.93</v>
      </c>
      <c r="D4" s="1">
        <v>26789.37</v>
      </c>
      <c r="E4" s="1">
        <v>28860.799999999999</v>
      </c>
      <c r="F4" s="1">
        <v>29801.75</v>
      </c>
      <c r="G4" s="1">
        <v>28276.84</v>
      </c>
    </row>
    <row r="5" spans="1:7" x14ac:dyDescent="0.25">
      <c r="A5" s="1" t="s">
        <v>9</v>
      </c>
      <c r="B5" s="1">
        <v>1838.18</v>
      </c>
      <c r="C5" s="1">
        <v>1775.1</v>
      </c>
      <c r="D5" s="1">
        <v>1572.61</v>
      </c>
      <c r="E5" s="1">
        <v>1058.6600000000001</v>
      </c>
      <c r="F5" s="1">
        <v>474.18</v>
      </c>
      <c r="G5" s="1">
        <v>1257.78</v>
      </c>
    </row>
    <row r="6" spans="1:7" x14ac:dyDescent="0.25">
      <c r="A6" s="3" t="s">
        <v>10</v>
      </c>
      <c r="B6" s="3">
        <v>183.82</v>
      </c>
      <c r="C6" s="3">
        <v>179.3</v>
      </c>
      <c r="D6" s="3">
        <v>158.85</v>
      </c>
      <c r="E6" s="3">
        <v>106.94</v>
      </c>
      <c r="F6" s="3">
        <v>47.9</v>
      </c>
      <c r="G6" s="3">
        <v>128.34</v>
      </c>
    </row>
    <row r="7" spans="1:7" x14ac:dyDescent="0.25">
      <c r="A7" s="1" t="s">
        <v>11</v>
      </c>
      <c r="B7" s="1">
        <v>1811.29</v>
      </c>
      <c r="C7" s="1">
        <v>1734.55</v>
      </c>
      <c r="D7" s="1">
        <v>1469.9</v>
      </c>
      <c r="E7" s="1">
        <v>1053.95</v>
      </c>
      <c r="F7" s="1">
        <v>469.51</v>
      </c>
      <c r="G7" s="1">
        <v>1246.73</v>
      </c>
    </row>
    <row r="8" spans="1:7" x14ac:dyDescent="0.25">
      <c r="A8" s="1" t="s">
        <v>12</v>
      </c>
      <c r="B8" s="1">
        <v>181.13</v>
      </c>
      <c r="C8" s="1">
        <v>175.21</v>
      </c>
      <c r="D8" s="1">
        <v>148.47999999999999</v>
      </c>
      <c r="E8" s="1">
        <v>106.46</v>
      </c>
      <c r="F8" s="1">
        <v>47.42</v>
      </c>
      <c r="G8" s="1">
        <v>127.22</v>
      </c>
    </row>
    <row r="9" spans="1:7" x14ac:dyDescent="0.25">
      <c r="A9" s="1" t="s">
        <v>13</v>
      </c>
      <c r="B9" s="1">
        <v>1811.29</v>
      </c>
      <c r="C9" s="1">
        <v>1734.55</v>
      </c>
      <c r="D9" s="1">
        <v>1432.25</v>
      </c>
      <c r="E9" s="1">
        <v>1053.95</v>
      </c>
      <c r="F9" s="1">
        <v>438.67</v>
      </c>
      <c r="G9" s="1">
        <v>1244.1300000000001</v>
      </c>
    </row>
    <row r="10" spans="1:7" x14ac:dyDescent="0.25">
      <c r="A10" s="1" t="s">
        <v>14</v>
      </c>
      <c r="B10" s="1">
        <v>181.13</v>
      </c>
      <c r="C10" s="1">
        <v>175.21</v>
      </c>
      <c r="D10" s="1">
        <v>144.66999999999999</v>
      </c>
      <c r="E10" s="1">
        <v>106.46</v>
      </c>
      <c r="F10" s="1">
        <v>44.31</v>
      </c>
      <c r="G10" s="1">
        <v>126.95</v>
      </c>
    </row>
    <row r="11" spans="1:7" x14ac:dyDescent="0.25">
      <c r="A11" s="1" t="s">
        <v>15</v>
      </c>
      <c r="B11" s="1">
        <v>1168.1300000000001</v>
      </c>
      <c r="C11" s="1">
        <v>1291.8599999999999</v>
      </c>
      <c r="D11" s="1">
        <v>1208.3900000000001</v>
      </c>
      <c r="E11" s="1">
        <v>852.08</v>
      </c>
      <c r="F11" s="1">
        <v>388.47</v>
      </c>
      <c r="G11" s="1">
        <v>1010.01</v>
      </c>
    </row>
    <row r="12" spans="1:7" x14ac:dyDescent="0.25">
      <c r="A12" s="1" t="s">
        <v>16</v>
      </c>
      <c r="B12" s="1">
        <v>297.3</v>
      </c>
      <c r="C12" s="1">
        <v>316.93</v>
      </c>
      <c r="D12" s="1">
        <v>284.41000000000003</v>
      </c>
      <c r="E12" s="1">
        <v>308.51</v>
      </c>
      <c r="F12" s="1">
        <v>287.89</v>
      </c>
      <c r="G12" s="1">
        <v>299.16000000000003</v>
      </c>
    </row>
    <row r="13" spans="1:7" x14ac:dyDescent="0.25">
      <c r="A13" s="1" t="s">
        <v>17</v>
      </c>
      <c r="B13" s="1">
        <v>57.52</v>
      </c>
      <c r="C13" s="1">
        <v>48.14</v>
      </c>
      <c r="D13" s="1">
        <v>40.39</v>
      </c>
      <c r="E13" s="1">
        <v>37.5</v>
      </c>
      <c r="F13" s="1">
        <v>40.770000000000003</v>
      </c>
      <c r="G13" s="1">
        <v>40.42</v>
      </c>
    </row>
    <row r="14" spans="1:7" x14ac:dyDescent="0.25">
      <c r="A14" s="1" t="s">
        <v>18</v>
      </c>
      <c r="B14" s="1">
        <v>101.49</v>
      </c>
      <c r="C14" s="1">
        <v>88.35</v>
      </c>
      <c r="D14" s="1">
        <v>97.04</v>
      </c>
      <c r="E14" s="1">
        <v>68.52</v>
      </c>
      <c r="F14" s="1">
        <v>76.19</v>
      </c>
      <c r="G14" s="1">
        <v>71.25</v>
      </c>
    </row>
    <row r="15" spans="1:7" x14ac:dyDescent="0.25">
      <c r="A15" s="1" t="s">
        <v>19</v>
      </c>
      <c r="B15" s="1">
        <v>9</v>
      </c>
      <c r="C15" s="1">
        <v>8</v>
      </c>
      <c r="D15" s="1">
        <v>7</v>
      </c>
      <c r="E15" s="1">
        <v>4</v>
      </c>
      <c r="F15" s="1">
        <v>1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1811.29</v>
      </c>
      <c r="C17" s="1">
        <v>1734.55</v>
      </c>
      <c r="D17" s="1">
        <v>1451.08</v>
      </c>
      <c r="E17" s="1">
        <v>1053.95</v>
      </c>
      <c r="F17" s="1">
        <v>454.09</v>
      </c>
      <c r="G17" s="1">
        <v>1245.43</v>
      </c>
    </row>
    <row r="18" spans="1:7" x14ac:dyDescent="0.25">
      <c r="A18" s="1" t="s">
        <v>22</v>
      </c>
      <c r="B18" s="1">
        <v>0</v>
      </c>
      <c r="C18" s="1">
        <v>0</v>
      </c>
      <c r="D18" s="1">
        <v>18.829999999999998</v>
      </c>
      <c r="E18" s="1">
        <v>0</v>
      </c>
      <c r="F18" s="1">
        <v>15.42</v>
      </c>
      <c r="G18" s="1">
        <v>1.3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6.8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68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179.41</v>
      </c>
      <c r="C33" s="3">
        <v>178.91</v>
      </c>
      <c r="D33" s="3">
        <v>153.69999999999999</v>
      </c>
      <c r="E33" s="3">
        <v>106.93</v>
      </c>
      <c r="F33" s="3">
        <v>45.82</v>
      </c>
      <c r="G33" s="3">
        <v>128.41999999999999</v>
      </c>
    </row>
    <row r="35" spans="1:7" x14ac:dyDescent="0.25">
      <c r="A35" s="3" t="s">
        <v>36</v>
      </c>
      <c r="B35" s="3"/>
      <c r="C35" s="3"/>
      <c r="D35" s="3">
        <f>D33-C33</f>
        <v>-25.210000000000008</v>
      </c>
      <c r="E35" s="3"/>
      <c r="F35" s="3">
        <f>F33-E33</f>
        <v>-61.110000000000007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-46.769999999999982</v>
      </c>
      <c r="F37" s="3"/>
      <c r="G37" s="3">
        <f>G33-F33</f>
        <v>82.6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2C6D-7FB4-4D91-80FA-EE791A96AFF7}">
  <dimension ref="A1:G37"/>
  <sheetViews>
    <sheetView topLeftCell="A10" workbookViewId="0">
      <selection activeCell="F43" sqref="F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560.15</v>
      </c>
      <c r="C2" s="1">
        <v>565.37</v>
      </c>
      <c r="D2" s="1">
        <v>567.14</v>
      </c>
      <c r="E2" s="1">
        <v>566.44000000000005</v>
      </c>
      <c r="F2" s="1">
        <v>540.77</v>
      </c>
      <c r="G2" s="1">
        <v>574.91999999999996</v>
      </c>
    </row>
    <row r="3" spans="1:7" x14ac:dyDescent="0.25">
      <c r="A3" s="1" t="s">
        <v>7</v>
      </c>
      <c r="B3" s="1">
        <v>43.62</v>
      </c>
      <c r="C3" s="1">
        <v>44.4</v>
      </c>
      <c r="D3" s="1">
        <v>43.46</v>
      </c>
      <c r="E3" s="1">
        <v>44.62</v>
      </c>
      <c r="F3" s="1">
        <v>44.77</v>
      </c>
      <c r="G3" s="1">
        <v>43.18</v>
      </c>
    </row>
    <row r="4" spans="1:7" x14ac:dyDescent="0.25">
      <c r="A4" s="1" t="s">
        <v>8</v>
      </c>
      <c r="B4" s="1">
        <v>24833.21</v>
      </c>
      <c r="C4" s="1">
        <v>25530.16</v>
      </c>
      <c r="D4" s="1">
        <v>25066.78</v>
      </c>
      <c r="E4" s="1">
        <v>25704.77</v>
      </c>
      <c r="F4" s="1">
        <v>24615.91</v>
      </c>
      <c r="G4" s="1">
        <v>25252.3</v>
      </c>
    </row>
    <row r="5" spans="1:7" x14ac:dyDescent="0.25">
      <c r="A5" s="1" t="s">
        <v>9</v>
      </c>
      <c r="B5" s="1">
        <v>1549.9</v>
      </c>
      <c r="C5" s="1">
        <v>1485.03</v>
      </c>
      <c r="D5" s="1">
        <v>1414.69</v>
      </c>
      <c r="E5" s="1">
        <v>1153.76</v>
      </c>
      <c r="F5" s="1">
        <v>332.88</v>
      </c>
      <c r="G5" s="1">
        <v>1384.72</v>
      </c>
    </row>
    <row r="6" spans="1:7" x14ac:dyDescent="0.25">
      <c r="A6" s="3" t="s">
        <v>10</v>
      </c>
      <c r="B6" s="3">
        <v>154.99</v>
      </c>
      <c r="C6" s="3">
        <v>150</v>
      </c>
      <c r="D6" s="3">
        <v>142.9</v>
      </c>
      <c r="E6" s="3">
        <v>116.54</v>
      </c>
      <c r="F6" s="3">
        <v>33.619999999999997</v>
      </c>
      <c r="G6" s="3">
        <v>141.30000000000001</v>
      </c>
    </row>
    <row r="7" spans="1:7" x14ac:dyDescent="0.25">
      <c r="A7" s="1" t="s">
        <v>11</v>
      </c>
      <c r="B7" s="1">
        <v>1460.37</v>
      </c>
      <c r="C7" s="1">
        <v>1434.32</v>
      </c>
      <c r="D7" s="1">
        <v>1382.93</v>
      </c>
      <c r="E7" s="1">
        <v>1116.69</v>
      </c>
      <c r="F7" s="1">
        <v>318.94</v>
      </c>
      <c r="G7" s="1">
        <v>1347.01</v>
      </c>
    </row>
    <row r="8" spans="1:7" x14ac:dyDescent="0.25">
      <c r="A8" s="1" t="s">
        <v>12</v>
      </c>
      <c r="B8" s="1">
        <v>146.04</v>
      </c>
      <c r="C8" s="1">
        <v>144.88</v>
      </c>
      <c r="D8" s="1">
        <v>139.69</v>
      </c>
      <c r="E8" s="1">
        <v>112.8</v>
      </c>
      <c r="F8" s="1">
        <v>32.22</v>
      </c>
      <c r="G8" s="1">
        <v>137.44999999999999</v>
      </c>
    </row>
    <row r="9" spans="1:7" x14ac:dyDescent="0.25">
      <c r="A9" s="1" t="s">
        <v>13</v>
      </c>
      <c r="B9" s="1">
        <v>1460.37</v>
      </c>
      <c r="C9" s="1">
        <v>1434.32</v>
      </c>
      <c r="D9" s="1">
        <v>1382.93</v>
      </c>
      <c r="E9" s="1">
        <v>1116.69</v>
      </c>
      <c r="F9" s="1">
        <v>257.63</v>
      </c>
      <c r="G9" s="1">
        <v>1347.01</v>
      </c>
    </row>
    <row r="10" spans="1:7" x14ac:dyDescent="0.25">
      <c r="A10" s="1" t="s">
        <v>14</v>
      </c>
      <c r="B10" s="1">
        <v>146.04</v>
      </c>
      <c r="C10" s="1">
        <v>144.88</v>
      </c>
      <c r="D10" s="1">
        <v>139.69</v>
      </c>
      <c r="E10" s="1">
        <v>112.8</v>
      </c>
      <c r="F10" s="1">
        <v>26.02</v>
      </c>
      <c r="G10" s="1">
        <v>137.44999999999999</v>
      </c>
    </row>
    <row r="11" spans="1:7" x14ac:dyDescent="0.25">
      <c r="A11" s="1" t="s">
        <v>15</v>
      </c>
      <c r="B11" s="1">
        <v>995.28</v>
      </c>
      <c r="C11" s="1">
        <v>908.09</v>
      </c>
      <c r="D11" s="1">
        <v>1130.3499999999999</v>
      </c>
      <c r="E11" s="1">
        <v>885.62</v>
      </c>
      <c r="F11" s="1">
        <v>216.76</v>
      </c>
      <c r="G11" s="1">
        <v>1062.58</v>
      </c>
    </row>
    <row r="12" spans="1:7" x14ac:dyDescent="0.25">
      <c r="A12" s="1" t="s">
        <v>16</v>
      </c>
      <c r="B12" s="1">
        <v>312.57</v>
      </c>
      <c r="C12" s="1">
        <v>306.82</v>
      </c>
      <c r="D12" s="1">
        <v>313.93</v>
      </c>
      <c r="E12" s="1">
        <v>309.23</v>
      </c>
      <c r="F12" s="1">
        <v>296.77</v>
      </c>
      <c r="G12" s="1">
        <v>324.82</v>
      </c>
    </row>
    <row r="13" spans="1:7" x14ac:dyDescent="0.25">
      <c r="A13" s="1" t="s">
        <v>17</v>
      </c>
      <c r="B13" s="1">
        <v>48.51</v>
      </c>
      <c r="C13" s="1">
        <v>46.99</v>
      </c>
      <c r="D13" s="1">
        <v>41.26</v>
      </c>
      <c r="E13" s="1">
        <v>46.11</v>
      </c>
      <c r="F13" s="1">
        <v>63.77</v>
      </c>
      <c r="G13" s="1">
        <v>46.95</v>
      </c>
    </row>
    <row r="14" spans="1:7" x14ac:dyDescent="0.25">
      <c r="A14" s="1" t="s">
        <v>18</v>
      </c>
      <c r="B14" s="1">
        <v>96.39</v>
      </c>
      <c r="C14" s="1">
        <v>93.76</v>
      </c>
      <c r="D14" s="1">
        <v>82.56</v>
      </c>
      <c r="E14" s="1">
        <v>79.989999999999995</v>
      </c>
      <c r="F14" s="1">
        <v>84.84</v>
      </c>
      <c r="G14" s="1">
        <v>92.28</v>
      </c>
    </row>
    <row r="15" spans="1:7" x14ac:dyDescent="0.25">
      <c r="A15" s="1" t="s">
        <v>19</v>
      </c>
      <c r="B15" s="1">
        <v>7</v>
      </c>
      <c r="C15" s="1">
        <v>8</v>
      </c>
      <c r="D15" s="1">
        <v>5</v>
      </c>
      <c r="E15" s="1">
        <v>5</v>
      </c>
      <c r="F15" s="1">
        <v>2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1460.37</v>
      </c>
      <c r="C17" s="1">
        <v>1434.32</v>
      </c>
      <c r="D17" s="1">
        <v>1382.93</v>
      </c>
      <c r="E17" s="1">
        <v>1116.69</v>
      </c>
      <c r="F17" s="1">
        <v>288.29000000000002</v>
      </c>
      <c r="G17" s="1">
        <v>1347.01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30.65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4.8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5.2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48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52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151.05000000000001</v>
      </c>
      <c r="C33" s="3">
        <v>147.46</v>
      </c>
      <c r="D33" s="3">
        <v>142.85</v>
      </c>
      <c r="E33" s="3">
        <v>116.88</v>
      </c>
      <c r="F33" s="3">
        <v>28.59</v>
      </c>
      <c r="G33" s="3">
        <v>139.91</v>
      </c>
    </row>
    <row r="35" spans="1:7" x14ac:dyDescent="0.25">
      <c r="A35" s="3" t="s">
        <v>36</v>
      </c>
      <c r="B35" s="3"/>
      <c r="C35" s="3"/>
      <c r="D35" s="3">
        <f>D33-C33</f>
        <v>-4.6100000000000136</v>
      </c>
      <c r="E35" s="3"/>
      <c r="F35" s="3">
        <f>F33-E33</f>
        <v>-88.289999999999992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-25.97</v>
      </c>
      <c r="F37" s="3"/>
      <c r="G37" s="3">
        <f>G33-F33</f>
        <v>111.32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20E1-49EF-4C29-AED1-9518B25DCF35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566.28</v>
      </c>
      <c r="C2" s="1">
        <v>571.14</v>
      </c>
      <c r="D2" s="1">
        <v>587.38</v>
      </c>
      <c r="E2" s="1">
        <v>600.6</v>
      </c>
      <c r="F2" s="1">
        <v>606.29</v>
      </c>
      <c r="G2" s="1">
        <v>569.76</v>
      </c>
    </row>
    <row r="3" spans="1:7" x14ac:dyDescent="0.25">
      <c r="A3" s="1" t="s">
        <v>7</v>
      </c>
      <c r="B3" s="1">
        <v>39.22</v>
      </c>
      <c r="C3" s="1">
        <v>42.26</v>
      </c>
      <c r="D3" s="1">
        <v>44.43</v>
      </c>
      <c r="E3" s="1">
        <v>43.96</v>
      </c>
      <c r="F3" s="1">
        <v>44.29</v>
      </c>
      <c r="G3" s="1">
        <v>43.74</v>
      </c>
    </row>
    <row r="4" spans="1:7" x14ac:dyDescent="0.25">
      <c r="A4" s="1" t="s">
        <v>8</v>
      </c>
      <c r="B4" s="1">
        <v>22576.19</v>
      </c>
      <c r="C4" s="1">
        <v>24555.46</v>
      </c>
      <c r="D4" s="1">
        <v>26510.94</v>
      </c>
      <c r="E4" s="1">
        <v>26834.12</v>
      </c>
      <c r="F4" s="1">
        <v>27317.119999999999</v>
      </c>
      <c r="G4" s="1">
        <v>25340.6</v>
      </c>
    </row>
    <row r="5" spans="1:7" x14ac:dyDescent="0.25">
      <c r="A5" s="1" t="s">
        <v>9</v>
      </c>
      <c r="B5" s="1">
        <v>977.56</v>
      </c>
      <c r="C5" s="1">
        <v>1069.07</v>
      </c>
      <c r="D5" s="1">
        <v>962.59</v>
      </c>
      <c r="E5" s="1">
        <v>378.48</v>
      </c>
      <c r="F5" s="1">
        <v>147.85</v>
      </c>
      <c r="G5" s="1">
        <v>445</v>
      </c>
    </row>
    <row r="6" spans="1:7" x14ac:dyDescent="0.25">
      <c r="A6" s="3" t="s">
        <v>10</v>
      </c>
      <c r="B6" s="3">
        <v>97.76</v>
      </c>
      <c r="C6" s="3">
        <v>107.99</v>
      </c>
      <c r="D6" s="3">
        <v>97.23</v>
      </c>
      <c r="E6" s="3">
        <v>38.229999999999997</v>
      </c>
      <c r="F6" s="3">
        <v>14.93</v>
      </c>
      <c r="G6" s="3">
        <v>45.41</v>
      </c>
    </row>
    <row r="7" spans="1:7" x14ac:dyDescent="0.25">
      <c r="A7" s="1" t="s">
        <v>11</v>
      </c>
      <c r="B7" s="1">
        <v>921.29</v>
      </c>
      <c r="C7" s="1">
        <v>1007.97</v>
      </c>
      <c r="D7" s="1">
        <v>944.37</v>
      </c>
      <c r="E7" s="1">
        <v>374.81</v>
      </c>
      <c r="F7" s="1">
        <v>142.61000000000001</v>
      </c>
      <c r="G7" s="1">
        <v>433.32</v>
      </c>
    </row>
    <row r="8" spans="1:7" x14ac:dyDescent="0.25">
      <c r="A8" s="1" t="s">
        <v>12</v>
      </c>
      <c r="B8" s="1">
        <v>92.13</v>
      </c>
      <c r="C8" s="1">
        <v>101.82</v>
      </c>
      <c r="D8" s="1">
        <v>95.39</v>
      </c>
      <c r="E8" s="1">
        <v>37.86</v>
      </c>
      <c r="F8" s="1">
        <v>14.4</v>
      </c>
      <c r="G8" s="1">
        <v>44.22</v>
      </c>
    </row>
    <row r="9" spans="1:7" x14ac:dyDescent="0.25">
      <c r="A9" s="1" t="s">
        <v>13</v>
      </c>
      <c r="B9" s="1">
        <v>921.2</v>
      </c>
      <c r="C9" s="1">
        <v>1007.97</v>
      </c>
      <c r="D9" s="1">
        <v>935.51</v>
      </c>
      <c r="E9" s="1">
        <v>366.29</v>
      </c>
      <c r="F9" s="1">
        <v>40.090000000000003</v>
      </c>
      <c r="G9" s="1">
        <v>413.7</v>
      </c>
    </row>
    <row r="10" spans="1:7" x14ac:dyDescent="0.25">
      <c r="A10" s="1" t="s">
        <v>14</v>
      </c>
      <c r="B10" s="1">
        <v>92.12</v>
      </c>
      <c r="C10" s="1">
        <v>101.82</v>
      </c>
      <c r="D10" s="1">
        <v>94.5</v>
      </c>
      <c r="E10" s="1">
        <v>37</v>
      </c>
      <c r="F10" s="1">
        <v>4.05</v>
      </c>
      <c r="G10" s="1">
        <v>42.21</v>
      </c>
    </row>
    <row r="11" spans="1:7" x14ac:dyDescent="0.25">
      <c r="A11" s="1" t="s">
        <v>15</v>
      </c>
      <c r="B11" s="1">
        <v>802.9</v>
      </c>
      <c r="C11" s="1">
        <v>757.49</v>
      </c>
      <c r="D11" s="1">
        <v>767.62</v>
      </c>
      <c r="E11" s="1">
        <v>344.58</v>
      </c>
      <c r="F11" s="1">
        <v>32.83</v>
      </c>
      <c r="G11" s="1">
        <v>356.47</v>
      </c>
    </row>
    <row r="12" spans="1:7" x14ac:dyDescent="0.25">
      <c r="A12" s="1" t="s">
        <v>16</v>
      </c>
      <c r="B12" s="1">
        <v>289.74</v>
      </c>
      <c r="C12" s="1">
        <v>302.95999999999998</v>
      </c>
      <c r="D12" s="1">
        <v>308.27999999999997</v>
      </c>
      <c r="E12" s="1">
        <v>343.05</v>
      </c>
      <c r="F12" s="1">
        <v>313.45999999999998</v>
      </c>
      <c r="G12" s="1">
        <v>310.44</v>
      </c>
    </row>
    <row r="13" spans="1:7" x14ac:dyDescent="0.25">
      <c r="A13" s="1" t="s">
        <v>17</v>
      </c>
      <c r="B13" s="1">
        <v>37.51</v>
      </c>
      <c r="C13" s="1">
        <v>43.16</v>
      </c>
      <c r="D13" s="1">
        <v>34.630000000000003</v>
      </c>
      <c r="E13" s="1">
        <v>13.53</v>
      </c>
      <c r="F13" s="1">
        <v>26.97</v>
      </c>
      <c r="G13" s="1">
        <v>21.92</v>
      </c>
    </row>
    <row r="14" spans="1:7" x14ac:dyDescent="0.25">
      <c r="A14" s="1" t="s">
        <v>18</v>
      </c>
      <c r="B14" s="1">
        <v>68.91</v>
      </c>
      <c r="C14" s="1">
        <v>79.56</v>
      </c>
      <c r="D14" s="1">
        <v>92.68</v>
      </c>
      <c r="E14" s="1">
        <v>31.25</v>
      </c>
      <c r="F14" s="1">
        <v>32.14</v>
      </c>
      <c r="G14" s="1">
        <v>65.86</v>
      </c>
    </row>
    <row r="15" spans="1:7" x14ac:dyDescent="0.25">
      <c r="A15" s="1" t="s">
        <v>19</v>
      </c>
      <c r="B15" s="1">
        <v>5</v>
      </c>
      <c r="C15" s="1">
        <v>5</v>
      </c>
      <c r="D15" s="1">
        <v>4</v>
      </c>
      <c r="E15" s="1">
        <v>0</v>
      </c>
      <c r="F15" s="1">
        <v>0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921.25</v>
      </c>
      <c r="C17" s="1">
        <v>1007.97</v>
      </c>
      <c r="D17" s="1">
        <v>939.94</v>
      </c>
      <c r="E17" s="1">
        <v>370.55</v>
      </c>
      <c r="F17" s="1">
        <v>91.35</v>
      </c>
      <c r="G17" s="1">
        <v>423.51</v>
      </c>
    </row>
    <row r="18" spans="1:7" x14ac:dyDescent="0.25">
      <c r="A18" s="1" t="s">
        <v>22</v>
      </c>
      <c r="B18" s="1">
        <v>0.05</v>
      </c>
      <c r="C18" s="1">
        <v>0</v>
      </c>
      <c r="D18" s="1">
        <v>4.43</v>
      </c>
      <c r="E18" s="1">
        <v>4.26</v>
      </c>
      <c r="F18" s="1">
        <v>51.26</v>
      </c>
      <c r="G18" s="1">
        <v>9.81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3.4</v>
      </c>
      <c r="F25" s="1">
        <v>10</v>
      </c>
      <c r="G25" s="1">
        <v>4.8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6.6</v>
      </c>
      <c r="F26" s="1">
        <v>0</v>
      </c>
      <c r="G26" s="1">
        <v>5.0999999999999996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34</v>
      </c>
      <c r="F30" s="3">
        <f t="shared" si="2"/>
        <v>100</v>
      </c>
      <c r="G30" s="3">
        <f t="shared" si="2"/>
        <v>48.484848484848492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65.999999999999986</v>
      </c>
      <c r="F31" s="3">
        <f t="shared" si="3"/>
        <v>0</v>
      </c>
      <c r="G31" s="3">
        <f t="shared" si="3"/>
        <v>51.515151515151516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94.34</v>
      </c>
      <c r="C33" s="3">
        <v>106.19</v>
      </c>
      <c r="D33" s="3">
        <v>95.29</v>
      </c>
      <c r="E33" s="3">
        <v>37.69</v>
      </c>
      <c r="F33" s="3">
        <v>3.6</v>
      </c>
      <c r="G33" s="3">
        <v>42.95</v>
      </c>
    </row>
    <row r="35" spans="1:7" x14ac:dyDescent="0.25">
      <c r="A35" s="3" t="s">
        <v>36</v>
      </c>
      <c r="B35" s="3"/>
      <c r="C35" s="3"/>
      <c r="D35" s="3">
        <f>D33-C33</f>
        <v>-10.899999999999991</v>
      </c>
      <c r="E35" s="3"/>
      <c r="F35" s="3">
        <f>F33-E33</f>
        <v>-34.089999999999996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-57.600000000000009</v>
      </c>
      <c r="F37" s="3"/>
      <c r="G37" s="3">
        <f>G33-F33</f>
        <v>39.35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B2B7-DF94-44A1-B559-55EB0EC8A557}">
  <dimension ref="A1:G37"/>
  <sheetViews>
    <sheetView topLeftCell="A10" workbookViewId="0">
      <selection activeCell="L23" sqref="L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550.64</v>
      </c>
      <c r="C2" s="1">
        <v>534.27</v>
      </c>
      <c r="D2" s="1">
        <v>529.12</v>
      </c>
      <c r="E2" s="1">
        <v>522.99</v>
      </c>
      <c r="F2" s="1">
        <v>530.97</v>
      </c>
      <c r="G2" s="1">
        <v>532.57000000000005</v>
      </c>
    </row>
    <row r="3" spans="1:7" x14ac:dyDescent="0.25">
      <c r="A3" s="1" t="s">
        <v>7</v>
      </c>
      <c r="B3" s="1">
        <v>43.05</v>
      </c>
      <c r="C3" s="1">
        <v>42.56</v>
      </c>
      <c r="D3" s="1">
        <v>39.46</v>
      </c>
      <c r="E3" s="1">
        <v>37.29</v>
      </c>
      <c r="F3" s="1">
        <v>35.56</v>
      </c>
      <c r="G3" s="1">
        <v>44.36</v>
      </c>
    </row>
    <row r="4" spans="1:7" x14ac:dyDescent="0.25">
      <c r="A4" s="1" t="s">
        <v>8</v>
      </c>
      <c r="B4" s="1">
        <v>24099.61</v>
      </c>
      <c r="C4" s="1">
        <v>23121.64</v>
      </c>
      <c r="D4" s="1">
        <v>21221.94</v>
      </c>
      <c r="E4" s="1">
        <v>19822.68</v>
      </c>
      <c r="F4" s="1">
        <v>19184.95</v>
      </c>
      <c r="G4" s="1">
        <v>24038.68</v>
      </c>
    </row>
    <row r="5" spans="1:7" x14ac:dyDescent="0.25">
      <c r="A5" s="1" t="s">
        <v>9</v>
      </c>
      <c r="B5" s="1">
        <v>821.94</v>
      </c>
      <c r="C5" s="1">
        <v>661.21</v>
      </c>
      <c r="D5" s="1">
        <v>740.52</v>
      </c>
      <c r="E5" s="1">
        <v>174.34</v>
      </c>
      <c r="F5" s="1">
        <v>295.63</v>
      </c>
      <c r="G5" s="1">
        <v>593.57000000000005</v>
      </c>
    </row>
    <row r="6" spans="1:7" x14ac:dyDescent="0.25">
      <c r="A6" s="3" t="s">
        <v>10</v>
      </c>
      <c r="B6" s="3">
        <v>82.19</v>
      </c>
      <c r="C6" s="3">
        <v>66.790000000000006</v>
      </c>
      <c r="D6" s="3">
        <v>74.8</v>
      </c>
      <c r="E6" s="3">
        <v>17.61</v>
      </c>
      <c r="F6" s="3">
        <v>29.86</v>
      </c>
      <c r="G6" s="3">
        <v>60.57</v>
      </c>
    </row>
    <row r="7" spans="1:7" x14ac:dyDescent="0.25">
      <c r="A7" s="1" t="s">
        <v>11</v>
      </c>
      <c r="B7" s="1">
        <v>805.06</v>
      </c>
      <c r="C7" s="1">
        <v>646.72</v>
      </c>
      <c r="D7" s="1">
        <v>730.73</v>
      </c>
      <c r="E7" s="1">
        <v>164.59</v>
      </c>
      <c r="F7" s="1">
        <v>287.3</v>
      </c>
      <c r="G7" s="1">
        <v>548.89</v>
      </c>
    </row>
    <row r="8" spans="1:7" x14ac:dyDescent="0.25">
      <c r="A8" s="1" t="s">
        <v>12</v>
      </c>
      <c r="B8" s="1">
        <v>80.510000000000005</v>
      </c>
      <c r="C8" s="1">
        <v>65.33</v>
      </c>
      <c r="D8" s="1">
        <v>73.81</v>
      </c>
      <c r="E8" s="1">
        <v>16.63</v>
      </c>
      <c r="F8" s="1">
        <v>29.02</v>
      </c>
      <c r="G8" s="1">
        <v>56.01</v>
      </c>
    </row>
    <row r="9" spans="1:7" x14ac:dyDescent="0.25">
      <c r="A9" s="1" t="s">
        <v>13</v>
      </c>
      <c r="B9" s="1">
        <v>794.13</v>
      </c>
      <c r="C9" s="1">
        <v>643.46</v>
      </c>
      <c r="D9" s="1">
        <v>730.73</v>
      </c>
      <c r="E9" s="1">
        <v>86.05</v>
      </c>
      <c r="F9" s="1">
        <v>-106</v>
      </c>
      <c r="G9" s="1">
        <v>478.81</v>
      </c>
    </row>
    <row r="10" spans="1:7" x14ac:dyDescent="0.25">
      <c r="A10" s="1" t="s">
        <v>14</v>
      </c>
      <c r="B10" s="1">
        <v>79.41</v>
      </c>
      <c r="C10" s="1">
        <v>65</v>
      </c>
      <c r="D10" s="1">
        <v>73.81</v>
      </c>
      <c r="E10" s="1">
        <v>8.69</v>
      </c>
      <c r="F10" s="1">
        <v>-10.71</v>
      </c>
      <c r="G10" s="1">
        <v>48.86</v>
      </c>
    </row>
    <row r="11" spans="1:7" x14ac:dyDescent="0.25">
      <c r="A11" s="1" t="s">
        <v>15</v>
      </c>
      <c r="B11" s="1">
        <v>570.51</v>
      </c>
      <c r="C11" s="1">
        <v>512.4</v>
      </c>
      <c r="D11" s="1">
        <v>608.4</v>
      </c>
      <c r="E11" s="1">
        <v>72.260000000000005</v>
      </c>
      <c r="F11" s="1">
        <v>30.92</v>
      </c>
      <c r="G11" s="1">
        <v>437.65</v>
      </c>
    </row>
    <row r="12" spans="1:7" x14ac:dyDescent="0.25">
      <c r="A12" s="1" t="s">
        <v>16</v>
      </c>
      <c r="B12" s="1">
        <v>303.02999999999997</v>
      </c>
      <c r="C12" s="1">
        <v>283.33</v>
      </c>
      <c r="D12" s="1">
        <v>292.63</v>
      </c>
      <c r="E12" s="1">
        <v>300.02999999999997</v>
      </c>
      <c r="F12" s="1">
        <v>297.07</v>
      </c>
      <c r="G12" s="1">
        <v>215.85</v>
      </c>
    </row>
    <row r="13" spans="1:7" x14ac:dyDescent="0.25">
      <c r="A13" s="1" t="s">
        <v>17</v>
      </c>
      <c r="B13" s="1">
        <v>46.05</v>
      </c>
      <c r="C13" s="1">
        <v>36.229999999999997</v>
      </c>
      <c r="D13" s="1">
        <v>31.16</v>
      </c>
      <c r="E13" s="1">
        <v>17.36</v>
      </c>
      <c r="F13" s="1">
        <v>11.86</v>
      </c>
      <c r="G13" s="1">
        <v>35.74</v>
      </c>
    </row>
    <row r="14" spans="1:7" x14ac:dyDescent="0.25">
      <c r="A14" s="1" t="s">
        <v>18</v>
      </c>
      <c r="B14" s="1">
        <v>76.28</v>
      </c>
      <c r="C14" s="1">
        <v>68.94</v>
      </c>
      <c r="D14" s="1">
        <v>63.32</v>
      </c>
      <c r="E14" s="1">
        <v>29.89</v>
      </c>
      <c r="F14" s="1">
        <v>27.23</v>
      </c>
      <c r="G14" s="1">
        <v>101.63</v>
      </c>
    </row>
    <row r="15" spans="1:7" x14ac:dyDescent="0.25">
      <c r="A15" s="1" t="s">
        <v>19</v>
      </c>
      <c r="B15" s="1">
        <v>5</v>
      </c>
      <c r="C15" s="1">
        <v>4</v>
      </c>
      <c r="D15" s="1">
        <v>4</v>
      </c>
      <c r="E15" s="1">
        <v>0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799.59</v>
      </c>
      <c r="C17" s="1">
        <v>645.09</v>
      </c>
      <c r="D17" s="1">
        <v>730.73</v>
      </c>
      <c r="E17" s="1">
        <v>125.32</v>
      </c>
      <c r="F17" s="1">
        <v>90.65</v>
      </c>
      <c r="G17" s="1">
        <v>513.85</v>
      </c>
    </row>
    <row r="18" spans="1:7" x14ac:dyDescent="0.25">
      <c r="A18" s="1" t="s">
        <v>22</v>
      </c>
      <c r="B18" s="1">
        <v>5.47</v>
      </c>
      <c r="C18" s="1">
        <v>1.63</v>
      </c>
      <c r="D18" s="1">
        <v>0</v>
      </c>
      <c r="E18" s="1">
        <v>39.270000000000003</v>
      </c>
      <c r="F18" s="1">
        <v>196.65</v>
      </c>
      <c r="G18" s="1">
        <v>35.04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1.5</v>
      </c>
      <c r="F20" s="1">
        <v>4.7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8.5</v>
      </c>
      <c r="F21" s="1">
        <v>5.3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8.8000000000000007</v>
      </c>
      <c r="G25" s="1">
        <v>1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0</v>
      </c>
      <c r="G26" s="1">
        <v>8.9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88.000000000000014</v>
      </c>
      <c r="G30" s="3">
        <f t="shared" si="2"/>
        <v>10.1010101010101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0</v>
      </c>
      <c r="G31" s="3">
        <f t="shared" si="3"/>
        <v>89.898989898989896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77.86</v>
      </c>
      <c r="C33" s="3">
        <v>67.13</v>
      </c>
      <c r="D33" s="3">
        <v>73.78</v>
      </c>
      <c r="E33" s="3">
        <v>6.89</v>
      </c>
      <c r="F33" s="3">
        <v>-3.39</v>
      </c>
      <c r="G33" s="3">
        <v>51.75</v>
      </c>
    </row>
    <row r="35" spans="1:7" x14ac:dyDescent="0.25">
      <c r="A35" s="3" t="s">
        <v>36</v>
      </c>
      <c r="B35" s="3"/>
      <c r="C35" s="3"/>
      <c r="D35" s="3">
        <f>D33-C33</f>
        <v>6.6500000000000057</v>
      </c>
      <c r="E35" s="3"/>
      <c r="F35" s="3">
        <f>F33-E33</f>
        <v>-10.28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-66.89</v>
      </c>
      <c r="F37" s="3"/>
      <c r="G37" s="3">
        <f>G33-F33</f>
        <v>55.14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FF53-0880-4ABD-9C91-2C78E881532E}">
  <sheetPr codeName="Sheet2"/>
  <dimension ref="A1:G37"/>
  <sheetViews>
    <sheetView tabSelected="1" workbookViewId="0">
      <selection activeCell="L24" sqref="L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240115B001.4</vt:lpstr>
      <vt:lpstr>240115B001.5</vt:lpstr>
      <vt:lpstr>240115B002.2</vt:lpstr>
      <vt:lpstr>240115B002.3</vt:lpstr>
      <vt:lpstr>240115B002.4</vt:lpstr>
      <vt:lpstr>240115B002.5</vt:lpstr>
      <vt:lpstr>240115B003.1</vt:lpstr>
      <vt:lpstr>240115B003.2</vt:lpstr>
      <vt:lpstr>240115B003.3</vt:lpstr>
      <vt:lpstr>240115B003.4</vt:lpstr>
      <vt:lpstr>240115B003.5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2024-01-24T21:53:50Z</dcterms:created>
  <dcterms:modified xsi:type="dcterms:W3CDTF">2024-01-25T20:53:01Z</dcterms:modified>
</cp:coreProperties>
</file>