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0C415D21-A000-42C7-9072-30ECFC8E89D3}" xr6:coauthVersionLast="36" xr6:coauthVersionMax="36" xr10:uidLastSave="{00000000-0000-0000-0000-000000000000}"/>
  <bookViews>
    <workbookView xWindow="0" yWindow="0" windowWidth="24225" windowHeight="10995" firstSheet="2" activeTab="7" xr2:uid="{A9CFDF33-81BF-4E7F-BD22-CFDCC7A1C0C9}"/>
  </bookViews>
  <sheets>
    <sheet name="240203B001.1" sheetId="2" r:id="rId1"/>
    <sheet name="240203B001.2" sheetId="3" r:id="rId2"/>
    <sheet name="240203B001.4" sheetId="4" r:id="rId3"/>
    <sheet name="240203B001.5" sheetId="5" r:id="rId4"/>
    <sheet name="240203B002.1" sheetId="6" r:id="rId5"/>
    <sheet name="240203B002.2" sheetId="7" r:id="rId6"/>
    <sheet name="240203B002.3" sheetId="8" r:id="rId7"/>
    <sheet name="240203B002.4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9" l="1"/>
  <c r="G37" i="9" l="1"/>
  <c r="E37" i="9"/>
  <c r="C37" i="9"/>
  <c r="F35" i="9"/>
  <c r="D35" i="9"/>
  <c r="E31" i="9"/>
  <c r="D31" i="9"/>
  <c r="G30" i="9"/>
  <c r="E30" i="9"/>
  <c r="D30" i="9"/>
  <c r="C30" i="9"/>
  <c r="B30" i="9"/>
  <c r="E29" i="9"/>
  <c r="G28" i="9"/>
  <c r="G29" i="9" s="1"/>
  <c r="F28" i="9"/>
  <c r="F31" i="9" s="1"/>
  <c r="E28" i="9"/>
  <c r="D28" i="9"/>
  <c r="D29" i="9" s="1"/>
  <c r="C28" i="9"/>
  <c r="C29" i="9" s="1"/>
  <c r="B28" i="9"/>
  <c r="B29" i="9" s="1"/>
  <c r="B29" i="8"/>
  <c r="G37" i="8"/>
  <c r="E37" i="8"/>
  <c r="C37" i="8"/>
  <c r="F35" i="8"/>
  <c r="D35" i="8"/>
  <c r="G28" i="8"/>
  <c r="G30" i="8" s="1"/>
  <c r="F28" i="8"/>
  <c r="F30" i="8" s="1"/>
  <c r="E28" i="8"/>
  <c r="E30" i="8" s="1"/>
  <c r="D28" i="8"/>
  <c r="D29" i="8" s="1"/>
  <c r="C28" i="8"/>
  <c r="C29" i="8" s="1"/>
  <c r="B28" i="8"/>
  <c r="B31" i="8" s="1"/>
  <c r="G37" i="7"/>
  <c r="E37" i="7"/>
  <c r="C37" i="7"/>
  <c r="F35" i="7"/>
  <c r="D35" i="7"/>
  <c r="D30" i="7"/>
  <c r="C30" i="7"/>
  <c r="B30" i="7"/>
  <c r="D29" i="7"/>
  <c r="G28" i="7"/>
  <c r="G31" i="7" s="1"/>
  <c r="F28" i="7"/>
  <c r="F31" i="7" s="1"/>
  <c r="E28" i="7"/>
  <c r="E30" i="7" s="1"/>
  <c r="D28" i="7"/>
  <c r="D31" i="7" s="1"/>
  <c r="C28" i="7"/>
  <c r="C29" i="7" s="1"/>
  <c r="B28" i="7"/>
  <c r="B29" i="7" s="1"/>
  <c r="G37" i="6"/>
  <c r="E37" i="6"/>
  <c r="C37" i="6"/>
  <c r="F35" i="6"/>
  <c r="D35" i="6"/>
  <c r="F31" i="6"/>
  <c r="E31" i="6"/>
  <c r="D31" i="6"/>
  <c r="B31" i="6"/>
  <c r="G30" i="6"/>
  <c r="F30" i="6"/>
  <c r="E30" i="6"/>
  <c r="D30" i="6"/>
  <c r="C30" i="6"/>
  <c r="B30" i="6"/>
  <c r="G29" i="6"/>
  <c r="F29" i="6"/>
  <c r="E29" i="6"/>
  <c r="D29" i="6"/>
  <c r="G28" i="6"/>
  <c r="G31" i="6" s="1"/>
  <c r="F28" i="6"/>
  <c r="E28" i="6"/>
  <c r="D28" i="6"/>
  <c r="C28" i="6"/>
  <c r="C29" i="6" s="1"/>
  <c r="B28" i="6"/>
  <c r="B29" i="6" s="1"/>
  <c r="G37" i="5"/>
  <c r="E37" i="5"/>
  <c r="C37" i="5"/>
  <c r="F35" i="5"/>
  <c r="D35" i="5"/>
  <c r="G28" i="5"/>
  <c r="G31" i="5" s="1"/>
  <c r="F28" i="5"/>
  <c r="F29" i="5" s="1"/>
  <c r="E28" i="5"/>
  <c r="E29" i="5" s="1"/>
  <c r="D28" i="5"/>
  <c r="D30" i="5" s="1"/>
  <c r="C28" i="5"/>
  <c r="C29" i="5" s="1"/>
  <c r="B28" i="5"/>
  <c r="B30" i="5" s="1"/>
  <c r="F29" i="9" l="1"/>
  <c r="G31" i="9"/>
  <c r="F30" i="9"/>
  <c r="C31" i="9"/>
  <c r="E31" i="8"/>
  <c r="F29" i="8"/>
  <c r="G31" i="8"/>
  <c r="B30" i="8"/>
  <c r="F31" i="8"/>
  <c r="E29" i="8"/>
  <c r="G29" i="8"/>
  <c r="C30" i="8"/>
  <c r="D30" i="8"/>
  <c r="C31" i="8"/>
  <c r="D31" i="8"/>
  <c r="F30" i="7"/>
  <c r="E29" i="7"/>
  <c r="G29" i="7"/>
  <c r="G30" i="7"/>
  <c r="B31" i="7"/>
  <c r="E31" i="7"/>
  <c r="F29" i="7"/>
  <c r="C31" i="7"/>
  <c r="C31" i="6"/>
  <c r="F30" i="5"/>
  <c r="B31" i="5"/>
  <c r="F31" i="5"/>
  <c r="C30" i="5"/>
  <c r="E30" i="5"/>
  <c r="G30" i="5"/>
  <c r="C31" i="5"/>
  <c r="D31" i="5"/>
  <c r="E31" i="5"/>
  <c r="B29" i="5"/>
  <c r="D29" i="5"/>
  <c r="G29" i="5"/>
  <c r="G37" i="4"/>
  <c r="E37" i="4"/>
  <c r="C37" i="4"/>
  <c r="F35" i="4"/>
  <c r="D35" i="4"/>
  <c r="D31" i="4"/>
  <c r="C31" i="4"/>
  <c r="D30" i="4"/>
  <c r="C30" i="4"/>
  <c r="B30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31" i="3" s="1"/>
  <c r="F28" i="3"/>
  <c r="F31" i="3" s="1"/>
  <c r="E28" i="3"/>
  <c r="E31" i="3" s="1"/>
  <c r="D28" i="3"/>
  <c r="D31" i="3" s="1"/>
  <c r="C28" i="3"/>
  <c r="C31" i="3" s="1"/>
  <c r="B28" i="3"/>
  <c r="B31" i="3" s="1"/>
  <c r="G37" i="2"/>
  <c r="E37" i="2"/>
  <c r="C37" i="2"/>
  <c r="F35" i="2"/>
  <c r="D35" i="2"/>
  <c r="E31" i="2"/>
  <c r="B30" i="2"/>
  <c r="G28" i="2"/>
  <c r="G31" i="2" s="1"/>
  <c r="F28" i="2"/>
  <c r="F31" i="2" s="1"/>
  <c r="E28" i="2"/>
  <c r="E30" i="2" s="1"/>
  <c r="D28" i="2"/>
  <c r="D31" i="2" s="1"/>
  <c r="C28" i="2"/>
  <c r="C31" i="2" s="1"/>
  <c r="B28" i="2"/>
  <c r="B29" i="2" s="1"/>
  <c r="G37" i="1"/>
  <c r="E37" i="1"/>
  <c r="C37" i="1"/>
  <c r="F35" i="1"/>
  <c r="D35" i="1"/>
  <c r="G31" i="1"/>
  <c r="F31" i="1"/>
  <c r="E31" i="1"/>
  <c r="D31" i="1"/>
  <c r="G28" i="1"/>
  <c r="G30" i="1" s="1"/>
  <c r="F28" i="1"/>
  <c r="F30" i="1" s="1"/>
  <c r="E28" i="1"/>
  <c r="E30" i="1" s="1"/>
  <c r="D28" i="1"/>
  <c r="D30" i="1" s="1"/>
  <c r="C28" i="1"/>
  <c r="C31" i="1" s="1"/>
  <c r="B28" i="1"/>
  <c r="B31" i="1" s="1"/>
  <c r="E30" i="4" l="1"/>
  <c r="F29" i="4"/>
  <c r="G30" i="4"/>
  <c r="B31" i="4"/>
  <c r="E29" i="4"/>
  <c r="G29" i="4"/>
  <c r="F30" i="4"/>
  <c r="D29" i="3"/>
  <c r="B30" i="3"/>
  <c r="B29" i="3"/>
  <c r="C29" i="3"/>
  <c r="E29" i="3"/>
  <c r="G29" i="3"/>
  <c r="F29" i="3"/>
  <c r="C30" i="3"/>
  <c r="D30" i="3"/>
  <c r="E30" i="3"/>
  <c r="F30" i="3"/>
  <c r="G30" i="3"/>
  <c r="B31" i="2"/>
  <c r="C29" i="2"/>
  <c r="D29" i="2"/>
  <c r="E29" i="2"/>
  <c r="G29" i="2"/>
  <c r="C30" i="2"/>
  <c r="D30" i="2"/>
  <c r="F29" i="2"/>
  <c r="F30" i="2"/>
  <c r="G30" i="2"/>
  <c r="B29" i="1"/>
  <c r="E29" i="1"/>
  <c r="F29" i="1"/>
  <c r="D29" i="1"/>
  <c r="G29" i="1"/>
  <c r="B30" i="1"/>
  <c r="C29" i="1"/>
  <c r="C30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<sst xmlns="http://schemas.openxmlformats.org/spreadsheetml/2006/main" count="342" uniqueCount="37">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</sst>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3AC9-514E-4DB4-8DF9-7D6EBFBFAA66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595.21</v>
      </c>
      <c r="C2" s="1">
        <v>578.4</v>
      </c>
      <c r="D2" s="1">
        <v>572.44000000000005</v>
      </c>
      <c r="E2" s="1">
        <v>577.34</v>
      </c>
      <c r="F2" s="1">
        <v>570.36</v>
      </c>
      <c r="G2" s="1">
        <v>541.91999999999996</v>
      </c>
    </row>
    <row r="3" spans="1:7" x14ac:dyDescent="0.25">
      <c r="A3" s="1" t="s">
        <v>7</v>
      </c>
      <c r="B3" s="1">
        <v>48.17</v>
      </c>
      <c r="C3" s="1">
        <v>44.49</v>
      </c>
      <c r="D3" s="1">
        <v>46.16</v>
      </c>
      <c r="E3" s="1">
        <v>44.49</v>
      </c>
      <c r="F3" s="1">
        <v>41.69</v>
      </c>
      <c r="G3" s="1">
        <v>51.32</v>
      </c>
    </row>
    <row r="4" spans="1:7" x14ac:dyDescent="0.25">
      <c r="A4" s="1" t="s">
        <v>8</v>
      </c>
      <c r="B4" s="1">
        <v>29155.49</v>
      </c>
      <c r="C4" s="1">
        <v>26165.279999999999</v>
      </c>
      <c r="D4" s="1">
        <v>26922.63</v>
      </c>
      <c r="E4" s="1">
        <v>26113.98</v>
      </c>
      <c r="F4" s="1">
        <v>24173.89</v>
      </c>
      <c r="G4" s="1">
        <v>28134.38</v>
      </c>
    </row>
    <row r="5" spans="1:7" x14ac:dyDescent="0.25">
      <c r="A5" s="1" t="s">
        <v>9</v>
      </c>
      <c r="B5" s="1">
        <v>1451.28</v>
      </c>
      <c r="C5" s="1">
        <v>1138.98</v>
      </c>
      <c r="D5" s="1">
        <v>1321.56</v>
      </c>
      <c r="E5" s="1">
        <v>1117.8699999999999</v>
      </c>
      <c r="F5" s="1">
        <v>342.01</v>
      </c>
      <c r="G5" s="1">
        <v>858.99</v>
      </c>
    </row>
    <row r="6" spans="1:7" x14ac:dyDescent="0.25">
      <c r="A6" s="3" t="s">
        <v>10</v>
      </c>
      <c r="B6" s="3">
        <v>145.13</v>
      </c>
      <c r="C6" s="3">
        <v>115.05</v>
      </c>
      <c r="D6" s="3">
        <v>133.49</v>
      </c>
      <c r="E6" s="3">
        <v>112.92</v>
      </c>
      <c r="F6" s="3">
        <v>34.549999999999997</v>
      </c>
      <c r="G6" s="3">
        <v>87.65</v>
      </c>
    </row>
    <row r="7" spans="1:7" x14ac:dyDescent="0.25">
      <c r="A7" s="1" t="s">
        <v>11</v>
      </c>
      <c r="B7" s="1">
        <v>1413</v>
      </c>
      <c r="C7" s="1">
        <v>1103.76</v>
      </c>
      <c r="D7" s="1">
        <v>1280.47</v>
      </c>
      <c r="E7" s="1">
        <v>1098.99</v>
      </c>
      <c r="F7" s="1">
        <v>334.51</v>
      </c>
      <c r="G7" s="1">
        <v>795.97</v>
      </c>
    </row>
    <row r="8" spans="1:7" x14ac:dyDescent="0.25">
      <c r="A8" s="1" t="s">
        <v>12</v>
      </c>
      <c r="B8" s="1">
        <v>141.30000000000001</v>
      </c>
      <c r="C8" s="1">
        <v>111.49</v>
      </c>
      <c r="D8" s="1">
        <v>129.34</v>
      </c>
      <c r="E8" s="1">
        <v>111.01</v>
      </c>
      <c r="F8" s="1">
        <v>33.79</v>
      </c>
      <c r="G8" s="1">
        <v>81.22</v>
      </c>
    </row>
    <row r="9" spans="1:7" x14ac:dyDescent="0.25">
      <c r="A9" s="1" t="s">
        <v>13</v>
      </c>
      <c r="B9" s="1">
        <v>1413</v>
      </c>
      <c r="C9" s="1">
        <v>1103.76</v>
      </c>
      <c r="D9" s="1">
        <v>1280.47</v>
      </c>
      <c r="E9" s="1">
        <v>1096.6199999999999</v>
      </c>
      <c r="F9" s="1">
        <v>175.8</v>
      </c>
      <c r="G9" s="1">
        <v>740.15</v>
      </c>
    </row>
    <row r="10" spans="1:7" x14ac:dyDescent="0.25">
      <c r="A10" s="1" t="s">
        <v>14</v>
      </c>
      <c r="B10" s="1">
        <v>141.30000000000001</v>
      </c>
      <c r="C10" s="1">
        <v>111.49</v>
      </c>
      <c r="D10" s="1">
        <v>129.34</v>
      </c>
      <c r="E10" s="1">
        <v>110.77</v>
      </c>
      <c r="F10" s="1">
        <v>17.760000000000002</v>
      </c>
      <c r="G10" s="1">
        <v>75.53</v>
      </c>
    </row>
    <row r="11" spans="1:7" x14ac:dyDescent="0.25">
      <c r="A11" s="1" t="s">
        <v>15</v>
      </c>
      <c r="B11" s="1">
        <v>948.57</v>
      </c>
      <c r="C11" s="1">
        <v>850.45</v>
      </c>
      <c r="D11" s="1">
        <v>723.35</v>
      </c>
      <c r="E11" s="1">
        <v>935.29</v>
      </c>
      <c r="F11" s="1">
        <v>163</v>
      </c>
      <c r="G11" s="1">
        <v>504.26</v>
      </c>
    </row>
    <row r="12" spans="1:7" x14ac:dyDescent="0.25">
      <c r="A12" s="1" t="s">
        <v>16</v>
      </c>
      <c r="B12" s="1">
        <v>309.7</v>
      </c>
      <c r="C12" s="1">
        <v>304.7</v>
      </c>
      <c r="D12" s="1">
        <v>302.45</v>
      </c>
      <c r="E12" s="1">
        <v>329.8</v>
      </c>
      <c r="F12" s="1">
        <v>338.14</v>
      </c>
      <c r="G12" s="1">
        <v>264.88</v>
      </c>
    </row>
    <row r="13" spans="1:7" x14ac:dyDescent="0.25">
      <c r="A13" s="1" t="s">
        <v>17</v>
      </c>
      <c r="B13" s="1">
        <v>51.11</v>
      </c>
      <c r="C13" s="1">
        <v>46.1</v>
      </c>
      <c r="D13" s="1">
        <v>50.98</v>
      </c>
      <c r="E13" s="1">
        <v>32.979999999999997</v>
      </c>
      <c r="F13" s="1">
        <v>43.73</v>
      </c>
      <c r="G13" s="1">
        <v>55.62</v>
      </c>
    </row>
    <row r="14" spans="1:7" x14ac:dyDescent="0.25">
      <c r="A14" s="1" t="s">
        <v>18</v>
      </c>
      <c r="B14" s="1">
        <v>114.06</v>
      </c>
      <c r="C14" s="1">
        <v>107.32</v>
      </c>
      <c r="D14" s="1">
        <v>106.65</v>
      </c>
      <c r="E14" s="1">
        <v>66.19</v>
      </c>
      <c r="F14" s="1">
        <v>58.39</v>
      </c>
      <c r="G14" s="1">
        <v>103.29</v>
      </c>
    </row>
    <row r="15" spans="1:7" x14ac:dyDescent="0.25">
      <c r="A15" s="1" t="s">
        <v>19</v>
      </c>
      <c r="B15" s="1">
        <v>7</v>
      </c>
      <c r="C15" s="1">
        <v>4</v>
      </c>
      <c r="D15" s="1">
        <v>6</v>
      </c>
      <c r="E15" s="1">
        <v>7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1413</v>
      </c>
      <c r="C17" s="1">
        <v>1103.76</v>
      </c>
      <c r="D17" s="1">
        <v>1280.47</v>
      </c>
      <c r="E17" s="1">
        <v>1097.81</v>
      </c>
      <c r="F17" s="1">
        <v>255.15</v>
      </c>
      <c r="G17" s="1">
        <v>768.06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1.19</v>
      </c>
      <c r="F18" s="1">
        <v>79.349999999999994</v>
      </c>
      <c r="G18" s="1">
        <v>27.91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6.2</v>
      </c>
      <c r="G25" s="1">
        <v>1.8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3.8</v>
      </c>
      <c r="G26" s="1">
        <v>8.1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62</v>
      </c>
      <c r="G30" s="3">
        <f t="shared" si="2"/>
        <v>18.181818181818183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38</v>
      </c>
      <c r="G31" s="3">
        <f t="shared" si="3"/>
        <v>81.818181818181813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4">
        <v>141.99</v>
      </c>
      <c r="C33" s="5">
        <v>113.58</v>
      </c>
      <c r="D33" s="5">
        <v>133.29</v>
      </c>
      <c r="E33" s="5">
        <v>111.72</v>
      </c>
      <c r="F33" s="5">
        <v>18.45</v>
      </c>
      <c r="G33" s="5">
        <v>76.16</v>
      </c>
    </row>
    <row r="35" spans="1:7" x14ac:dyDescent="0.25">
      <c r="A35" s="3" t="s">
        <v>36</v>
      </c>
      <c r="B35" s="3"/>
      <c r="C35" s="3"/>
      <c r="D35" s="3">
        <f>D33-C33</f>
        <v>19.709999999999994</v>
      </c>
      <c r="E35" s="3"/>
      <c r="F35" s="3">
        <f>F33-E33</f>
        <v>-93.27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-21.569999999999993</v>
      </c>
      <c r="F37" s="3"/>
      <c r="G37" s="3">
        <f>G33-F33</f>
        <v>57.709999999999994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6D0E-D71E-49DD-AB63-7D5731DDE2CF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574.41</v>
      </c>
      <c r="C2" s="1">
        <v>512.21</v>
      </c>
      <c r="D2" s="1">
        <v>535.38</v>
      </c>
      <c r="E2" s="1">
        <v>544.29999999999995</v>
      </c>
      <c r="F2" s="1">
        <v>570.67999999999995</v>
      </c>
      <c r="G2" s="1">
        <v>582.88</v>
      </c>
    </row>
    <row r="3" spans="1:7" x14ac:dyDescent="0.25">
      <c r="A3" s="1" t="s">
        <v>7</v>
      </c>
      <c r="B3" s="1">
        <v>52.66</v>
      </c>
      <c r="C3" s="1">
        <v>50.72</v>
      </c>
      <c r="D3" s="1">
        <v>46.55</v>
      </c>
      <c r="E3" s="1">
        <v>45.63</v>
      </c>
      <c r="F3" s="1">
        <v>52.33</v>
      </c>
      <c r="G3" s="1">
        <v>51.47</v>
      </c>
    </row>
    <row r="4" spans="1:7" x14ac:dyDescent="0.25">
      <c r="A4" s="1" t="s">
        <v>8</v>
      </c>
      <c r="B4" s="1">
        <v>30759.759999999998</v>
      </c>
      <c r="C4" s="1">
        <v>26090.74</v>
      </c>
      <c r="D4" s="1">
        <v>25324.81</v>
      </c>
      <c r="E4" s="1">
        <v>25259.87</v>
      </c>
      <c r="F4" s="1">
        <v>30376.14</v>
      </c>
      <c r="G4" s="1">
        <v>30518.16</v>
      </c>
    </row>
    <row r="5" spans="1:7" x14ac:dyDescent="0.25">
      <c r="A5" s="1" t="s">
        <v>9</v>
      </c>
      <c r="B5" s="1">
        <v>621.41</v>
      </c>
      <c r="C5" s="1">
        <v>766.07</v>
      </c>
      <c r="D5" s="1">
        <v>820.39</v>
      </c>
      <c r="E5" s="1">
        <v>782.36</v>
      </c>
      <c r="F5" s="1">
        <v>113.56</v>
      </c>
      <c r="G5" s="1">
        <v>405.46</v>
      </c>
    </row>
    <row r="6" spans="1:7" x14ac:dyDescent="0.25">
      <c r="A6" s="3" t="s">
        <v>10</v>
      </c>
      <c r="B6" s="3">
        <v>62.14</v>
      </c>
      <c r="C6" s="3">
        <v>77.38</v>
      </c>
      <c r="D6" s="3">
        <v>82.87</v>
      </c>
      <c r="E6" s="3">
        <v>79.03</v>
      </c>
      <c r="F6" s="3">
        <v>11.47</v>
      </c>
      <c r="G6" s="3">
        <v>41.37</v>
      </c>
    </row>
    <row r="7" spans="1:7" x14ac:dyDescent="0.25">
      <c r="A7" s="1" t="s">
        <v>11</v>
      </c>
      <c r="B7" s="1">
        <v>609.78</v>
      </c>
      <c r="C7" s="1">
        <v>641.91999999999996</v>
      </c>
      <c r="D7" s="1">
        <v>770.82</v>
      </c>
      <c r="E7" s="1">
        <v>761.96</v>
      </c>
      <c r="F7" s="1">
        <v>98.68</v>
      </c>
      <c r="G7" s="1">
        <v>395.06</v>
      </c>
    </row>
    <row r="8" spans="1:7" x14ac:dyDescent="0.25">
      <c r="A8" s="1" t="s">
        <v>12</v>
      </c>
      <c r="B8" s="1">
        <v>60.98</v>
      </c>
      <c r="C8" s="1">
        <v>64.84</v>
      </c>
      <c r="D8" s="1">
        <v>77.86</v>
      </c>
      <c r="E8" s="1">
        <v>76.97</v>
      </c>
      <c r="F8" s="1">
        <v>9.9700000000000006</v>
      </c>
      <c r="G8" s="1">
        <v>40.31</v>
      </c>
    </row>
    <row r="9" spans="1:7" x14ac:dyDescent="0.25">
      <c r="A9" s="1" t="s">
        <v>13</v>
      </c>
      <c r="B9" s="1">
        <v>585.94000000000005</v>
      </c>
      <c r="C9" s="1">
        <v>508.02</v>
      </c>
      <c r="D9" s="1">
        <v>770.82</v>
      </c>
      <c r="E9" s="1">
        <v>761.96</v>
      </c>
      <c r="F9" s="1">
        <v>35.31</v>
      </c>
      <c r="G9" s="1">
        <v>393.57</v>
      </c>
    </row>
    <row r="10" spans="1:7" x14ac:dyDescent="0.25">
      <c r="A10" s="1" t="s">
        <v>14</v>
      </c>
      <c r="B10" s="1">
        <v>58.59</v>
      </c>
      <c r="C10" s="1">
        <v>51.32</v>
      </c>
      <c r="D10" s="1">
        <v>77.86</v>
      </c>
      <c r="E10" s="1">
        <v>76.97</v>
      </c>
      <c r="F10" s="1">
        <v>3.57</v>
      </c>
      <c r="G10" s="1">
        <v>40.159999999999997</v>
      </c>
    </row>
    <row r="11" spans="1:7" x14ac:dyDescent="0.25">
      <c r="A11" s="1" t="s">
        <v>15</v>
      </c>
      <c r="B11" s="1">
        <v>454.76</v>
      </c>
      <c r="C11" s="1">
        <v>417.48</v>
      </c>
      <c r="D11" s="1">
        <v>473.76</v>
      </c>
      <c r="E11" s="1">
        <v>566.72</v>
      </c>
      <c r="F11" s="1">
        <v>32.71</v>
      </c>
      <c r="G11" s="1">
        <v>346.74</v>
      </c>
    </row>
    <row r="12" spans="1:7" x14ac:dyDescent="0.25">
      <c r="A12" s="1" t="s">
        <v>16</v>
      </c>
      <c r="B12" s="1">
        <v>289.10000000000002</v>
      </c>
      <c r="C12" s="1">
        <v>210.7</v>
      </c>
      <c r="D12" s="1">
        <v>294.64</v>
      </c>
      <c r="E12" s="1">
        <v>317.14999999999998</v>
      </c>
      <c r="F12" s="1">
        <v>314.29000000000002</v>
      </c>
      <c r="G12" s="1">
        <v>282.67</v>
      </c>
    </row>
    <row r="13" spans="1:7" x14ac:dyDescent="0.25">
      <c r="A13" s="1" t="s">
        <v>17</v>
      </c>
      <c r="B13" s="1">
        <v>35.6</v>
      </c>
      <c r="C13" s="1">
        <v>52.38</v>
      </c>
      <c r="D13" s="1">
        <v>45.23</v>
      </c>
      <c r="E13" s="1">
        <v>30.56</v>
      </c>
      <c r="F13" s="1">
        <v>47.68</v>
      </c>
      <c r="G13" s="1">
        <v>18.760000000000002</v>
      </c>
    </row>
    <row r="14" spans="1:7" x14ac:dyDescent="0.25">
      <c r="A14" s="1" t="s">
        <v>18</v>
      </c>
      <c r="B14" s="1">
        <v>78.010000000000005</v>
      </c>
      <c r="C14" s="1">
        <v>92.44</v>
      </c>
      <c r="D14" s="1">
        <v>89.42</v>
      </c>
      <c r="E14" s="1">
        <v>65.52</v>
      </c>
      <c r="F14" s="1">
        <v>55.08</v>
      </c>
      <c r="G14" s="1">
        <v>44.14</v>
      </c>
    </row>
    <row r="15" spans="1:7" x14ac:dyDescent="0.25">
      <c r="A15" s="1" t="s">
        <v>19</v>
      </c>
      <c r="B15" s="1">
        <v>4</v>
      </c>
      <c r="C15" s="1">
        <v>5</v>
      </c>
      <c r="D15" s="1">
        <v>4</v>
      </c>
      <c r="E15" s="1">
        <v>3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597.86</v>
      </c>
      <c r="C17" s="1">
        <v>574.97</v>
      </c>
      <c r="D17" s="1">
        <v>770.82</v>
      </c>
      <c r="E17" s="1">
        <v>761.96</v>
      </c>
      <c r="F17" s="1">
        <v>66.989999999999995</v>
      </c>
      <c r="G17" s="1">
        <v>394.32</v>
      </c>
    </row>
    <row r="18" spans="1:7" x14ac:dyDescent="0.25">
      <c r="A18" s="1" t="s">
        <v>22</v>
      </c>
      <c r="B18" s="1">
        <v>11.92</v>
      </c>
      <c r="C18" s="1">
        <v>66.95</v>
      </c>
      <c r="D18" s="1">
        <v>0</v>
      </c>
      <c r="E18" s="1">
        <v>0</v>
      </c>
      <c r="F18" s="1">
        <v>31.69</v>
      </c>
      <c r="G18" s="1">
        <v>0.74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2.9</v>
      </c>
      <c r="D25" s="1">
        <v>0</v>
      </c>
      <c r="E25" s="1">
        <v>0</v>
      </c>
      <c r="F25" s="1">
        <v>9</v>
      </c>
      <c r="G25" s="1">
        <v>2.8</v>
      </c>
    </row>
    <row r="26" spans="1:7" x14ac:dyDescent="0.25">
      <c r="A26" s="1" t="s">
        <v>30</v>
      </c>
      <c r="B26" s="1">
        <v>10.1</v>
      </c>
      <c r="C26" s="1">
        <v>7.1</v>
      </c>
      <c r="D26" s="1">
        <v>10</v>
      </c>
      <c r="E26" s="1">
        <v>10</v>
      </c>
      <c r="F26" s="1">
        <v>1</v>
      </c>
      <c r="G26" s="1">
        <v>7.1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28.999999999999996</v>
      </c>
      <c r="D30" s="3">
        <f t="shared" si="2"/>
        <v>0</v>
      </c>
      <c r="E30" s="3">
        <f t="shared" si="2"/>
        <v>0</v>
      </c>
      <c r="F30" s="3">
        <f t="shared" si="2"/>
        <v>90</v>
      </c>
      <c r="G30" s="3">
        <f t="shared" si="2"/>
        <v>28.282828282828287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71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71.717171717171723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58.74</v>
      </c>
      <c r="C33" s="3">
        <v>55.25</v>
      </c>
      <c r="D33" s="3">
        <v>83.28</v>
      </c>
      <c r="E33" s="3">
        <v>78.39</v>
      </c>
      <c r="F33" s="3">
        <v>5.03</v>
      </c>
      <c r="G33" s="3">
        <v>40.520000000000003</v>
      </c>
    </row>
    <row r="35" spans="1:7" x14ac:dyDescent="0.25">
      <c r="A35" s="3" t="s">
        <v>36</v>
      </c>
      <c r="B35" s="3"/>
      <c r="C35" s="3"/>
      <c r="D35" s="3">
        <f>D33-C33</f>
        <v>28.03</v>
      </c>
      <c r="E35" s="3"/>
      <c r="F35" s="3">
        <f>F33-E33</f>
        <v>-73.36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-4.8900000000000006</v>
      </c>
      <c r="F37" s="3"/>
      <c r="G37" s="3">
        <f>G33-F33</f>
        <v>35.49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1AE7-22AB-43A6-89D5-5D3C7F4AC9D2}">
  <dimension ref="A1:G37"/>
  <sheetViews>
    <sheetView topLeftCell="A10" workbookViewId="0">
      <selection activeCell="L39" sqref="L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553.76</v>
      </c>
      <c r="C2" s="1">
        <v>579.54999999999995</v>
      </c>
      <c r="D2" s="1">
        <v>570.67999999999995</v>
      </c>
      <c r="E2" s="1">
        <v>584.1</v>
      </c>
      <c r="F2" s="1">
        <v>610.33000000000004</v>
      </c>
      <c r="G2" s="1">
        <v>578.95000000000005</v>
      </c>
    </row>
    <row r="3" spans="1:7" x14ac:dyDescent="0.25">
      <c r="A3" s="1" t="s">
        <v>7</v>
      </c>
      <c r="B3" s="1">
        <v>42.84</v>
      </c>
      <c r="C3" s="1">
        <v>47.26</v>
      </c>
      <c r="D3" s="1">
        <v>46.58</v>
      </c>
      <c r="E3" s="1">
        <v>47.21</v>
      </c>
      <c r="F3" s="1">
        <v>49.13</v>
      </c>
      <c r="G3" s="1">
        <v>51.43</v>
      </c>
    </row>
    <row r="4" spans="1:7" x14ac:dyDescent="0.25">
      <c r="A4" s="1" t="s">
        <v>8</v>
      </c>
      <c r="B4" s="1">
        <v>24125.16</v>
      </c>
      <c r="C4" s="1">
        <v>27850.04</v>
      </c>
      <c r="D4" s="1">
        <v>27037.68</v>
      </c>
      <c r="E4" s="1">
        <v>28033.16</v>
      </c>
      <c r="F4" s="1">
        <v>30498.92</v>
      </c>
      <c r="G4" s="1">
        <v>30271.51</v>
      </c>
    </row>
    <row r="5" spans="1:7" x14ac:dyDescent="0.25">
      <c r="A5" s="1" t="s">
        <v>9</v>
      </c>
      <c r="B5" s="1">
        <v>667.66</v>
      </c>
      <c r="C5" s="1">
        <v>890.24</v>
      </c>
      <c r="D5" s="1">
        <v>974.27</v>
      </c>
      <c r="E5" s="1">
        <v>851.11</v>
      </c>
      <c r="F5" s="1">
        <v>152.69999999999999</v>
      </c>
      <c r="G5" s="1">
        <v>599.91999999999996</v>
      </c>
    </row>
    <row r="6" spans="1:7" x14ac:dyDescent="0.25">
      <c r="A6" s="3" t="s">
        <v>10</v>
      </c>
      <c r="B6" s="3">
        <v>66.77</v>
      </c>
      <c r="C6" s="3">
        <v>89.92</v>
      </c>
      <c r="D6" s="3">
        <v>98.41</v>
      </c>
      <c r="E6" s="3">
        <v>85.97</v>
      </c>
      <c r="F6" s="3">
        <v>15.42</v>
      </c>
      <c r="G6" s="3">
        <v>61.22</v>
      </c>
    </row>
    <row r="7" spans="1:7" x14ac:dyDescent="0.25">
      <c r="A7" s="1" t="s">
        <v>11</v>
      </c>
      <c r="B7" s="1">
        <v>629.91999999999996</v>
      </c>
      <c r="C7" s="1">
        <v>866.11</v>
      </c>
      <c r="D7" s="1">
        <v>942.1</v>
      </c>
      <c r="E7" s="1">
        <v>830.2</v>
      </c>
      <c r="F7" s="1">
        <v>134.91999999999999</v>
      </c>
      <c r="G7" s="1">
        <v>575.79999999999995</v>
      </c>
    </row>
    <row r="8" spans="1:7" x14ac:dyDescent="0.25">
      <c r="A8" s="1" t="s">
        <v>12</v>
      </c>
      <c r="B8" s="1">
        <v>62.99</v>
      </c>
      <c r="C8" s="1">
        <v>87.49</v>
      </c>
      <c r="D8" s="1">
        <v>95.16</v>
      </c>
      <c r="E8" s="1">
        <v>83.86</v>
      </c>
      <c r="F8" s="1">
        <v>13.63</v>
      </c>
      <c r="G8" s="1">
        <v>58.76</v>
      </c>
    </row>
    <row r="9" spans="1:7" x14ac:dyDescent="0.25">
      <c r="A9" s="1" t="s">
        <v>13</v>
      </c>
      <c r="B9" s="1">
        <v>623.55999999999995</v>
      </c>
      <c r="C9" s="1">
        <v>850.55</v>
      </c>
      <c r="D9" s="1">
        <v>942.1</v>
      </c>
      <c r="E9" s="1">
        <v>830.2</v>
      </c>
      <c r="F9" s="1">
        <v>35.24</v>
      </c>
      <c r="G9" s="1">
        <v>575.79999999999995</v>
      </c>
    </row>
    <row r="10" spans="1:7" x14ac:dyDescent="0.25">
      <c r="A10" s="1" t="s">
        <v>14</v>
      </c>
      <c r="B10" s="1">
        <v>62.36</v>
      </c>
      <c r="C10" s="1">
        <v>85.91</v>
      </c>
      <c r="D10" s="1">
        <v>95.16</v>
      </c>
      <c r="E10" s="1">
        <v>83.86</v>
      </c>
      <c r="F10" s="1">
        <v>3.56</v>
      </c>
      <c r="G10" s="1">
        <v>58.76</v>
      </c>
    </row>
    <row r="11" spans="1:7" x14ac:dyDescent="0.25">
      <c r="A11" s="1" t="s">
        <v>15</v>
      </c>
      <c r="B11" s="1">
        <v>419.55</v>
      </c>
      <c r="C11" s="1">
        <v>697.97</v>
      </c>
      <c r="D11" s="1">
        <v>724.77</v>
      </c>
      <c r="E11" s="1">
        <v>742.69</v>
      </c>
      <c r="F11" s="1">
        <v>33.770000000000003</v>
      </c>
      <c r="G11" s="1">
        <v>531.48</v>
      </c>
    </row>
    <row r="12" spans="1:7" x14ac:dyDescent="0.25">
      <c r="A12" s="1" t="s">
        <v>16</v>
      </c>
      <c r="B12" s="1">
        <v>290.52999999999997</v>
      </c>
      <c r="C12" s="1">
        <v>307.02</v>
      </c>
      <c r="D12" s="1">
        <v>314.39999999999998</v>
      </c>
      <c r="E12" s="1">
        <v>319.52</v>
      </c>
      <c r="F12" s="1">
        <v>294.94</v>
      </c>
      <c r="G12" s="1">
        <v>322.31</v>
      </c>
    </row>
    <row r="13" spans="1:7" x14ac:dyDescent="0.25">
      <c r="A13" s="1" t="s">
        <v>17</v>
      </c>
      <c r="B13" s="1">
        <v>42.03</v>
      </c>
      <c r="C13" s="1">
        <v>30.19</v>
      </c>
      <c r="D13" s="1">
        <v>42.56</v>
      </c>
      <c r="E13" s="1">
        <v>24.36</v>
      </c>
      <c r="F13" s="1">
        <v>19.899999999999999</v>
      </c>
      <c r="G13" s="1">
        <v>21.62</v>
      </c>
    </row>
    <row r="14" spans="1:7" x14ac:dyDescent="0.25">
      <c r="A14" s="1" t="s">
        <v>18</v>
      </c>
      <c r="B14" s="1">
        <v>88.08</v>
      </c>
      <c r="C14" s="1">
        <v>74.38</v>
      </c>
      <c r="D14" s="1">
        <v>99.73</v>
      </c>
      <c r="E14" s="1">
        <v>59.17</v>
      </c>
      <c r="F14" s="1">
        <v>24.68</v>
      </c>
      <c r="G14" s="1">
        <v>40.65</v>
      </c>
    </row>
    <row r="15" spans="1:7" x14ac:dyDescent="0.25">
      <c r="A15" s="1" t="s">
        <v>19</v>
      </c>
      <c r="B15" s="1">
        <v>3</v>
      </c>
      <c r="C15" s="1">
        <v>4</v>
      </c>
      <c r="D15" s="1">
        <v>6</v>
      </c>
      <c r="E15" s="1">
        <v>2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626.74</v>
      </c>
      <c r="C17" s="1">
        <v>858.33</v>
      </c>
      <c r="D17" s="1">
        <v>942.1</v>
      </c>
      <c r="E17" s="1">
        <v>830.2</v>
      </c>
      <c r="F17" s="1">
        <v>85.08</v>
      </c>
      <c r="G17" s="1">
        <v>575.79999999999995</v>
      </c>
    </row>
    <row r="18" spans="1:7" x14ac:dyDescent="0.25">
      <c r="A18" s="1" t="s">
        <v>22</v>
      </c>
      <c r="B18" s="1">
        <v>3.18</v>
      </c>
      <c r="C18" s="1">
        <v>7.78</v>
      </c>
      <c r="D18" s="1">
        <v>0</v>
      </c>
      <c r="E18" s="1">
        <v>0</v>
      </c>
      <c r="F18" s="1">
        <v>49.84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1.1000000000000001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90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63.39</v>
      </c>
      <c r="C33" s="3">
        <v>88.34</v>
      </c>
      <c r="D33" s="3">
        <v>98.48</v>
      </c>
      <c r="E33" s="3">
        <v>85.69</v>
      </c>
      <c r="F33" s="3">
        <v>4.46</v>
      </c>
      <c r="G33" s="3">
        <v>59.46</v>
      </c>
    </row>
    <row r="35" spans="1:7" x14ac:dyDescent="0.25">
      <c r="A35" s="3" t="s">
        <v>36</v>
      </c>
      <c r="B35" s="3"/>
      <c r="C35" s="3"/>
      <c r="D35" s="3">
        <f>D33-C33</f>
        <v>10.14</v>
      </c>
      <c r="E35" s="3"/>
      <c r="F35" s="3">
        <f>F33-E33</f>
        <v>-81.23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-12.790000000000006</v>
      </c>
      <c r="F37" s="3"/>
      <c r="G37" s="3">
        <f>G33-F33</f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F5B4-26F5-41A4-A11F-DEF29630D254}">
  <dimension ref="A1:G37"/>
  <sheetViews>
    <sheetView topLeftCell="A10" workbookViewId="0">
      <selection activeCell="B43" sqref="B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603.79</v>
      </c>
      <c r="C2" s="1">
        <v>612.34</v>
      </c>
      <c r="D2" s="1">
        <v>617.25</v>
      </c>
      <c r="E2" s="1">
        <v>584.04</v>
      </c>
      <c r="F2" s="1">
        <v>635.79999999999995</v>
      </c>
      <c r="G2" s="1">
        <v>608.87</v>
      </c>
    </row>
    <row r="3" spans="1:7" x14ac:dyDescent="0.25">
      <c r="A3" s="1" t="s">
        <v>7</v>
      </c>
      <c r="B3" s="1">
        <v>48.2</v>
      </c>
      <c r="C3" s="1">
        <v>49.89</v>
      </c>
      <c r="D3" s="1">
        <v>49.32</v>
      </c>
      <c r="E3" s="1">
        <v>49.63</v>
      </c>
      <c r="F3" s="1">
        <v>47.86</v>
      </c>
      <c r="G3" s="1">
        <v>50.37</v>
      </c>
    </row>
    <row r="4" spans="1:7" x14ac:dyDescent="0.25">
      <c r="A4" s="1" t="s">
        <v>8</v>
      </c>
      <c r="B4" s="1">
        <v>29599.02</v>
      </c>
      <c r="C4" s="1">
        <v>31064.54</v>
      </c>
      <c r="D4" s="1">
        <v>30967.25</v>
      </c>
      <c r="E4" s="1">
        <v>29476.23</v>
      </c>
      <c r="F4" s="1">
        <v>30949.56</v>
      </c>
      <c r="G4" s="1">
        <v>31188.45</v>
      </c>
    </row>
    <row r="5" spans="1:7" x14ac:dyDescent="0.25">
      <c r="A5" s="1" t="s">
        <v>9</v>
      </c>
      <c r="B5" s="1">
        <v>1364.49</v>
      </c>
      <c r="C5" s="1">
        <v>1501.45</v>
      </c>
      <c r="D5" s="1">
        <v>1338.53</v>
      </c>
      <c r="E5" s="1">
        <v>969.64</v>
      </c>
      <c r="F5" s="1">
        <v>181.28</v>
      </c>
      <c r="G5" s="1">
        <v>826.04</v>
      </c>
    </row>
    <row r="6" spans="1:7" x14ac:dyDescent="0.25">
      <c r="A6" s="3" t="s">
        <v>10</v>
      </c>
      <c r="B6" s="3">
        <v>136.44999999999999</v>
      </c>
      <c r="C6" s="3">
        <v>151.66</v>
      </c>
      <c r="D6" s="3">
        <v>135.21</v>
      </c>
      <c r="E6" s="3">
        <v>97.94</v>
      </c>
      <c r="F6" s="3">
        <v>18.309999999999999</v>
      </c>
      <c r="G6" s="3">
        <v>84.29</v>
      </c>
    </row>
    <row r="7" spans="1:7" x14ac:dyDescent="0.25">
      <c r="A7" s="1" t="s">
        <v>11</v>
      </c>
      <c r="B7" s="1">
        <v>1322.56</v>
      </c>
      <c r="C7" s="1">
        <v>1442.15</v>
      </c>
      <c r="D7" s="1">
        <v>1302.6300000000001</v>
      </c>
      <c r="E7" s="1">
        <v>938.9</v>
      </c>
      <c r="F7" s="1">
        <v>177.6</v>
      </c>
      <c r="G7" s="1">
        <v>810.47</v>
      </c>
    </row>
    <row r="8" spans="1:7" x14ac:dyDescent="0.25">
      <c r="A8" s="1" t="s">
        <v>12</v>
      </c>
      <c r="B8" s="1">
        <v>132.26</v>
      </c>
      <c r="C8" s="1">
        <v>145.66999999999999</v>
      </c>
      <c r="D8" s="1">
        <v>131.58000000000001</v>
      </c>
      <c r="E8" s="1">
        <v>94.84</v>
      </c>
      <c r="F8" s="1">
        <v>17.940000000000001</v>
      </c>
      <c r="G8" s="1">
        <v>82.7</v>
      </c>
    </row>
    <row r="9" spans="1:7" x14ac:dyDescent="0.25">
      <c r="A9" s="1" t="s">
        <v>13</v>
      </c>
      <c r="B9" s="1">
        <v>1322.56</v>
      </c>
      <c r="C9" s="1">
        <v>1442.15</v>
      </c>
      <c r="D9" s="1">
        <v>1302.6300000000001</v>
      </c>
      <c r="E9" s="1">
        <v>938.9</v>
      </c>
      <c r="F9" s="1">
        <v>67.010000000000005</v>
      </c>
      <c r="G9" s="1">
        <v>809.18</v>
      </c>
    </row>
    <row r="10" spans="1:7" x14ac:dyDescent="0.25">
      <c r="A10" s="1" t="s">
        <v>14</v>
      </c>
      <c r="B10" s="1">
        <v>132.26</v>
      </c>
      <c r="C10" s="1">
        <v>145.66999999999999</v>
      </c>
      <c r="D10" s="1">
        <v>131.58000000000001</v>
      </c>
      <c r="E10" s="1">
        <v>94.84</v>
      </c>
      <c r="F10" s="1">
        <v>6.77</v>
      </c>
      <c r="G10" s="1">
        <v>82.57</v>
      </c>
    </row>
    <row r="11" spans="1:7" x14ac:dyDescent="0.25">
      <c r="A11" s="1" t="s">
        <v>15</v>
      </c>
      <c r="B11" s="1">
        <v>1006.28</v>
      </c>
      <c r="C11" s="1">
        <v>1134.3599999999999</v>
      </c>
      <c r="D11" s="1">
        <v>977.3</v>
      </c>
      <c r="E11" s="1">
        <v>659.54</v>
      </c>
      <c r="F11" s="1">
        <v>54.24</v>
      </c>
      <c r="G11" s="1">
        <v>680.79</v>
      </c>
    </row>
    <row r="12" spans="1:7" x14ac:dyDescent="0.25">
      <c r="A12" s="1" t="s">
        <v>16</v>
      </c>
      <c r="B12" s="1">
        <v>293.39999999999998</v>
      </c>
      <c r="C12" s="1">
        <v>293.48</v>
      </c>
      <c r="D12" s="1">
        <v>313.38</v>
      </c>
      <c r="E12" s="1">
        <v>288.57</v>
      </c>
      <c r="F12" s="1">
        <v>316.88</v>
      </c>
      <c r="G12" s="1">
        <v>311.97000000000003</v>
      </c>
    </row>
    <row r="13" spans="1:7" x14ac:dyDescent="0.25">
      <c r="A13" s="1" t="s">
        <v>17</v>
      </c>
      <c r="B13" s="1">
        <v>48.23</v>
      </c>
      <c r="C13" s="1">
        <v>49.12</v>
      </c>
      <c r="D13" s="1">
        <v>48.65</v>
      </c>
      <c r="E13" s="1">
        <v>44.84</v>
      </c>
      <c r="F13" s="1">
        <v>33.9</v>
      </c>
      <c r="G13" s="1">
        <v>26.48</v>
      </c>
    </row>
    <row r="14" spans="1:7" x14ac:dyDescent="0.25">
      <c r="A14" s="1" t="s">
        <v>18</v>
      </c>
      <c r="B14" s="1">
        <v>109.53</v>
      </c>
      <c r="C14" s="1">
        <v>90.78</v>
      </c>
      <c r="D14" s="1">
        <v>103.1</v>
      </c>
      <c r="E14" s="1">
        <v>88.35</v>
      </c>
      <c r="F14" s="1">
        <v>65.42</v>
      </c>
      <c r="G14" s="1">
        <v>80.88</v>
      </c>
    </row>
    <row r="15" spans="1:7" x14ac:dyDescent="0.25">
      <c r="A15" s="1" t="s">
        <v>19</v>
      </c>
      <c r="B15" s="1">
        <v>7</v>
      </c>
      <c r="C15" s="1">
        <v>8</v>
      </c>
      <c r="D15" s="1">
        <v>7</v>
      </c>
      <c r="E15" s="1">
        <v>5</v>
      </c>
      <c r="F15" s="1">
        <v>1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1322.56</v>
      </c>
      <c r="C17" s="1">
        <v>1442.15</v>
      </c>
      <c r="D17" s="1">
        <v>1302.6300000000001</v>
      </c>
      <c r="E17" s="1">
        <v>938.9</v>
      </c>
      <c r="F17" s="1">
        <v>122.31</v>
      </c>
      <c r="G17" s="1">
        <v>809.83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55.3</v>
      </c>
      <c r="G18" s="1">
        <v>0.64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134.24</v>
      </c>
      <c r="C33" s="3">
        <v>150.41</v>
      </c>
      <c r="D33" s="3">
        <v>136.13</v>
      </c>
      <c r="E33" s="3">
        <v>97.38</v>
      </c>
      <c r="F33" s="3">
        <v>7.5</v>
      </c>
      <c r="G33" s="3">
        <v>82.78</v>
      </c>
    </row>
    <row r="35" spans="1:7" x14ac:dyDescent="0.25">
      <c r="A35" s="3" t="s">
        <v>36</v>
      </c>
      <c r="B35" s="3"/>
      <c r="C35" s="3"/>
      <c r="D35" s="3">
        <f>D33-C33</f>
        <v>-14.280000000000001</v>
      </c>
      <c r="E35" s="3"/>
      <c r="F35" s="3">
        <f>F33-E33</f>
        <v>-89.88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-38.75</v>
      </c>
      <c r="F37" s="3"/>
      <c r="G37" s="3">
        <f>G33-F33</f>
        <v>75.28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D306-1B34-4951-B727-BB677DFBF88D}">
  <dimension ref="A1:G37"/>
  <sheetViews>
    <sheetView topLeftCell="A16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501.65</v>
      </c>
      <c r="C2" s="1">
        <v>498.81</v>
      </c>
      <c r="D2" s="1">
        <v>463.38</v>
      </c>
      <c r="E2" s="1">
        <v>520.91999999999996</v>
      </c>
      <c r="F2" s="1">
        <v>558.57000000000005</v>
      </c>
      <c r="G2" s="1">
        <v>476.16</v>
      </c>
    </row>
    <row r="3" spans="1:7" x14ac:dyDescent="0.25">
      <c r="A3" s="1" t="s">
        <v>7</v>
      </c>
      <c r="B3" s="1">
        <v>36.61</v>
      </c>
      <c r="C3" s="1">
        <v>36.71</v>
      </c>
      <c r="D3" s="1">
        <v>35.39</v>
      </c>
      <c r="E3" s="1">
        <v>38.479999999999997</v>
      </c>
      <c r="F3" s="1">
        <v>37.04</v>
      </c>
      <c r="G3" s="1">
        <v>36.549999999999997</v>
      </c>
    </row>
    <row r="4" spans="1:7" x14ac:dyDescent="0.25">
      <c r="A4" s="1" t="s">
        <v>8</v>
      </c>
      <c r="B4" s="1">
        <v>18667.990000000002</v>
      </c>
      <c r="C4" s="1">
        <v>18611.490000000002</v>
      </c>
      <c r="D4" s="1">
        <v>16639.66</v>
      </c>
      <c r="E4" s="1">
        <v>20361.97</v>
      </c>
      <c r="F4" s="1">
        <v>21018.74</v>
      </c>
      <c r="G4" s="1">
        <v>17676.189999999999</v>
      </c>
    </row>
    <row r="5" spans="1:7" x14ac:dyDescent="0.25">
      <c r="A5" s="1" t="s">
        <v>9</v>
      </c>
      <c r="B5" s="1">
        <v>1149.48</v>
      </c>
      <c r="C5" s="1">
        <v>1276.94</v>
      </c>
      <c r="D5" s="1">
        <v>1375.82</v>
      </c>
      <c r="E5" s="1">
        <v>1157.3</v>
      </c>
      <c r="F5" s="1">
        <v>186.59</v>
      </c>
      <c r="G5" s="1">
        <v>1345.45</v>
      </c>
    </row>
    <row r="6" spans="1:7" x14ac:dyDescent="0.25">
      <c r="A6" s="3" t="s">
        <v>10</v>
      </c>
      <c r="B6" s="3">
        <v>114.95</v>
      </c>
      <c r="C6" s="3">
        <v>128.97999999999999</v>
      </c>
      <c r="D6" s="3">
        <v>138.97</v>
      </c>
      <c r="E6" s="3">
        <v>116.9</v>
      </c>
      <c r="F6" s="3">
        <v>18.850000000000001</v>
      </c>
      <c r="G6" s="3">
        <v>137.29</v>
      </c>
    </row>
    <row r="7" spans="1:7" x14ac:dyDescent="0.25">
      <c r="A7" s="1" t="s">
        <v>11</v>
      </c>
      <c r="B7" s="1">
        <v>1066.33</v>
      </c>
      <c r="C7" s="1">
        <v>1197.96</v>
      </c>
      <c r="D7" s="1">
        <v>1284.23</v>
      </c>
      <c r="E7" s="1">
        <v>1126.8699999999999</v>
      </c>
      <c r="F7" s="1">
        <v>181.59</v>
      </c>
      <c r="G7" s="1">
        <v>1297.8499999999999</v>
      </c>
    </row>
    <row r="8" spans="1:7" x14ac:dyDescent="0.25">
      <c r="A8" s="1" t="s">
        <v>12</v>
      </c>
      <c r="B8" s="1">
        <v>106.63</v>
      </c>
      <c r="C8" s="1">
        <v>121.01</v>
      </c>
      <c r="D8" s="1">
        <v>129.72</v>
      </c>
      <c r="E8" s="1">
        <v>113.83</v>
      </c>
      <c r="F8" s="1">
        <v>18.34</v>
      </c>
      <c r="G8" s="1">
        <v>132.43</v>
      </c>
    </row>
    <row r="9" spans="1:7" x14ac:dyDescent="0.25">
      <c r="A9" s="1" t="s">
        <v>13</v>
      </c>
      <c r="B9" s="1">
        <v>1052.6500000000001</v>
      </c>
      <c r="C9" s="1">
        <v>1197.96</v>
      </c>
      <c r="D9" s="1">
        <v>1284.23</v>
      </c>
      <c r="E9" s="1">
        <v>1126.8699999999999</v>
      </c>
      <c r="F9" s="1">
        <v>125.98</v>
      </c>
      <c r="G9" s="1">
        <v>1297.8499999999999</v>
      </c>
    </row>
    <row r="10" spans="1:7" x14ac:dyDescent="0.25">
      <c r="A10" s="1" t="s">
        <v>14</v>
      </c>
      <c r="B10" s="1">
        <v>105.27</v>
      </c>
      <c r="C10" s="1">
        <v>121.01</v>
      </c>
      <c r="D10" s="1">
        <v>129.72</v>
      </c>
      <c r="E10" s="1">
        <v>113.83</v>
      </c>
      <c r="F10" s="1">
        <v>12.72</v>
      </c>
      <c r="G10" s="1">
        <v>132.43</v>
      </c>
    </row>
    <row r="11" spans="1:7" x14ac:dyDescent="0.25">
      <c r="A11" s="1" t="s">
        <v>15</v>
      </c>
      <c r="B11" s="1">
        <v>665.57</v>
      </c>
      <c r="C11" s="1">
        <v>953.43</v>
      </c>
      <c r="D11" s="1">
        <v>1127.29</v>
      </c>
      <c r="E11" s="1">
        <v>852.85</v>
      </c>
      <c r="F11" s="1">
        <v>126.25</v>
      </c>
      <c r="G11" s="1">
        <v>1005.58</v>
      </c>
    </row>
    <row r="12" spans="1:7" x14ac:dyDescent="0.25">
      <c r="A12" s="1" t="s">
        <v>16</v>
      </c>
      <c r="B12" s="1">
        <v>262.91000000000003</v>
      </c>
      <c r="C12" s="1">
        <v>272.33999999999997</v>
      </c>
      <c r="D12" s="1">
        <v>282.08</v>
      </c>
      <c r="E12" s="1">
        <v>275.42</v>
      </c>
      <c r="F12" s="1">
        <v>331.43</v>
      </c>
      <c r="G12" s="1">
        <v>266.39</v>
      </c>
    </row>
    <row r="13" spans="1:7" x14ac:dyDescent="0.25">
      <c r="A13" s="1" t="s">
        <v>17</v>
      </c>
      <c r="B13" s="1">
        <v>39.22</v>
      </c>
      <c r="C13" s="1">
        <v>40.03</v>
      </c>
      <c r="D13" s="1">
        <v>32.54</v>
      </c>
      <c r="E13" s="1">
        <v>49.78</v>
      </c>
      <c r="F13" s="1">
        <v>32.700000000000003</v>
      </c>
      <c r="G13" s="1">
        <v>40.5</v>
      </c>
    </row>
    <row r="14" spans="1:7" x14ac:dyDescent="0.25">
      <c r="A14" s="1" t="s">
        <v>18</v>
      </c>
      <c r="B14" s="1">
        <v>102.67</v>
      </c>
      <c r="C14" s="1">
        <v>77.319999999999993</v>
      </c>
      <c r="D14" s="1">
        <v>63.61</v>
      </c>
      <c r="E14" s="1">
        <v>80.91</v>
      </c>
      <c r="F14" s="1">
        <v>50.38</v>
      </c>
      <c r="G14" s="1">
        <v>81.64</v>
      </c>
    </row>
    <row r="15" spans="1:7" x14ac:dyDescent="0.25">
      <c r="A15" s="1" t="s">
        <v>19</v>
      </c>
      <c r="B15" s="1">
        <v>6</v>
      </c>
      <c r="C15" s="1">
        <v>8</v>
      </c>
      <c r="D15" s="1">
        <v>8</v>
      </c>
      <c r="E15" s="1">
        <v>6</v>
      </c>
      <c r="F15" s="1">
        <v>2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1059.49</v>
      </c>
      <c r="C17" s="1">
        <v>1197.96</v>
      </c>
      <c r="D17" s="1">
        <v>1284.23</v>
      </c>
      <c r="E17" s="1">
        <v>1126.8699999999999</v>
      </c>
      <c r="F17" s="1">
        <v>153.78</v>
      </c>
      <c r="G17" s="1">
        <v>1297.8499999999999</v>
      </c>
    </row>
    <row r="18" spans="1:7" x14ac:dyDescent="0.25">
      <c r="A18" s="1" t="s">
        <v>22</v>
      </c>
      <c r="B18" s="1">
        <v>6.84</v>
      </c>
      <c r="C18" s="1">
        <v>0</v>
      </c>
      <c r="D18" s="1">
        <v>0</v>
      </c>
      <c r="E18" s="1">
        <v>0</v>
      </c>
      <c r="F18" s="1">
        <v>27.81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81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19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110.96</v>
      </c>
      <c r="C33" s="3">
        <v>127.12</v>
      </c>
      <c r="D33" s="3">
        <v>135.31</v>
      </c>
      <c r="E33" s="3">
        <v>116.68</v>
      </c>
      <c r="F33" s="3">
        <v>14.11</v>
      </c>
      <c r="G33" s="3">
        <v>136.99</v>
      </c>
    </row>
    <row r="35" spans="1:7" x14ac:dyDescent="0.25">
      <c r="A35" s="3" t="s">
        <v>36</v>
      </c>
      <c r="B35" s="3"/>
      <c r="C35" s="3"/>
      <c r="D35" s="3">
        <f>D33-C33</f>
        <v>8.1899999999999977</v>
      </c>
      <c r="E35" s="3"/>
      <c r="F35" s="3">
        <f>F33-E33</f>
        <v>-102.57000000000001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-18.629999999999995</v>
      </c>
      <c r="F37" s="3"/>
      <c r="G37" s="3">
        <f>G33-F33</f>
        <v>122.88000000000001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FEDD-4CB3-4FD7-9FDE-393C665EE7E8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509.39</v>
      </c>
      <c r="C2" s="1">
        <v>515.64</v>
      </c>
      <c r="D2" s="1">
        <v>538.51</v>
      </c>
      <c r="E2" s="1">
        <v>514.04</v>
      </c>
      <c r="F2" s="1">
        <v>520.12</v>
      </c>
      <c r="G2" s="1">
        <v>526.5</v>
      </c>
    </row>
    <row r="3" spans="1:7" x14ac:dyDescent="0.25">
      <c r="A3" s="1" t="s">
        <v>7</v>
      </c>
      <c r="B3" s="1">
        <v>41.6</v>
      </c>
      <c r="C3" s="1">
        <v>43.91</v>
      </c>
      <c r="D3" s="1">
        <v>45.84</v>
      </c>
      <c r="E3" s="1">
        <v>43.73</v>
      </c>
      <c r="F3" s="1">
        <v>45.42</v>
      </c>
      <c r="G3" s="1">
        <v>44.11</v>
      </c>
    </row>
    <row r="4" spans="1:7" x14ac:dyDescent="0.25">
      <c r="A4" s="1" t="s">
        <v>8</v>
      </c>
      <c r="B4" s="1">
        <v>21527.56</v>
      </c>
      <c r="C4" s="1">
        <v>22970.560000000001</v>
      </c>
      <c r="D4" s="1">
        <v>25101.71</v>
      </c>
      <c r="E4" s="1">
        <v>22820.68</v>
      </c>
      <c r="F4" s="1">
        <v>24021.09</v>
      </c>
      <c r="G4" s="1">
        <v>23577.1</v>
      </c>
    </row>
    <row r="5" spans="1:7" x14ac:dyDescent="0.25">
      <c r="A5" s="1" t="s">
        <v>9</v>
      </c>
      <c r="B5" s="1">
        <v>1092.9000000000001</v>
      </c>
      <c r="C5" s="1">
        <v>1196.76</v>
      </c>
      <c r="D5" s="1">
        <v>1095.69</v>
      </c>
      <c r="E5" s="1">
        <v>935.01</v>
      </c>
      <c r="F5" s="1">
        <v>161.57</v>
      </c>
      <c r="G5" s="1">
        <v>431.57</v>
      </c>
    </row>
    <row r="6" spans="1:7" x14ac:dyDescent="0.25">
      <c r="A6" s="3" t="s">
        <v>10</v>
      </c>
      <c r="B6" s="3">
        <v>109.29</v>
      </c>
      <c r="C6" s="3">
        <v>120.88</v>
      </c>
      <c r="D6" s="3">
        <v>110.68</v>
      </c>
      <c r="E6" s="3">
        <v>94.45</v>
      </c>
      <c r="F6" s="3">
        <v>16.32</v>
      </c>
      <c r="G6" s="3">
        <v>44.04</v>
      </c>
    </row>
    <row r="7" spans="1:7" x14ac:dyDescent="0.25">
      <c r="A7" s="1" t="s">
        <v>11</v>
      </c>
      <c r="B7" s="1">
        <v>1010.76</v>
      </c>
      <c r="C7" s="1">
        <v>1133</v>
      </c>
      <c r="D7" s="1">
        <v>1079.17</v>
      </c>
      <c r="E7" s="1">
        <v>913.93</v>
      </c>
      <c r="F7" s="1">
        <v>154.54</v>
      </c>
      <c r="G7" s="1">
        <v>422.14</v>
      </c>
    </row>
    <row r="8" spans="1:7" x14ac:dyDescent="0.25">
      <c r="A8" s="1" t="s">
        <v>12</v>
      </c>
      <c r="B8" s="1">
        <v>101.08</v>
      </c>
      <c r="C8" s="1">
        <v>114.44</v>
      </c>
      <c r="D8" s="1">
        <v>109.01</v>
      </c>
      <c r="E8" s="1">
        <v>92.32</v>
      </c>
      <c r="F8" s="1">
        <v>15.61</v>
      </c>
      <c r="G8" s="1">
        <v>43.08</v>
      </c>
    </row>
    <row r="9" spans="1:7" x14ac:dyDescent="0.25">
      <c r="A9" s="1" t="s">
        <v>13</v>
      </c>
      <c r="B9" s="1">
        <v>1006.57</v>
      </c>
      <c r="C9" s="1">
        <v>1126.9100000000001</v>
      </c>
      <c r="D9" s="1">
        <v>1079.17</v>
      </c>
      <c r="E9" s="1">
        <v>913.93</v>
      </c>
      <c r="F9" s="1">
        <v>-65.260000000000005</v>
      </c>
      <c r="G9" s="1">
        <v>411.4</v>
      </c>
    </row>
    <row r="10" spans="1:7" x14ac:dyDescent="0.25">
      <c r="A10" s="1" t="s">
        <v>14</v>
      </c>
      <c r="B10" s="1">
        <v>100.66</v>
      </c>
      <c r="C10" s="1">
        <v>113.83</v>
      </c>
      <c r="D10" s="1">
        <v>109.01</v>
      </c>
      <c r="E10" s="1">
        <v>92.32</v>
      </c>
      <c r="F10" s="1">
        <v>-6.59</v>
      </c>
      <c r="G10" s="1">
        <v>41.98</v>
      </c>
    </row>
    <row r="11" spans="1:7" x14ac:dyDescent="0.25">
      <c r="A11" s="1" t="s">
        <v>15</v>
      </c>
      <c r="B11" s="1">
        <v>805.02</v>
      </c>
      <c r="C11" s="1">
        <v>809.11</v>
      </c>
      <c r="D11" s="1">
        <v>898.45</v>
      </c>
      <c r="E11" s="1">
        <v>740.67</v>
      </c>
      <c r="F11" s="1">
        <v>24.13</v>
      </c>
      <c r="G11" s="1">
        <v>310.12</v>
      </c>
    </row>
    <row r="12" spans="1:7" x14ac:dyDescent="0.25">
      <c r="A12" s="1" t="s">
        <v>16</v>
      </c>
      <c r="B12" s="1">
        <v>271.72000000000003</v>
      </c>
      <c r="C12" s="1">
        <v>285.89999999999998</v>
      </c>
      <c r="D12" s="1">
        <v>304.41000000000003</v>
      </c>
      <c r="E12" s="1">
        <v>272.08999999999997</v>
      </c>
      <c r="F12" s="1">
        <v>306.14999999999998</v>
      </c>
      <c r="G12" s="1">
        <v>280.18</v>
      </c>
    </row>
    <row r="13" spans="1:7" x14ac:dyDescent="0.25">
      <c r="A13" s="1" t="s">
        <v>17</v>
      </c>
      <c r="B13" s="1">
        <v>36.24</v>
      </c>
      <c r="C13" s="1">
        <v>53.57</v>
      </c>
      <c r="D13" s="1">
        <v>32.57</v>
      </c>
      <c r="E13" s="1">
        <v>44.79</v>
      </c>
      <c r="F13" s="1">
        <v>46.89</v>
      </c>
      <c r="G13" s="1">
        <v>33.299999999999997</v>
      </c>
    </row>
    <row r="14" spans="1:7" x14ac:dyDescent="0.25">
      <c r="A14" s="1" t="s">
        <v>18</v>
      </c>
      <c r="B14" s="1">
        <v>88.44</v>
      </c>
      <c r="C14" s="1">
        <v>95.8</v>
      </c>
      <c r="D14" s="1">
        <v>73.13</v>
      </c>
      <c r="E14" s="1">
        <v>104.72</v>
      </c>
      <c r="F14" s="1">
        <v>52.77</v>
      </c>
      <c r="G14" s="1">
        <v>97.17</v>
      </c>
    </row>
    <row r="15" spans="1:7" x14ac:dyDescent="0.25">
      <c r="A15" s="1" t="s">
        <v>19</v>
      </c>
      <c r="B15" s="1">
        <v>7</v>
      </c>
      <c r="C15" s="1">
        <v>6</v>
      </c>
      <c r="D15" s="1">
        <v>7</v>
      </c>
      <c r="E15" s="1">
        <v>6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1008.66</v>
      </c>
      <c r="C17" s="1">
        <v>1129.96</v>
      </c>
      <c r="D17" s="1">
        <v>1079.17</v>
      </c>
      <c r="E17" s="1">
        <v>913.93</v>
      </c>
      <c r="F17" s="1">
        <v>44.64</v>
      </c>
      <c r="G17" s="1">
        <v>416.77</v>
      </c>
    </row>
    <row r="18" spans="1:7" x14ac:dyDescent="0.25">
      <c r="A18" s="1" t="s">
        <v>22</v>
      </c>
      <c r="B18" s="1">
        <v>2.1</v>
      </c>
      <c r="C18" s="1">
        <v>3.04</v>
      </c>
      <c r="D18" s="1">
        <v>0</v>
      </c>
      <c r="E18" s="1">
        <v>0</v>
      </c>
      <c r="F18" s="1">
        <v>109.9</v>
      </c>
      <c r="G18" s="1">
        <v>5.37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2.7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1.1000000000000001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8.9</v>
      </c>
      <c r="G25" s="1">
        <v>4.5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0</v>
      </c>
      <c r="G26" s="1">
        <v>5.4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89</v>
      </c>
      <c r="G30" s="3">
        <f t="shared" si="2"/>
        <v>45.454545454545453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54.545454545454554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105.46</v>
      </c>
      <c r="C33" s="3">
        <v>120.47</v>
      </c>
      <c r="D33" s="3">
        <v>110.17</v>
      </c>
      <c r="E33" s="3">
        <v>94.69</v>
      </c>
      <c r="F33" s="3">
        <v>-1.06</v>
      </c>
      <c r="G33" s="3">
        <v>42.39</v>
      </c>
    </row>
    <row r="35" spans="1:7" x14ac:dyDescent="0.25">
      <c r="A35" s="3" t="s">
        <v>36</v>
      </c>
      <c r="B35" s="3"/>
      <c r="C35" s="3"/>
      <c r="D35" s="3">
        <f>D33-C33</f>
        <v>-10.299999999999997</v>
      </c>
      <c r="E35" s="3"/>
      <c r="F35" s="3">
        <f>F33-E33</f>
        <v>-95.75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-15.480000000000004</v>
      </c>
      <c r="F37" s="3"/>
      <c r="G37" s="3">
        <f>G33-F33</f>
        <v>43.45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212E-1124-4F66-AE8A-CA5BDFB7E71B}">
  <dimension ref="A1:G37"/>
  <sheetViews>
    <sheetView topLeftCell="A10" workbookViewId="0">
      <selection activeCell="G40" sqref="G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555.22</v>
      </c>
      <c r="C2" s="1">
        <v>468.45</v>
      </c>
      <c r="D2" s="1">
        <v>508.55</v>
      </c>
      <c r="E2" s="1">
        <v>442.85</v>
      </c>
      <c r="F2" s="1">
        <v>441.77</v>
      </c>
      <c r="G2" s="1">
        <v>452.39</v>
      </c>
    </row>
    <row r="3" spans="1:7" x14ac:dyDescent="0.25">
      <c r="A3" s="1" t="s">
        <v>7</v>
      </c>
      <c r="B3" s="1">
        <v>54.29</v>
      </c>
      <c r="C3" s="1">
        <v>48.09</v>
      </c>
      <c r="D3" s="1">
        <v>49.01</v>
      </c>
      <c r="E3" s="1">
        <v>43.43</v>
      </c>
      <c r="F3" s="1">
        <v>38.89</v>
      </c>
      <c r="G3" s="1">
        <v>42.86</v>
      </c>
    </row>
    <row r="4" spans="1:7" x14ac:dyDescent="0.25">
      <c r="A4" s="1" t="s">
        <v>8</v>
      </c>
      <c r="B4" s="1">
        <v>30664.69</v>
      </c>
      <c r="C4" s="1">
        <v>22934.48</v>
      </c>
      <c r="D4" s="1">
        <v>25314.23</v>
      </c>
      <c r="E4" s="1">
        <v>19541.650000000001</v>
      </c>
      <c r="F4" s="1">
        <v>17458.03</v>
      </c>
      <c r="G4" s="1">
        <v>19699.72</v>
      </c>
    </row>
    <row r="5" spans="1:7" x14ac:dyDescent="0.25">
      <c r="A5" s="1" t="s">
        <v>9</v>
      </c>
      <c r="B5" s="1">
        <v>1383.69</v>
      </c>
      <c r="C5" s="1">
        <v>414.27</v>
      </c>
      <c r="D5" s="1">
        <v>563.64</v>
      </c>
      <c r="E5" s="1">
        <v>333.31</v>
      </c>
      <c r="F5" s="1">
        <v>123.48</v>
      </c>
      <c r="G5" s="1">
        <v>465.99</v>
      </c>
    </row>
    <row r="6" spans="1:7" x14ac:dyDescent="0.25">
      <c r="A6" s="3" t="s">
        <v>10</v>
      </c>
      <c r="B6" s="3">
        <v>138.37</v>
      </c>
      <c r="C6" s="3">
        <v>41.85</v>
      </c>
      <c r="D6" s="3">
        <v>56.93</v>
      </c>
      <c r="E6" s="3">
        <v>33.67</v>
      </c>
      <c r="F6" s="3">
        <v>12.47</v>
      </c>
      <c r="G6" s="3">
        <v>47.55</v>
      </c>
    </row>
    <row r="7" spans="1:7" x14ac:dyDescent="0.25">
      <c r="A7" s="1" t="s">
        <v>11</v>
      </c>
      <c r="B7" s="1">
        <v>1309.45</v>
      </c>
      <c r="C7" s="1">
        <v>387.61</v>
      </c>
      <c r="D7" s="1">
        <v>526.6</v>
      </c>
      <c r="E7" s="1">
        <v>274.5</v>
      </c>
      <c r="F7" s="1">
        <v>113.1</v>
      </c>
      <c r="G7" s="1">
        <v>431.54</v>
      </c>
    </row>
    <row r="8" spans="1:7" x14ac:dyDescent="0.25">
      <c r="A8" s="1" t="s">
        <v>12</v>
      </c>
      <c r="B8" s="1">
        <v>130.94</v>
      </c>
      <c r="C8" s="1">
        <v>39.15</v>
      </c>
      <c r="D8" s="1">
        <v>53.19</v>
      </c>
      <c r="E8" s="1">
        <v>27.73</v>
      </c>
      <c r="F8" s="1">
        <v>11.42</v>
      </c>
      <c r="G8" s="1">
        <v>44.04</v>
      </c>
    </row>
    <row r="9" spans="1:7" x14ac:dyDescent="0.25">
      <c r="A9" s="1" t="s">
        <v>13</v>
      </c>
      <c r="B9" s="1">
        <v>1309.45</v>
      </c>
      <c r="C9" s="1">
        <v>358.65</v>
      </c>
      <c r="D9" s="1">
        <v>526.12</v>
      </c>
      <c r="E9" s="1">
        <v>228.34</v>
      </c>
      <c r="F9" s="1">
        <v>-39.4</v>
      </c>
      <c r="G9" s="1">
        <v>404.47</v>
      </c>
    </row>
    <row r="10" spans="1:7" x14ac:dyDescent="0.25">
      <c r="A10" s="1" t="s">
        <v>14</v>
      </c>
      <c r="B10" s="1">
        <v>130.94</v>
      </c>
      <c r="C10" s="1">
        <v>36.229999999999997</v>
      </c>
      <c r="D10" s="1">
        <v>53.14</v>
      </c>
      <c r="E10" s="1">
        <v>23.06</v>
      </c>
      <c r="F10" s="1">
        <v>-3.98</v>
      </c>
      <c r="G10" s="1">
        <v>41.27</v>
      </c>
    </row>
    <row r="11" spans="1:7" x14ac:dyDescent="0.25">
      <c r="A11" s="1" t="s">
        <v>15</v>
      </c>
      <c r="B11" s="1">
        <v>877.27</v>
      </c>
      <c r="C11" s="1">
        <v>212.44</v>
      </c>
      <c r="D11" s="1">
        <v>407.54</v>
      </c>
      <c r="E11" s="1">
        <v>209.4</v>
      </c>
      <c r="F11" s="1">
        <v>24.47</v>
      </c>
      <c r="G11" s="1">
        <v>303.25</v>
      </c>
    </row>
    <row r="12" spans="1:7" x14ac:dyDescent="0.25">
      <c r="A12" s="1" t="s">
        <v>16</v>
      </c>
      <c r="B12" s="1">
        <v>276.38</v>
      </c>
      <c r="C12" s="1">
        <v>218.56</v>
      </c>
      <c r="D12" s="1">
        <v>221.55</v>
      </c>
      <c r="E12" s="1">
        <v>200.87</v>
      </c>
      <c r="F12" s="1">
        <v>174.38</v>
      </c>
      <c r="G12" s="1">
        <v>206.76</v>
      </c>
    </row>
    <row r="13" spans="1:7" x14ac:dyDescent="0.25">
      <c r="A13" s="1" t="s">
        <v>17</v>
      </c>
      <c r="B13" s="1">
        <v>53.52</v>
      </c>
      <c r="C13" s="1">
        <v>43.3</v>
      </c>
      <c r="D13" s="1">
        <v>39.54</v>
      </c>
      <c r="E13" s="1">
        <v>38.44</v>
      </c>
      <c r="F13" s="1">
        <v>45.34</v>
      </c>
      <c r="G13" s="1">
        <v>27.84</v>
      </c>
    </row>
    <row r="14" spans="1:7" x14ac:dyDescent="0.25">
      <c r="A14" s="1" t="s">
        <v>18</v>
      </c>
      <c r="B14" s="1">
        <v>92.65</v>
      </c>
      <c r="C14" s="1">
        <v>72.63</v>
      </c>
      <c r="D14" s="1">
        <v>67.260000000000005</v>
      </c>
      <c r="E14" s="1">
        <v>57.89</v>
      </c>
      <c r="F14" s="1">
        <v>55.9</v>
      </c>
      <c r="G14" s="1">
        <v>63.81</v>
      </c>
    </row>
    <row r="15" spans="1:7" x14ac:dyDescent="0.25">
      <c r="A15" s="1" t="s">
        <v>19</v>
      </c>
      <c r="B15" s="1">
        <v>7</v>
      </c>
      <c r="C15" s="1">
        <v>3</v>
      </c>
      <c r="D15" s="1">
        <v>2</v>
      </c>
      <c r="E15" s="1">
        <v>3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1309.45</v>
      </c>
      <c r="C17" s="1">
        <v>373.13</v>
      </c>
      <c r="D17" s="1">
        <v>526.36</v>
      </c>
      <c r="E17" s="1">
        <v>251.42</v>
      </c>
      <c r="F17" s="1">
        <v>36.85</v>
      </c>
      <c r="G17" s="1">
        <v>418.01</v>
      </c>
    </row>
    <row r="18" spans="1:7" x14ac:dyDescent="0.25">
      <c r="A18" s="1" t="s">
        <v>22</v>
      </c>
      <c r="B18" s="1">
        <v>0</v>
      </c>
      <c r="C18" s="1">
        <v>14.48</v>
      </c>
      <c r="D18" s="1">
        <v>0.24</v>
      </c>
      <c r="E18" s="1">
        <v>23.08</v>
      </c>
      <c r="F18" s="1">
        <v>76.25</v>
      </c>
      <c r="G18" s="1">
        <v>13.54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4.5999999999999996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4</v>
      </c>
      <c r="D25" s="1">
        <v>3.7</v>
      </c>
      <c r="E25" s="1">
        <v>5.7</v>
      </c>
      <c r="F25" s="1">
        <v>10</v>
      </c>
      <c r="G25" s="1">
        <v>4</v>
      </c>
    </row>
    <row r="26" spans="1:7" x14ac:dyDescent="0.25">
      <c r="A26" s="1" t="s">
        <v>30</v>
      </c>
      <c r="B26" s="1">
        <v>10.1</v>
      </c>
      <c r="C26" s="1">
        <v>6</v>
      </c>
      <c r="D26" s="1">
        <v>6.3</v>
      </c>
      <c r="E26" s="1">
        <v>4.3</v>
      </c>
      <c r="F26" s="1">
        <v>0</v>
      </c>
      <c r="G26" s="1">
        <v>5.9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40</v>
      </c>
      <c r="D30" s="3">
        <f t="shared" si="2"/>
        <v>37</v>
      </c>
      <c r="E30" s="3">
        <f t="shared" si="2"/>
        <v>57.000000000000007</v>
      </c>
      <c r="F30" s="3">
        <f t="shared" si="2"/>
        <v>100</v>
      </c>
      <c r="G30" s="3">
        <f t="shared" si="2"/>
        <v>40.404040404040401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60</v>
      </c>
      <c r="D31" s="3">
        <f t="shared" si="3"/>
        <v>63</v>
      </c>
      <c r="E31" s="3">
        <f t="shared" si="3"/>
        <v>43</v>
      </c>
      <c r="F31" s="3">
        <f t="shared" si="3"/>
        <v>0</v>
      </c>
      <c r="G31" s="3">
        <f t="shared" si="3"/>
        <v>59.595959595959599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135.47</v>
      </c>
      <c r="C33" s="3">
        <v>38.840000000000003</v>
      </c>
      <c r="D33" s="3">
        <v>54.01</v>
      </c>
      <c r="E33" s="3">
        <v>25.87</v>
      </c>
      <c r="F33" s="3">
        <v>-2.17</v>
      </c>
      <c r="G33" s="3">
        <v>43.55</v>
      </c>
    </row>
    <row r="35" spans="1:7" x14ac:dyDescent="0.25">
      <c r="A35" s="3" t="s">
        <v>36</v>
      </c>
      <c r="B35" s="3"/>
      <c r="C35" s="3"/>
      <c r="D35" s="3">
        <f>D33-C33</f>
        <v>15.169999999999995</v>
      </c>
      <c r="E35" s="3"/>
      <c r="F35" s="3">
        <f>F33-E33</f>
        <v>-28.04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-28.139999999999997</v>
      </c>
      <c r="F37" s="3"/>
      <c r="G37" s="3">
        <f>G33-F33</f>
        <v>45.72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B953-3B99-4896-9F2D-C5A57F9784F6}">
  <dimension ref="A1:G37"/>
  <sheetViews>
    <sheetView tabSelected="1" topLeftCell="A10" workbookViewId="0">
      <selection activeCell="K34" sqref="K3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520.38</v>
      </c>
      <c r="C2" s="1">
        <v>524.16999999999996</v>
      </c>
      <c r="D2" s="1">
        <v>552.72</v>
      </c>
      <c r="E2" s="1">
        <v>511.94</v>
      </c>
      <c r="F2" s="1">
        <v>534.11</v>
      </c>
      <c r="G2" s="1">
        <v>545.66999999999996</v>
      </c>
    </row>
    <row r="3" spans="1:7" x14ac:dyDescent="0.25">
      <c r="A3" s="1" t="s">
        <v>7</v>
      </c>
      <c r="B3" s="1">
        <v>43.58</v>
      </c>
      <c r="C3" s="1">
        <v>49.24</v>
      </c>
      <c r="D3" s="1">
        <v>45.74</v>
      </c>
      <c r="E3" s="1">
        <v>47.8</v>
      </c>
      <c r="F3" s="1">
        <v>44.73</v>
      </c>
      <c r="G3" s="1">
        <v>42.04</v>
      </c>
    </row>
    <row r="4" spans="1:7" x14ac:dyDescent="0.25">
      <c r="A4" s="1" t="s">
        <v>8</v>
      </c>
      <c r="B4" s="1">
        <v>23038.69</v>
      </c>
      <c r="C4" s="1">
        <v>26223.33</v>
      </c>
      <c r="D4" s="1">
        <v>25700.86</v>
      </c>
      <c r="E4" s="1">
        <v>24872.58</v>
      </c>
      <c r="F4" s="1">
        <v>24214.639999999999</v>
      </c>
      <c r="G4" s="1">
        <v>23259.47</v>
      </c>
    </row>
    <row r="5" spans="1:7" x14ac:dyDescent="0.25">
      <c r="A5" s="1" t="s">
        <v>9</v>
      </c>
      <c r="B5" s="1">
        <v>553.70000000000005</v>
      </c>
      <c r="C5" s="1">
        <v>341.44</v>
      </c>
      <c r="D5" s="1">
        <v>551.54999999999995</v>
      </c>
      <c r="E5" s="1">
        <v>382.36</v>
      </c>
      <c r="F5" s="1">
        <v>524.79999999999995</v>
      </c>
      <c r="G5" s="1">
        <v>345.72</v>
      </c>
    </row>
    <row r="6" spans="1:7" x14ac:dyDescent="0.25">
      <c r="A6" s="3" t="s">
        <v>10</v>
      </c>
      <c r="B6" s="3">
        <v>55.37</v>
      </c>
      <c r="C6" s="3">
        <v>34.49</v>
      </c>
      <c r="D6" s="3">
        <v>55.71</v>
      </c>
      <c r="E6" s="3">
        <v>38.619999999999997</v>
      </c>
      <c r="F6" s="3">
        <v>53.01</v>
      </c>
      <c r="G6" s="3">
        <v>35.28</v>
      </c>
    </row>
    <row r="7" spans="1:7" x14ac:dyDescent="0.25">
      <c r="A7" s="1" t="s">
        <v>11</v>
      </c>
      <c r="B7" s="1">
        <v>540.04999999999995</v>
      </c>
      <c r="C7" s="1">
        <v>320.31</v>
      </c>
      <c r="D7" s="1">
        <v>541.24</v>
      </c>
      <c r="E7" s="1">
        <v>351.6</v>
      </c>
      <c r="F7" s="1">
        <v>504.73</v>
      </c>
      <c r="G7" s="1">
        <v>337.79</v>
      </c>
    </row>
    <row r="8" spans="1:7" x14ac:dyDescent="0.25">
      <c r="A8" s="1" t="s">
        <v>12</v>
      </c>
      <c r="B8" s="1">
        <v>54.01</v>
      </c>
      <c r="C8" s="1">
        <v>32.35</v>
      </c>
      <c r="D8" s="1">
        <v>54.67</v>
      </c>
      <c r="E8" s="1">
        <v>35.520000000000003</v>
      </c>
      <c r="F8" s="1">
        <v>50.98</v>
      </c>
      <c r="G8" s="1">
        <v>34.47</v>
      </c>
    </row>
    <row r="9" spans="1:7" x14ac:dyDescent="0.25">
      <c r="A9" s="1" t="s">
        <v>13</v>
      </c>
      <c r="B9" s="1">
        <v>469.41</v>
      </c>
      <c r="C9" s="1">
        <v>294.79000000000002</v>
      </c>
      <c r="D9" s="1">
        <v>540.21</v>
      </c>
      <c r="E9" s="1">
        <v>174.36</v>
      </c>
      <c r="F9" s="1">
        <v>-481.66</v>
      </c>
      <c r="G9" s="1">
        <v>284.76</v>
      </c>
    </row>
    <row r="10" spans="1:7" x14ac:dyDescent="0.25">
      <c r="A10" s="1" t="s">
        <v>14</v>
      </c>
      <c r="B10" s="1">
        <v>46.94</v>
      </c>
      <c r="C10" s="1">
        <v>29.78</v>
      </c>
      <c r="D10" s="1">
        <v>54.57</v>
      </c>
      <c r="E10" s="1">
        <v>17.61</v>
      </c>
      <c r="F10" s="1">
        <v>-48.65</v>
      </c>
      <c r="G10" s="1">
        <v>29.06</v>
      </c>
    </row>
    <row r="11" spans="1:7" x14ac:dyDescent="0.25">
      <c r="A11" s="1" t="s">
        <v>15</v>
      </c>
      <c r="B11" s="1">
        <v>311.20999999999998</v>
      </c>
      <c r="C11" s="1">
        <v>287.33</v>
      </c>
      <c r="D11" s="1">
        <v>382.01</v>
      </c>
      <c r="E11" s="1">
        <v>118.66</v>
      </c>
      <c r="F11" s="1">
        <v>291.81</v>
      </c>
      <c r="G11" s="1">
        <v>273.72000000000003</v>
      </c>
    </row>
    <row r="12" spans="1:7" x14ac:dyDescent="0.25">
      <c r="A12" s="1" t="s">
        <v>16</v>
      </c>
      <c r="B12" s="1">
        <v>244.7</v>
      </c>
      <c r="C12" s="1">
        <v>249.61</v>
      </c>
      <c r="D12" s="1">
        <v>263.87</v>
      </c>
      <c r="E12" s="1">
        <v>172.46</v>
      </c>
      <c r="F12" s="1">
        <v>245.23</v>
      </c>
      <c r="G12" s="1">
        <v>258.95</v>
      </c>
    </row>
    <row r="13" spans="1:7" x14ac:dyDescent="0.25">
      <c r="A13" s="1" t="s">
        <v>17</v>
      </c>
      <c r="B13" s="1">
        <v>43.02</v>
      </c>
      <c r="C13" s="1">
        <v>53.08</v>
      </c>
      <c r="D13" s="1">
        <v>48.32</v>
      </c>
      <c r="E13" s="1">
        <v>54.27</v>
      </c>
      <c r="F13" s="1">
        <v>43.45</v>
      </c>
      <c r="G13" s="1">
        <v>20.73</v>
      </c>
    </row>
    <row r="14" spans="1:7" x14ac:dyDescent="0.25">
      <c r="A14" s="1" t="s">
        <v>18</v>
      </c>
      <c r="B14" s="1">
        <v>90.53</v>
      </c>
      <c r="C14" s="1">
        <v>99.95</v>
      </c>
      <c r="D14" s="1">
        <v>81.87</v>
      </c>
      <c r="E14" s="1">
        <v>94.8</v>
      </c>
      <c r="F14" s="1">
        <v>96.56</v>
      </c>
      <c r="G14" s="1">
        <v>55.92</v>
      </c>
    </row>
    <row r="15" spans="1:7" x14ac:dyDescent="0.25">
      <c r="A15" s="1" t="s">
        <v>19</v>
      </c>
      <c r="B15" s="1">
        <v>2</v>
      </c>
      <c r="C15" s="1">
        <v>2</v>
      </c>
      <c r="D15" s="1">
        <v>2</v>
      </c>
      <c r="E15" s="1">
        <v>4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504.73</v>
      </c>
      <c r="C17" s="1">
        <v>307.55</v>
      </c>
      <c r="D17" s="1">
        <v>540.72</v>
      </c>
      <c r="E17" s="1">
        <v>262.98</v>
      </c>
      <c r="F17" s="1">
        <v>11.54</v>
      </c>
      <c r="G17" s="1">
        <v>311.27999999999997</v>
      </c>
    </row>
    <row r="18" spans="1:7" x14ac:dyDescent="0.25">
      <c r="A18" s="1" t="s">
        <v>22</v>
      </c>
      <c r="B18" s="1">
        <v>35.32</v>
      </c>
      <c r="C18" s="1">
        <v>12.76</v>
      </c>
      <c r="D18" s="1">
        <v>0.52</v>
      </c>
      <c r="E18" s="1">
        <v>88.62</v>
      </c>
      <c r="F18" s="1">
        <v>493.2</v>
      </c>
      <c r="G18" s="1">
        <v>26.52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2</v>
      </c>
      <c r="F19" s="1">
        <v>3</v>
      </c>
      <c r="G19" s="1">
        <v>0</v>
      </c>
    </row>
    <row r="20" spans="1:7" x14ac:dyDescent="0.25">
      <c r="A20" s="1" t="s">
        <v>24</v>
      </c>
      <c r="B20" s="1">
        <v>1.3</v>
      </c>
      <c r="C20" s="1">
        <v>0</v>
      </c>
      <c r="D20" s="1">
        <v>0</v>
      </c>
      <c r="E20" s="1">
        <v>3.3</v>
      </c>
      <c r="F20" s="1">
        <v>9.3000000000000007</v>
      </c>
      <c r="G20" s="1">
        <v>0</v>
      </c>
    </row>
    <row r="21" spans="1:7" x14ac:dyDescent="0.25">
      <c r="A21" s="1" t="s">
        <v>25</v>
      </c>
      <c r="B21" s="1">
        <v>8.8000000000000007</v>
      </c>
      <c r="C21" s="1">
        <v>10</v>
      </c>
      <c r="D21" s="1">
        <v>10</v>
      </c>
      <c r="E21" s="1">
        <v>6.7</v>
      </c>
      <c r="F21" s="1">
        <v>0.7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8</v>
      </c>
      <c r="G24" s="1">
        <v>0</v>
      </c>
    </row>
    <row r="25" spans="1:7" x14ac:dyDescent="0.25">
      <c r="A25" s="1" t="s">
        <v>29</v>
      </c>
      <c r="B25" s="1">
        <v>2</v>
      </c>
      <c r="C25" s="1">
        <v>4.2</v>
      </c>
      <c r="D25" s="1">
        <v>0</v>
      </c>
      <c r="E25" s="1">
        <v>6.7</v>
      </c>
      <c r="F25" s="1">
        <v>2</v>
      </c>
      <c r="G25" s="1">
        <v>7.8</v>
      </c>
    </row>
    <row r="26" spans="1:7" x14ac:dyDescent="0.25">
      <c r="A26" s="1" t="s">
        <v>30</v>
      </c>
      <c r="B26" s="1">
        <v>8.1</v>
      </c>
      <c r="C26" s="1">
        <v>5.8</v>
      </c>
      <c r="D26" s="1">
        <v>10</v>
      </c>
      <c r="E26" s="1">
        <v>3.3</v>
      </c>
      <c r="F26" s="1">
        <v>0</v>
      </c>
      <c r="G26" s="1">
        <v>2.1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80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19.801980198019802</v>
      </c>
      <c r="C30" s="3">
        <f t="shared" ref="C30:G30" si="2">C25/C28*100</f>
        <v>42.000000000000007</v>
      </c>
      <c r="D30" s="3">
        <f t="shared" si="2"/>
        <v>0</v>
      </c>
      <c r="E30" s="3">
        <f t="shared" si="2"/>
        <v>67</v>
      </c>
      <c r="F30" s="3">
        <f t="shared" si="2"/>
        <v>20</v>
      </c>
      <c r="G30" s="3">
        <f t="shared" si="2"/>
        <v>78.787878787878782</v>
      </c>
    </row>
    <row r="31" spans="1:7" x14ac:dyDescent="0.25">
      <c r="A31" s="3" t="s">
        <v>34</v>
      </c>
      <c r="B31" s="3">
        <f>B26/B28*100</f>
        <v>80.198019801980209</v>
      </c>
      <c r="C31" s="3">
        <f t="shared" ref="C31:G31" si="3">C26/C28*100</f>
        <v>57.999999999999993</v>
      </c>
      <c r="D31" s="3">
        <f t="shared" si="3"/>
        <v>100</v>
      </c>
      <c r="E31" s="3">
        <f t="shared" si="3"/>
        <v>32.999999999999993</v>
      </c>
      <c r="F31" s="3">
        <f t="shared" si="3"/>
        <v>0</v>
      </c>
      <c r="G31" s="3">
        <f t="shared" si="3"/>
        <v>21.212121212121211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46.48</v>
      </c>
      <c r="C33" s="3">
        <v>30.01</v>
      </c>
      <c r="D33" s="3">
        <v>53.85</v>
      </c>
      <c r="E33" s="3">
        <v>13.6</v>
      </c>
      <c r="F33" s="3">
        <v>-48.44</v>
      </c>
      <c r="G33" s="3">
        <v>29.34</v>
      </c>
    </row>
    <row r="35" spans="1:7" x14ac:dyDescent="0.25">
      <c r="A35" s="3" t="s">
        <v>36</v>
      </c>
      <c r="B35" s="3"/>
      <c r="C35" s="3"/>
      <c r="D35" s="3">
        <f>D33-C33</f>
        <v>23.84</v>
      </c>
      <c r="E35" s="3"/>
      <c r="F35" s="3">
        <f>F33-E33</f>
        <v>-62.04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-40.25</v>
      </c>
      <c r="F37" s="3"/>
      <c r="G37" s="3">
        <f>G33-F33</f>
        <v>77.78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0FED-6E8C-4ECA-9D95-03FEB4F89B5B}">
  <dimension ref="A1:G37"/>
  <sheetViews>
    <sheetView workbookViewId="0">
      <selection activeCell="I12" sqref="I12:I1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240203B001.1</vt:lpstr>
      <vt:lpstr>240203B001.2</vt:lpstr>
      <vt:lpstr>240203B001.4</vt:lpstr>
      <vt:lpstr>240203B001.5</vt:lpstr>
      <vt:lpstr>240203B002.1</vt:lpstr>
      <vt:lpstr>240203B002.2</vt:lpstr>
      <vt:lpstr>240203B002.3</vt:lpstr>
      <vt:lpstr>240203B002.4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2024-02-08T00:24:39Z</dcterms:created>
  <dcterms:modified xsi:type="dcterms:W3CDTF">2024-02-10T02:27:25Z</dcterms:modified>
</cp:coreProperties>
</file>