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D2492ADE-F8F5-458A-B9C4-6369F321FD6E}" xr6:coauthVersionLast="36" xr6:coauthVersionMax="36" xr10:uidLastSave="{00000000-0000-0000-0000-000000000000}"/>
  <bookViews>
    <workbookView xWindow="0" yWindow="0" windowWidth="25755" windowHeight="11640" firstSheet="2" activeTab="9" xr2:uid="{8F0E012E-67D5-4537-962C-E0433E68D28C}"/>
  </bookViews>
  <sheets>
    <sheet name="230904B001.1" sheetId="2" r:id="rId1"/>
    <sheet name="230904B001.2" sheetId="3" r:id="rId2"/>
    <sheet name="230904B001.3" sheetId="4" r:id="rId3"/>
    <sheet name="230904B001.4" sheetId="5" r:id="rId4"/>
    <sheet name="230904B001.5" sheetId="6" r:id="rId5"/>
    <sheet name="230904B002.1" sheetId="7" r:id="rId6"/>
    <sheet name="230904B002.2" sheetId="8" r:id="rId7"/>
    <sheet name="230904B002.3" sheetId="9" r:id="rId8"/>
    <sheet name="230904B002.4" sheetId="10" r:id="rId9"/>
    <sheet name="230904B002.5" sheetId="11" r:id="rId10"/>
    <sheet name="template" sheetId="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1" l="1"/>
  <c r="E37" i="11"/>
  <c r="C37" i="11"/>
  <c r="F35" i="11"/>
  <c r="D35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G28" i="11"/>
  <c r="G31" i="11" s="1"/>
  <c r="F28" i="11"/>
  <c r="F31" i="11" s="1"/>
  <c r="E28" i="11"/>
  <c r="D28" i="11"/>
  <c r="C28" i="11"/>
  <c r="B28" i="11"/>
  <c r="G37" i="10"/>
  <c r="E37" i="10"/>
  <c r="C37" i="10"/>
  <c r="F35" i="10"/>
  <c r="D35" i="10"/>
  <c r="F31" i="10"/>
  <c r="E31" i="10"/>
  <c r="D31" i="10"/>
  <c r="B31" i="10"/>
  <c r="F30" i="10"/>
  <c r="E30" i="10"/>
  <c r="C30" i="10"/>
  <c r="G28" i="10"/>
  <c r="G31" i="10" s="1"/>
  <c r="F28" i="10"/>
  <c r="F29" i="10" s="1"/>
  <c r="E28" i="10"/>
  <c r="E29" i="10" s="1"/>
  <c r="D28" i="10"/>
  <c r="D29" i="10" s="1"/>
  <c r="C28" i="10"/>
  <c r="C29" i="10" s="1"/>
  <c r="B28" i="10"/>
  <c r="B29" i="10" s="1"/>
  <c r="F29" i="11" l="1"/>
  <c r="G29" i="11"/>
  <c r="F30" i="11"/>
  <c r="G30" i="11"/>
  <c r="G29" i="10"/>
  <c r="B30" i="10"/>
  <c r="D30" i="10"/>
  <c r="G30" i="10"/>
  <c r="C31" i="10"/>
  <c r="G37" i="9"/>
  <c r="E37" i="9"/>
  <c r="C37" i="9"/>
  <c r="F35" i="9"/>
  <c r="D35" i="9"/>
  <c r="E31" i="9"/>
  <c r="D31" i="9"/>
  <c r="C31" i="9"/>
  <c r="B31" i="9"/>
  <c r="G30" i="9"/>
  <c r="F30" i="9"/>
  <c r="E30" i="9"/>
  <c r="D30" i="9"/>
  <c r="E29" i="9"/>
  <c r="D29" i="9"/>
  <c r="G28" i="9"/>
  <c r="G31" i="9" s="1"/>
  <c r="F28" i="9"/>
  <c r="F31" i="9" s="1"/>
  <c r="E28" i="9"/>
  <c r="D28" i="9"/>
  <c r="C28" i="9"/>
  <c r="C29" i="9" s="1"/>
  <c r="B28" i="9"/>
  <c r="B29" i="9" s="1"/>
  <c r="G37" i="8"/>
  <c r="E37" i="8"/>
  <c r="C37" i="8"/>
  <c r="F35" i="8"/>
  <c r="D35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G28" i="8"/>
  <c r="G31" i="8" s="1"/>
  <c r="F28" i="8"/>
  <c r="E28" i="8"/>
  <c r="D28" i="8"/>
  <c r="C28" i="8"/>
  <c r="C29" i="8" s="1"/>
  <c r="B28" i="8"/>
  <c r="B29" i="8" s="1"/>
  <c r="G37" i="7"/>
  <c r="E37" i="7"/>
  <c r="C37" i="7"/>
  <c r="F35" i="7"/>
  <c r="D35" i="7"/>
  <c r="G31" i="7"/>
  <c r="E31" i="7"/>
  <c r="D31" i="7"/>
  <c r="B31" i="7"/>
  <c r="G30" i="7"/>
  <c r="F30" i="7"/>
  <c r="E30" i="7"/>
  <c r="D30" i="7"/>
  <c r="C30" i="7"/>
  <c r="B30" i="7"/>
  <c r="G29" i="7"/>
  <c r="F29" i="7"/>
  <c r="E29" i="7"/>
  <c r="D29" i="7"/>
  <c r="G28" i="7"/>
  <c r="F28" i="7"/>
  <c r="F31" i="7" s="1"/>
  <c r="E28" i="7"/>
  <c r="D28" i="7"/>
  <c r="C28" i="7"/>
  <c r="C29" i="7" s="1"/>
  <c r="B28" i="7"/>
  <c r="B29" i="7" s="1"/>
  <c r="G37" i="6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C31" i="5"/>
  <c r="B31" i="5"/>
  <c r="B30" i="5"/>
  <c r="G28" i="5"/>
  <c r="G29" i="5" s="1"/>
  <c r="F28" i="5"/>
  <c r="F29" i="5" s="1"/>
  <c r="E28" i="5"/>
  <c r="E29" i="5" s="1"/>
  <c r="D28" i="5"/>
  <c r="D29" i="5" s="1"/>
  <c r="C28" i="5"/>
  <c r="C30" i="5" s="1"/>
  <c r="B28" i="5"/>
  <c r="B29" i="5" s="1"/>
  <c r="G37" i="4"/>
  <c r="E37" i="4"/>
  <c r="C37" i="4"/>
  <c r="F35" i="4"/>
  <c r="D35" i="4"/>
  <c r="G28" i="4"/>
  <c r="G31" i="4" s="1"/>
  <c r="F28" i="4"/>
  <c r="F31" i="4" s="1"/>
  <c r="E28" i="4"/>
  <c r="E31" i="4" s="1"/>
  <c r="D28" i="4"/>
  <c r="D31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G28" i="3"/>
  <c r="G31" i="3" s="1"/>
  <c r="F28" i="3"/>
  <c r="E28" i="3"/>
  <c r="D28" i="3"/>
  <c r="C28" i="3"/>
  <c r="C29" i="3" s="1"/>
  <c r="B28" i="3"/>
  <c r="B29" i="3" s="1"/>
  <c r="G37" i="2"/>
  <c r="E37" i="2"/>
  <c r="C37" i="2"/>
  <c r="F35" i="2"/>
  <c r="D35" i="2"/>
  <c r="F31" i="2"/>
  <c r="E31" i="2"/>
  <c r="D31" i="2"/>
  <c r="B31" i="2"/>
  <c r="G30" i="2"/>
  <c r="F30" i="2"/>
  <c r="E30" i="2"/>
  <c r="D30" i="2"/>
  <c r="C30" i="2"/>
  <c r="B30" i="2"/>
  <c r="G29" i="2"/>
  <c r="F29" i="2"/>
  <c r="E29" i="2"/>
  <c r="G28" i="2"/>
  <c r="G31" i="2" s="1"/>
  <c r="F28" i="2"/>
  <c r="E28" i="2"/>
  <c r="D28" i="2"/>
  <c r="D29" i="2" s="1"/>
  <c r="C28" i="2"/>
  <c r="C29" i="2" s="1"/>
  <c r="B28" i="2"/>
  <c r="B29" i="2" s="1"/>
  <c r="F29" i="9" l="1"/>
  <c r="G29" i="9"/>
  <c r="B30" i="9"/>
  <c r="C30" i="9"/>
  <c r="C31" i="7"/>
  <c r="G30" i="5"/>
  <c r="F31" i="5"/>
  <c r="D30" i="5"/>
  <c r="E30" i="5"/>
  <c r="F30" i="5"/>
  <c r="D31" i="5"/>
  <c r="E31" i="5"/>
  <c r="G31" i="5"/>
  <c r="C29" i="5"/>
  <c r="B31" i="4"/>
  <c r="B30" i="4"/>
  <c r="G30" i="4"/>
  <c r="D29" i="4"/>
  <c r="D30" i="4"/>
  <c r="F30" i="4"/>
  <c r="C31" i="4"/>
  <c r="E29" i="4"/>
  <c r="C30" i="4"/>
  <c r="E30" i="4"/>
  <c r="F29" i="4"/>
  <c r="G29" i="4"/>
  <c r="C31" i="2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29" i="1" s="1"/>
  <c r="B28" i="1"/>
  <c r="B29" i="1" s="1"/>
  <c r="E29" i="1" l="1"/>
  <c r="F29" i="1"/>
  <c r="G29" i="1"/>
  <c r="D29" i="1"/>
  <c r="B30" i="1"/>
  <c r="C30" i="1"/>
  <c r="D30" i="1"/>
  <c r="E30" i="1"/>
  <c r="F30" i="1"/>
  <c r="G30" i="1"/>
  <c r="B31" i="1"/>
  <c r="C31" i="1"/>
</calcChain>
</file>

<file path=xl/sharedStrings.xml><?xml version="1.0" encoding="utf-8"?>
<sst xmlns="http://schemas.openxmlformats.org/spreadsheetml/2006/main" count="418" uniqueCount="37">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</sst>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57C0-A197-433A-B250-0440EC483AB9}">
  <dimension ref="A1:G37"/>
  <sheetViews>
    <sheetView topLeftCell="A7" workbookViewId="0">
      <selection activeCell="K21" sqref="K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491.78</v>
      </c>
      <c r="C2" s="1">
        <v>533.71</v>
      </c>
      <c r="D2" s="1">
        <v>524.79</v>
      </c>
      <c r="E2" s="1">
        <v>523.5</v>
      </c>
      <c r="F2" s="1">
        <v>509.89</v>
      </c>
      <c r="G2" s="1">
        <v>528.91</v>
      </c>
    </row>
    <row r="3" spans="1:7" x14ac:dyDescent="0.25">
      <c r="A3" s="1" t="s">
        <v>7</v>
      </c>
      <c r="B3" s="1">
        <v>36.17</v>
      </c>
      <c r="C3" s="1">
        <v>40.89</v>
      </c>
      <c r="D3" s="1">
        <v>41.29</v>
      </c>
      <c r="E3" s="1">
        <v>40.770000000000003</v>
      </c>
      <c r="F3" s="1">
        <v>41.2</v>
      </c>
      <c r="G3" s="1">
        <v>44.87</v>
      </c>
    </row>
    <row r="4" spans="1:7" x14ac:dyDescent="0.25">
      <c r="A4" s="1" t="s">
        <v>8</v>
      </c>
      <c r="B4" s="1">
        <v>18063.259999999998</v>
      </c>
      <c r="C4" s="1">
        <v>22188.34</v>
      </c>
      <c r="D4" s="1">
        <v>22020.83</v>
      </c>
      <c r="E4" s="1">
        <v>21676.25</v>
      </c>
      <c r="F4" s="1">
        <v>21361.71</v>
      </c>
      <c r="G4" s="1">
        <v>24139</v>
      </c>
    </row>
    <row r="5" spans="1:7" x14ac:dyDescent="0.25">
      <c r="A5" s="1" t="s">
        <v>9</v>
      </c>
      <c r="B5" s="1">
        <v>2024.31</v>
      </c>
      <c r="C5" s="1">
        <v>1688.67</v>
      </c>
      <c r="D5" s="1">
        <v>1348.75</v>
      </c>
      <c r="E5" s="1">
        <v>854.44</v>
      </c>
      <c r="F5" s="1">
        <v>937.78</v>
      </c>
      <c r="G5" s="1">
        <v>1457.21</v>
      </c>
    </row>
    <row r="6" spans="1:7" x14ac:dyDescent="0.25">
      <c r="A6" s="3" t="s">
        <v>10</v>
      </c>
      <c r="B6" s="3">
        <v>202.43</v>
      </c>
      <c r="C6" s="3">
        <v>170.57</v>
      </c>
      <c r="D6" s="3">
        <v>136.24</v>
      </c>
      <c r="E6" s="3">
        <v>86.31</v>
      </c>
      <c r="F6" s="3">
        <v>94.73</v>
      </c>
      <c r="G6" s="3">
        <v>148.69</v>
      </c>
    </row>
    <row r="7" spans="1:7" x14ac:dyDescent="0.25">
      <c r="A7" s="1" t="s">
        <v>11</v>
      </c>
      <c r="B7" s="1">
        <v>1946.73</v>
      </c>
      <c r="C7" s="1">
        <v>1587.98</v>
      </c>
      <c r="D7" s="1">
        <v>1292.29</v>
      </c>
      <c r="E7" s="1">
        <v>781.86</v>
      </c>
      <c r="F7" s="1">
        <v>847.06</v>
      </c>
      <c r="G7" s="1">
        <v>1365.49</v>
      </c>
    </row>
    <row r="8" spans="1:7" x14ac:dyDescent="0.25">
      <c r="A8" s="1" t="s">
        <v>12</v>
      </c>
      <c r="B8" s="1">
        <v>194.67</v>
      </c>
      <c r="C8" s="1">
        <v>160.4</v>
      </c>
      <c r="D8" s="1">
        <v>130.53</v>
      </c>
      <c r="E8" s="1">
        <v>78.98</v>
      </c>
      <c r="F8" s="1">
        <v>85.56</v>
      </c>
      <c r="G8" s="1">
        <v>139.34</v>
      </c>
    </row>
    <row r="9" spans="1:7" x14ac:dyDescent="0.25">
      <c r="A9" s="1" t="s">
        <v>13</v>
      </c>
      <c r="B9" s="1">
        <v>1946.73</v>
      </c>
      <c r="C9" s="1">
        <v>1587.98</v>
      </c>
      <c r="D9" s="1">
        <v>1286.1300000000001</v>
      </c>
      <c r="E9" s="1">
        <v>324.52999999999997</v>
      </c>
      <c r="F9" s="1">
        <v>-363.71</v>
      </c>
      <c r="G9" s="1">
        <v>1365.49</v>
      </c>
    </row>
    <row r="10" spans="1:7" x14ac:dyDescent="0.25">
      <c r="A10" s="1" t="s">
        <v>14</v>
      </c>
      <c r="B10" s="1">
        <v>194.67</v>
      </c>
      <c r="C10" s="1">
        <v>160.4</v>
      </c>
      <c r="D10" s="1">
        <v>129.91</v>
      </c>
      <c r="E10" s="1">
        <v>32.78</v>
      </c>
      <c r="F10" s="1">
        <v>-36.74</v>
      </c>
      <c r="G10" s="1">
        <v>139.34</v>
      </c>
    </row>
    <row r="11" spans="1:7" x14ac:dyDescent="0.25">
      <c r="A11" s="1" t="s">
        <v>15</v>
      </c>
      <c r="B11" s="1">
        <v>1712.42</v>
      </c>
      <c r="C11" s="1">
        <v>1285.4100000000001</v>
      </c>
      <c r="D11" s="1">
        <v>1190.26</v>
      </c>
      <c r="E11" s="1">
        <v>232.3</v>
      </c>
      <c r="F11" s="1">
        <v>481.19</v>
      </c>
      <c r="G11" s="1">
        <v>1075.94</v>
      </c>
    </row>
    <row r="12" spans="1:7" x14ac:dyDescent="0.25">
      <c r="A12" s="1" t="s">
        <v>16</v>
      </c>
      <c r="B12" s="1">
        <v>257.11</v>
      </c>
      <c r="C12" s="1">
        <v>246.66</v>
      </c>
      <c r="D12" s="1">
        <v>232.33</v>
      </c>
      <c r="E12" s="1">
        <v>216.98</v>
      </c>
      <c r="F12" s="1">
        <v>189.47</v>
      </c>
      <c r="G12" s="1">
        <v>232.34</v>
      </c>
    </row>
    <row r="13" spans="1:7" x14ac:dyDescent="0.25">
      <c r="A13" s="1" t="s">
        <v>17</v>
      </c>
      <c r="B13" s="1">
        <v>35</v>
      </c>
      <c r="C13" s="1">
        <v>33.21</v>
      </c>
      <c r="D13" s="1">
        <v>23.4</v>
      </c>
      <c r="E13" s="1">
        <v>38.78</v>
      </c>
      <c r="F13" s="1">
        <v>42.74</v>
      </c>
      <c r="G13" s="1">
        <v>34.1</v>
      </c>
    </row>
    <row r="14" spans="1:7" x14ac:dyDescent="0.25">
      <c r="A14" s="1" t="s">
        <v>18</v>
      </c>
      <c r="B14" s="1">
        <v>65.19</v>
      </c>
      <c r="C14" s="1">
        <v>72.59</v>
      </c>
      <c r="D14" s="1">
        <v>58.92</v>
      </c>
      <c r="E14" s="1">
        <v>90.6</v>
      </c>
      <c r="F14" s="1">
        <v>101.91</v>
      </c>
      <c r="G14" s="1">
        <v>72.069999999999993</v>
      </c>
    </row>
    <row r="15" spans="1:7" x14ac:dyDescent="0.25">
      <c r="A15" s="1" t="s">
        <v>19</v>
      </c>
      <c r="B15" s="1">
        <v>11</v>
      </c>
      <c r="C15" s="1">
        <v>9</v>
      </c>
      <c r="D15" s="1">
        <v>3</v>
      </c>
      <c r="E15" s="1">
        <v>3</v>
      </c>
      <c r="F15" s="1">
        <v>8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1946.73</v>
      </c>
      <c r="C17" s="1">
        <v>1587.98</v>
      </c>
      <c r="D17" s="1">
        <v>1289.21</v>
      </c>
      <c r="E17" s="1">
        <v>553.20000000000005</v>
      </c>
      <c r="F17" s="1">
        <v>241.68</v>
      </c>
      <c r="G17" s="1">
        <v>1365.49</v>
      </c>
    </row>
    <row r="18" spans="1:7" x14ac:dyDescent="0.25">
      <c r="A18" s="1" t="s">
        <v>22</v>
      </c>
      <c r="B18" s="1">
        <v>0</v>
      </c>
      <c r="C18" s="1">
        <v>0</v>
      </c>
      <c r="D18" s="1">
        <v>3.08</v>
      </c>
      <c r="E18" s="1">
        <v>228.67</v>
      </c>
      <c r="F18" s="1">
        <v>605.38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3.2</v>
      </c>
      <c r="F20" s="1">
        <v>3.5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6.8</v>
      </c>
      <c r="F21" s="1">
        <v>6.5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2.2000000000000002</v>
      </c>
      <c r="F24" s="1">
        <v>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1.3</v>
      </c>
      <c r="F25" s="1">
        <v>3.1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6.5</v>
      </c>
      <c r="F26" s="1">
        <v>2.9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22.000000000000004</v>
      </c>
      <c r="F29" s="3">
        <f t="shared" si="1"/>
        <v>40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13</v>
      </c>
      <c r="F30" s="3">
        <f t="shared" si="2"/>
        <v>31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65</v>
      </c>
      <c r="F31" s="3">
        <f t="shared" si="3"/>
        <v>28.999999999999996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195.78</v>
      </c>
      <c r="C33" s="3">
        <v>166.91</v>
      </c>
      <c r="D33" s="3">
        <v>133.61000000000001</v>
      </c>
      <c r="E33" s="3">
        <v>34.24</v>
      </c>
      <c r="F33" s="3">
        <v>-3.66</v>
      </c>
      <c r="G33" s="3">
        <v>146.44</v>
      </c>
    </row>
    <row r="35" spans="1:7" x14ac:dyDescent="0.25">
      <c r="A35" s="3" t="s">
        <v>36</v>
      </c>
      <c r="B35" s="3"/>
      <c r="C35" s="3"/>
      <c r="D35" s="3">
        <f>D33-C33</f>
        <v>-33.299999999999983</v>
      </c>
      <c r="E35" s="3"/>
      <c r="F35" s="3">
        <f>F33-E33</f>
        <v>-37.900000000000006</v>
      </c>
      <c r="G35" s="3"/>
    </row>
    <row r="37" spans="1:7" x14ac:dyDescent="0.25">
      <c r="A37" s="3" t="s">
        <v>36</v>
      </c>
      <c r="B37" s="3"/>
      <c r="C37" s="3">
        <f>C33-B33</f>
        <v>-28.870000000000005</v>
      </c>
      <c r="D37" s="3"/>
      <c r="E37" s="3">
        <f>E33-D33</f>
        <v>-99.37</v>
      </c>
      <c r="F37" s="3"/>
      <c r="G37" s="3">
        <f>G33-F33</f>
        <v>150.1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0DC0-97D7-4F06-A20E-82061DEE27DF}">
  <dimension ref="A1:G37"/>
  <sheetViews>
    <sheetView topLeftCell="A7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448.34</v>
      </c>
      <c r="C2" s="1">
        <v>505.91</v>
      </c>
      <c r="D2" s="1">
        <v>520.55999999999995</v>
      </c>
      <c r="E2" s="1">
        <v>466.48</v>
      </c>
      <c r="F2" s="1">
        <v>435.79</v>
      </c>
      <c r="G2" s="1">
        <v>300.41000000000003</v>
      </c>
    </row>
    <row r="3" spans="1:7" x14ac:dyDescent="0.25">
      <c r="A3" s="1" t="s">
        <v>7</v>
      </c>
      <c r="B3" s="1">
        <v>39.01</v>
      </c>
      <c r="C3" s="1">
        <v>42.17</v>
      </c>
      <c r="D3" s="1">
        <v>43.21</v>
      </c>
      <c r="E3" s="1">
        <v>37.380000000000003</v>
      </c>
      <c r="F3" s="1">
        <v>38.47</v>
      </c>
      <c r="G3" s="1">
        <v>32.78</v>
      </c>
    </row>
    <row r="4" spans="1:7" x14ac:dyDescent="0.25">
      <c r="A4" s="1" t="s">
        <v>8</v>
      </c>
      <c r="B4" s="1">
        <v>17832.669999999998</v>
      </c>
      <c r="C4" s="1">
        <v>21730.13</v>
      </c>
      <c r="D4" s="1">
        <v>22876.34</v>
      </c>
      <c r="E4" s="1">
        <v>17698.2</v>
      </c>
      <c r="F4" s="1">
        <v>17030.72</v>
      </c>
      <c r="G4" s="1">
        <v>10119.89</v>
      </c>
    </row>
    <row r="5" spans="1:7" x14ac:dyDescent="0.25">
      <c r="A5" s="1" t="s">
        <v>9</v>
      </c>
      <c r="B5" s="1">
        <v>2279.1999999999998</v>
      </c>
      <c r="C5" s="1">
        <v>1976.87</v>
      </c>
      <c r="D5" s="1">
        <v>953.8</v>
      </c>
      <c r="E5" s="1">
        <v>553.51</v>
      </c>
      <c r="F5" s="1">
        <v>1096.24</v>
      </c>
      <c r="G5" s="1">
        <v>1180.7</v>
      </c>
    </row>
    <row r="6" spans="1:7" x14ac:dyDescent="0.25">
      <c r="A6" s="3" t="s">
        <v>10</v>
      </c>
      <c r="B6" s="3">
        <v>227.92</v>
      </c>
      <c r="C6" s="3">
        <v>199.68</v>
      </c>
      <c r="D6" s="3">
        <v>96.34</v>
      </c>
      <c r="E6" s="3">
        <v>55.91</v>
      </c>
      <c r="F6" s="3">
        <v>110.73</v>
      </c>
      <c r="G6" s="3">
        <v>120.48</v>
      </c>
    </row>
    <row r="7" spans="1:7" x14ac:dyDescent="0.25">
      <c r="A7" s="1" t="s">
        <v>11</v>
      </c>
      <c r="B7" s="1">
        <v>2080.13</v>
      </c>
      <c r="C7" s="1">
        <v>1857.61</v>
      </c>
      <c r="D7" s="1">
        <v>926.75</v>
      </c>
      <c r="E7" s="1">
        <v>521.92999999999995</v>
      </c>
      <c r="F7" s="1">
        <v>977.93</v>
      </c>
      <c r="G7" s="1">
        <v>1029.02</v>
      </c>
    </row>
    <row r="8" spans="1:7" x14ac:dyDescent="0.25">
      <c r="A8" s="1" t="s">
        <v>12</v>
      </c>
      <c r="B8" s="1">
        <v>208.01</v>
      </c>
      <c r="C8" s="1">
        <v>187.64</v>
      </c>
      <c r="D8" s="1">
        <v>93.61</v>
      </c>
      <c r="E8" s="1">
        <v>52.72</v>
      </c>
      <c r="F8" s="1">
        <v>98.78</v>
      </c>
      <c r="G8" s="1">
        <v>105</v>
      </c>
    </row>
    <row r="9" spans="1:7" x14ac:dyDescent="0.25">
      <c r="A9" s="1" t="s">
        <v>13</v>
      </c>
      <c r="B9" s="1">
        <v>2080.13</v>
      </c>
      <c r="C9" s="1">
        <v>1857.61</v>
      </c>
      <c r="D9" s="1">
        <v>923.06</v>
      </c>
      <c r="E9" s="1">
        <v>164.09</v>
      </c>
      <c r="F9" s="1">
        <v>-430.4</v>
      </c>
      <c r="G9" s="1">
        <v>422.43</v>
      </c>
    </row>
    <row r="10" spans="1:7" x14ac:dyDescent="0.25">
      <c r="A10" s="1" t="s">
        <v>14</v>
      </c>
      <c r="B10" s="1">
        <v>208.01</v>
      </c>
      <c r="C10" s="1">
        <v>187.64</v>
      </c>
      <c r="D10" s="1">
        <v>93.24</v>
      </c>
      <c r="E10" s="1">
        <v>16.57</v>
      </c>
      <c r="F10" s="1">
        <v>-43.47</v>
      </c>
      <c r="G10" s="1">
        <v>43.11</v>
      </c>
    </row>
    <row r="11" spans="1:7" x14ac:dyDescent="0.25">
      <c r="A11" s="1" t="s">
        <v>15</v>
      </c>
      <c r="B11" s="1">
        <v>1760.03</v>
      </c>
      <c r="C11" s="1">
        <v>1523.78</v>
      </c>
      <c r="D11" s="1">
        <v>806.27</v>
      </c>
      <c r="E11" s="1">
        <v>164.44</v>
      </c>
      <c r="F11" s="1">
        <v>175.7</v>
      </c>
      <c r="G11" s="1">
        <v>110.39</v>
      </c>
    </row>
    <row r="12" spans="1:7" x14ac:dyDescent="0.25">
      <c r="A12" s="1" t="s">
        <v>16</v>
      </c>
      <c r="B12" s="1">
        <v>254.76</v>
      </c>
      <c r="C12" s="1">
        <v>267.33999999999997</v>
      </c>
      <c r="D12" s="1">
        <v>256.02</v>
      </c>
      <c r="E12" s="1">
        <v>232.58</v>
      </c>
      <c r="F12" s="1">
        <v>226.74</v>
      </c>
      <c r="G12" s="1">
        <v>146.65</v>
      </c>
    </row>
    <row r="13" spans="1:7" x14ac:dyDescent="0.25">
      <c r="A13" s="1" t="s">
        <v>17</v>
      </c>
      <c r="B13" s="1">
        <v>40.86</v>
      </c>
      <c r="C13" s="1">
        <v>39.89</v>
      </c>
      <c r="D13" s="1">
        <v>28.11</v>
      </c>
      <c r="E13" s="1">
        <v>15.35</v>
      </c>
      <c r="F13" s="1">
        <v>35.520000000000003</v>
      </c>
      <c r="G13" s="1">
        <v>27.34</v>
      </c>
    </row>
    <row r="14" spans="1:7" x14ac:dyDescent="0.25">
      <c r="A14" s="1" t="s">
        <v>18</v>
      </c>
      <c r="B14" s="1">
        <v>82.27</v>
      </c>
      <c r="C14" s="1">
        <v>75.14</v>
      </c>
      <c r="D14" s="1">
        <v>74.849999999999994</v>
      </c>
      <c r="E14" s="1">
        <v>45.34</v>
      </c>
      <c r="F14" s="1">
        <v>79.08</v>
      </c>
      <c r="G14" s="1">
        <v>59.23</v>
      </c>
    </row>
    <row r="15" spans="1:7" x14ac:dyDescent="0.25">
      <c r="A15" s="1" t="s">
        <v>19</v>
      </c>
      <c r="B15" s="1">
        <v>8</v>
      </c>
      <c r="C15" s="1">
        <v>8</v>
      </c>
      <c r="D15" s="1">
        <v>4</v>
      </c>
      <c r="E15" s="1">
        <v>2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2080.13</v>
      </c>
      <c r="C17" s="1">
        <v>1857.61</v>
      </c>
      <c r="D17" s="1">
        <v>924.9</v>
      </c>
      <c r="E17" s="1">
        <v>343.01</v>
      </c>
      <c r="F17" s="1">
        <v>273.76</v>
      </c>
      <c r="G17" s="1">
        <v>725.73</v>
      </c>
    </row>
    <row r="18" spans="1:7" x14ac:dyDescent="0.25">
      <c r="A18" s="1" t="s">
        <v>22</v>
      </c>
      <c r="B18" s="1">
        <v>0</v>
      </c>
      <c r="C18" s="1">
        <v>0</v>
      </c>
      <c r="D18" s="1">
        <v>1.85</v>
      </c>
      <c r="E18" s="1">
        <v>178.92</v>
      </c>
      <c r="F18" s="1">
        <v>704.16</v>
      </c>
      <c r="G18" s="1">
        <v>303.3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3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2.5</v>
      </c>
      <c r="F20" s="1">
        <v>5.0999999999999996</v>
      </c>
      <c r="G20" s="1">
        <v>4.0999999999999996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7.5</v>
      </c>
      <c r="F21" s="1">
        <v>4.9000000000000004</v>
      </c>
      <c r="G21" s="1">
        <v>5.8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1.2</v>
      </c>
      <c r="F24" s="1">
        <v>5.3</v>
      </c>
      <c r="G24" s="1">
        <v>3.2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3.6</v>
      </c>
      <c r="F25" s="1">
        <v>1.7</v>
      </c>
      <c r="G25" s="1">
        <v>2.2000000000000002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5.2</v>
      </c>
      <c r="F26" s="1">
        <v>3</v>
      </c>
      <c r="G26" s="1">
        <v>4.5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12</v>
      </c>
      <c r="F29" s="3">
        <f t="shared" si="1"/>
        <v>53</v>
      </c>
      <c r="G29" s="3">
        <f t="shared" si="1"/>
        <v>32.323232323232325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36</v>
      </c>
      <c r="F30" s="3">
        <f t="shared" si="2"/>
        <v>17</v>
      </c>
      <c r="G30" s="3">
        <f t="shared" si="2"/>
        <v>22.222222222222225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52</v>
      </c>
      <c r="F31" s="3">
        <f t="shared" si="3"/>
        <v>30</v>
      </c>
      <c r="G31" s="3">
        <f t="shared" si="3"/>
        <v>45.454545454545453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223.53</v>
      </c>
      <c r="C33" s="3">
        <v>196.02</v>
      </c>
      <c r="D33" s="3">
        <v>97.97</v>
      </c>
      <c r="E33" s="3">
        <v>16.88</v>
      </c>
      <c r="F33" s="3">
        <v>-3.31</v>
      </c>
      <c r="G33" s="3">
        <v>28.05</v>
      </c>
    </row>
    <row r="35" spans="1:7" x14ac:dyDescent="0.25">
      <c r="A35" s="3" t="s">
        <v>36</v>
      </c>
      <c r="B35" s="3"/>
      <c r="C35" s="3"/>
      <c r="D35" s="3">
        <f>D33-C33</f>
        <v>-98.050000000000011</v>
      </c>
      <c r="E35" s="3"/>
      <c r="F35" s="3">
        <f>F33-E33</f>
        <v>-20.189999999999998</v>
      </c>
      <c r="G35" s="3"/>
    </row>
    <row r="37" spans="1:7" x14ac:dyDescent="0.25">
      <c r="A37" s="3" t="s">
        <v>36</v>
      </c>
      <c r="B37" s="3"/>
      <c r="C37" s="3">
        <f>C33-B33</f>
        <v>-27.509999999999991</v>
      </c>
      <c r="D37" s="3"/>
      <c r="E37" s="3">
        <f>E33-D33</f>
        <v>-81.09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4E84-1A3A-4A7D-B780-62F8675260F7}">
  <dimension ref="A1:G37"/>
  <sheetViews>
    <sheetView topLeftCell="A7" workbookViewId="0">
      <selection activeCell="K22" sqref="K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285.74</v>
      </c>
      <c r="C2" s="1">
        <v>351.61</v>
      </c>
      <c r="D2" s="1">
        <v>292.89999999999998</v>
      </c>
      <c r="E2" s="1">
        <v>352.52</v>
      </c>
      <c r="F2" s="1">
        <v>340.02</v>
      </c>
      <c r="G2" s="1">
        <v>377.19</v>
      </c>
    </row>
    <row r="3" spans="1:7" x14ac:dyDescent="0.25">
      <c r="A3" s="1" t="s">
        <v>7</v>
      </c>
      <c r="B3" s="1">
        <v>59.48</v>
      </c>
      <c r="C3" s="1">
        <v>29.75</v>
      </c>
      <c r="D3" s="1">
        <v>25.76</v>
      </c>
      <c r="E3" s="1">
        <v>25.22</v>
      </c>
      <c r="F3" s="1">
        <v>26.4</v>
      </c>
      <c r="G3" s="1">
        <v>32.799999999999997</v>
      </c>
    </row>
    <row r="4" spans="1:7" x14ac:dyDescent="0.25">
      <c r="A4" s="1" t="s">
        <v>8</v>
      </c>
      <c r="B4" s="1">
        <v>17427.150000000001</v>
      </c>
      <c r="C4" s="1">
        <v>10656.24</v>
      </c>
      <c r="D4" s="1">
        <v>7711.96</v>
      </c>
      <c r="E4" s="1">
        <v>9073.0400000000009</v>
      </c>
      <c r="F4" s="1">
        <v>9224.23</v>
      </c>
      <c r="G4" s="1">
        <v>12536.62</v>
      </c>
    </row>
    <row r="5" spans="1:7" x14ac:dyDescent="0.25">
      <c r="A5" s="1" t="s">
        <v>9</v>
      </c>
      <c r="B5" s="1">
        <v>393.76</v>
      </c>
      <c r="C5" s="1">
        <v>1168.56</v>
      </c>
      <c r="D5" s="1">
        <v>817.35</v>
      </c>
      <c r="E5" s="1">
        <v>453.48</v>
      </c>
      <c r="F5" s="1">
        <v>728.95</v>
      </c>
      <c r="G5" s="1">
        <v>563.28</v>
      </c>
    </row>
    <row r="6" spans="1:7" x14ac:dyDescent="0.25">
      <c r="A6" s="3" t="s">
        <v>10</v>
      </c>
      <c r="B6" s="3">
        <v>39.380000000000003</v>
      </c>
      <c r="C6" s="3">
        <v>118.04</v>
      </c>
      <c r="D6" s="3">
        <v>82.56</v>
      </c>
      <c r="E6" s="3">
        <v>45.81</v>
      </c>
      <c r="F6" s="3">
        <v>73.63</v>
      </c>
      <c r="G6" s="3">
        <v>57.48</v>
      </c>
    </row>
    <row r="7" spans="1:7" x14ac:dyDescent="0.25">
      <c r="A7" s="1" t="s">
        <v>11</v>
      </c>
      <c r="B7" s="1">
        <v>317.39</v>
      </c>
      <c r="C7" s="1">
        <v>1037.6300000000001</v>
      </c>
      <c r="D7" s="1">
        <v>749.86</v>
      </c>
      <c r="E7" s="1">
        <v>415.07</v>
      </c>
      <c r="F7" s="1">
        <v>648.02</v>
      </c>
      <c r="G7" s="1">
        <v>535.30999999999995</v>
      </c>
    </row>
    <row r="8" spans="1:7" x14ac:dyDescent="0.25">
      <c r="A8" s="1" t="s">
        <v>12</v>
      </c>
      <c r="B8" s="1">
        <v>31.74</v>
      </c>
      <c r="C8" s="1">
        <v>104.81</v>
      </c>
      <c r="D8" s="1">
        <v>75.739999999999995</v>
      </c>
      <c r="E8" s="1">
        <v>41.93</v>
      </c>
      <c r="F8" s="1">
        <v>65.459999999999994</v>
      </c>
      <c r="G8" s="1">
        <v>54.62</v>
      </c>
    </row>
    <row r="9" spans="1:7" x14ac:dyDescent="0.25">
      <c r="A9" s="1" t="s">
        <v>13</v>
      </c>
      <c r="B9" s="1">
        <v>164.14</v>
      </c>
      <c r="C9" s="1">
        <v>925.41</v>
      </c>
      <c r="D9" s="1">
        <v>742.75</v>
      </c>
      <c r="E9" s="1">
        <v>79.91</v>
      </c>
      <c r="F9" s="1">
        <v>353.05</v>
      </c>
      <c r="G9" s="1">
        <v>406.01</v>
      </c>
    </row>
    <row r="10" spans="1:7" x14ac:dyDescent="0.25">
      <c r="A10" s="1" t="s">
        <v>14</v>
      </c>
      <c r="B10" s="1">
        <v>16.41</v>
      </c>
      <c r="C10" s="1">
        <v>93.48</v>
      </c>
      <c r="D10" s="1">
        <v>75.03</v>
      </c>
      <c r="E10" s="1">
        <v>8.07</v>
      </c>
      <c r="F10" s="1">
        <v>35.659999999999997</v>
      </c>
      <c r="G10" s="1">
        <v>41.43</v>
      </c>
    </row>
    <row r="11" spans="1:7" x14ac:dyDescent="0.25">
      <c r="A11" s="1" t="s">
        <v>15</v>
      </c>
      <c r="B11" s="1">
        <v>159.99</v>
      </c>
      <c r="C11" s="1">
        <v>931.06</v>
      </c>
      <c r="D11" s="1">
        <v>709.61</v>
      </c>
      <c r="E11" s="1">
        <v>78.040000000000006</v>
      </c>
      <c r="F11" s="1">
        <v>203.81</v>
      </c>
      <c r="G11" s="1">
        <v>357.76</v>
      </c>
    </row>
    <row r="12" spans="1:7" x14ac:dyDescent="0.25">
      <c r="A12" s="1" t="s">
        <v>16</v>
      </c>
      <c r="B12" s="1">
        <v>92.99</v>
      </c>
      <c r="C12" s="1">
        <v>179.57</v>
      </c>
      <c r="D12" s="1">
        <v>164.89</v>
      </c>
      <c r="E12" s="1">
        <v>185.09</v>
      </c>
      <c r="F12" s="1">
        <v>169.7</v>
      </c>
      <c r="G12" s="1">
        <v>190.58</v>
      </c>
    </row>
    <row r="13" spans="1:7" x14ac:dyDescent="0.25">
      <c r="A13" s="1" t="s">
        <v>17</v>
      </c>
      <c r="B13" s="1">
        <v>42.81</v>
      </c>
      <c r="C13" s="1">
        <v>25.84</v>
      </c>
      <c r="D13" s="1">
        <v>23.81</v>
      </c>
      <c r="E13" s="1">
        <v>5.88</v>
      </c>
      <c r="F13" s="1">
        <v>37.36</v>
      </c>
      <c r="G13" s="1">
        <v>23.62</v>
      </c>
    </row>
    <row r="14" spans="1:7" x14ac:dyDescent="0.25">
      <c r="A14" s="1" t="s">
        <v>18</v>
      </c>
      <c r="B14" s="1">
        <v>64.58</v>
      </c>
      <c r="C14" s="1">
        <v>60.92</v>
      </c>
      <c r="D14" s="1">
        <v>36.700000000000003</v>
      </c>
      <c r="E14" s="1">
        <v>13.84</v>
      </c>
      <c r="F14" s="1">
        <v>79.12</v>
      </c>
      <c r="G14" s="1">
        <v>60.89</v>
      </c>
    </row>
    <row r="15" spans="1:7" x14ac:dyDescent="0.25">
      <c r="A15" s="1" t="s">
        <v>19</v>
      </c>
      <c r="B15" s="1">
        <v>5</v>
      </c>
      <c r="C15" s="1">
        <v>6</v>
      </c>
      <c r="D15" s="1">
        <v>7</v>
      </c>
      <c r="E15" s="1">
        <v>0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240.76</v>
      </c>
      <c r="C17" s="1">
        <v>981.52</v>
      </c>
      <c r="D17" s="1">
        <v>746.3</v>
      </c>
      <c r="E17" s="1">
        <v>247.49</v>
      </c>
      <c r="F17" s="1">
        <v>500.53</v>
      </c>
      <c r="G17" s="1">
        <v>470.66</v>
      </c>
    </row>
    <row r="18" spans="1:7" x14ac:dyDescent="0.25">
      <c r="A18" s="1" t="s">
        <v>22</v>
      </c>
      <c r="B18" s="1">
        <v>76.63</v>
      </c>
      <c r="C18" s="1">
        <v>56.11</v>
      </c>
      <c r="D18" s="1">
        <v>3.55</v>
      </c>
      <c r="E18" s="1">
        <v>167.58</v>
      </c>
      <c r="F18" s="1">
        <v>147.49</v>
      </c>
      <c r="G18" s="1">
        <v>64.650000000000006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3.8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6.2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1.6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3.6</v>
      </c>
      <c r="G24" s="1">
        <v>0</v>
      </c>
    </row>
    <row r="25" spans="1:7" x14ac:dyDescent="0.25">
      <c r="A25" s="1" t="s">
        <v>29</v>
      </c>
      <c r="B25" s="1">
        <v>6.8</v>
      </c>
      <c r="C25" s="1">
        <v>0</v>
      </c>
      <c r="D25" s="1">
        <v>0</v>
      </c>
      <c r="E25" s="1">
        <v>10</v>
      </c>
      <c r="F25" s="1">
        <v>4.5999999999999996</v>
      </c>
      <c r="G25" s="1">
        <v>5</v>
      </c>
    </row>
    <row r="26" spans="1:7" x14ac:dyDescent="0.25">
      <c r="A26" s="1" t="s">
        <v>30</v>
      </c>
      <c r="B26" s="1">
        <v>3.3</v>
      </c>
      <c r="C26" s="1">
        <v>10</v>
      </c>
      <c r="D26" s="1">
        <v>10</v>
      </c>
      <c r="E26" s="1">
        <v>0</v>
      </c>
      <c r="F26" s="1">
        <v>1.8</v>
      </c>
      <c r="G26" s="1">
        <v>4.9000000000000004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67.32673267326733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46</v>
      </c>
      <c r="G30" s="3">
        <f t="shared" si="2"/>
        <v>50.505050505050505</v>
      </c>
    </row>
    <row r="31" spans="1:7" x14ac:dyDescent="0.25">
      <c r="A31" s="3" t="s">
        <v>34</v>
      </c>
      <c r="B31" s="3">
        <f>B26/B28*100</f>
        <v>32.673267326732677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18</v>
      </c>
      <c r="G31" s="3">
        <f t="shared" si="3"/>
        <v>49.494949494949495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20.36</v>
      </c>
      <c r="C33" s="3">
        <v>106.12</v>
      </c>
      <c r="D33" s="3">
        <v>80.930000000000007</v>
      </c>
      <c r="E33" s="3">
        <v>6.88</v>
      </c>
      <c r="F33" s="3">
        <v>20.91</v>
      </c>
      <c r="G33" s="3">
        <v>41.31</v>
      </c>
    </row>
    <row r="35" spans="1:7" x14ac:dyDescent="0.25">
      <c r="A35" s="3" t="s">
        <v>36</v>
      </c>
      <c r="B35" s="3"/>
      <c r="C35" s="3"/>
      <c r="D35" s="3">
        <f>D33-C33</f>
        <v>-25.189999999999998</v>
      </c>
      <c r="E35" s="3"/>
      <c r="F35" s="3">
        <f>F33-E33</f>
        <v>14.030000000000001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-74.050000000000011</v>
      </c>
      <c r="F37" s="3"/>
      <c r="G37" s="3">
        <f>G33-F33</f>
        <v>20.400000000000002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51F5-D292-4109-926E-DBF5461852C1}">
  <dimension ref="A1:G37"/>
  <sheetViews>
    <sheetView topLeftCell="A4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404.57</v>
      </c>
      <c r="C2" s="1">
        <v>422.21</v>
      </c>
      <c r="D2" s="1">
        <v>319.76</v>
      </c>
      <c r="E2" s="1">
        <v>414.06</v>
      </c>
      <c r="F2" s="1">
        <v>421.41</v>
      </c>
      <c r="G2" s="1">
        <v>386.15</v>
      </c>
    </row>
    <row r="3" spans="1:7" x14ac:dyDescent="0.25">
      <c r="A3" s="1" t="s">
        <v>7</v>
      </c>
      <c r="B3" s="1">
        <v>33.93</v>
      </c>
      <c r="C3" s="1">
        <v>38.090000000000003</v>
      </c>
      <c r="D3" s="1">
        <v>26.75</v>
      </c>
      <c r="E3" s="1">
        <v>33.51</v>
      </c>
      <c r="F3" s="1">
        <v>33.14</v>
      </c>
      <c r="G3" s="1">
        <v>34.03</v>
      </c>
    </row>
    <row r="4" spans="1:7" x14ac:dyDescent="0.25">
      <c r="A4" s="1" t="s">
        <v>8</v>
      </c>
      <c r="B4" s="1">
        <v>13998.84</v>
      </c>
      <c r="C4" s="1">
        <v>16346</v>
      </c>
      <c r="D4" s="1">
        <v>8764.36</v>
      </c>
      <c r="E4" s="1">
        <v>14133.69</v>
      </c>
      <c r="F4" s="1">
        <v>14245.5</v>
      </c>
      <c r="G4" s="1">
        <v>13381.84</v>
      </c>
    </row>
    <row r="5" spans="1:7" x14ac:dyDescent="0.25">
      <c r="A5" s="1" t="s">
        <v>9</v>
      </c>
      <c r="B5" s="1">
        <v>998.08</v>
      </c>
      <c r="C5" s="1">
        <v>790.19</v>
      </c>
      <c r="D5" s="1">
        <v>760.97</v>
      </c>
      <c r="E5" s="1">
        <v>428.14</v>
      </c>
      <c r="F5" s="1">
        <v>675.12</v>
      </c>
      <c r="G5" s="1">
        <v>727.44</v>
      </c>
    </row>
    <row r="6" spans="1:7" x14ac:dyDescent="0.25">
      <c r="A6" s="3" t="s">
        <v>10</v>
      </c>
      <c r="B6" s="3">
        <v>99.81</v>
      </c>
      <c r="C6" s="3">
        <v>79.819999999999993</v>
      </c>
      <c r="D6" s="3">
        <v>76.87</v>
      </c>
      <c r="E6" s="3">
        <v>43.25</v>
      </c>
      <c r="F6" s="3">
        <v>68.19</v>
      </c>
      <c r="G6" s="3">
        <v>74.23</v>
      </c>
    </row>
    <row r="7" spans="1:7" x14ac:dyDescent="0.25">
      <c r="A7" s="1" t="s">
        <v>11</v>
      </c>
      <c r="B7" s="1">
        <v>918.59</v>
      </c>
      <c r="C7" s="1">
        <v>669.81</v>
      </c>
      <c r="D7" s="1">
        <v>721.33</v>
      </c>
      <c r="E7" s="1">
        <v>389.36</v>
      </c>
      <c r="F7" s="1">
        <v>606.59</v>
      </c>
      <c r="G7" s="1">
        <v>544.61</v>
      </c>
    </row>
    <row r="8" spans="1:7" x14ac:dyDescent="0.25">
      <c r="A8" s="1" t="s">
        <v>12</v>
      </c>
      <c r="B8" s="1">
        <v>91.86</v>
      </c>
      <c r="C8" s="1">
        <v>67.66</v>
      </c>
      <c r="D8" s="1">
        <v>72.86</v>
      </c>
      <c r="E8" s="1">
        <v>39.33</v>
      </c>
      <c r="F8" s="1">
        <v>61.27</v>
      </c>
      <c r="G8" s="1">
        <v>55.57</v>
      </c>
    </row>
    <row r="9" spans="1:7" x14ac:dyDescent="0.25">
      <c r="A9" s="1" t="s">
        <v>13</v>
      </c>
      <c r="B9" s="1">
        <v>690.89</v>
      </c>
      <c r="C9" s="1">
        <v>342.65</v>
      </c>
      <c r="D9" s="1">
        <v>642.03</v>
      </c>
      <c r="E9" s="1">
        <v>189.44</v>
      </c>
      <c r="F9" s="1">
        <v>259.72000000000003</v>
      </c>
      <c r="G9" s="1">
        <v>137.88999999999999</v>
      </c>
    </row>
    <row r="10" spans="1:7" x14ac:dyDescent="0.25">
      <c r="A10" s="1" t="s">
        <v>14</v>
      </c>
      <c r="B10" s="1">
        <v>69.09</v>
      </c>
      <c r="C10" s="1">
        <v>34.61</v>
      </c>
      <c r="D10" s="1">
        <v>64.849999999999994</v>
      </c>
      <c r="E10" s="1">
        <v>19.14</v>
      </c>
      <c r="F10" s="1">
        <v>26.23</v>
      </c>
      <c r="G10" s="1">
        <v>14.07</v>
      </c>
    </row>
    <row r="11" spans="1:7" x14ac:dyDescent="0.25">
      <c r="A11" s="1" t="s">
        <v>15</v>
      </c>
      <c r="B11" s="1">
        <v>377.83</v>
      </c>
      <c r="C11" s="1">
        <v>52.43</v>
      </c>
      <c r="D11" s="1">
        <v>636.80999999999995</v>
      </c>
      <c r="E11" s="1">
        <v>169.65</v>
      </c>
      <c r="F11" s="1">
        <v>43.69</v>
      </c>
      <c r="G11" s="1">
        <v>76.650000000000006</v>
      </c>
    </row>
    <row r="12" spans="1:7" x14ac:dyDescent="0.25">
      <c r="A12" s="1" t="s">
        <v>16</v>
      </c>
      <c r="B12" s="1">
        <v>191.13</v>
      </c>
      <c r="C12" s="1">
        <v>147.41</v>
      </c>
      <c r="D12" s="1">
        <v>181.04</v>
      </c>
      <c r="E12" s="1">
        <v>210.18</v>
      </c>
      <c r="F12" s="1">
        <v>195.65</v>
      </c>
      <c r="G12" s="1">
        <v>157.87</v>
      </c>
    </row>
    <row r="13" spans="1:7" x14ac:dyDescent="0.25">
      <c r="A13" s="1" t="s">
        <v>17</v>
      </c>
      <c r="B13" s="1">
        <v>30.57</v>
      </c>
      <c r="C13" s="1">
        <v>39.270000000000003</v>
      </c>
      <c r="D13" s="1">
        <v>11.89</v>
      </c>
      <c r="E13" s="1">
        <v>22.93</v>
      </c>
      <c r="F13" s="1">
        <v>55.62</v>
      </c>
      <c r="G13" s="1">
        <v>51.99</v>
      </c>
    </row>
    <row r="14" spans="1:7" x14ac:dyDescent="0.25">
      <c r="A14" s="1" t="s">
        <v>18</v>
      </c>
      <c r="B14" s="1">
        <v>78.19</v>
      </c>
      <c r="C14" s="1">
        <v>75.98</v>
      </c>
      <c r="D14" s="1">
        <v>44.69</v>
      </c>
      <c r="E14" s="1">
        <v>81.91</v>
      </c>
      <c r="F14" s="1">
        <v>92.45</v>
      </c>
      <c r="G14" s="1">
        <v>83.39</v>
      </c>
    </row>
    <row r="15" spans="1:7" x14ac:dyDescent="0.25">
      <c r="A15" s="1" t="s">
        <v>19</v>
      </c>
      <c r="B15" s="1">
        <v>5</v>
      </c>
      <c r="C15" s="1">
        <v>6</v>
      </c>
      <c r="D15" s="1">
        <v>3</v>
      </c>
      <c r="E15" s="1">
        <v>3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804.74</v>
      </c>
      <c r="C17" s="1">
        <v>506.23</v>
      </c>
      <c r="D17" s="1">
        <v>681.68</v>
      </c>
      <c r="E17" s="1">
        <v>289.39999999999998</v>
      </c>
      <c r="F17" s="1">
        <v>433.16</v>
      </c>
      <c r="G17" s="1">
        <v>341.25</v>
      </c>
    </row>
    <row r="18" spans="1:7" x14ac:dyDescent="0.25">
      <c r="A18" s="1" t="s">
        <v>22</v>
      </c>
      <c r="B18" s="1">
        <v>113.85</v>
      </c>
      <c r="C18" s="1">
        <v>163.58000000000001</v>
      </c>
      <c r="D18" s="1">
        <v>39.65</v>
      </c>
      <c r="E18" s="1">
        <v>99.96</v>
      </c>
      <c r="F18" s="1">
        <v>173.44</v>
      </c>
      <c r="G18" s="1">
        <v>203.36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1</v>
      </c>
      <c r="F19" s="1">
        <v>2</v>
      </c>
      <c r="G19" s="1">
        <v>2</v>
      </c>
    </row>
    <row r="20" spans="1:7" x14ac:dyDescent="0.25">
      <c r="A20" s="1" t="s">
        <v>24</v>
      </c>
      <c r="B20" s="1">
        <v>2.4</v>
      </c>
      <c r="C20" s="1">
        <v>2.2000000000000002</v>
      </c>
      <c r="D20" s="1">
        <v>0</v>
      </c>
      <c r="E20" s="1">
        <v>1.8</v>
      </c>
      <c r="F20" s="1">
        <v>4.0999999999999996</v>
      </c>
      <c r="G20" s="1">
        <v>2.5</v>
      </c>
    </row>
    <row r="21" spans="1:7" x14ac:dyDescent="0.25">
      <c r="A21" s="1" t="s">
        <v>25</v>
      </c>
      <c r="B21" s="1">
        <v>7.7</v>
      </c>
      <c r="C21" s="1">
        <v>7.8</v>
      </c>
      <c r="D21" s="1">
        <v>10</v>
      </c>
      <c r="E21" s="1">
        <v>8.1999999999999993</v>
      </c>
      <c r="F21" s="1">
        <v>5.9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2.2999999999999998</v>
      </c>
      <c r="G23" s="1">
        <v>0</v>
      </c>
    </row>
    <row r="24" spans="1:7" x14ac:dyDescent="0.25">
      <c r="A24" s="1" t="s">
        <v>28</v>
      </c>
      <c r="B24" s="1">
        <v>2.6</v>
      </c>
      <c r="C24" s="1">
        <v>2.2000000000000002</v>
      </c>
      <c r="D24" s="1">
        <v>0</v>
      </c>
      <c r="E24" s="1">
        <v>0</v>
      </c>
      <c r="F24" s="1">
        <v>2.2000000000000002</v>
      </c>
      <c r="G24" s="1">
        <v>1</v>
      </c>
    </row>
    <row r="25" spans="1:7" x14ac:dyDescent="0.25">
      <c r="A25" s="1" t="s">
        <v>29</v>
      </c>
      <c r="B25" s="1">
        <v>0</v>
      </c>
      <c r="C25" s="1">
        <v>1</v>
      </c>
      <c r="D25" s="1">
        <v>2</v>
      </c>
      <c r="E25" s="1">
        <v>8.6999999999999993</v>
      </c>
      <c r="F25" s="1">
        <v>4.8</v>
      </c>
      <c r="G25" s="1">
        <v>5.4</v>
      </c>
    </row>
    <row r="26" spans="1:7" x14ac:dyDescent="0.25">
      <c r="A26" s="1" t="s">
        <v>30</v>
      </c>
      <c r="B26" s="1">
        <v>7.5</v>
      </c>
      <c r="C26" s="1">
        <v>6.8</v>
      </c>
      <c r="D26" s="1">
        <v>8</v>
      </c>
      <c r="E26" s="1">
        <v>1.3</v>
      </c>
      <c r="F26" s="1">
        <v>3</v>
      </c>
      <c r="G26" s="1">
        <v>3.5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25.742574257425744</v>
      </c>
      <c r="C29" s="3">
        <f t="shared" ref="C29:G29" si="1">C24/C28*100</f>
        <v>22.000000000000004</v>
      </c>
      <c r="D29" s="3">
        <f t="shared" si="1"/>
        <v>0</v>
      </c>
      <c r="E29" s="3">
        <f t="shared" si="1"/>
        <v>0</v>
      </c>
      <c r="F29" s="3">
        <f t="shared" si="1"/>
        <v>22.000000000000004</v>
      </c>
      <c r="G29" s="3">
        <f t="shared" si="1"/>
        <v>10.1010101010101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10</v>
      </c>
      <c r="D30" s="3">
        <f t="shared" si="2"/>
        <v>20</v>
      </c>
      <c r="E30" s="3">
        <f t="shared" si="2"/>
        <v>86.999999999999986</v>
      </c>
      <c r="F30" s="3">
        <f t="shared" si="2"/>
        <v>48</v>
      </c>
      <c r="G30" s="3">
        <f t="shared" si="2"/>
        <v>54.545454545454554</v>
      </c>
    </row>
    <row r="31" spans="1:7" x14ac:dyDescent="0.25">
      <c r="A31" s="3" t="s">
        <v>34</v>
      </c>
      <c r="B31" s="3">
        <f>B26/B28*100</f>
        <v>74.257425742574256</v>
      </c>
      <c r="C31" s="3">
        <f t="shared" ref="C31:G31" si="3">C26/C28*100</f>
        <v>68</v>
      </c>
      <c r="D31" s="3">
        <f t="shared" si="3"/>
        <v>80</v>
      </c>
      <c r="E31" s="3">
        <f t="shared" si="3"/>
        <v>13</v>
      </c>
      <c r="F31" s="3">
        <f t="shared" si="3"/>
        <v>30</v>
      </c>
      <c r="G31" s="3">
        <f t="shared" si="3"/>
        <v>35.353535353535356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59.53</v>
      </c>
      <c r="C33" s="3">
        <v>25.12</v>
      </c>
      <c r="D33" s="3">
        <v>72.959999999999994</v>
      </c>
      <c r="E33" s="3">
        <v>18.62</v>
      </c>
      <c r="F33" s="3">
        <v>-0.26</v>
      </c>
      <c r="G33" s="3">
        <v>6.21</v>
      </c>
    </row>
    <row r="35" spans="1:7" x14ac:dyDescent="0.25">
      <c r="A35" s="3" t="s">
        <v>36</v>
      </c>
      <c r="B35" s="3"/>
      <c r="C35" s="3"/>
      <c r="D35" s="3">
        <f>D33-C33</f>
        <v>47.839999999999989</v>
      </c>
      <c r="E35" s="3"/>
      <c r="F35" s="3">
        <f>F33-E33</f>
        <v>-18.880000000000003</v>
      </c>
      <c r="G35" s="3"/>
    </row>
    <row r="37" spans="1:7" x14ac:dyDescent="0.25">
      <c r="A37" s="3" t="s">
        <v>36</v>
      </c>
      <c r="B37" s="3"/>
      <c r="C37" s="3">
        <f>C33-B33</f>
        <v>-34.409999999999997</v>
      </c>
      <c r="D37" s="3"/>
      <c r="E37" s="3">
        <f>E33-D33</f>
        <v>-54.339999999999989</v>
      </c>
      <c r="F37" s="3"/>
      <c r="G37" s="3">
        <f>G33-F33</f>
        <v>6.47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13BC-98A3-469A-8AAF-B0A2B9B3615A}">
  <dimension ref="A1:G37"/>
  <sheetViews>
    <sheetView topLeftCell="A7" workbookViewId="0">
      <selection activeCell="K25" sqref="K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391.04</v>
      </c>
      <c r="C2" s="1">
        <v>440.4</v>
      </c>
      <c r="D2" s="1">
        <v>330.44</v>
      </c>
      <c r="E2" s="1">
        <v>403.11</v>
      </c>
      <c r="F2" s="1">
        <v>343.81</v>
      </c>
      <c r="G2" s="1">
        <v>401.35</v>
      </c>
    </row>
    <row r="3" spans="1:7" x14ac:dyDescent="0.25">
      <c r="A3" s="1" t="s">
        <v>7</v>
      </c>
      <c r="B3" s="1">
        <v>36.619999999999997</v>
      </c>
      <c r="C3" s="1">
        <v>39.46</v>
      </c>
      <c r="D3" s="1">
        <v>31.88</v>
      </c>
      <c r="E3" s="1">
        <v>36.6</v>
      </c>
      <c r="F3" s="1">
        <v>37.979999999999997</v>
      </c>
      <c r="G3" s="1">
        <v>42.33</v>
      </c>
    </row>
    <row r="4" spans="1:7" x14ac:dyDescent="0.25">
      <c r="A4" s="1" t="s">
        <v>8</v>
      </c>
      <c r="B4" s="1">
        <v>14611.86</v>
      </c>
      <c r="C4" s="1">
        <v>17660.89</v>
      </c>
      <c r="D4" s="1">
        <v>10766.25</v>
      </c>
      <c r="E4" s="1">
        <v>15003.46</v>
      </c>
      <c r="F4" s="1">
        <v>13576.42</v>
      </c>
      <c r="G4" s="1">
        <v>17309.849999999999</v>
      </c>
    </row>
    <row r="5" spans="1:7" x14ac:dyDescent="0.25">
      <c r="A5" s="1" t="s">
        <v>9</v>
      </c>
      <c r="B5" s="1">
        <v>1697.12</v>
      </c>
      <c r="C5" s="1">
        <v>1717.67</v>
      </c>
      <c r="D5" s="1">
        <v>632.46</v>
      </c>
      <c r="E5" s="1">
        <v>521.63</v>
      </c>
      <c r="F5" s="1">
        <v>883.97</v>
      </c>
      <c r="G5" s="1">
        <v>1016.78</v>
      </c>
    </row>
    <row r="6" spans="1:7" x14ac:dyDescent="0.25">
      <c r="A6" s="3" t="s">
        <v>10</v>
      </c>
      <c r="B6" s="3">
        <v>169.71</v>
      </c>
      <c r="C6" s="3">
        <v>173.5</v>
      </c>
      <c r="D6" s="3">
        <v>63.88</v>
      </c>
      <c r="E6" s="3">
        <v>52.69</v>
      </c>
      <c r="F6" s="3">
        <v>89.29</v>
      </c>
      <c r="G6" s="3">
        <v>103.75</v>
      </c>
    </row>
    <row r="7" spans="1:7" x14ac:dyDescent="0.25">
      <c r="A7" s="1" t="s">
        <v>11</v>
      </c>
      <c r="B7" s="1">
        <v>1421.92</v>
      </c>
      <c r="C7" s="1">
        <v>1563.28</v>
      </c>
      <c r="D7" s="1">
        <v>583.54</v>
      </c>
      <c r="E7" s="1">
        <v>483.01</v>
      </c>
      <c r="F7" s="1">
        <v>725.02</v>
      </c>
      <c r="G7" s="1">
        <v>887.86</v>
      </c>
    </row>
    <row r="8" spans="1:7" x14ac:dyDescent="0.25">
      <c r="A8" s="1" t="s">
        <v>12</v>
      </c>
      <c r="B8" s="1">
        <v>142.19</v>
      </c>
      <c r="C8" s="1">
        <v>157.91</v>
      </c>
      <c r="D8" s="1">
        <v>58.94</v>
      </c>
      <c r="E8" s="1">
        <v>48.79</v>
      </c>
      <c r="F8" s="1">
        <v>73.23</v>
      </c>
      <c r="G8" s="1">
        <v>90.6</v>
      </c>
    </row>
    <row r="9" spans="1:7" x14ac:dyDescent="0.25">
      <c r="A9" s="1" t="s">
        <v>13</v>
      </c>
      <c r="B9" s="1">
        <v>1381.83</v>
      </c>
      <c r="C9" s="1">
        <v>1563.28</v>
      </c>
      <c r="D9" s="1">
        <v>419.92</v>
      </c>
      <c r="E9" s="1">
        <v>-114.45</v>
      </c>
      <c r="F9" s="1">
        <v>406.91</v>
      </c>
      <c r="G9" s="1">
        <v>468.16</v>
      </c>
    </row>
    <row r="10" spans="1:7" x14ac:dyDescent="0.25">
      <c r="A10" s="1" t="s">
        <v>14</v>
      </c>
      <c r="B10" s="1">
        <v>138.18</v>
      </c>
      <c r="C10" s="1">
        <v>157.91</v>
      </c>
      <c r="D10" s="1">
        <v>42.42</v>
      </c>
      <c r="E10" s="1">
        <v>-11.56</v>
      </c>
      <c r="F10" s="1">
        <v>41.1</v>
      </c>
      <c r="G10" s="1">
        <v>47.77</v>
      </c>
    </row>
    <row r="11" spans="1:7" x14ac:dyDescent="0.25">
      <c r="A11" s="1" t="s">
        <v>15</v>
      </c>
      <c r="B11" s="1">
        <v>1427.32</v>
      </c>
      <c r="C11" s="1">
        <v>1338.04</v>
      </c>
      <c r="D11" s="1">
        <v>401.09</v>
      </c>
      <c r="E11" s="1">
        <v>9.25</v>
      </c>
      <c r="F11" s="1">
        <v>134.79</v>
      </c>
      <c r="G11" s="1">
        <v>263.79000000000002</v>
      </c>
    </row>
    <row r="12" spans="1:7" x14ac:dyDescent="0.25">
      <c r="A12" s="1" t="s">
        <v>16</v>
      </c>
      <c r="B12" s="1">
        <v>200.71</v>
      </c>
      <c r="C12" s="1">
        <v>226.89</v>
      </c>
      <c r="D12" s="1">
        <v>185.89</v>
      </c>
      <c r="E12" s="1">
        <v>207.42</v>
      </c>
      <c r="F12" s="1">
        <v>150.66</v>
      </c>
      <c r="G12" s="1">
        <v>170.86</v>
      </c>
    </row>
    <row r="13" spans="1:7" x14ac:dyDescent="0.25">
      <c r="A13" s="1" t="s">
        <v>17</v>
      </c>
      <c r="B13" s="1">
        <v>35.82</v>
      </c>
      <c r="C13" s="1">
        <v>32.729999999999997</v>
      </c>
      <c r="D13" s="1">
        <v>11.27</v>
      </c>
      <c r="E13" s="1">
        <v>23.5</v>
      </c>
      <c r="F13" s="1">
        <v>32.97</v>
      </c>
      <c r="G13" s="1">
        <v>36.68</v>
      </c>
    </row>
    <row r="14" spans="1:7" x14ac:dyDescent="0.25">
      <c r="A14" s="1" t="s">
        <v>18</v>
      </c>
      <c r="B14" s="1">
        <v>72.94</v>
      </c>
      <c r="C14" s="1">
        <v>68.8</v>
      </c>
      <c r="D14" s="1">
        <v>46.99</v>
      </c>
      <c r="E14" s="1">
        <v>49.57</v>
      </c>
      <c r="F14" s="1">
        <v>70.72</v>
      </c>
      <c r="G14" s="1">
        <v>65.7</v>
      </c>
    </row>
    <row r="15" spans="1:7" x14ac:dyDescent="0.25">
      <c r="A15" s="1" t="s">
        <v>19</v>
      </c>
      <c r="B15" s="1">
        <v>8</v>
      </c>
      <c r="C15" s="1">
        <v>8</v>
      </c>
      <c r="D15" s="1">
        <v>4</v>
      </c>
      <c r="E15" s="1">
        <v>1</v>
      </c>
      <c r="F15" s="1">
        <v>7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1401.88</v>
      </c>
      <c r="C17" s="1">
        <v>1563.28</v>
      </c>
      <c r="D17" s="1">
        <v>501.73</v>
      </c>
      <c r="E17" s="1">
        <v>184.28</v>
      </c>
      <c r="F17" s="1">
        <v>565.97</v>
      </c>
      <c r="G17" s="1">
        <v>678.01</v>
      </c>
    </row>
    <row r="18" spans="1:7" x14ac:dyDescent="0.25">
      <c r="A18" s="1" t="s">
        <v>22</v>
      </c>
      <c r="B18" s="1">
        <v>20.04</v>
      </c>
      <c r="C18" s="1">
        <v>0</v>
      </c>
      <c r="D18" s="1">
        <v>81.81</v>
      </c>
      <c r="E18" s="1">
        <v>298.73</v>
      </c>
      <c r="F18" s="1">
        <v>159.06</v>
      </c>
      <c r="G18" s="1">
        <v>209.85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1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4.9000000000000004</v>
      </c>
      <c r="F20" s="1">
        <v>3.1</v>
      </c>
      <c r="G20" s="1">
        <v>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5.0999999999999996</v>
      </c>
      <c r="F21" s="1">
        <v>6.9</v>
      </c>
      <c r="G21" s="1">
        <v>6.9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2.8</v>
      </c>
      <c r="G23" s="1">
        <v>2.5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3.5</v>
      </c>
      <c r="G24" s="1">
        <v>2.9</v>
      </c>
    </row>
    <row r="25" spans="1:7" x14ac:dyDescent="0.25">
      <c r="A25" s="1" t="s">
        <v>29</v>
      </c>
      <c r="B25" s="1">
        <v>0</v>
      </c>
      <c r="C25" s="1">
        <v>0</v>
      </c>
      <c r="D25" s="1">
        <v>4.7</v>
      </c>
      <c r="E25" s="1">
        <v>7.6</v>
      </c>
      <c r="F25" s="1">
        <v>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5.3</v>
      </c>
      <c r="E26" s="1">
        <v>2.4</v>
      </c>
      <c r="F26" s="1">
        <v>1.5</v>
      </c>
      <c r="G26" s="1">
        <v>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35</v>
      </c>
      <c r="G29" s="3">
        <f t="shared" si="1"/>
        <v>29.292929292929294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47</v>
      </c>
      <c r="E30" s="3">
        <f t="shared" si="2"/>
        <v>76</v>
      </c>
      <c r="F30" s="3">
        <f t="shared" si="2"/>
        <v>50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53</v>
      </c>
      <c r="E31" s="3">
        <f t="shared" si="3"/>
        <v>24</v>
      </c>
      <c r="F31" s="3">
        <f t="shared" si="3"/>
        <v>15</v>
      </c>
      <c r="G31" s="3">
        <f t="shared" si="3"/>
        <v>70.707070707070713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163.13</v>
      </c>
      <c r="C33" s="3">
        <v>171.84</v>
      </c>
      <c r="D33" s="3">
        <v>49.6</v>
      </c>
      <c r="E33" s="3">
        <v>4.97</v>
      </c>
      <c r="F33" s="3">
        <v>32.1</v>
      </c>
      <c r="G33" s="3">
        <v>28.32</v>
      </c>
    </row>
    <row r="35" spans="1:7" x14ac:dyDescent="0.25">
      <c r="A35" s="3" t="s">
        <v>36</v>
      </c>
      <c r="B35" s="3"/>
      <c r="C35" s="3"/>
      <c r="D35" s="3">
        <f>D33-C33</f>
        <v>-122.24000000000001</v>
      </c>
      <c r="E35" s="3"/>
      <c r="F35" s="3">
        <f>F33-E33</f>
        <v>27.130000000000003</v>
      </c>
      <c r="G35" s="3"/>
    </row>
    <row r="37" spans="1:7" x14ac:dyDescent="0.25">
      <c r="A37" s="3" t="s">
        <v>36</v>
      </c>
      <c r="B37" s="3"/>
      <c r="C37" s="3">
        <f>C33-B33</f>
        <v>8.710000000000008</v>
      </c>
      <c r="D37" s="3"/>
      <c r="E37" s="3">
        <f>E33-D33</f>
        <v>-44.63</v>
      </c>
      <c r="F37" s="3"/>
      <c r="G37" s="3">
        <f>G33-F33</f>
        <v>-3.7800000000000011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25F6-08BE-4385-8C22-3C7A61D139EC}">
  <dimension ref="A1:G37"/>
  <sheetViews>
    <sheetView topLeftCell="A10" workbookViewId="0">
      <selection activeCell="K40" sqref="K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526.09</v>
      </c>
      <c r="C2" s="1">
        <v>502.13</v>
      </c>
      <c r="D2" s="1">
        <v>440.47</v>
      </c>
      <c r="E2" s="1">
        <v>465.64</v>
      </c>
      <c r="F2" s="1">
        <v>470.22</v>
      </c>
      <c r="G2" s="1">
        <v>445.46</v>
      </c>
    </row>
    <row r="3" spans="1:7" x14ac:dyDescent="0.25">
      <c r="A3" s="1" t="s">
        <v>7</v>
      </c>
      <c r="B3" s="1">
        <v>38.909999999999997</v>
      </c>
      <c r="C3" s="1">
        <v>39.380000000000003</v>
      </c>
      <c r="D3" s="1">
        <v>41.57</v>
      </c>
      <c r="E3" s="1">
        <v>36.5</v>
      </c>
      <c r="F3" s="1">
        <v>38.14</v>
      </c>
      <c r="G3" s="1">
        <v>40.97</v>
      </c>
    </row>
    <row r="4" spans="1:7" x14ac:dyDescent="0.25">
      <c r="A4" s="1" t="s">
        <v>8</v>
      </c>
      <c r="B4" s="1">
        <v>20824.169999999998</v>
      </c>
      <c r="C4" s="1">
        <v>20049.32</v>
      </c>
      <c r="D4" s="1">
        <v>18564.77</v>
      </c>
      <c r="E4" s="1">
        <v>17237.5</v>
      </c>
      <c r="F4" s="1">
        <v>18173.939999999999</v>
      </c>
      <c r="G4" s="1">
        <v>18458.25</v>
      </c>
    </row>
    <row r="5" spans="1:7" x14ac:dyDescent="0.25">
      <c r="A5" s="1" t="s">
        <v>9</v>
      </c>
      <c r="B5" s="1">
        <v>2374.62</v>
      </c>
      <c r="C5" s="1">
        <v>1362.06</v>
      </c>
      <c r="D5" s="1">
        <v>997.37</v>
      </c>
      <c r="E5" s="1">
        <v>832.45</v>
      </c>
      <c r="F5" s="1">
        <v>1165.32</v>
      </c>
      <c r="G5" s="1">
        <v>916.01</v>
      </c>
    </row>
    <row r="6" spans="1:7" x14ac:dyDescent="0.25">
      <c r="A6" s="3" t="s">
        <v>10</v>
      </c>
      <c r="B6" s="3">
        <v>237.46</v>
      </c>
      <c r="C6" s="3">
        <v>137.58000000000001</v>
      </c>
      <c r="D6" s="3">
        <v>100.74</v>
      </c>
      <c r="E6" s="3">
        <v>84.09</v>
      </c>
      <c r="F6" s="3">
        <v>117.71</v>
      </c>
      <c r="G6" s="3">
        <v>93.47</v>
      </c>
    </row>
    <row r="7" spans="1:7" x14ac:dyDescent="0.25">
      <c r="A7" s="1" t="s">
        <v>11</v>
      </c>
      <c r="B7" s="1">
        <v>2249.9899999999998</v>
      </c>
      <c r="C7" s="1">
        <v>1219.93</v>
      </c>
      <c r="D7" s="1">
        <v>787.05</v>
      </c>
      <c r="E7" s="1">
        <v>742.3</v>
      </c>
      <c r="F7" s="1">
        <v>894.06</v>
      </c>
      <c r="G7" s="1">
        <v>784.16</v>
      </c>
    </row>
    <row r="8" spans="1:7" x14ac:dyDescent="0.25">
      <c r="A8" s="1" t="s">
        <v>12</v>
      </c>
      <c r="B8" s="1">
        <v>225</v>
      </c>
      <c r="C8" s="1">
        <v>123.22</v>
      </c>
      <c r="D8" s="1">
        <v>79.5</v>
      </c>
      <c r="E8" s="1">
        <v>74.98</v>
      </c>
      <c r="F8" s="1">
        <v>90.31</v>
      </c>
      <c r="G8" s="1">
        <v>80.02</v>
      </c>
    </row>
    <row r="9" spans="1:7" x14ac:dyDescent="0.25">
      <c r="A9" s="1" t="s">
        <v>13</v>
      </c>
      <c r="B9" s="1">
        <v>2249.9899999999998</v>
      </c>
      <c r="C9" s="1">
        <v>-1214.29</v>
      </c>
      <c r="D9" s="1">
        <v>-516.24</v>
      </c>
      <c r="E9" s="1">
        <v>-374.31</v>
      </c>
      <c r="F9" s="1">
        <v>799.45</v>
      </c>
      <c r="G9" s="1">
        <v>635.79999999999995</v>
      </c>
    </row>
    <row r="10" spans="1:7" x14ac:dyDescent="0.25">
      <c r="A10" s="1" t="s">
        <v>14</v>
      </c>
      <c r="B10" s="1">
        <v>225</v>
      </c>
      <c r="C10" s="1">
        <v>-122.66</v>
      </c>
      <c r="D10" s="1">
        <v>-52.15</v>
      </c>
      <c r="E10" s="1">
        <v>-37.81</v>
      </c>
      <c r="F10" s="1">
        <v>80.75</v>
      </c>
      <c r="G10" s="1">
        <v>64.88</v>
      </c>
    </row>
    <row r="11" spans="1:7" x14ac:dyDescent="0.25">
      <c r="A11" s="1" t="s">
        <v>15</v>
      </c>
      <c r="B11" s="1">
        <v>1744.16</v>
      </c>
      <c r="C11" s="1">
        <v>679.39</v>
      </c>
      <c r="D11" s="1">
        <v>271.2</v>
      </c>
      <c r="E11" s="1">
        <v>131.56</v>
      </c>
      <c r="F11" s="1">
        <v>403.77</v>
      </c>
      <c r="G11" s="1">
        <v>296.20999999999998</v>
      </c>
    </row>
    <row r="12" spans="1:7" x14ac:dyDescent="0.25">
      <c r="A12" s="1" t="s">
        <v>16</v>
      </c>
      <c r="B12" s="1">
        <v>274.39999999999998</v>
      </c>
      <c r="C12" s="1">
        <v>211.49</v>
      </c>
      <c r="D12" s="1">
        <v>151.65</v>
      </c>
      <c r="E12" s="1">
        <v>217.07</v>
      </c>
      <c r="F12" s="1">
        <v>183.74</v>
      </c>
      <c r="G12" s="1">
        <v>190.69</v>
      </c>
    </row>
    <row r="13" spans="1:7" x14ac:dyDescent="0.25">
      <c r="A13" s="1" t="s">
        <v>17</v>
      </c>
      <c r="B13" s="1">
        <v>43.02</v>
      </c>
      <c r="C13" s="1">
        <v>55.48</v>
      </c>
      <c r="D13" s="1">
        <v>55.93</v>
      </c>
      <c r="E13" s="1">
        <v>37.020000000000003</v>
      </c>
      <c r="F13" s="1">
        <v>58.43</v>
      </c>
      <c r="G13" s="1">
        <v>48.66</v>
      </c>
    </row>
    <row r="14" spans="1:7" x14ac:dyDescent="0.25">
      <c r="A14" s="1" t="s">
        <v>18</v>
      </c>
      <c r="B14" s="1">
        <v>92.52</v>
      </c>
      <c r="C14" s="1">
        <v>100.31</v>
      </c>
      <c r="D14" s="1">
        <v>104.91</v>
      </c>
      <c r="E14" s="1">
        <v>74.94</v>
      </c>
      <c r="F14" s="1">
        <v>97.4</v>
      </c>
      <c r="G14" s="1">
        <v>82.56</v>
      </c>
    </row>
    <row r="15" spans="1:7" x14ac:dyDescent="0.25">
      <c r="A15" s="1" t="s">
        <v>19</v>
      </c>
      <c r="B15" s="1">
        <v>11</v>
      </c>
      <c r="C15" s="1">
        <v>7</v>
      </c>
      <c r="D15" s="1">
        <v>6</v>
      </c>
      <c r="E15" s="1">
        <v>4</v>
      </c>
      <c r="F15" s="1">
        <v>7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2249.9899999999998</v>
      </c>
      <c r="C17" s="1">
        <v>2.82</v>
      </c>
      <c r="D17" s="1">
        <v>135.41</v>
      </c>
      <c r="E17" s="1">
        <v>183.99</v>
      </c>
      <c r="F17" s="1">
        <v>846.75</v>
      </c>
      <c r="G17" s="1">
        <v>709.98</v>
      </c>
    </row>
    <row r="18" spans="1:7" x14ac:dyDescent="0.25">
      <c r="A18" s="1" t="s">
        <v>22</v>
      </c>
      <c r="B18" s="1">
        <v>0</v>
      </c>
      <c r="C18" s="1">
        <v>1217.1099999999999</v>
      </c>
      <c r="D18" s="1">
        <v>651.64</v>
      </c>
      <c r="E18" s="1">
        <v>558.29999999999995</v>
      </c>
      <c r="F18" s="1">
        <v>47.31</v>
      </c>
      <c r="G18" s="1">
        <v>74.180000000000007</v>
      </c>
    </row>
    <row r="19" spans="1:7" x14ac:dyDescent="0.25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10</v>
      </c>
      <c r="D20" s="1">
        <v>5.4</v>
      </c>
      <c r="E20" s="1">
        <v>4</v>
      </c>
      <c r="F20" s="1">
        <v>0</v>
      </c>
      <c r="G20" s="1">
        <v>1.6</v>
      </c>
    </row>
    <row r="21" spans="1:7" x14ac:dyDescent="0.25">
      <c r="A21" s="1" t="s">
        <v>25</v>
      </c>
      <c r="B21" s="1">
        <v>10.1</v>
      </c>
      <c r="C21" s="1">
        <v>0</v>
      </c>
      <c r="D21" s="1">
        <v>4.5999999999999996</v>
      </c>
      <c r="E21" s="1">
        <v>6</v>
      </c>
      <c r="F21" s="1">
        <v>10</v>
      </c>
      <c r="G21" s="1">
        <v>8.3000000000000007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2.5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10</v>
      </c>
      <c r="D24" s="1">
        <v>3.9</v>
      </c>
      <c r="E24" s="1">
        <v>4.5999999999999996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4.5</v>
      </c>
      <c r="E25" s="1">
        <v>0</v>
      </c>
      <c r="F25" s="1">
        <v>0</v>
      </c>
      <c r="G25" s="1">
        <v>5.2</v>
      </c>
    </row>
    <row r="26" spans="1:7" x14ac:dyDescent="0.25">
      <c r="A26" s="1" t="s">
        <v>30</v>
      </c>
      <c r="B26" s="1">
        <v>10.1</v>
      </c>
      <c r="C26" s="1">
        <v>0</v>
      </c>
      <c r="D26" s="1">
        <v>1.6</v>
      </c>
      <c r="E26" s="1">
        <v>5.4</v>
      </c>
      <c r="F26" s="1">
        <v>10</v>
      </c>
      <c r="G26" s="1">
        <v>4.7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100</v>
      </c>
      <c r="D29" s="3">
        <f t="shared" si="1"/>
        <v>39</v>
      </c>
      <c r="E29" s="3">
        <f t="shared" si="1"/>
        <v>46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45</v>
      </c>
      <c r="E30" s="3">
        <f t="shared" si="2"/>
        <v>0</v>
      </c>
      <c r="F30" s="3">
        <f t="shared" si="2"/>
        <v>0</v>
      </c>
      <c r="G30" s="3">
        <f t="shared" si="2"/>
        <v>52.525252525252533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0</v>
      </c>
      <c r="D31" s="3">
        <f t="shared" si="3"/>
        <v>16</v>
      </c>
      <c r="E31" s="3">
        <f t="shared" si="3"/>
        <v>54</v>
      </c>
      <c r="F31" s="3">
        <f t="shared" si="3"/>
        <v>100</v>
      </c>
      <c r="G31" s="3">
        <f t="shared" si="3"/>
        <v>47.474747474747474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229.62</v>
      </c>
      <c r="C33" s="3">
        <v>-132.88</v>
      </c>
      <c r="D33" s="3">
        <v>-48.95</v>
      </c>
      <c r="E33" s="3">
        <v>-9.98</v>
      </c>
      <c r="F33" s="3">
        <v>88.31</v>
      </c>
      <c r="G33" s="3">
        <v>58.47</v>
      </c>
    </row>
    <row r="35" spans="1:7" x14ac:dyDescent="0.25">
      <c r="A35" s="3" t="s">
        <v>36</v>
      </c>
      <c r="B35" s="3"/>
      <c r="C35" s="3"/>
      <c r="D35" s="3">
        <f>D33-C33</f>
        <v>83.929999999999993</v>
      </c>
      <c r="E35" s="3"/>
      <c r="F35" s="3">
        <f>F33-E33</f>
        <v>98.29</v>
      </c>
      <c r="G35" s="3"/>
    </row>
    <row r="37" spans="1:7" x14ac:dyDescent="0.25">
      <c r="A37" s="3" t="s">
        <v>36</v>
      </c>
      <c r="B37" s="3"/>
      <c r="C37" s="3">
        <f>C33-B33</f>
        <v>-362.5</v>
      </c>
      <c r="D37" s="3"/>
      <c r="E37" s="3">
        <f>E33-D33</f>
        <v>38.97</v>
      </c>
      <c r="F37" s="3"/>
      <c r="G37" s="3">
        <f>G33-F33</f>
        <v>-29.840000000000003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4121-6B61-4079-B1BA-05E7A7D00C87}">
  <dimension ref="A1:G37"/>
  <sheetViews>
    <sheetView topLeftCell="A7" workbookViewId="0">
      <selection activeCell="J27" sqref="J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435.31</v>
      </c>
      <c r="C2" s="1">
        <v>442.26</v>
      </c>
      <c r="D2" s="1">
        <v>481.2</v>
      </c>
      <c r="E2" s="1">
        <v>493.09</v>
      </c>
      <c r="F2" s="1">
        <v>404.73</v>
      </c>
      <c r="G2" s="1">
        <v>446.51</v>
      </c>
    </row>
    <row r="3" spans="1:7" x14ac:dyDescent="0.25">
      <c r="A3" s="1" t="s">
        <v>7</v>
      </c>
      <c r="B3" s="1">
        <v>37.229999999999997</v>
      </c>
      <c r="C3" s="1">
        <v>34.71</v>
      </c>
      <c r="D3" s="1">
        <v>37.590000000000003</v>
      </c>
      <c r="E3" s="1">
        <v>38.68</v>
      </c>
      <c r="F3" s="1">
        <v>39.69</v>
      </c>
      <c r="G3" s="1">
        <v>37.53</v>
      </c>
    </row>
    <row r="4" spans="1:7" x14ac:dyDescent="0.25">
      <c r="A4" s="1" t="s">
        <v>8</v>
      </c>
      <c r="B4" s="1">
        <v>16464.169999999998</v>
      </c>
      <c r="C4" s="1">
        <v>15574.22</v>
      </c>
      <c r="D4" s="1">
        <v>18427.03</v>
      </c>
      <c r="E4" s="1">
        <v>19397.689999999999</v>
      </c>
      <c r="F4" s="1">
        <v>16329.11</v>
      </c>
      <c r="G4" s="1">
        <v>17027.900000000001</v>
      </c>
    </row>
    <row r="5" spans="1:7" x14ac:dyDescent="0.25">
      <c r="A5" s="1" t="s">
        <v>9</v>
      </c>
      <c r="B5" s="1">
        <v>1577.86</v>
      </c>
      <c r="C5" s="1">
        <v>1424.64</v>
      </c>
      <c r="D5" s="1">
        <v>1160.27</v>
      </c>
      <c r="E5" s="1">
        <v>470.25</v>
      </c>
      <c r="F5" s="1">
        <v>872.9</v>
      </c>
      <c r="G5" s="1">
        <v>903.89</v>
      </c>
    </row>
    <row r="6" spans="1:7" x14ac:dyDescent="0.25">
      <c r="A6" s="3" t="s">
        <v>10</v>
      </c>
      <c r="B6" s="3">
        <v>157.79</v>
      </c>
      <c r="C6" s="3">
        <v>143.9</v>
      </c>
      <c r="D6" s="3">
        <v>117.2</v>
      </c>
      <c r="E6" s="3">
        <v>47.5</v>
      </c>
      <c r="F6" s="3">
        <v>88.17</v>
      </c>
      <c r="G6" s="3">
        <v>92.23</v>
      </c>
    </row>
    <row r="7" spans="1:7" x14ac:dyDescent="0.25">
      <c r="A7" s="1" t="s">
        <v>11</v>
      </c>
      <c r="B7" s="1">
        <v>1461.16</v>
      </c>
      <c r="C7" s="1">
        <v>1358.42</v>
      </c>
      <c r="D7" s="1">
        <v>1079.1400000000001</v>
      </c>
      <c r="E7" s="1">
        <v>465.8</v>
      </c>
      <c r="F7" s="1">
        <v>702.83</v>
      </c>
      <c r="G7" s="1">
        <v>862.71</v>
      </c>
    </row>
    <row r="8" spans="1:7" x14ac:dyDescent="0.25">
      <c r="A8" s="1" t="s">
        <v>12</v>
      </c>
      <c r="B8" s="1">
        <v>146.12</v>
      </c>
      <c r="C8" s="1">
        <v>137.21</v>
      </c>
      <c r="D8" s="1">
        <v>109</v>
      </c>
      <c r="E8" s="1">
        <v>47.05</v>
      </c>
      <c r="F8" s="1">
        <v>70.989999999999995</v>
      </c>
      <c r="G8" s="1">
        <v>88.03</v>
      </c>
    </row>
    <row r="9" spans="1:7" x14ac:dyDescent="0.25">
      <c r="A9" s="1" t="s">
        <v>13</v>
      </c>
      <c r="B9" s="1">
        <v>1461.16</v>
      </c>
      <c r="C9" s="1">
        <v>1358.42</v>
      </c>
      <c r="D9" s="1">
        <v>1055.57</v>
      </c>
      <c r="E9" s="1">
        <v>465.8</v>
      </c>
      <c r="F9" s="1">
        <v>-343.39</v>
      </c>
      <c r="G9" s="1">
        <v>817.16</v>
      </c>
    </row>
    <row r="10" spans="1:7" x14ac:dyDescent="0.25">
      <c r="A10" s="1" t="s">
        <v>14</v>
      </c>
      <c r="B10" s="1">
        <v>146.12</v>
      </c>
      <c r="C10" s="1">
        <v>137.21</v>
      </c>
      <c r="D10" s="1">
        <v>106.62</v>
      </c>
      <c r="E10" s="1">
        <v>47.05</v>
      </c>
      <c r="F10" s="1">
        <v>-34.69</v>
      </c>
      <c r="G10" s="1">
        <v>83.38</v>
      </c>
    </row>
    <row r="11" spans="1:7" x14ac:dyDescent="0.25">
      <c r="A11" s="1" t="s">
        <v>15</v>
      </c>
      <c r="B11" s="1">
        <v>1161.19</v>
      </c>
      <c r="C11" s="1">
        <v>913.97</v>
      </c>
      <c r="D11" s="1">
        <v>946.79</v>
      </c>
      <c r="E11" s="1">
        <v>390.43</v>
      </c>
      <c r="F11" s="1">
        <v>382.04</v>
      </c>
      <c r="G11" s="1">
        <v>503.38</v>
      </c>
    </row>
    <row r="12" spans="1:7" x14ac:dyDescent="0.25">
      <c r="A12" s="1" t="s">
        <v>16</v>
      </c>
      <c r="B12" s="1">
        <v>226.32</v>
      </c>
      <c r="C12" s="1">
        <v>226.17</v>
      </c>
      <c r="D12" s="1">
        <v>236.48</v>
      </c>
      <c r="E12" s="1">
        <v>223.69</v>
      </c>
      <c r="F12" s="1">
        <v>155.69999999999999</v>
      </c>
      <c r="G12" s="1">
        <v>214.23</v>
      </c>
    </row>
    <row r="13" spans="1:7" x14ac:dyDescent="0.25">
      <c r="A13" s="1" t="s">
        <v>17</v>
      </c>
      <c r="B13" s="1">
        <v>34.44</v>
      </c>
      <c r="C13" s="1">
        <v>50.29</v>
      </c>
      <c r="D13" s="1">
        <v>22.17</v>
      </c>
      <c r="E13" s="1">
        <v>19.02</v>
      </c>
      <c r="F13" s="1">
        <v>42.62</v>
      </c>
      <c r="G13" s="1">
        <v>38.979999999999997</v>
      </c>
    </row>
    <row r="14" spans="1:7" x14ac:dyDescent="0.25">
      <c r="A14" s="1" t="s">
        <v>18</v>
      </c>
      <c r="B14" s="1">
        <v>81.64</v>
      </c>
      <c r="C14" s="1">
        <v>89.54</v>
      </c>
      <c r="D14" s="1">
        <v>69.59</v>
      </c>
      <c r="E14" s="1">
        <v>45.17</v>
      </c>
      <c r="F14" s="1">
        <v>78.92</v>
      </c>
      <c r="G14" s="1">
        <v>93.85</v>
      </c>
    </row>
    <row r="15" spans="1:7" x14ac:dyDescent="0.25">
      <c r="A15" s="1" t="s">
        <v>19</v>
      </c>
      <c r="B15" s="1">
        <v>10</v>
      </c>
      <c r="C15" s="1">
        <v>8</v>
      </c>
      <c r="D15" s="1">
        <v>3</v>
      </c>
      <c r="E15" s="1">
        <v>1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1461.16</v>
      </c>
      <c r="C17" s="1">
        <v>1358.42</v>
      </c>
      <c r="D17" s="1">
        <v>1067.3499999999999</v>
      </c>
      <c r="E17" s="1">
        <v>465.8</v>
      </c>
      <c r="F17" s="1">
        <v>179.72</v>
      </c>
      <c r="G17" s="1">
        <v>839.94</v>
      </c>
    </row>
    <row r="18" spans="1:7" x14ac:dyDescent="0.25">
      <c r="A18" s="1" t="s">
        <v>22</v>
      </c>
      <c r="B18" s="1">
        <v>0</v>
      </c>
      <c r="C18" s="1">
        <v>0</v>
      </c>
      <c r="D18" s="1">
        <v>11.79</v>
      </c>
      <c r="E18" s="1">
        <v>0</v>
      </c>
      <c r="F18" s="1">
        <v>523.11</v>
      </c>
      <c r="G18" s="1">
        <v>22.78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153.41</v>
      </c>
      <c r="C33" s="3">
        <v>143.99</v>
      </c>
      <c r="D33" s="3">
        <v>110.27</v>
      </c>
      <c r="E33" s="3">
        <v>47.88</v>
      </c>
      <c r="F33" s="3">
        <v>1.74</v>
      </c>
      <c r="G33" s="3">
        <v>80.87</v>
      </c>
    </row>
    <row r="35" spans="1:7" x14ac:dyDescent="0.25">
      <c r="A35" s="3" t="s">
        <v>36</v>
      </c>
      <c r="B35" s="3"/>
      <c r="C35" s="3"/>
      <c r="D35" s="3">
        <f>D33-C33</f>
        <v>-33.720000000000013</v>
      </c>
      <c r="E35" s="3"/>
      <c r="F35" s="3">
        <f>F33-E33</f>
        <v>-46.14</v>
      </c>
      <c r="G35" s="3"/>
    </row>
    <row r="37" spans="1:7" x14ac:dyDescent="0.25">
      <c r="A37" s="3" t="s">
        <v>36</v>
      </c>
      <c r="B37" s="3"/>
      <c r="C37" s="3">
        <f>C33-B33</f>
        <v>-9.4199999999999875</v>
      </c>
      <c r="D37" s="3"/>
      <c r="E37" s="3">
        <f>E33-D33</f>
        <v>-62.389999999999993</v>
      </c>
      <c r="F37" s="3"/>
      <c r="G37" s="3">
        <f>G33-F33</f>
        <v>79.13000000000001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3BF7-8A9C-436F-B44F-034C77F4488C}">
  <dimension ref="A1:G37"/>
  <sheetViews>
    <sheetView topLeftCell="A7" workbookViewId="0">
      <selection activeCell="L34" sqref="L3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418.2</v>
      </c>
      <c r="C2" s="1">
        <v>478.43</v>
      </c>
      <c r="D2" s="1">
        <v>481.79</v>
      </c>
      <c r="E2" s="1">
        <v>481.43</v>
      </c>
      <c r="F2" s="1">
        <v>424.62</v>
      </c>
      <c r="G2" s="1">
        <v>361.65</v>
      </c>
    </row>
    <row r="3" spans="1:7" x14ac:dyDescent="0.25">
      <c r="A3" s="1" t="s">
        <v>7</v>
      </c>
      <c r="B3" s="1">
        <v>46.68</v>
      </c>
      <c r="C3" s="1">
        <v>47.44</v>
      </c>
      <c r="D3" s="1">
        <v>50.67</v>
      </c>
      <c r="E3" s="1">
        <v>48.26</v>
      </c>
      <c r="F3" s="1">
        <v>48.53</v>
      </c>
      <c r="G3" s="1">
        <v>46.59</v>
      </c>
    </row>
    <row r="4" spans="1:7" x14ac:dyDescent="0.25">
      <c r="A4" s="1" t="s">
        <v>8</v>
      </c>
      <c r="B4" s="1">
        <v>19904.650000000001</v>
      </c>
      <c r="C4" s="1">
        <v>23094.91</v>
      </c>
      <c r="D4" s="1">
        <v>24852.74</v>
      </c>
      <c r="E4" s="1">
        <v>23627.52</v>
      </c>
      <c r="F4" s="1">
        <v>20896.75</v>
      </c>
      <c r="G4" s="1">
        <v>17049.2</v>
      </c>
    </row>
    <row r="5" spans="1:7" x14ac:dyDescent="0.25">
      <c r="A5" s="1" t="s">
        <v>9</v>
      </c>
      <c r="B5" s="1">
        <v>824.77</v>
      </c>
      <c r="C5" s="1">
        <v>1742.49</v>
      </c>
      <c r="D5" s="1">
        <v>1091.53</v>
      </c>
      <c r="E5" s="1">
        <v>398</v>
      </c>
      <c r="F5" s="1">
        <v>853.44</v>
      </c>
      <c r="G5" s="1">
        <v>591.70000000000005</v>
      </c>
    </row>
    <row r="6" spans="1:7" x14ac:dyDescent="0.25">
      <c r="A6" s="3" t="s">
        <v>10</v>
      </c>
      <c r="B6" s="3">
        <v>82.48</v>
      </c>
      <c r="C6" s="3">
        <v>176.01</v>
      </c>
      <c r="D6" s="3">
        <v>110.26</v>
      </c>
      <c r="E6" s="3">
        <v>40.200000000000003</v>
      </c>
      <c r="F6" s="3">
        <v>86.21</v>
      </c>
      <c r="G6" s="3">
        <v>60.38</v>
      </c>
    </row>
    <row r="7" spans="1:7" x14ac:dyDescent="0.25">
      <c r="A7" s="1" t="s">
        <v>11</v>
      </c>
      <c r="B7" s="1">
        <v>742.17</v>
      </c>
      <c r="C7" s="1">
        <v>1617.73</v>
      </c>
      <c r="D7" s="1">
        <v>1039.1600000000001</v>
      </c>
      <c r="E7" s="1">
        <v>385.12</v>
      </c>
      <c r="F7" s="1">
        <v>775.31</v>
      </c>
      <c r="G7" s="1">
        <v>519.16999999999996</v>
      </c>
    </row>
    <row r="8" spans="1:7" x14ac:dyDescent="0.25">
      <c r="A8" s="1" t="s">
        <v>12</v>
      </c>
      <c r="B8" s="1">
        <v>74.22</v>
      </c>
      <c r="C8" s="1">
        <v>163.41</v>
      </c>
      <c r="D8" s="1">
        <v>104.97</v>
      </c>
      <c r="E8" s="1">
        <v>38.9</v>
      </c>
      <c r="F8" s="1">
        <v>78.31</v>
      </c>
      <c r="G8" s="1">
        <v>52.98</v>
      </c>
    </row>
    <row r="9" spans="1:7" x14ac:dyDescent="0.25">
      <c r="A9" s="1" t="s">
        <v>13</v>
      </c>
      <c r="B9" s="1">
        <v>402.76</v>
      </c>
      <c r="C9" s="1">
        <v>1617.73</v>
      </c>
      <c r="D9" s="1">
        <v>1006.56</v>
      </c>
      <c r="E9" s="1">
        <v>326.5</v>
      </c>
      <c r="F9" s="1">
        <v>-279.26</v>
      </c>
      <c r="G9" s="1">
        <v>294.85000000000002</v>
      </c>
    </row>
    <row r="10" spans="1:7" x14ac:dyDescent="0.25">
      <c r="A10" s="1" t="s">
        <v>14</v>
      </c>
      <c r="B10" s="1">
        <v>40.28</v>
      </c>
      <c r="C10" s="1">
        <v>163.41</v>
      </c>
      <c r="D10" s="1">
        <v>101.67</v>
      </c>
      <c r="E10" s="1">
        <v>32.979999999999997</v>
      </c>
      <c r="F10" s="1">
        <v>-28.21</v>
      </c>
      <c r="G10" s="1">
        <v>30.09</v>
      </c>
    </row>
    <row r="11" spans="1:7" x14ac:dyDescent="0.25">
      <c r="A11" s="1" t="s">
        <v>15</v>
      </c>
      <c r="B11" s="1">
        <v>219.7</v>
      </c>
      <c r="C11" s="1">
        <v>1520.96</v>
      </c>
      <c r="D11" s="1">
        <v>920.25</v>
      </c>
      <c r="E11" s="1">
        <v>317.41000000000003</v>
      </c>
      <c r="F11" s="1">
        <v>166.68</v>
      </c>
      <c r="G11" s="1">
        <v>117.68</v>
      </c>
    </row>
    <row r="12" spans="1:7" x14ac:dyDescent="0.25">
      <c r="A12" s="1" t="s">
        <v>16</v>
      </c>
      <c r="B12" s="1">
        <v>197.05</v>
      </c>
      <c r="C12" s="1">
        <v>230.79</v>
      </c>
      <c r="D12" s="1">
        <v>259.45999999999998</v>
      </c>
      <c r="E12" s="1">
        <v>250.03</v>
      </c>
      <c r="F12" s="1">
        <v>178.05</v>
      </c>
      <c r="G12" s="1">
        <v>165.92</v>
      </c>
    </row>
    <row r="13" spans="1:7" x14ac:dyDescent="0.25">
      <c r="A13" s="1" t="s">
        <v>17</v>
      </c>
      <c r="B13" s="1">
        <v>28.16</v>
      </c>
      <c r="C13" s="1">
        <v>30.4</v>
      </c>
      <c r="D13" s="1">
        <v>22.87</v>
      </c>
      <c r="E13" s="1">
        <v>12.69</v>
      </c>
      <c r="F13" s="1">
        <v>41.28</v>
      </c>
      <c r="G13" s="1">
        <v>32.159999999999997</v>
      </c>
    </row>
    <row r="14" spans="1:7" x14ac:dyDescent="0.25">
      <c r="A14" s="1" t="s">
        <v>18</v>
      </c>
      <c r="B14" s="1">
        <v>82.37</v>
      </c>
      <c r="C14" s="1">
        <v>66.98</v>
      </c>
      <c r="D14" s="1">
        <v>59.29</v>
      </c>
      <c r="E14" s="1">
        <v>48.3</v>
      </c>
      <c r="F14" s="1">
        <v>85.8</v>
      </c>
      <c r="G14" s="1">
        <v>54.85</v>
      </c>
    </row>
    <row r="15" spans="1:7" x14ac:dyDescent="0.25">
      <c r="A15" s="1" t="s">
        <v>19</v>
      </c>
      <c r="B15" s="1">
        <v>4</v>
      </c>
      <c r="C15" s="1">
        <v>6</v>
      </c>
      <c r="D15" s="1">
        <v>4</v>
      </c>
      <c r="E15" s="1">
        <v>2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572.46</v>
      </c>
      <c r="C17" s="1">
        <v>1617.73</v>
      </c>
      <c r="D17" s="1">
        <v>1022.86</v>
      </c>
      <c r="E17" s="1">
        <v>355.81</v>
      </c>
      <c r="F17" s="1">
        <v>248.03</v>
      </c>
      <c r="G17" s="1">
        <v>407.01</v>
      </c>
    </row>
    <row r="18" spans="1:7" x14ac:dyDescent="0.25">
      <c r="A18" s="1" t="s">
        <v>22</v>
      </c>
      <c r="B18" s="1">
        <v>169.7</v>
      </c>
      <c r="C18" s="1">
        <v>0</v>
      </c>
      <c r="D18" s="1">
        <v>16.3</v>
      </c>
      <c r="E18" s="1">
        <v>29.31</v>
      </c>
      <c r="F18" s="1">
        <v>527.28</v>
      </c>
      <c r="G18" s="1">
        <v>112.16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3</v>
      </c>
      <c r="G19" s="1">
        <v>1</v>
      </c>
    </row>
    <row r="20" spans="1:7" x14ac:dyDescent="0.25">
      <c r="A20" s="1" t="s">
        <v>24</v>
      </c>
      <c r="B20" s="1">
        <v>3.7</v>
      </c>
      <c r="C20" s="1">
        <v>0</v>
      </c>
      <c r="D20" s="1">
        <v>0</v>
      </c>
      <c r="E20" s="1">
        <v>0</v>
      </c>
      <c r="F20" s="1">
        <v>4.7</v>
      </c>
      <c r="G20" s="1">
        <v>1.3</v>
      </c>
    </row>
    <row r="21" spans="1:7" x14ac:dyDescent="0.25">
      <c r="A21" s="1" t="s">
        <v>25</v>
      </c>
      <c r="B21" s="1">
        <v>6.4</v>
      </c>
      <c r="C21" s="1">
        <v>10</v>
      </c>
      <c r="D21" s="1">
        <v>10</v>
      </c>
      <c r="E21" s="1">
        <v>10</v>
      </c>
      <c r="F21" s="1">
        <v>5.3</v>
      </c>
      <c r="G21" s="1">
        <v>8.6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2.6</v>
      </c>
      <c r="C24" s="1">
        <v>0</v>
      </c>
      <c r="D24" s="1">
        <v>0</v>
      </c>
      <c r="E24" s="1">
        <v>0</v>
      </c>
      <c r="F24" s="1">
        <v>5.4</v>
      </c>
      <c r="G24" s="1">
        <v>1</v>
      </c>
    </row>
    <row r="25" spans="1:7" x14ac:dyDescent="0.25">
      <c r="A25" s="1" t="s">
        <v>29</v>
      </c>
      <c r="B25" s="1">
        <v>3.6</v>
      </c>
      <c r="C25" s="1">
        <v>0</v>
      </c>
      <c r="D25" s="1">
        <v>0</v>
      </c>
      <c r="E25" s="1">
        <v>5.8</v>
      </c>
      <c r="F25" s="1">
        <v>2.2000000000000002</v>
      </c>
      <c r="G25" s="1">
        <v>4.5999999999999996</v>
      </c>
    </row>
    <row r="26" spans="1:7" x14ac:dyDescent="0.25">
      <c r="A26" s="1" t="s">
        <v>30</v>
      </c>
      <c r="B26" s="1">
        <v>3.9</v>
      </c>
      <c r="C26" s="1">
        <v>10</v>
      </c>
      <c r="D26" s="1">
        <v>10</v>
      </c>
      <c r="E26" s="1">
        <v>4.2</v>
      </c>
      <c r="F26" s="1">
        <v>2.4</v>
      </c>
      <c r="G26" s="1">
        <v>4.3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25.742574257425744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54</v>
      </c>
      <c r="G29" s="3">
        <f t="shared" si="1"/>
        <v>10.101010101010102</v>
      </c>
    </row>
    <row r="30" spans="1:7" x14ac:dyDescent="0.25">
      <c r="A30" s="3" t="s">
        <v>33</v>
      </c>
      <c r="B30" s="3">
        <f>B25/B28*100</f>
        <v>35.643564356435647</v>
      </c>
      <c r="C30" s="3">
        <f t="shared" ref="C30:G30" si="2">C25/C28*100</f>
        <v>0</v>
      </c>
      <c r="D30" s="3">
        <f t="shared" si="2"/>
        <v>0</v>
      </c>
      <c r="E30" s="3">
        <f t="shared" si="2"/>
        <v>57.999999999999993</v>
      </c>
      <c r="F30" s="3">
        <f t="shared" si="2"/>
        <v>22.000000000000004</v>
      </c>
      <c r="G30" s="3">
        <f t="shared" si="2"/>
        <v>46.464646464646471</v>
      </c>
    </row>
    <row r="31" spans="1:7" x14ac:dyDescent="0.25">
      <c r="A31" s="3" t="s">
        <v>34</v>
      </c>
      <c r="B31" s="3">
        <f>B26/B28*100</f>
        <v>38.613861386138616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42.000000000000007</v>
      </c>
      <c r="F31" s="3">
        <f t="shared" si="3"/>
        <v>24</v>
      </c>
      <c r="G31" s="3">
        <f t="shared" si="3"/>
        <v>43.43434343434344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18.079999999999998</v>
      </c>
      <c r="C33" s="3">
        <v>175.14</v>
      </c>
      <c r="D33" s="3">
        <v>105.1</v>
      </c>
      <c r="E33" s="3">
        <v>32.44</v>
      </c>
      <c r="F33" s="3">
        <v>-15.12</v>
      </c>
      <c r="G33" s="3">
        <v>32.08</v>
      </c>
    </row>
    <row r="35" spans="1:7" x14ac:dyDescent="0.25">
      <c r="A35" s="3" t="s">
        <v>36</v>
      </c>
      <c r="B35" s="3"/>
      <c r="C35" s="3"/>
      <c r="D35" s="3">
        <f>D33-C33</f>
        <v>-70.039999999999992</v>
      </c>
      <c r="E35" s="3"/>
      <c r="F35" s="3">
        <f>F33-E33</f>
        <v>-47.559999999999995</v>
      </c>
      <c r="G35" s="3"/>
    </row>
    <row r="37" spans="1:7" x14ac:dyDescent="0.25">
      <c r="A37" s="3" t="s">
        <v>36</v>
      </c>
      <c r="B37" s="3"/>
      <c r="C37" s="3">
        <f>C33-B33</f>
        <v>157.06</v>
      </c>
      <c r="D37" s="3"/>
      <c r="E37" s="3">
        <f>E33-D33</f>
        <v>-72.66</v>
      </c>
      <c r="F37" s="3"/>
      <c r="G37" s="3">
        <f>G33-F33</f>
        <v>47.199999999999996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1E7C-90FB-41A8-8684-1B26A3C9CF36}">
  <dimension ref="A1:G37"/>
  <sheetViews>
    <sheetView topLeftCell="A10" workbookViewId="0">
      <selection activeCell="L31" sqref="L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473.84</v>
      </c>
      <c r="C2" s="1">
        <v>466.18</v>
      </c>
      <c r="D2" s="1">
        <v>499.78</v>
      </c>
      <c r="E2" s="1">
        <v>458.36</v>
      </c>
      <c r="F2" s="1">
        <v>398.23</v>
      </c>
      <c r="G2" s="1">
        <v>368.82</v>
      </c>
    </row>
    <row r="3" spans="1:7" x14ac:dyDescent="0.25">
      <c r="A3" s="1" t="s">
        <v>7</v>
      </c>
      <c r="B3" s="1">
        <v>46.9</v>
      </c>
      <c r="C3" s="1">
        <v>42.63</v>
      </c>
      <c r="D3" s="1">
        <v>42.61</v>
      </c>
      <c r="E3" s="1">
        <v>38.08</v>
      </c>
      <c r="F3" s="1">
        <v>36.49</v>
      </c>
      <c r="G3" s="1">
        <v>35.96</v>
      </c>
    </row>
    <row r="4" spans="1:7" x14ac:dyDescent="0.25">
      <c r="A4" s="1" t="s">
        <v>8</v>
      </c>
      <c r="B4" s="1">
        <v>22572.84</v>
      </c>
      <c r="C4" s="1">
        <v>20203.77</v>
      </c>
      <c r="D4" s="1">
        <v>21639.66</v>
      </c>
      <c r="E4" s="1">
        <v>17726.84</v>
      </c>
      <c r="F4" s="1">
        <v>14714.12</v>
      </c>
      <c r="G4" s="1">
        <v>13489.35</v>
      </c>
    </row>
    <row r="5" spans="1:7" x14ac:dyDescent="0.25">
      <c r="A5" s="1" t="s">
        <v>9</v>
      </c>
      <c r="B5" s="1">
        <v>2221.02</v>
      </c>
      <c r="C5" s="1">
        <v>2240.3200000000002</v>
      </c>
      <c r="D5" s="1">
        <v>1271.72</v>
      </c>
      <c r="E5" s="1">
        <v>708.09</v>
      </c>
      <c r="F5" s="1">
        <v>1483.88</v>
      </c>
      <c r="G5" s="1">
        <v>997.37</v>
      </c>
    </row>
    <row r="6" spans="1:7" x14ac:dyDescent="0.25">
      <c r="A6" s="3" t="s">
        <v>10</v>
      </c>
      <c r="B6" s="3">
        <v>222.1</v>
      </c>
      <c r="C6" s="3">
        <v>226.3</v>
      </c>
      <c r="D6" s="3">
        <v>128.46</v>
      </c>
      <c r="E6" s="3">
        <v>71.52</v>
      </c>
      <c r="F6" s="3">
        <v>149.88999999999999</v>
      </c>
      <c r="G6" s="3">
        <v>101.77</v>
      </c>
    </row>
    <row r="7" spans="1:7" x14ac:dyDescent="0.25">
      <c r="A7" s="1" t="s">
        <v>11</v>
      </c>
      <c r="B7" s="1">
        <v>2079.5</v>
      </c>
      <c r="C7" s="1">
        <v>2096.92</v>
      </c>
      <c r="D7" s="1">
        <v>1232.51</v>
      </c>
      <c r="E7" s="1">
        <v>686.94</v>
      </c>
      <c r="F7" s="1">
        <v>1266.5899999999999</v>
      </c>
      <c r="G7" s="1">
        <v>772.34</v>
      </c>
    </row>
    <row r="8" spans="1:7" x14ac:dyDescent="0.25">
      <c r="A8" s="1" t="s">
        <v>12</v>
      </c>
      <c r="B8" s="1">
        <v>207.95</v>
      </c>
      <c r="C8" s="1">
        <v>211.81</v>
      </c>
      <c r="D8" s="1">
        <v>124.5</v>
      </c>
      <c r="E8" s="1">
        <v>69.39</v>
      </c>
      <c r="F8" s="1">
        <v>127.94</v>
      </c>
      <c r="G8" s="1">
        <v>78.81</v>
      </c>
    </row>
    <row r="9" spans="1:7" x14ac:dyDescent="0.25">
      <c r="A9" s="1" t="s">
        <v>13</v>
      </c>
      <c r="B9" s="1">
        <v>2079.5</v>
      </c>
      <c r="C9" s="1">
        <v>2096.92</v>
      </c>
      <c r="D9" s="1">
        <v>1223.55</v>
      </c>
      <c r="E9" s="1">
        <v>678.41</v>
      </c>
      <c r="F9" s="1">
        <v>1220.93</v>
      </c>
      <c r="G9" s="1">
        <v>637.07000000000005</v>
      </c>
    </row>
    <row r="10" spans="1:7" x14ac:dyDescent="0.25">
      <c r="A10" s="1" t="s">
        <v>14</v>
      </c>
      <c r="B10" s="1">
        <v>207.95</v>
      </c>
      <c r="C10" s="1">
        <v>211.81</v>
      </c>
      <c r="D10" s="1">
        <v>123.59</v>
      </c>
      <c r="E10" s="1">
        <v>68.53</v>
      </c>
      <c r="F10" s="1">
        <v>123.33</v>
      </c>
      <c r="G10" s="1">
        <v>65.010000000000005</v>
      </c>
    </row>
    <row r="11" spans="1:7" x14ac:dyDescent="0.25">
      <c r="A11" s="1" t="s">
        <v>15</v>
      </c>
      <c r="B11" s="1">
        <v>1685.37</v>
      </c>
      <c r="C11" s="1">
        <v>1752.67</v>
      </c>
      <c r="D11" s="1">
        <v>1075.04</v>
      </c>
      <c r="E11" s="1">
        <v>585.65</v>
      </c>
      <c r="F11" s="1">
        <v>983.48</v>
      </c>
      <c r="G11" s="1">
        <v>450.99</v>
      </c>
    </row>
    <row r="12" spans="1:7" x14ac:dyDescent="0.25">
      <c r="A12" s="1" t="s">
        <v>16</v>
      </c>
      <c r="B12" s="1">
        <v>236.31</v>
      </c>
      <c r="C12" s="1">
        <v>248.38</v>
      </c>
      <c r="D12" s="1">
        <v>240.94</v>
      </c>
      <c r="E12" s="1">
        <v>216.87</v>
      </c>
      <c r="F12" s="1">
        <v>199.32</v>
      </c>
      <c r="G12" s="1">
        <v>175.24</v>
      </c>
    </row>
    <row r="13" spans="1:7" x14ac:dyDescent="0.25">
      <c r="A13" s="1" t="s">
        <v>17</v>
      </c>
      <c r="B13" s="1">
        <v>46.01</v>
      </c>
      <c r="C13" s="1">
        <v>40.75</v>
      </c>
      <c r="D13" s="1">
        <v>24.65</v>
      </c>
      <c r="E13" s="1">
        <v>24.07</v>
      </c>
      <c r="F13" s="1">
        <v>36.4</v>
      </c>
      <c r="G13" s="1">
        <v>32.4</v>
      </c>
    </row>
    <row r="14" spans="1:7" x14ac:dyDescent="0.25">
      <c r="A14" s="1" t="s">
        <v>18</v>
      </c>
      <c r="B14" s="1">
        <v>84.13</v>
      </c>
      <c r="C14" s="1">
        <v>73.81</v>
      </c>
      <c r="D14" s="1">
        <v>67.91</v>
      </c>
      <c r="E14" s="1">
        <v>61.2</v>
      </c>
      <c r="F14" s="1">
        <v>84.78</v>
      </c>
      <c r="G14" s="1">
        <v>74.98</v>
      </c>
    </row>
    <row r="15" spans="1:7" x14ac:dyDescent="0.25">
      <c r="A15" s="1" t="s">
        <v>19</v>
      </c>
      <c r="B15" s="1">
        <v>12</v>
      </c>
      <c r="C15" s="1">
        <v>12</v>
      </c>
      <c r="D15" s="1">
        <v>3</v>
      </c>
      <c r="E15" s="1">
        <v>2</v>
      </c>
      <c r="F15" s="1">
        <v>8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2079.5</v>
      </c>
      <c r="C17" s="1">
        <v>2096.92</v>
      </c>
      <c r="D17" s="1">
        <v>1228.03</v>
      </c>
      <c r="E17" s="1">
        <v>682.67</v>
      </c>
      <c r="F17" s="1">
        <v>1243.76</v>
      </c>
      <c r="G17" s="1">
        <v>704.71</v>
      </c>
    </row>
    <row r="18" spans="1:7" x14ac:dyDescent="0.25">
      <c r="A18" s="1" t="s">
        <v>22</v>
      </c>
      <c r="B18" s="1">
        <v>0</v>
      </c>
      <c r="C18" s="1">
        <v>0</v>
      </c>
      <c r="D18" s="1">
        <v>4.4800000000000004</v>
      </c>
      <c r="E18" s="1">
        <v>4.2699999999999996</v>
      </c>
      <c r="F18" s="1">
        <v>22.83</v>
      </c>
      <c r="G18" s="1">
        <v>67.64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1.1000000000000001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1.2</v>
      </c>
      <c r="E25" s="1">
        <v>0</v>
      </c>
      <c r="F25" s="1">
        <v>1.8</v>
      </c>
      <c r="G25" s="1">
        <v>1.4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8.8000000000000007</v>
      </c>
      <c r="E26" s="1">
        <v>10</v>
      </c>
      <c r="F26" s="1">
        <v>8.1999999999999993</v>
      </c>
      <c r="G26" s="1">
        <v>8.5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12</v>
      </c>
      <c r="E30" s="3">
        <f t="shared" si="2"/>
        <v>0</v>
      </c>
      <c r="F30" s="3">
        <f t="shared" si="2"/>
        <v>18</v>
      </c>
      <c r="G30" s="3">
        <f t="shared" si="2"/>
        <v>14.14141414141414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88.000000000000014</v>
      </c>
      <c r="E31" s="3">
        <f t="shared" si="3"/>
        <v>100</v>
      </c>
      <c r="F31" s="3">
        <f t="shared" si="3"/>
        <v>82</v>
      </c>
      <c r="G31" s="3">
        <f t="shared" si="3"/>
        <v>85.858585858585855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218.19</v>
      </c>
      <c r="C33" s="3">
        <v>220.66</v>
      </c>
      <c r="D33" s="3">
        <v>126.35</v>
      </c>
      <c r="E33" s="3">
        <v>68.39</v>
      </c>
      <c r="F33" s="3">
        <v>139.21</v>
      </c>
      <c r="G33" s="3">
        <v>79.33</v>
      </c>
    </row>
    <row r="35" spans="1:7" x14ac:dyDescent="0.25">
      <c r="A35" s="3" t="s">
        <v>36</v>
      </c>
      <c r="B35" s="3"/>
      <c r="C35" s="3"/>
      <c r="D35" s="3">
        <f>D33-C33</f>
        <v>-94.31</v>
      </c>
      <c r="E35" s="3"/>
      <c r="F35" s="3">
        <f>F33-E33</f>
        <v>70.820000000000007</v>
      </c>
      <c r="G35" s="3"/>
    </row>
    <row r="37" spans="1:7" x14ac:dyDescent="0.25">
      <c r="A37" s="3" t="s">
        <v>36</v>
      </c>
      <c r="B37" s="3"/>
      <c r="C37" s="3">
        <f>C33-B33</f>
        <v>2.4699999999999989</v>
      </c>
      <c r="D37" s="3"/>
      <c r="E37" s="3">
        <f>E33-D33</f>
        <v>-57.959999999999994</v>
      </c>
      <c r="F37" s="3"/>
      <c r="G37" s="3">
        <f>G33-F33</f>
        <v>-59.88000000000001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19B7-D739-49AB-ADAE-860092DCE11B}">
  <dimension ref="A1:G37"/>
  <sheetViews>
    <sheetView tabSelected="1" topLeftCell="A7" workbookViewId="0">
      <selection activeCell="M26" sqref="M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518.96</v>
      </c>
      <c r="C2" s="1">
        <v>476.81</v>
      </c>
      <c r="D2" s="1">
        <v>514.20000000000005</v>
      </c>
      <c r="E2" s="1">
        <v>464.02</v>
      </c>
      <c r="F2" s="1">
        <v>436.39</v>
      </c>
      <c r="G2" s="1">
        <v>454.81</v>
      </c>
    </row>
    <row r="3" spans="1:7" x14ac:dyDescent="0.25">
      <c r="A3" s="1" t="s">
        <v>7</v>
      </c>
      <c r="B3" s="1">
        <v>41.34</v>
      </c>
      <c r="C3" s="1">
        <v>40.549999999999997</v>
      </c>
      <c r="D3" s="1">
        <v>42.26</v>
      </c>
      <c r="E3" s="1">
        <v>36.29</v>
      </c>
      <c r="F3" s="1">
        <v>36.22</v>
      </c>
      <c r="G3" s="1">
        <v>41.21</v>
      </c>
    </row>
    <row r="4" spans="1:7" x14ac:dyDescent="0.25">
      <c r="A4" s="1" t="s">
        <v>8</v>
      </c>
      <c r="B4" s="1">
        <v>21819.39</v>
      </c>
      <c r="C4" s="1">
        <v>19642.97</v>
      </c>
      <c r="D4" s="1">
        <v>22083.57</v>
      </c>
      <c r="E4" s="1">
        <v>17163.46</v>
      </c>
      <c r="F4" s="1">
        <v>16028.57</v>
      </c>
      <c r="G4" s="1">
        <v>18930.939999999999</v>
      </c>
    </row>
    <row r="5" spans="1:7" x14ac:dyDescent="0.25">
      <c r="A5" s="1" t="s">
        <v>9</v>
      </c>
      <c r="B5" s="1">
        <v>2053.59</v>
      </c>
      <c r="C5" s="1">
        <v>1424.6</v>
      </c>
      <c r="D5" s="1">
        <v>506.91</v>
      </c>
      <c r="E5" s="1">
        <v>697.89</v>
      </c>
      <c r="F5" s="1">
        <v>1313.81</v>
      </c>
      <c r="G5" s="1">
        <v>1091.26</v>
      </c>
    </row>
    <row r="6" spans="1:7" x14ac:dyDescent="0.25">
      <c r="A6" s="3" t="s">
        <v>10</v>
      </c>
      <c r="B6" s="3">
        <v>205.36</v>
      </c>
      <c r="C6" s="3">
        <v>143.9</v>
      </c>
      <c r="D6" s="3">
        <v>51.2</v>
      </c>
      <c r="E6" s="3">
        <v>70.489999999999995</v>
      </c>
      <c r="F6" s="3">
        <v>132.71</v>
      </c>
      <c r="G6" s="3">
        <v>111.35</v>
      </c>
    </row>
    <row r="7" spans="1:7" x14ac:dyDescent="0.25">
      <c r="A7" s="1" t="s">
        <v>11</v>
      </c>
      <c r="B7" s="1">
        <v>1894</v>
      </c>
      <c r="C7" s="1">
        <v>1213.77</v>
      </c>
      <c r="D7" s="1">
        <v>487.77</v>
      </c>
      <c r="E7" s="1">
        <v>626.04999999999995</v>
      </c>
      <c r="F7" s="1">
        <v>1038.07</v>
      </c>
      <c r="G7" s="1">
        <v>981.24</v>
      </c>
    </row>
    <row r="8" spans="1:7" x14ac:dyDescent="0.25">
      <c r="A8" s="1" t="s">
        <v>12</v>
      </c>
      <c r="B8" s="1">
        <v>189.4</v>
      </c>
      <c r="C8" s="1">
        <v>122.6</v>
      </c>
      <c r="D8" s="1">
        <v>49.27</v>
      </c>
      <c r="E8" s="1">
        <v>63.24</v>
      </c>
      <c r="F8" s="1">
        <v>104.86</v>
      </c>
      <c r="G8" s="1">
        <v>100.13</v>
      </c>
    </row>
    <row r="9" spans="1:7" x14ac:dyDescent="0.25">
      <c r="A9" s="1" t="s">
        <v>13</v>
      </c>
      <c r="B9" s="1">
        <v>1894</v>
      </c>
      <c r="C9" s="1">
        <v>1213.77</v>
      </c>
      <c r="D9" s="1">
        <v>461.49</v>
      </c>
      <c r="E9" s="1">
        <v>318.43</v>
      </c>
      <c r="F9" s="1">
        <v>817.58</v>
      </c>
      <c r="G9" s="1">
        <v>918.92</v>
      </c>
    </row>
    <row r="10" spans="1:7" x14ac:dyDescent="0.25">
      <c r="A10" s="1" t="s">
        <v>14</v>
      </c>
      <c r="B10" s="1">
        <v>189.4</v>
      </c>
      <c r="C10" s="1">
        <v>122.6</v>
      </c>
      <c r="D10" s="1">
        <v>46.61</v>
      </c>
      <c r="E10" s="1">
        <v>32.159999999999997</v>
      </c>
      <c r="F10" s="1">
        <v>82.58</v>
      </c>
      <c r="G10" s="1">
        <v>93.77</v>
      </c>
    </row>
    <row r="11" spans="1:7" x14ac:dyDescent="0.25">
      <c r="A11" s="1" t="s">
        <v>15</v>
      </c>
      <c r="B11" s="1">
        <v>1739.21</v>
      </c>
      <c r="C11" s="1">
        <v>1056.6300000000001</v>
      </c>
      <c r="D11" s="1">
        <v>438.06</v>
      </c>
      <c r="E11" s="1">
        <v>313.31</v>
      </c>
      <c r="F11" s="1">
        <v>539.32000000000005</v>
      </c>
      <c r="G11" s="1">
        <v>639.91999999999996</v>
      </c>
    </row>
    <row r="12" spans="1:7" x14ac:dyDescent="0.25">
      <c r="A12" s="1" t="s">
        <v>16</v>
      </c>
      <c r="B12" s="1">
        <v>254.33</v>
      </c>
      <c r="C12" s="1">
        <v>215.83</v>
      </c>
      <c r="D12" s="1">
        <v>278.52999999999997</v>
      </c>
      <c r="E12" s="1">
        <v>236.85</v>
      </c>
      <c r="F12" s="1">
        <v>202.06</v>
      </c>
      <c r="G12" s="1">
        <v>219.23</v>
      </c>
    </row>
    <row r="13" spans="1:7" x14ac:dyDescent="0.25">
      <c r="A13" s="1" t="s">
        <v>17</v>
      </c>
      <c r="B13" s="1">
        <v>34.270000000000003</v>
      </c>
      <c r="C13" s="1">
        <v>37.020000000000003</v>
      </c>
      <c r="D13" s="1">
        <v>20.16</v>
      </c>
      <c r="E13" s="1">
        <v>27.44</v>
      </c>
      <c r="F13" s="1">
        <v>43.59</v>
      </c>
      <c r="G13" s="1">
        <v>28.98</v>
      </c>
    </row>
    <row r="14" spans="1:7" x14ac:dyDescent="0.25">
      <c r="A14" s="1" t="s">
        <v>18</v>
      </c>
      <c r="B14" s="1">
        <v>65.650000000000006</v>
      </c>
      <c r="C14" s="1">
        <v>87.38</v>
      </c>
      <c r="D14" s="1">
        <v>49.63</v>
      </c>
      <c r="E14" s="1">
        <v>45.13</v>
      </c>
      <c r="F14" s="1">
        <v>92.82</v>
      </c>
      <c r="G14" s="1">
        <v>87.78</v>
      </c>
    </row>
    <row r="15" spans="1:7" x14ac:dyDescent="0.25">
      <c r="A15" s="1" t="s">
        <v>19</v>
      </c>
      <c r="B15" s="1">
        <v>10</v>
      </c>
      <c r="C15" s="1">
        <v>7</v>
      </c>
      <c r="D15" s="1">
        <v>2</v>
      </c>
      <c r="E15" s="1">
        <v>4</v>
      </c>
      <c r="F15" s="1">
        <v>5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1894</v>
      </c>
      <c r="C17" s="1">
        <v>1213.77</v>
      </c>
      <c r="D17" s="1">
        <v>474.63</v>
      </c>
      <c r="E17" s="1">
        <v>472.24</v>
      </c>
      <c r="F17" s="1">
        <v>927.83</v>
      </c>
      <c r="G17" s="1">
        <v>950.08</v>
      </c>
    </row>
    <row r="18" spans="1:7" x14ac:dyDescent="0.25">
      <c r="A18" s="1" t="s">
        <v>22</v>
      </c>
      <c r="B18" s="1">
        <v>0</v>
      </c>
      <c r="C18" s="1">
        <v>0</v>
      </c>
      <c r="D18" s="1">
        <v>13.14</v>
      </c>
      <c r="E18" s="1">
        <v>153.81</v>
      </c>
      <c r="F18" s="1">
        <v>110.24</v>
      </c>
      <c r="G18" s="1">
        <v>31.16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2.8</v>
      </c>
      <c r="F20" s="1">
        <v>2.1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7.2</v>
      </c>
      <c r="F21" s="1">
        <v>7.9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4.5</v>
      </c>
      <c r="E25" s="1">
        <v>5.4</v>
      </c>
      <c r="F25" s="1">
        <v>4.2</v>
      </c>
      <c r="G25" s="1">
        <v>2.6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5.5</v>
      </c>
      <c r="E26" s="1">
        <v>4.5999999999999996</v>
      </c>
      <c r="F26" s="1">
        <v>5.8</v>
      </c>
      <c r="G26" s="1">
        <v>7.3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45</v>
      </c>
      <c r="E30" s="3">
        <f t="shared" si="2"/>
        <v>54</v>
      </c>
      <c r="F30" s="3">
        <f t="shared" si="2"/>
        <v>42.000000000000007</v>
      </c>
      <c r="G30" s="3">
        <f t="shared" si="2"/>
        <v>26.262626262626267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55.000000000000007</v>
      </c>
      <c r="E31" s="3">
        <f t="shared" si="3"/>
        <v>46</v>
      </c>
      <c r="F31" s="3">
        <f t="shared" si="3"/>
        <v>57.999999999999993</v>
      </c>
      <c r="G31" s="3">
        <f t="shared" si="3"/>
        <v>73.73737373737373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201.54</v>
      </c>
      <c r="C33" s="3">
        <v>143.6</v>
      </c>
      <c r="D33" s="3">
        <v>48.61</v>
      </c>
      <c r="E33" s="3">
        <v>33.5</v>
      </c>
      <c r="F33" s="3">
        <v>86.02</v>
      </c>
      <c r="G33" s="3">
        <v>92.53</v>
      </c>
    </row>
    <row r="35" spans="1:7" x14ac:dyDescent="0.25">
      <c r="A35" s="3" t="s">
        <v>36</v>
      </c>
      <c r="B35" s="3"/>
      <c r="C35" s="3"/>
      <c r="D35" s="3">
        <f>D33-C33</f>
        <v>-94.99</v>
      </c>
      <c r="E35" s="3"/>
      <c r="F35" s="3">
        <f>F33-E33</f>
        <v>52.519999999999996</v>
      </c>
      <c r="G35" s="3"/>
    </row>
    <row r="37" spans="1:7" x14ac:dyDescent="0.25">
      <c r="A37" s="3" t="s">
        <v>36</v>
      </c>
      <c r="B37" s="3"/>
      <c r="C37" s="3">
        <f>C33-B33</f>
        <v>-57.94</v>
      </c>
      <c r="D37" s="3"/>
      <c r="E37" s="3">
        <f>E33-D33</f>
        <v>-15.11</v>
      </c>
      <c r="F37" s="3"/>
      <c r="G37" s="3">
        <f>G33-F33</f>
        <v>6.5100000000000051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802-A48F-49AF-8525-89D9A15F0330}">
  <dimension ref="A1:G37"/>
  <sheetViews>
    <sheetView workbookViewId="0">
      <selection activeCell="L26" sqref="L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230904B001.1</vt:lpstr>
      <vt:lpstr>230904B001.2</vt:lpstr>
      <vt:lpstr>230904B001.3</vt:lpstr>
      <vt:lpstr>230904B001.4</vt:lpstr>
      <vt:lpstr>230904B001.5</vt:lpstr>
      <vt:lpstr>230904B002.1</vt:lpstr>
      <vt:lpstr>230904B002.2</vt:lpstr>
      <vt:lpstr>230904B002.3</vt:lpstr>
      <vt:lpstr>230904B002.4</vt:lpstr>
      <vt:lpstr>230904B002.5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2023-09-11T18:32:56Z</dcterms:created>
  <dcterms:modified xsi:type="dcterms:W3CDTF">2023-09-18T16:58:04Z</dcterms:modified>
</cp:coreProperties>
</file>