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03\WormLab Data\"/>
    </mc:Choice>
  </mc:AlternateContent>
  <xr:revisionPtr revIDLastSave="0" documentId="13_ncr:1_{DC62B29E-480D-434D-8E6C-EF8819A0E509}" xr6:coauthVersionLast="36" xr6:coauthVersionMax="36" xr10:uidLastSave="{00000000-0000-0000-0000-000000000000}"/>
  <bookViews>
    <workbookView xWindow="0" yWindow="0" windowWidth="18915" windowHeight="10395" activeTab="3" xr2:uid="{8D27BDB9-CDA3-435B-8A9F-2E770822E55E}"/>
  </bookViews>
  <sheets>
    <sheet name="231003B001.1" sheetId="1" r:id="rId1"/>
    <sheet name="231003B001.2" sheetId="3" r:id="rId2"/>
    <sheet name="231003B001.4" sheetId="4" r:id="rId3"/>
    <sheet name="231003B001.5" sheetId="5" r:id="rId4"/>
    <sheet name="template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E31" i="5"/>
  <c r="D31" i="5"/>
  <c r="C31" i="5"/>
  <c r="B31" i="5"/>
  <c r="E30" i="5"/>
  <c r="D30" i="5"/>
  <c r="C30" i="5"/>
  <c r="B30" i="5"/>
  <c r="E29" i="5"/>
  <c r="B29" i="5"/>
  <c r="G28" i="5"/>
  <c r="G31" i="5" s="1"/>
  <c r="F28" i="5"/>
  <c r="F31" i="5" s="1"/>
  <c r="E28" i="5"/>
  <c r="D28" i="5"/>
  <c r="D29" i="5" s="1"/>
  <c r="C28" i="5"/>
  <c r="C29" i="5" s="1"/>
  <c r="B28" i="5"/>
  <c r="G37" i="4"/>
  <c r="E37" i="4"/>
  <c r="C37" i="4"/>
  <c r="F35" i="4"/>
  <c r="D35" i="4"/>
  <c r="G28" i="4"/>
  <c r="G30" i="4" s="1"/>
  <c r="F28" i="4"/>
  <c r="F30" i="4" s="1"/>
  <c r="E28" i="4"/>
  <c r="E31" i="4" s="1"/>
  <c r="D28" i="4"/>
  <c r="D31" i="4" s="1"/>
  <c r="C28" i="4"/>
  <c r="C31" i="4" s="1"/>
  <c r="B28" i="4"/>
  <c r="B29" i="4" s="1"/>
  <c r="G37" i="3"/>
  <c r="E37" i="3"/>
  <c r="C37" i="3"/>
  <c r="F35" i="3"/>
  <c r="D35" i="3"/>
  <c r="E31" i="3"/>
  <c r="D31" i="3"/>
  <c r="C31" i="3"/>
  <c r="B31" i="3"/>
  <c r="G30" i="3"/>
  <c r="E30" i="3"/>
  <c r="D30" i="3"/>
  <c r="C30" i="3"/>
  <c r="B30" i="3"/>
  <c r="G29" i="3"/>
  <c r="E29" i="3"/>
  <c r="D29" i="3"/>
  <c r="C29" i="3"/>
  <c r="B29" i="3"/>
  <c r="G28" i="3"/>
  <c r="G31" i="3" s="1"/>
  <c r="F28" i="3"/>
  <c r="F29" i="3" s="1"/>
  <c r="E28" i="3"/>
  <c r="D28" i="3"/>
  <c r="C28" i="3"/>
  <c r="B28" i="3"/>
  <c r="G37" i="2"/>
  <c r="E37" i="2"/>
  <c r="C37" i="2"/>
  <c r="F35" i="2"/>
  <c r="D35" i="2"/>
  <c r="G31" i="2"/>
  <c r="E31" i="2"/>
  <c r="G28" i="2"/>
  <c r="G30" i="2" s="1"/>
  <c r="F28" i="2"/>
  <c r="F31" i="2" s="1"/>
  <c r="E28" i="2"/>
  <c r="E30" i="2" s="1"/>
  <c r="D28" i="2"/>
  <c r="D29" i="2" s="1"/>
  <c r="C28" i="2"/>
  <c r="C29" i="2" s="1"/>
  <c r="B28" i="2"/>
  <c r="B31" i="2" s="1"/>
  <c r="F30" i="5" l="1"/>
  <c r="G30" i="5"/>
  <c r="G29" i="5"/>
  <c r="F29" i="5"/>
  <c r="F31" i="4"/>
  <c r="G31" i="4"/>
  <c r="D29" i="4"/>
  <c r="C29" i="4"/>
  <c r="E29" i="4"/>
  <c r="F29" i="4"/>
  <c r="G29" i="4"/>
  <c r="B30" i="4"/>
  <c r="C30" i="4"/>
  <c r="D30" i="4"/>
  <c r="E30" i="4"/>
  <c r="B31" i="4"/>
  <c r="F30" i="3"/>
  <c r="F31" i="3"/>
  <c r="E29" i="2"/>
  <c r="C31" i="2"/>
  <c r="F29" i="2"/>
  <c r="G29" i="2"/>
  <c r="B30" i="2"/>
  <c r="C30" i="2"/>
  <c r="D30" i="2"/>
  <c r="F30" i="2"/>
  <c r="D31" i="2"/>
  <c r="B29" i="2"/>
  <c r="G37" i="1"/>
  <c r="E37" i="1"/>
  <c r="C37" i="1"/>
  <c r="F35" i="1"/>
  <c r="D35" i="1"/>
  <c r="G28" i="1"/>
  <c r="G31" i="1" s="1"/>
  <c r="F28" i="1"/>
  <c r="F30" i="1" s="1"/>
  <c r="E28" i="1"/>
  <c r="E31" i="1" s="1"/>
  <c r="D28" i="1"/>
  <c r="D31" i="1" s="1"/>
  <c r="C28" i="1"/>
  <c r="C29" i="1" s="1"/>
  <c r="B28" i="1"/>
  <c r="B29" i="1" s="1"/>
  <c r="B30" i="1" l="1"/>
  <c r="E29" i="1"/>
  <c r="B31" i="1"/>
  <c r="G29" i="1"/>
  <c r="C31" i="1"/>
  <c r="F31" i="1"/>
  <c r="E30" i="1"/>
  <c r="F29" i="1"/>
  <c r="C30" i="1"/>
  <c r="D30" i="1"/>
  <c r="D29" i="1"/>
  <c r="G30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<sst xmlns="http://schemas.openxmlformats.org/spreadsheetml/2006/main" count="190" uniqueCount="37">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</sst>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CB66-DEDD-4858-A9AC-4B6EBEE3D8BF}">
  <dimension ref="A1:G37"/>
  <sheetViews>
    <sheetView topLeftCell="A7" workbookViewId="0">
      <selection activeCell="I28" sqref="I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437.18</v>
      </c>
      <c r="C2" s="1">
        <v>466.69</v>
      </c>
      <c r="D2" s="1">
        <v>495.79</v>
      </c>
      <c r="E2" s="1">
        <v>484.33</v>
      </c>
      <c r="F2" s="1">
        <v>409.61</v>
      </c>
      <c r="G2" s="1">
        <v>440.59</v>
      </c>
    </row>
    <row r="3" spans="1:7" x14ac:dyDescent="0.25">
      <c r="A3" s="1" t="s">
        <v>7</v>
      </c>
      <c r="B3" s="1">
        <v>43.12</v>
      </c>
      <c r="C3" s="1">
        <v>43.19</v>
      </c>
      <c r="D3" s="1">
        <v>45.25</v>
      </c>
      <c r="E3" s="1">
        <v>43</v>
      </c>
      <c r="F3" s="1">
        <v>45.28</v>
      </c>
      <c r="G3" s="1">
        <v>41.91</v>
      </c>
    </row>
    <row r="4" spans="1:7" x14ac:dyDescent="0.25">
      <c r="A4" s="1" t="s">
        <v>8</v>
      </c>
      <c r="B4" s="1">
        <v>19123.36</v>
      </c>
      <c r="C4" s="1">
        <v>20479.2</v>
      </c>
      <c r="D4" s="1">
        <v>22804.17</v>
      </c>
      <c r="E4" s="1">
        <v>21181.98</v>
      </c>
      <c r="F4" s="1">
        <v>18861.830000000002</v>
      </c>
      <c r="G4" s="1">
        <v>18730.3</v>
      </c>
    </row>
    <row r="5" spans="1:7" x14ac:dyDescent="0.25">
      <c r="A5" s="1" t="s">
        <v>9</v>
      </c>
      <c r="B5" s="1">
        <v>947.44</v>
      </c>
      <c r="C5" s="1">
        <v>1333.86</v>
      </c>
      <c r="D5" s="1">
        <v>828.14</v>
      </c>
      <c r="E5" s="1">
        <v>646.05999999999995</v>
      </c>
      <c r="F5" s="1">
        <v>932.23</v>
      </c>
      <c r="G5" s="1">
        <v>982.27</v>
      </c>
    </row>
    <row r="6" spans="1:7" x14ac:dyDescent="0.25">
      <c r="A6" s="3" t="s">
        <v>10</v>
      </c>
      <c r="B6" s="3">
        <v>94.74</v>
      </c>
      <c r="C6" s="3">
        <v>134.72999999999999</v>
      </c>
      <c r="D6" s="3">
        <v>83.65</v>
      </c>
      <c r="E6" s="3">
        <v>65.260000000000005</v>
      </c>
      <c r="F6" s="3">
        <v>94.16</v>
      </c>
      <c r="G6" s="3">
        <v>100.23</v>
      </c>
    </row>
    <row r="7" spans="1:7" x14ac:dyDescent="0.25">
      <c r="A7" s="1" t="s">
        <v>11</v>
      </c>
      <c r="B7" s="1">
        <v>856.7</v>
      </c>
      <c r="C7" s="1">
        <v>1235.75</v>
      </c>
      <c r="D7" s="1">
        <v>779.78</v>
      </c>
      <c r="E7" s="1">
        <v>584.24</v>
      </c>
      <c r="F7" s="1">
        <v>836.91</v>
      </c>
      <c r="G7" s="1">
        <v>931.37</v>
      </c>
    </row>
    <row r="8" spans="1:7" x14ac:dyDescent="0.25">
      <c r="A8" s="1" t="s">
        <v>12</v>
      </c>
      <c r="B8" s="1">
        <v>85.67</v>
      </c>
      <c r="C8" s="1">
        <v>124.82</v>
      </c>
      <c r="D8" s="1">
        <v>78.77</v>
      </c>
      <c r="E8" s="1">
        <v>59.01</v>
      </c>
      <c r="F8" s="1">
        <v>84.54</v>
      </c>
      <c r="G8" s="1">
        <v>95.04</v>
      </c>
    </row>
    <row r="9" spans="1:7" x14ac:dyDescent="0.25">
      <c r="A9" s="1" t="s">
        <v>13</v>
      </c>
      <c r="B9" s="1">
        <v>678.27</v>
      </c>
      <c r="C9" s="1">
        <v>1235.75</v>
      </c>
      <c r="D9" s="1">
        <v>751.62</v>
      </c>
      <c r="E9" s="1">
        <v>518.20000000000005</v>
      </c>
      <c r="F9" s="1">
        <v>-468.13</v>
      </c>
      <c r="G9" s="1">
        <v>911.68</v>
      </c>
    </row>
    <row r="10" spans="1:7" x14ac:dyDescent="0.25">
      <c r="A10" s="1" t="s">
        <v>14</v>
      </c>
      <c r="B10" s="1">
        <v>67.83</v>
      </c>
      <c r="C10" s="1">
        <v>124.82</v>
      </c>
      <c r="D10" s="1">
        <v>75.92</v>
      </c>
      <c r="E10" s="1">
        <v>52.34</v>
      </c>
      <c r="F10" s="1">
        <v>-47.29</v>
      </c>
      <c r="G10" s="1">
        <v>93.03</v>
      </c>
    </row>
    <row r="11" spans="1:7" x14ac:dyDescent="0.25">
      <c r="A11" s="1" t="s">
        <v>15</v>
      </c>
      <c r="B11" s="1">
        <v>302.5</v>
      </c>
      <c r="C11" s="1">
        <v>1004.1</v>
      </c>
      <c r="D11" s="1">
        <v>672.88</v>
      </c>
      <c r="E11" s="1">
        <v>487.46</v>
      </c>
      <c r="F11" s="1">
        <v>156.56</v>
      </c>
      <c r="G11" s="1">
        <v>610.67999999999995</v>
      </c>
    </row>
    <row r="12" spans="1:7" x14ac:dyDescent="0.25">
      <c r="A12" s="1" t="s">
        <v>16</v>
      </c>
      <c r="B12" s="1">
        <v>170.04</v>
      </c>
      <c r="C12" s="1">
        <v>216.65</v>
      </c>
      <c r="D12" s="1">
        <v>228.95</v>
      </c>
      <c r="E12" s="1">
        <v>237.18</v>
      </c>
      <c r="F12" s="1">
        <v>156.51</v>
      </c>
      <c r="G12" s="1">
        <v>185.61</v>
      </c>
    </row>
    <row r="13" spans="1:7" x14ac:dyDescent="0.25">
      <c r="A13" s="1" t="s">
        <v>17</v>
      </c>
      <c r="B13" s="1">
        <v>32.19</v>
      </c>
      <c r="C13" s="1">
        <v>37.700000000000003</v>
      </c>
      <c r="D13" s="1">
        <v>26.36</v>
      </c>
      <c r="E13" s="1">
        <v>19.649999999999999</v>
      </c>
      <c r="F13" s="1">
        <v>43.19</v>
      </c>
      <c r="G13" s="1">
        <v>35.71</v>
      </c>
    </row>
    <row r="14" spans="1:7" x14ac:dyDescent="0.25">
      <c r="A14" s="1" t="s">
        <v>18</v>
      </c>
      <c r="B14" s="1">
        <v>94.22</v>
      </c>
      <c r="C14" s="1">
        <v>75.02</v>
      </c>
      <c r="D14" s="1">
        <v>62.21</v>
      </c>
      <c r="E14" s="1">
        <v>41.27</v>
      </c>
      <c r="F14" s="1">
        <v>79.09</v>
      </c>
      <c r="G14" s="1">
        <v>80.16</v>
      </c>
    </row>
    <row r="15" spans="1:7" x14ac:dyDescent="0.25">
      <c r="A15" s="1" t="s">
        <v>19</v>
      </c>
      <c r="B15" s="1">
        <v>4</v>
      </c>
      <c r="C15" s="1">
        <v>8</v>
      </c>
      <c r="D15" s="1">
        <v>4</v>
      </c>
      <c r="E15" s="1">
        <v>4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767.48</v>
      </c>
      <c r="C17" s="1">
        <v>1235.75</v>
      </c>
      <c r="D17" s="1">
        <v>765.7</v>
      </c>
      <c r="E17" s="1">
        <v>551.22</v>
      </c>
      <c r="F17" s="1">
        <v>184.39</v>
      </c>
      <c r="G17" s="1">
        <v>921.53</v>
      </c>
    </row>
    <row r="18" spans="1:7" x14ac:dyDescent="0.25">
      <c r="A18" s="1" t="s">
        <v>22</v>
      </c>
      <c r="B18" s="1">
        <v>89.21</v>
      </c>
      <c r="C18" s="1">
        <v>0</v>
      </c>
      <c r="D18" s="1">
        <v>14.08</v>
      </c>
      <c r="E18" s="1">
        <v>33.020000000000003</v>
      </c>
      <c r="F18" s="1">
        <v>652.52</v>
      </c>
      <c r="G18" s="1">
        <v>9.84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3</v>
      </c>
      <c r="G19" s="1">
        <v>0</v>
      </c>
    </row>
    <row r="20" spans="1:7" x14ac:dyDescent="0.25">
      <c r="A20" s="1" t="s">
        <v>24</v>
      </c>
      <c r="B20" s="1">
        <v>1.1000000000000001</v>
      </c>
      <c r="C20" s="1">
        <v>0</v>
      </c>
      <c r="D20" s="1">
        <v>0</v>
      </c>
      <c r="E20" s="1">
        <v>0.5</v>
      </c>
      <c r="F20" s="1">
        <v>7.2</v>
      </c>
      <c r="G20" s="1">
        <v>0</v>
      </c>
    </row>
    <row r="21" spans="1:7" x14ac:dyDescent="0.25">
      <c r="A21" s="1" t="s">
        <v>25</v>
      </c>
      <c r="B21" s="1">
        <v>9</v>
      </c>
      <c r="C21" s="1">
        <v>10</v>
      </c>
      <c r="D21" s="1">
        <v>10</v>
      </c>
      <c r="E21" s="1">
        <v>9.5</v>
      </c>
      <c r="F21" s="1">
        <v>2.8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</v>
      </c>
      <c r="C24" s="1">
        <v>0</v>
      </c>
      <c r="D24" s="1">
        <v>0</v>
      </c>
      <c r="E24" s="1">
        <v>0</v>
      </c>
      <c r="F24" s="1">
        <v>5.9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1.5</v>
      </c>
      <c r="G25" s="1">
        <v>0</v>
      </c>
    </row>
    <row r="26" spans="1:7" x14ac:dyDescent="0.25">
      <c r="A26" s="1" t="s">
        <v>30</v>
      </c>
      <c r="B26" s="1">
        <v>9.1</v>
      </c>
      <c r="C26" s="1">
        <v>10</v>
      </c>
      <c r="D26" s="1">
        <v>10</v>
      </c>
      <c r="E26" s="1">
        <v>10</v>
      </c>
      <c r="F26" s="1">
        <v>2.6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59.000000000000007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90.099009900990097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62.83</v>
      </c>
      <c r="C33" s="3">
        <v>135.25</v>
      </c>
      <c r="D33" s="3">
        <v>81.19</v>
      </c>
      <c r="E33" s="3">
        <v>59.55</v>
      </c>
      <c r="F33" s="3">
        <v>-39.75</v>
      </c>
      <c r="G33" s="3">
        <v>96.91</v>
      </c>
    </row>
    <row r="35" spans="1:7" x14ac:dyDescent="0.25">
      <c r="A35" s="3" t="s">
        <v>36</v>
      </c>
      <c r="B35" s="3"/>
      <c r="C35" s="3"/>
      <c r="D35" s="3">
        <f>D33-C33</f>
        <v>-54.06</v>
      </c>
      <c r="E35" s="3"/>
      <c r="F35" s="3">
        <f>F33-E33</f>
        <v>-99.3</v>
      </c>
      <c r="G35" s="3"/>
    </row>
    <row r="37" spans="1:7" x14ac:dyDescent="0.25">
      <c r="A37" s="3" t="s">
        <v>36</v>
      </c>
      <c r="B37" s="3"/>
      <c r="C37" s="3">
        <f>C33-B33</f>
        <v>72.42</v>
      </c>
      <c r="D37" s="3"/>
      <c r="E37" s="3">
        <f>E33-D33</f>
        <v>-21.64</v>
      </c>
      <c r="F37" s="3"/>
      <c r="G37" s="3">
        <f>G33-F33</f>
        <v>136.66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CA3A-78E4-43E5-9AD1-373A3155D557}">
  <dimension ref="A1:G37"/>
  <sheetViews>
    <sheetView topLeftCell="A7" workbookViewId="0">
      <selection activeCell="K25" sqref="K2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380.08</v>
      </c>
      <c r="C2" s="1">
        <v>412.71</v>
      </c>
      <c r="D2" s="1">
        <v>438.11</v>
      </c>
      <c r="E2" s="1">
        <v>440.12</v>
      </c>
      <c r="F2" s="1">
        <v>420.71</v>
      </c>
      <c r="G2" s="1">
        <v>339.41</v>
      </c>
    </row>
    <row r="3" spans="1:7" x14ac:dyDescent="0.25">
      <c r="A3" s="1" t="s">
        <v>7</v>
      </c>
      <c r="B3" s="1">
        <v>34.299999999999997</v>
      </c>
      <c r="C3" s="1">
        <v>36.83</v>
      </c>
      <c r="D3" s="1">
        <v>37.53</v>
      </c>
      <c r="E3" s="1">
        <v>36.090000000000003</v>
      </c>
      <c r="F3" s="1">
        <v>37.26</v>
      </c>
      <c r="G3" s="1">
        <v>33.159999999999997</v>
      </c>
    </row>
    <row r="4" spans="1:7" x14ac:dyDescent="0.25">
      <c r="A4" s="1" t="s">
        <v>8</v>
      </c>
      <c r="B4" s="1">
        <v>13276.04</v>
      </c>
      <c r="C4" s="1">
        <v>15476.81</v>
      </c>
      <c r="D4" s="1">
        <v>16733.099999999999</v>
      </c>
      <c r="E4" s="1">
        <v>16167.51</v>
      </c>
      <c r="F4" s="1">
        <v>15943.78</v>
      </c>
      <c r="G4" s="1">
        <v>11447.38</v>
      </c>
    </row>
    <row r="5" spans="1:7" x14ac:dyDescent="0.25">
      <c r="A5" s="1" t="s">
        <v>9</v>
      </c>
      <c r="B5" s="1">
        <v>622.67999999999995</v>
      </c>
      <c r="C5" s="1">
        <v>701.61</v>
      </c>
      <c r="D5" s="1">
        <v>384.2</v>
      </c>
      <c r="E5" s="1">
        <v>534.01</v>
      </c>
      <c r="F5" s="1">
        <v>809.86</v>
      </c>
      <c r="G5" s="1">
        <v>428.13</v>
      </c>
    </row>
    <row r="6" spans="1:7" x14ac:dyDescent="0.25">
      <c r="A6" s="3" t="s">
        <v>10</v>
      </c>
      <c r="B6" s="3">
        <v>62.27</v>
      </c>
      <c r="C6" s="3">
        <v>70.87</v>
      </c>
      <c r="D6" s="3">
        <v>38.81</v>
      </c>
      <c r="E6" s="3">
        <v>53.94</v>
      </c>
      <c r="F6" s="3">
        <v>81.8</v>
      </c>
      <c r="G6" s="3">
        <v>43.69</v>
      </c>
    </row>
    <row r="7" spans="1:7" x14ac:dyDescent="0.25">
      <c r="A7" s="1" t="s">
        <v>11</v>
      </c>
      <c r="B7" s="1">
        <v>540.11</v>
      </c>
      <c r="C7" s="1">
        <v>628.75</v>
      </c>
      <c r="D7" s="1">
        <v>354.68</v>
      </c>
      <c r="E7" s="1">
        <v>438.1</v>
      </c>
      <c r="F7" s="1">
        <v>674.32</v>
      </c>
      <c r="G7" s="1">
        <v>378.98</v>
      </c>
    </row>
    <row r="8" spans="1:7" x14ac:dyDescent="0.25">
      <c r="A8" s="1" t="s">
        <v>12</v>
      </c>
      <c r="B8" s="1">
        <v>54.01</v>
      </c>
      <c r="C8" s="1">
        <v>63.51</v>
      </c>
      <c r="D8" s="1">
        <v>35.83</v>
      </c>
      <c r="E8" s="1">
        <v>44.25</v>
      </c>
      <c r="F8" s="1">
        <v>68.11</v>
      </c>
      <c r="G8" s="1">
        <v>38.67</v>
      </c>
    </row>
    <row r="9" spans="1:7" x14ac:dyDescent="0.25">
      <c r="A9" s="1" t="s">
        <v>13</v>
      </c>
      <c r="B9" s="1">
        <v>-197.51</v>
      </c>
      <c r="C9" s="1">
        <v>549.86</v>
      </c>
      <c r="D9" s="1">
        <v>324.41000000000003</v>
      </c>
      <c r="E9" s="1">
        <v>116.97</v>
      </c>
      <c r="F9" s="1">
        <v>-319.87</v>
      </c>
      <c r="G9" s="1">
        <v>138.19999999999999</v>
      </c>
    </row>
    <row r="10" spans="1:7" x14ac:dyDescent="0.25">
      <c r="A10" s="1" t="s">
        <v>14</v>
      </c>
      <c r="B10" s="1">
        <v>-19.75</v>
      </c>
      <c r="C10" s="1">
        <v>55.54</v>
      </c>
      <c r="D10" s="1">
        <v>32.770000000000003</v>
      </c>
      <c r="E10" s="1">
        <v>11.82</v>
      </c>
      <c r="F10" s="1">
        <v>-32.31</v>
      </c>
      <c r="G10" s="1">
        <v>14.1</v>
      </c>
    </row>
    <row r="11" spans="1:7" x14ac:dyDescent="0.25">
      <c r="A11" s="1" t="s">
        <v>15</v>
      </c>
      <c r="B11" s="1">
        <v>156.6</v>
      </c>
      <c r="C11" s="1">
        <v>508.35</v>
      </c>
      <c r="D11" s="1">
        <v>303.08999999999997</v>
      </c>
      <c r="E11" s="1">
        <v>107.91</v>
      </c>
      <c r="F11" s="1">
        <v>228.31</v>
      </c>
      <c r="G11" s="1">
        <v>108.88</v>
      </c>
    </row>
    <row r="12" spans="1:7" x14ac:dyDescent="0.25">
      <c r="A12" s="1" t="s">
        <v>16</v>
      </c>
      <c r="B12" s="1">
        <v>154.4</v>
      </c>
      <c r="C12" s="1">
        <v>197.9</v>
      </c>
      <c r="D12" s="1">
        <v>227.93</v>
      </c>
      <c r="E12" s="1">
        <v>203.85</v>
      </c>
      <c r="F12" s="1">
        <v>159.85</v>
      </c>
      <c r="G12" s="1">
        <v>111.34</v>
      </c>
    </row>
    <row r="13" spans="1:7" x14ac:dyDescent="0.25">
      <c r="A13" s="1" t="s">
        <v>17</v>
      </c>
      <c r="B13" s="1">
        <v>44.95</v>
      </c>
      <c r="C13" s="1">
        <v>18.29</v>
      </c>
      <c r="D13" s="1">
        <v>14.87</v>
      </c>
      <c r="E13" s="1">
        <v>19.53</v>
      </c>
      <c r="F13" s="1">
        <v>43.61</v>
      </c>
      <c r="G13" s="1">
        <v>50.74</v>
      </c>
    </row>
    <row r="14" spans="1:7" x14ac:dyDescent="0.25">
      <c r="A14" s="1" t="s">
        <v>18</v>
      </c>
      <c r="B14" s="1">
        <v>74.73</v>
      </c>
      <c r="C14" s="1">
        <v>43.55</v>
      </c>
      <c r="D14" s="1">
        <v>42.98</v>
      </c>
      <c r="E14" s="1">
        <v>43.45</v>
      </c>
      <c r="F14" s="1">
        <v>85.24</v>
      </c>
      <c r="G14" s="1">
        <v>73.349999999999994</v>
      </c>
    </row>
    <row r="15" spans="1:7" x14ac:dyDescent="0.25">
      <c r="A15" s="1" t="s">
        <v>19</v>
      </c>
      <c r="B15" s="1">
        <v>4</v>
      </c>
      <c r="C15" s="1">
        <v>5</v>
      </c>
      <c r="D15" s="1">
        <v>2</v>
      </c>
      <c r="E15" s="1">
        <v>5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171.3</v>
      </c>
      <c r="C17" s="1">
        <v>589.30999999999995</v>
      </c>
      <c r="D17" s="1">
        <v>339.55</v>
      </c>
      <c r="E17" s="1">
        <v>277.54000000000002</v>
      </c>
      <c r="F17" s="1">
        <v>177.22</v>
      </c>
      <c r="G17" s="1">
        <v>258.58999999999997</v>
      </c>
    </row>
    <row r="18" spans="1:7" x14ac:dyDescent="0.25">
      <c r="A18" s="1" t="s">
        <v>22</v>
      </c>
      <c r="B18" s="1">
        <v>368.81</v>
      </c>
      <c r="C18" s="1">
        <v>39.450000000000003</v>
      </c>
      <c r="D18" s="1">
        <v>15.14</v>
      </c>
      <c r="E18" s="1">
        <v>160.56</v>
      </c>
      <c r="F18" s="1">
        <v>497.1</v>
      </c>
      <c r="G18" s="1">
        <v>120.39</v>
      </c>
    </row>
    <row r="19" spans="1:7" x14ac:dyDescent="0.25">
      <c r="A19" s="1" t="s">
        <v>23</v>
      </c>
      <c r="B19" s="1">
        <v>2</v>
      </c>
      <c r="C19" s="1">
        <v>1</v>
      </c>
      <c r="D19" s="1">
        <v>0</v>
      </c>
      <c r="E19" s="1">
        <v>2</v>
      </c>
      <c r="F19" s="1">
        <v>3</v>
      </c>
      <c r="G19" s="1">
        <v>4</v>
      </c>
    </row>
    <row r="20" spans="1:7" x14ac:dyDescent="0.25">
      <c r="A20" s="1" t="s">
        <v>24</v>
      </c>
      <c r="B20" s="1">
        <v>4</v>
      </c>
      <c r="C20" s="1">
        <v>0.9</v>
      </c>
      <c r="D20" s="1">
        <v>0</v>
      </c>
      <c r="E20" s="1">
        <v>1.7</v>
      </c>
      <c r="F20" s="1">
        <v>5.8</v>
      </c>
      <c r="G20" s="1">
        <v>4.4000000000000004</v>
      </c>
    </row>
    <row r="21" spans="1:7" x14ac:dyDescent="0.25">
      <c r="A21" s="1" t="s">
        <v>25</v>
      </c>
      <c r="B21" s="1">
        <v>6.1</v>
      </c>
      <c r="C21" s="1">
        <v>9.1</v>
      </c>
      <c r="D21" s="1">
        <v>10</v>
      </c>
      <c r="E21" s="1">
        <v>8.3000000000000007</v>
      </c>
      <c r="F21" s="1">
        <v>4.2</v>
      </c>
      <c r="G21" s="1">
        <v>5.5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1.7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3.6</v>
      </c>
      <c r="C24" s="1">
        <v>0</v>
      </c>
      <c r="D24" s="1">
        <v>0</v>
      </c>
      <c r="E24" s="1">
        <v>1</v>
      </c>
      <c r="F24" s="1">
        <v>4</v>
      </c>
      <c r="G24" s="1">
        <v>0</v>
      </c>
    </row>
    <row r="25" spans="1:7" x14ac:dyDescent="0.25">
      <c r="A25" s="1" t="s">
        <v>29</v>
      </c>
      <c r="B25" s="1">
        <v>1.6</v>
      </c>
      <c r="C25" s="1">
        <v>1.3</v>
      </c>
      <c r="D25" s="1">
        <v>6.5</v>
      </c>
      <c r="E25" s="1">
        <v>5.3</v>
      </c>
      <c r="F25" s="1">
        <v>1.5</v>
      </c>
      <c r="G25" s="1">
        <v>6.6</v>
      </c>
    </row>
    <row r="26" spans="1:7" x14ac:dyDescent="0.25">
      <c r="A26" s="1" t="s">
        <v>30</v>
      </c>
      <c r="B26" s="1">
        <v>4.9000000000000004</v>
      </c>
      <c r="C26" s="1">
        <v>8.6999999999999993</v>
      </c>
      <c r="D26" s="1">
        <v>3.5</v>
      </c>
      <c r="E26" s="1">
        <v>3.7</v>
      </c>
      <c r="F26" s="1">
        <v>4.5</v>
      </c>
      <c r="G26" s="1">
        <v>3.3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35.64356435643564</v>
      </c>
      <c r="C29" s="3">
        <f t="shared" ref="C29:G29" si="1">C24/C28*100</f>
        <v>0</v>
      </c>
      <c r="D29" s="3">
        <f t="shared" si="1"/>
        <v>0</v>
      </c>
      <c r="E29" s="3">
        <f t="shared" si="1"/>
        <v>10</v>
      </c>
      <c r="F29" s="3">
        <f t="shared" si="1"/>
        <v>40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15.84158415841584</v>
      </c>
      <c r="C30" s="3">
        <f t="shared" ref="C30:G30" si="2">C25/C28*100</f>
        <v>13</v>
      </c>
      <c r="D30" s="3">
        <f t="shared" si="2"/>
        <v>65</v>
      </c>
      <c r="E30" s="3">
        <f t="shared" si="2"/>
        <v>53</v>
      </c>
      <c r="F30" s="3">
        <f t="shared" si="2"/>
        <v>15</v>
      </c>
      <c r="G30" s="3">
        <f t="shared" si="2"/>
        <v>66.666666666666671</v>
      </c>
    </row>
    <row r="31" spans="1:7" x14ac:dyDescent="0.25">
      <c r="A31" s="3" t="s">
        <v>34</v>
      </c>
      <c r="B31" s="3">
        <f>B26/B28*100</f>
        <v>48.514851485148512</v>
      </c>
      <c r="C31" s="3">
        <f t="shared" ref="C31:G31" si="3">C26/C28*100</f>
        <v>86.999999999999986</v>
      </c>
      <c r="D31" s="3">
        <f t="shared" si="3"/>
        <v>35</v>
      </c>
      <c r="E31" s="3">
        <f t="shared" si="3"/>
        <v>37</v>
      </c>
      <c r="F31" s="3">
        <f t="shared" si="3"/>
        <v>45</v>
      </c>
      <c r="G31" s="3">
        <f t="shared" si="3"/>
        <v>33.333333333333336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4.07</v>
      </c>
      <c r="C33" s="3">
        <v>56.95</v>
      </c>
      <c r="D33" s="3">
        <v>33.21</v>
      </c>
      <c r="E33" s="3">
        <v>14.21</v>
      </c>
      <c r="F33" s="3">
        <v>-22.9</v>
      </c>
      <c r="G33" s="3">
        <v>13.19</v>
      </c>
    </row>
    <row r="35" spans="1:7" x14ac:dyDescent="0.25">
      <c r="A35" s="3" t="s">
        <v>36</v>
      </c>
      <c r="B35" s="3"/>
      <c r="C35" s="3"/>
      <c r="D35" s="3">
        <f>D33-C33</f>
        <v>-23.740000000000002</v>
      </c>
      <c r="E35" s="3"/>
      <c r="F35" s="3">
        <f>F33-E33</f>
        <v>-37.11</v>
      </c>
      <c r="G35" s="3"/>
    </row>
    <row r="37" spans="1:7" x14ac:dyDescent="0.25">
      <c r="A37" s="3" t="s">
        <v>36</v>
      </c>
      <c r="B37" s="3"/>
      <c r="C37" s="3">
        <f>C33-B33</f>
        <v>52.88</v>
      </c>
      <c r="D37" s="3"/>
      <c r="E37" s="3">
        <f>E33-D33</f>
        <v>-19</v>
      </c>
      <c r="F37" s="3"/>
      <c r="G37" s="3">
        <f>G33-F33</f>
        <v>36.089999999999996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FF81-EBFD-4A86-AD15-31B57F7DE180}">
  <dimension ref="A1:G37"/>
  <sheetViews>
    <sheetView topLeftCell="A7" workbookViewId="0">
      <selection activeCell="J24" sqref="J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514.75</v>
      </c>
      <c r="C2" s="1">
        <v>514.71</v>
      </c>
      <c r="D2" s="1">
        <v>524.65</v>
      </c>
      <c r="E2" s="1">
        <v>498.65</v>
      </c>
      <c r="F2" s="1">
        <v>517.85</v>
      </c>
      <c r="G2" s="1">
        <v>460.73</v>
      </c>
    </row>
    <row r="3" spans="1:7" x14ac:dyDescent="0.25">
      <c r="A3" s="1" t="s">
        <v>7</v>
      </c>
      <c r="B3" s="1">
        <v>52.37</v>
      </c>
      <c r="C3" s="1">
        <v>53.73</v>
      </c>
      <c r="D3" s="1">
        <v>53.49</v>
      </c>
      <c r="E3" s="1">
        <v>47.88</v>
      </c>
      <c r="F3" s="1">
        <v>56.31</v>
      </c>
      <c r="G3" s="1">
        <v>60.21</v>
      </c>
    </row>
    <row r="4" spans="1:7" x14ac:dyDescent="0.25">
      <c r="A4" s="1" t="s">
        <v>8</v>
      </c>
      <c r="B4" s="1">
        <v>27409.72</v>
      </c>
      <c r="C4" s="1">
        <v>28105.919999999998</v>
      </c>
      <c r="D4" s="1">
        <v>28505.69</v>
      </c>
      <c r="E4" s="1">
        <v>24219.46</v>
      </c>
      <c r="F4" s="1">
        <v>29642.61</v>
      </c>
      <c r="G4" s="1">
        <v>28082.18</v>
      </c>
    </row>
    <row r="5" spans="1:7" x14ac:dyDescent="0.25">
      <c r="A5" s="1" t="s">
        <v>9</v>
      </c>
      <c r="B5" s="1">
        <v>1799.43</v>
      </c>
      <c r="C5" s="1">
        <v>1604.2</v>
      </c>
      <c r="D5" s="1">
        <v>923.53</v>
      </c>
      <c r="E5" s="1">
        <v>530.71</v>
      </c>
      <c r="F5" s="1">
        <v>1227.19</v>
      </c>
      <c r="G5" s="1">
        <v>896</v>
      </c>
    </row>
    <row r="6" spans="1:7" x14ac:dyDescent="0.25">
      <c r="A6" s="3" t="s">
        <v>10</v>
      </c>
      <c r="B6" s="3">
        <v>179.94</v>
      </c>
      <c r="C6" s="3">
        <v>162.04</v>
      </c>
      <c r="D6" s="3">
        <v>93.29</v>
      </c>
      <c r="E6" s="3">
        <v>53.61</v>
      </c>
      <c r="F6" s="3">
        <v>123.96</v>
      </c>
      <c r="G6" s="3">
        <v>91.43</v>
      </c>
    </row>
    <row r="7" spans="1:7" x14ac:dyDescent="0.25">
      <c r="A7" s="1" t="s">
        <v>11</v>
      </c>
      <c r="B7" s="1">
        <v>1678.75</v>
      </c>
      <c r="C7" s="1">
        <v>1491.69</v>
      </c>
      <c r="D7" s="1">
        <v>891.43</v>
      </c>
      <c r="E7" s="1">
        <v>512.64</v>
      </c>
      <c r="F7" s="1">
        <v>1058.23</v>
      </c>
      <c r="G7" s="1">
        <v>808.22</v>
      </c>
    </row>
    <row r="8" spans="1:7" x14ac:dyDescent="0.25">
      <c r="A8" s="1" t="s">
        <v>12</v>
      </c>
      <c r="B8" s="1">
        <v>167.88</v>
      </c>
      <c r="C8" s="1">
        <v>150.68</v>
      </c>
      <c r="D8" s="1">
        <v>90.04</v>
      </c>
      <c r="E8" s="1">
        <v>51.78</v>
      </c>
      <c r="F8" s="1">
        <v>106.89</v>
      </c>
      <c r="G8" s="1">
        <v>82.47</v>
      </c>
    </row>
    <row r="9" spans="1:7" x14ac:dyDescent="0.25">
      <c r="A9" s="1" t="s">
        <v>13</v>
      </c>
      <c r="B9" s="1">
        <v>1678.75</v>
      </c>
      <c r="C9" s="1">
        <v>1491.69</v>
      </c>
      <c r="D9" s="1">
        <v>890.71</v>
      </c>
      <c r="E9" s="1">
        <v>476.72</v>
      </c>
      <c r="F9" s="1">
        <v>787.55</v>
      </c>
      <c r="G9" s="1">
        <v>344.82</v>
      </c>
    </row>
    <row r="10" spans="1:7" x14ac:dyDescent="0.25">
      <c r="A10" s="1" t="s">
        <v>14</v>
      </c>
      <c r="B10" s="1">
        <v>167.88</v>
      </c>
      <c r="C10" s="1">
        <v>150.68</v>
      </c>
      <c r="D10" s="1">
        <v>89.97</v>
      </c>
      <c r="E10" s="1">
        <v>48.15</v>
      </c>
      <c r="F10" s="1">
        <v>79.55</v>
      </c>
      <c r="G10" s="1">
        <v>35.19</v>
      </c>
    </row>
    <row r="11" spans="1:7" x14ac:dyDescent="0.25">
      <c r="A11" s="1" t="s">
        <v>15</v>
      </c>
      <c r="B11" s="1">
        <v>1467.28</v>
      </c>
      <c r="C11" s="1">
        <v>1405.4</v>
      </c>
      <c r="D11" s="1">
        <v>795.2</v>
      </c>
      <c r="E11" s="1">
        <v>417.42</v>
      </c>
      <c r="F11" s="1">
        <v>558.6</v>
      </c>
      <c r="G11" s="1">
        <v>187.79</v>
      </c>
    </row>
    <row r="12" spans="1:7" x14ac:dyDescent="0.25">
      <c r="A12" s="1" t="s">
        <v>16</v>
      </c>
      <c r="B12" s="1">
        <v>241.78</v>
      </c>
      <c r="C12" s="1">
        <v>253.06</v>
      </c>
      <c r="D12" s="1">
        <v>247.14</v>
      </c>
      <c r="E12" s="1">
        <v>232.65</v>
      </c>
      <c r="F12" s="1">
        <v>239.73</v>
      </c>
      <c r="G12" s="1">
        <v>207.17</v>
      </c>
    </row>
    <row r="13" spans="1:7" x14ac:dyDescent="0.25">
      <c r="A13" s="1" t="s">
        <v>17</v>
      </c>
      <c r="B13" s="1">
        <v>33.97</v>
      </c>
      <c r="C13" s="1">
        <v>23.33</v>
      </c>
      <c r="D13" s="1">
        <v>25.94</v>
      </c>
      <c r="E13" s="1">
        <v>15.78</v>
      </c>
      <c r="F13" s="1">
        <v>27.8</v>
      </c>
      <c r="G13" s="1">
        <v>33.36</v>
      </c>
    </row>
    <row r="14" spans="1:7" x14ac:dyDescent="0.25">
      <c r="A14" s="1" t="s">
        <v>18</v>
      </c>
      <c r="B14" s="1">
        <v>64.900000000000006</v>
      </c>
      <c r="C14" s="1">
        <v>50.41</v>
      </c>
      <c r="D14" s="1">
        <v>47.21</v>
      </c>
      <c r="E14" s="1">
        <v>38.229999999999997</v>
      </c>
      <c r="F14" s="1">
        <v>65.14</v>
      </c>
      <c r="G14" s="1">
        <v>74.599999999999994</v>
      </c>
    </row>
    <row r="15" spans="1:7" x14ac:dyDescent="0.25">
      <c r="A15" s="1" t="s">
        <v>19</v>
      </c>
      <c r="B15" s="1">
        <v>6</v>
      </c>
      <c r="C15" s="1">
        <v>3</v>
      </c>
      <c r="D15" s="1">
        <v>2</v>
      </c>
      <c r="E15" s="1">
        <v>1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1678.75</v>
      </c>
      <c r="C17" s="1">
        <v>1491.69</v>
      </c>
      <c r="D17" s="1">
        <v>891.07</v>
      </c>
      <c r="E17" s="1">
        <v>494.68</v>
      </c>
      <c r="F17" s="1">
        <v>922.89</v>
      </c>
      <c r="G17" s="1">
        <v>576.52</v>
      </c>
    </row>
    <row r="18" spans="1:7" x14ac:dyDescent="0.25">
      <c r="A18" s="1" t="s">
        <v>22</v>
      </c>
      <c r="B18" s="1">
        <v>0</v>
      </c>
      <c r="C18" s="1">
        <v>0</v>
      </c>
      <c r="D18" s="1">
        <v>0.36</v>
      </c>
      <c r="E18" s="1">
        <v>17.96</v>
      </c>
      <c r="F18" s="1">
        <v>135.34</v>
      </c>
      <c r="G18" s="1">
        <v>231.7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2.1</v>
      </c>
      <c r="G20" s="1">
        <v>2.4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7.9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2.7</v>
      </c>
      <c r="G24" s="1">
        <v>1.6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1.1000000000000001</v>
      </c>
      <c r="F25" s="1">
        <v>0</v>
      </c>
      <c r="G25" s="1">
        <v>1.7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8.9</v>
      </c>
      <c r="F26" s="1">
        <v>7.3</v>
      </c>
      <c r="G26" s="1">
        <v>6.6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</v>
      </c>
      <c r="G29" s="3">
        <f t="shared" si="1"/>
        <v>16.161616161616166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11.000000000000002</v>
      </c>
      <c r="F30" s="3">
        <f t="shared" si="2"/>
        <v>0</v>
      </c>
      <c r="G30" s="3">
        <f t="shared" si="2"/>
        <v>17.171717171717173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73</v>
      </c>
      <c r="G31" s="3">
        <f t="shared" si="3"/>
        <v>66.666666666666671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176.05</v>
      </c>
      <c r="C33" s="3">
        <v>158.80000000000001</v>
      </c>
      <c r="D33" s="3">
        <v>92.61</v>
      </c>
      <c r="E33" s="3">
        <v>50.04</v>
      </c>
      <c r="F33" s="3">
        <v>70.599999999999994</v>
      </c>
      <c r="G33" s="3">
        <v>23.47</v>
      </c>
    </row>
    <row r="35" spans="1:7" x14ac:dyDescent="0.25">
      <c r="A35" s="3" t="s">
        <v>36</v>
      </c>
      <c r="B35" s="3"/>
      <c r="C35" s="3"/>
      <c r="D35" s="3">
        <f>D33-C33</f>
        <v>-66.190000000000012</v>
      </c>
      <c r="E35" s="3"/>
      <c r="F35" s="3">
        <f>F33-E33</f>
        <v>20.559999999999995</v>
      </c>
      <c r="G35" s="3"/>
    </row>
    <row r="37" spans="1:7" x14ac:dyDescent="0.25">
      <c r="A37" s="3" t="s">
        <v>36</v>
      </c>
      <c r="B37" s="3"/>
      <c r="C37" s="3">
        <f>C33-B33</f>
        <v>-17.25</v>
      </c>
      <c r="D37" s="3"/>
      <c r="E37" s="3">
        <f>E33-D33</f>
        <v>-42.57</v>
      </c>
      <c r="F37" s="3"/>
      <c r="G37" s="3">
        <f>G33-F33</f>
        <v>-47.129999999999995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035E-C276-44CF-9E3D-2334F2A7BFB5}">
  <dimension ref="A1:G37"/>
  <sheetViews>
    <sheetView tabSelected="1" topLeftCell="A13" workbookViewId="0">
      <selection activeCell="J23" sqref="J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448.05</v>
      </c>
      <c r="C2" s="1">
        <v>402.69</v>
      </c>
      <c r="D2" s="1">
        <v>479.55</v>
      </c>
      <c r="E2" s="1">
        <v>520.15</v>
      </c>
      <c r="F2" s="1">
        <v>471.11</v>
      </c>
      <c r="G2" s="1">
        <v>446.33</v>
      </c>
    </row>
    <row r="3" spans="1:7" x14ac:dyDescent="0.25">
      <c r="A3" s="1" t="s">
        <v>7</v>
      </c>
      <c r="B3" s="1">
        <v>37.299999999999997</v>
      </c>
      <c r="C3" s="1">
        <v>43.64</v>
      </c>
      <c r="D3" s="1">
        <v>45.28</v>
      </c>
      <c r="E3" s="1">
        <v>44.98</v>
      </c>
      <c r="F3" s="1">
        <v>43.99</v>
      </c>
      <c r="G3" s="1">
        <v>40.409999999999997</v>
      </c>
    </row>
    <row r="4" spans="1:7" x14ac:dyDescent="0.25">
      <c r="A4" s="1" t="s">
        <v>8</v>
      </c>
      <c r="B4" s="1">
        <v>17018.54</v>
      </c>
      <c r="C4" s="1">
        <v>17875.05</v>
      </c>
      <c r="D4" s="1">
        <v>22069.43</v>
      </c>
      <c r="E4" s="1">
        <v>23786.03</v>
      </c>
      <c r="F4" s="1">
        <v>21070.07</v>
      </c>
      <c r="G4" s="1">
        <v>18417.54</v>
      </c>
    </row>
    <row r="5" spans="1:7" x14ac:dyDescent="0.25">
      <c r="A5" s="1" t="s">
        <v>9</v>
      </c>
      <c r="B5" s="1">
        <v>1212.6099999999999</v>
      </c>
      <c r="C5" s="1">
        <v>503.66</v>
      </c>
      <c r="D5" s="1">
        <v>549.49</v>
      </c>
      <c r="E5" s="1">
        <v>201.22</v>
      </c>
      <c r="F5" s="1">
        <v>626.72</v>
      </c>
      <c r="G5" s="1">
        <v>631.05999999999995</v>
      </c>
    </row>
    <row r="6" spans="1:7" x14ac:dyDescent="0.25">
      <c r="A6" s="3" t="s">
        <v>10</v>
      </c>
      <c r="B6" s="3">
        <v>121.26</v>
      </c>
      <c r="C6" s="3">
        <v>50.87</v>
      </c>
      <c r="D6" s="3">
        <v>55.5</v>
      </c>
      <c r="E6" s="3">
        <v>20.32</v>
      </c>
      <c r="F6" s="3">
        <v>63.31</v>
      </c>
      <c r="G6" s="3">
        <v>64.39</v>
      </c>
    </row>
    <row r="7" spans="1:7" x14ac:dyDescent="0.25">
      <c r="A7" s="1" t="s">
        <v>11</v>
      </c>
      <c r="B7" s="1">
        <v>1086.25</v>
      </c>
      <c r="C7" s="1">
        <v>447.3</v>
      </c>
      <c r="D7" s="1">
        <v>500.39</v>
      </c>
      <c r="E7" s="1">
        <v>178.4</v>
      </c>
      <c r="F7" s="1">
        <v>576.63</v>
      </c>
      <c r="G7" s="1">
        <v>550.66</v>
      </c>
    </row>
    <row r="8" spans="1:7" x14ac:dyDescent="0.25">
      <c r="A8" s="1" t="s">
        <v>12</v>
      </c>
      <c r="B8" s="1">
        <v>108.63</v>
      </c>
      <c r="C8" s="1">
        <v>45.18</v>
      </c>
      <c r="D8" s="1">
        <v>50.54</v>
      </c>
      <c r="E8" s="1">
        <v>18.02</v>
      </c>
      <c r="F8" s="1">
        <v>58.25</v>
      </c>
      <c r="G8" s="1">
        <v>56.19</v>
      </c>
    </row>
    <row r="9" spans="1:7" x14ac:dyDescent="0.25">
      <c r="A9" s="1" t="s">
        <v>13</v>
      </c>
      <c r="B9" s="1">
        <v>974.58</v>
      </c>
      <c r="C9" s="1">
        <v>223.39</v>
      </c>
      <c r="D9" s="1">
        <v>440.13</v>
      </c>
      <c r="E9" s="1">
        <v>48.81</v>
      </c>
      <c r="F9" s="1">
        <v>-409.21</v>
      </c>
      <c r="G9" s="1">
        <v>483.3</v>
      </c>
    </row>
    <row r="10" spans="1:7" x14ac:dyDescent="0.25">
      <c r="A10" s="1" t="s">
        <v>14</v>
      </c>
      <c r="B10" s="1">
        <v>97.46</v>
      </c>
      <c r="C10" s="1">
        <v>22.56</v>
      </c>
      <c r="D10" s="1">
        <v>44.46</v>
      </c>
      <c r="E10" s="1">
        <v>4.93</v>
      </c>
      <c r="F10" s="1">
        <v>-41.33</v>
      </c>
      <c r="G10" s="1">
        <v>49.32</v>
      </c>
    </row>
    <row r="11" spans="1:7" x14ac:dyDescent="0.25">
      <c r="A11" s="1" t="s">
        <v>15</v>
      </c>
      <c r="B11" s="1">
        <v>901.2</v>
      </c>
      <c r="C11" s="1">
        <v>4.4400000000000004</v>
      </c>
      <c r="D11" s="1">
        <v>323.05</v>
      </c>
      <c r="E11" s="1">
        <v>38.78</v>
      </c>
      <c r="F11" s="1">
        <v>323.88</v>
      </c>
      <c r="G11" s="1">
        <v>418.74</v>
      </c>
    </row>
    <row r="12" spans="1:7" x14ac:dyDescent="0.25">
      <c r="A12" s="1" t="s">
        <v>16</v>
      </c>
      <c r="B12" s="1">
        <v>226.75</v>
      </c>
      <c r="C12" s="1">
        <v>178.95</v>
      </c>
      <c r="D12" s="1">
        <v>245.13</v>
      </c>
      <c r="E12" s="1">
        <v>235.04</v>
      </c>
      <c r="F12" s="1">
        <v>222.33</v>
      </c>
      <c r="G12" s="1">
        <v>194.67</v>
      </c>
    </row>
    <row r="13" spans="1:7" x14ac:dyDescent="0.25">
      <c r="A13" s="1" t="s">
        <v>17</v>
      </c>
      <c r="B13" s="1">
        <v>30.8</v>
      </c>
      <c r="C13" s="1">
        <v>35.92</v>
      </c>
      <c r="D13" s="1">
        <v>31.63</v>
      </c>
      <c r="E13" s="1">
        <v>39.72</v>
      </c>
      <c r="F13" s="1">
        <v>28.66</v>
      </c>
      <c r="G13" s="1">
        <v>37.25</v>
      </c>
    </row>
    <row r="14" spans="1:7" x14ac:dyDescent="0.25">
      <c r="A14" s="1" t="s">
        <v>18</v>
      </c>
      <c r="B14" s="1">
        <v>79.2</v>
      </c>
      <c r="C14" s="1">
        <v>74.47</v>
      </c>
      <c r="D14" s="1">
        <v>69.36</v>
      </c>
      <c r="E14" s="1">
        <v>58.49</v>
      </c>
      <c r="F14" s="1">
        <v>77.8</v>
      </c>
      <c r="G14" s="1">
        <v>71.58</v>
      </c>
    </row>
    <row r="15" spans="1:7" x14ac:dyDescent="0.25">
      <c r="A15" s="1" t="s">
        <v>19</v>
      </c>
      <c r="B15" s="1">
        <v>4</v>
      </c>
      <c r="C15" s="1">
        <v>6</v>
      </c>
      <c r="D15" s="1">
        <v>3</v>
      </c>
      <c r="E15" s="1">
        <v>1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1030.42</v>
      </c>
      <c r="C17" s="1">
        <v>335.35</v>
      </c>
      <c r="D17" s="1">
        <v>470.26</v>
      </c>
      <c r="E17" s="1">
        <v>113.61</v>
      </c>
      <c r="F17" s="1">
        <v>83.71</v>
      </c>
      <c r="G17" s="1">
        <v>516.98</v>
      </c>
    </row>
    <row r="18" spans="1:7" x14ac:dyDescent="0.25">
      <c r="A18" s="1" t="s">
        <v>22</v>
      </c>
      <c r="B18" s="1">
        <v>55.84</v>
      </c>
      <c r="C18" s="1">
        <v>111.96</v>
      </c>
      <c r="D18" s="1">
        <v>30.13</v>
      </c>
      <c r="E18" s="1">
        <v>64.790000000000006</v>
      </c>
      <c r="F18" s="1">
        <v>492.92</v>
      </c>
      <c r="G18" s="1">
        <v>33.68</v>
      </c>
    </row>
    <row r="19" spans="1:7" x14ac:dyDescent="0.25">
      <c r="A19" s="1" t="s">
        <v>23</v>
      </c>
      <c r="B19" s="1">
        <v>0</v>
      </c>
      <c r="C19" s="1">
        <v>3</v>
      </c>
      <c r="D19" s="1">
        <v>1</v>
      </c>
      <c r="E19" s="1">
        <v>4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3.7</v>
      </c>
      <c r="D20" s="1">
        <v>0.7</v>
      </c>
      <c r="E20" s="1">
        <v>4.2</v>
      </c>
      <c r="F20" s="1">
        <v>7.5</v>
      </c>
      <c r="G20" s="1">
        <v>0.9</v>
      </c>
    </row>
    <row r="21" spans="1:7" x14ac:dyDescent="0.25">
      <c r="A21" s="1" t="s">
        <v>25</v>
      </c>
      <c r="B21" s="1">
        <v>10.1</v>
      </c>
      <c r="C21" s="1">
        <v>6.3</v>
      </c>
      <c r="D21" s="1">
        <v>9.3000000000000007</v>
      </c>
      <c r="E21" s="1">
        <v>5.8</v>
      </c>
      <c r="F21" s="1">
        <v>2.5</v>
      </c>
      <c r="G21" s="1">
        <v>9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2.2000000000000002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5.6</v>
      </c>
      <c r="G24" s="1">
        <v>0</v>
      </c>
    </row>
    <row r="25" spans="1:7" x14ac:dyDescent="0.25">
      <c r="A25" s="1" t="s">
        <v>29</v>
      </c>
      <c r="B25" s="1">
        <v>0</v>
      </c>
      <c r="C25" s="1">
        <v>7.8</v>
      </c>
      <c r="D25" s="1">
        <v>5</v>
      </c>
      <c r="E25" s="1">
        <v>10</v>
      </c>
      <c r="F25" s="1">
        <v>3.4</v>
      </c>
      <c r="G25" s="1">
        <v>3.2</v>
      </c>
    </row>
    <row r="26" spans="1:7" x14ac:dyDescent="0.25">
      <c r="A26" s="1" t="s">
        <v>30</v>
      </c>
      <c r="B26" s="1">
        <v>10.1</v>
      </c>
      <c r="C26" s="1">
        <v>2.2000000000000002</v>
      </c>
      <c r="D26" s="1">
        <v>5</v>
      </c>
      <c r="E26" s="1">
        <v>0</v>
      </c>
      <c r="F26" s="1">
        <v>1</v>
      </c>
      <c r="G26" s="1">
        <v>6.7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55.999999999999993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78</v>
      </c>
      <c r="D30" s="3">
        <f t="shared" si="2"/>
        <v>50</v>
      </c>
      <c r="E30" s="3">
        <f t="shared" si="2"/>
        <v>100</v>
      </c>
      <c r="F30" s="3">
        <f t="shared" si="2"/>
        <v>34</v>
      </c>
      <c r="G30" s="3">
        <f t="shared" si="2"/>
        <v>32.323232323232325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22.000000000000004</v>
      </c>
      <c r="D31" s="3">
        <f t="shared" si="3"/>
        <v>50</v>
      </c>
      <c r="E31" s="3">
        <f t="shared" si="3"/>
        <v>0</v>
      </c>
      <c r="F31" s="3">
        <f t="shared" si="3"/>
        <v>10</v>
      </c>
      <c r="G31" s="3">
        <f t="shared" si="3"/>
        <v>67.676767676767682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102.54</v>
      </c>
      <c r="C33" s="3">
        <v>14.68</v>
      </c>
      <c r="D33" s="3">
        <v>43.01</v>
      </c>
      <c r="E33" s="3">
        <v>4.37</v>
      </c>
      <c r="F33" s="3">
        <v>-43.52</v>
      </c>
      <c r="G33" s="3">
        <v>55.47</v>
      </c>
    </row>
    <row r="35" spans="1:7" x14ac:dyDescent="0.25">
      <c r="A35" s="3" t="s">
        <v>36</v>
      </c>
      <c r="B35" s="3"/>
      <c r="C35" s="3"/>
      <c r="D35" s="3">
        <f>D33-C33</f>
        <v>28.33</v>
      </c>
      <c r="E35" s="3"/>
      <c r="F35" s="3">
        <f>F33-E33</f>
        <v>-47.89</v>
      </c>
      <c r="G35" s="3"/>
    </row>
    <row r="37" spans="1:7" x14ac:dyDescent="0.25">
      <c r="A37" s="3" t="s">
        <v>36</v>
      </c>
      <c r="B37" s="3"/>
      <c r="C37" s="3">
        <f>C33-B33</f>
        <v>-87.860000000000014</v>
      </c>
      <c r="D37" s="3"/>
      <c r="E37" s="3">
        <f>E33-D33</f>
        <v>-38.64</v>
      </c>
      <c r="F37" s="3"/>
      <c r="G37" s="3">
        <f>G33-F33</f>
        <v>98.990000000000009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11BB-C8DF-4391-9C28-6F5A9FBDBB19}">
  <dimension ref="A1:G37"/>
  <sheetViews>
    <sheetView workbookViewId="0">
      <selection activeCell="J23" sqref="J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231003B001.1</vt:lpstr>
      <vt:lpstr>231003B001.2</vt:lpstr>
      <vt:lpstr>231003B001.4</vt:lpstr>
      <vt:lpstr>231003B001.5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2023-10-17T18:29:34Z</dcterms:created>
  <dcterms:modified xsi:type="dcterms:W3CDTF">2023-10-18T20:06:22Z</dcterms:modified>
</cp:coreProperties>
</file>