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cute Shift Assays\S. ratti\iL3s\wild-type\2023-1031\WormLab Data\"/>
    </mc:Choice>
  </mc:AlternateContent>
  <xr:revisionPtr revIDLastSave="0" documentId="13_ncr:1_{82DAF4BB-BC8A-4352-9242-C10208247534}" xr6:coauthVersionLast="36" xr6:coauthVersionMax="36" xr10:uidLastSave="{00000000-0000-0000-0000-000000000000}"/>
  <bookViews>
    <workbookView xWindow="0" yWindow="0" windowWidth="23040" windowHeight="8775" activeTab="3" xr2:uid="{38CE8236-DFBF-40BE-9313-7007B6A553FE}"/>
  </bookViews>
  <sheets>
    <sheet name="231031B001.1" sheetId="2" r:id="rId1"/>
    <sheet name="231031B001.2" sheetId="3" r:id="rId2"/>
    <sheet name="231031B001.3" sheetId="4" r:id="rId3"/>
    <sheet name="231031B001.5" sheetId="5" r:id="rId4"/>
    <sheet name="template" sheetId="1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7" i="5" l="1"/>
  <c r="E37" i="5"/>
  <c r="C37" i="5"/>
  <c r="F35" i="5"/>
  <c r="D35" i="5"/>
  <c r="D31" i="5"/>
  <c r="C31" i="5"/>
  <c r="B31" i="5"/>
  <c r="D30" i="5"/>
  <c r="C30" i="5"/>
  <c r="B30" i="5"/>
  <c r="G28" i="5"/>
  <c r="G31" i="5" s="1"/>
  <c r="F28" i="5"/>
  <c r="F30" i="5" s="1"/>
  <c r="E28" i="5"/>
  <c r="E29" i="5" s="1"/>
  <c r="D28" i="5"/>
  <c r="D29" i="5" s="1"/>
  <c r="C28" i="5"/>
  <c r="C29" i="5" s="1"/>
  <c r="B28" i="5"/>
  <c r="B29" i="5" s="1"/>
  <c r="G37" i="4"/>
  <c r="E37" i="4"/>
  <c r="C37" i="4"/>
  <c r="F35" i="4"/>
  <c r="D35" i="4"/>
  <c r="G31" i="4"/>
  <c r="F31" i="4"/>
  <c r="E31" i="4"/>
  <c r="D31" i="4"/>
  <c r="C31" i="4"/>
  <c r="G30" i="4"/>
  <c r="F30" i="4"/>
  <c r="E30" i="4"/>
  <c r="D30" i="4"/>
  <c r="C30" i="4"/>
  <c r="B30" i="4"/>
  <c r="G29" i="4"/>
  <c r="F29" i="4"/>
  <c r="E29" i="4"/>
  <c r="D29" i="4"/>
  <c r="G28" i="4"/>
  <c r="F28" i="4"/>
  <c r="E28" i="4"/>
  <c r="D28" i="4"/>
  <c r="C28" i="4"/>
  <c r="C29" i="4" s="1"/>
  <c r="B28" i="4"/>
  <c r="B29" i="4" s="1"/>
  <c r="G37" i="3"/>
  <c r="E37" i="3"/>
  <c r="C37" i="3"/>
  <c r="F35" i="3"/>
  <c r="D35" i="3"/>
  <c r="E31" i="3"/>
  <c r="B31" i="3"/>
  <c r="G30" i="3"/>
  <c r="F30" i="3"/>
  <c r="E30" i="3"/>
  <c r="D30" i="3"/>
  <c r="C30" i="3"/>
  <c r="B30" i="3"/>
  <c r="G29" i="3"/>
  <c r="F29" i="3"/>
  <c r="E29" i="3"/>
  <c r="D29" i="3"/>
  <c r="G28" i="3"/>
  <c r="G31" i="3" s="1"/>
  <c r="F28" i="3"/>
  <c r="F31" i="3" s="1"/>
  <c r="E28" i="3"/>
  <c r="D28" i="3"/>
  <c r="D31" i="3" s="1"/>
  <c r="C28" i="3"/>
  <c r="C29" i="3" s="1"/>
  <c r="B28" i="3"/>
  <c r="B29" i="3" s="1"/>
  <c r="G37" i="2"/>
  <c r="E37" i="2"/>
  <c r="C37" i="2"/>
  <c r="F35" i="2"/>
  <c r="D35" i="2"/>
  <c r="E31" i="2"/>
  <c r="D31" i="2"/>
  <c r="C31" i="2"/>
  <c r="B31" i="2"/>
  <c r="E30" i="2"/>
  <c r="D30" i="2"/>
  <c r="C30" i="2"/>
  <c r="B30" i="2"/>
  <c r="G29" i="2"/>
  <c r="G28" i="2"/>
  <c r="G30" i="2" s="1"/>
  <c r="F28" i="2"/>
  <c r="F29" i="2" s="1"/>
  <c r="E28" i="2"/>
  <c r="E29" i="2" s="1"/>
  <c r="D28" i="2"/>
  <c r="D29" i="2" s="1"/>
  <c r="C28" i="2"/>
  <c r="C29" i="2" s="1"/>
  <c r="B28" i="2"/>
  <c r="B29" i="2" s="1"/>
  <c r="G37" i="1"/>
  <c r="E37" i="1"/>
  <c r="C37" i="1"/>
  <c r="F35" i="1"/>
  <c r="D35" i="1"/>
  <c r="G31" i="1"/>
  <c r="F31" i="1"/>
  <c r="E31" i="1"/>
  <c r="D31" i="1"/>
  <c r="C31" i="1"/>
  <c r="B31" i="1"/>
  <c r="G30" i="1"/>
  <c r="F30" i="1"/>
  <c r="E30" i="1"/>
  <c r="D30" i="1"/>
  <c r="C30" i="1"/>
  <c r="B30" i="1"/>
  <c r="G29" i="1"/>
  <c r="F29" i="1"/>
  <c r="E29" i="1"/>
  <c r="D29" i="1"/>
  <c r="C29" i="1"/>
  <c r="B29" i="1"/>
  <c r="G28" i="1"/>
  <c r="F28" i="1"/>
  <c r="E28" i="1"/>
  <c r="D28" i="1"/>
  <c r="C28" i="1"/>
  <c r="B28" i="1"/>
  <c r="E30" i="5" l="1"/>
  <c r="F29" i="5"/>
  <c r="E31" i="5"/>
  <c r="F31" i="5"/>
  <c r="G30" i="5"/>
  <c r="G29" i="5"/>
  <c r="B31" i="4"/>
  <c r="C31" i="3"/>
  <c r="G31" i="2"/>
  <c r="F31" i="2"/>
  <c r="F30" i="2"/>
</calcChain>
</file>

<file path=xl/sharedStrings.xml><?xml version="1.0" encoding="utf-8"?>
<sst xmlns="http://schemas.openxmlformats.org/spreadsheetml/2006/main" count="190" uniqueCount="37">
  <si>
    <t>0-10s</t>
  </si>
  <si>
    <t>30.1 - 40s</t>
  </si>
  <si>
    <t>40.1 - 50 s</t>
  </si>
  <si>
    <t>70.1-80s</t>
  </si>
  <si>
    <t>80.1-90s</t>
  </si>
  <si>
    <t>110.1 - 120s</t>
  </si>
  <si>
    <t>Mean Worm Length (um)</t>
  </si>
  <si>
    <t>Mean Width (um)</t>
  </si>
  <si>
    <t>Mean Area (um^2)</t>
  </si>
  <si>
    <t>Track Length (um) [Center point trajectory]</t>
  </si>
  <si>
    <t>Center point Speed (um/s) [Center point trajectory/time]</t>
  </si>
  <si>
    <t>Absolute Peristaltic Track Length (um) [forward + reversals]</t>
  </si>
  <si>
    <t>Peristaltic Speed (um/s) [Absolute peristaltic track length/time]</t>
  </si>
  <si>
    <t>Peristaltic Track Length (um) [forward - reversals]</t>
  </si>
  <si>
    <t>Peristaltic Speed (um/s) [peristaltic track length/time]</t>
  </si>
  <si>
    <t>Straight-line Distance (um)</t>
  </si>
  <si>
    <t>Wavelength (um)</t>
  </si>
  <si>
    <t>Mean Amplitude (um)</t>
  </si>
  <si>
    <t>Max Amplitude (um)</t>
  </si>
  <si>
    <t>Turn Count</t>
  </si>
  <si>
    <t>Track duration (s)</t>
  </si>
  <si>
    <t>Distance Traveled Forward(um)</t>
  </si>
  <si>
    <t>Distance Traveled in Reverse(um)</t>
  </si>
  <si>
    <t>Number of Reversals</t>
  </si>
  <si>
    <t>Cumulative Reversal Time (s)</t>
  </si>
  <si>
    <t>Cumulative Forward Time (s)</t>
  </si>
  <si>
    <t>Number of Pirouette</t>
  </si>
  <si>
    <t>Pirouette Time (s)</t>
  </si>
  <si>
    <t>Mobility reversal time (s)</t>
  </si>
  <si>
    <t>Mobility idle time (s)</t>
  </si>
  <si>
    <t>Mobility forward time (s)</t>
  </si>
  <si>
    <t>Total Time</t>
  </si>
  <si>
    <t>% Reversal</t>
  </si>
  <si>
    <t>% Idle</t>
  </si>
  <si>
    <t>% Forward</t>
  </si>
  <si>
    <t>Mean Smoothed Speed</t>
  </si>
  <si>
    <t>Speed Change 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</si>
</sst>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E3D8B-539C-48D6-8CEC-A713AE477E37}">
  <dimension ref="A1:G37"/>
  <sheetViews>
    <sheetView topLeftCell="A10" workbookViewId="0">
      <selection activeCell="N19" sqref="N19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439.63</v>
      </c>
      <c r="C2" s="1">
        <v>464.68</v>
      </c>
      <c r="D2" s="1">
        <v>481.07</v>
      </c>
      <c r="E2" s="1">
        <v>435.88</v>
      </c>
      <c r="F2" s="1">
        <v>417.55</v>
      </c>
      <c r="G2" s="1">
        <v>458.13</v>
      </c>
    </row>
    <row r="3" spans="1:7" x14ac:dyDescent="0.25">
      <c r="A3" s="1" t="s">
        <v>7</v>
      </c>
      <c r="B3" s="1">
        <v>46.23</v>
      </c>
      <c r="C3" s="1">
        <v>44.21</v>
      </c>
      <c r="D3" s="1">
        <v>43.11</v>
      </c>
      <c r="E3" s="1">
        <v>40.82</v>
      </c>
      <c r="F3" s="1">
        <v>43.93</v>
      </c>
      <c r="G3" s="1">
        <v>42.98</v>
      </c>
    </row>
    <row r="4" spans="1:7" x14ac:dyDescent="0.25">
      <c r="A4" s="1" t="s">
        <v>8</v>
      </c>
      <c r="B4" s="1">
        <v>20581.990000000002</v>
      </c>
      <c r="C4" s="1">
        <v>20859.5</v>
      </c>
      <c r="D4" s="1">
        <v>21067.66</v>
      </c>
      <c r="E4" s="1">
        <v>18099.53</v>
      </c>
      <c r="F4" s="1">
        <v>18533.810000000001</v>
      </c>
      <c r="G4" s="1">
        <v>20035.46</v>
      </c>
    </row>
    <row r="5" spans="1:7" x14ac:dyDescent="0.25">
      <c r="A5" s="1" t="s">
        <v>9</v>
      </c>
      <c r="B5" s="1">
        <v>1124.02</v>
      </c>
      <c r="C5" s="1">
        <v>1389.81</v>
      </c>
      <c r="D5" s="1">
        <v>474.08</v>
      </c>
      <c r="E5" s="1">
        <v>501.59</v>
      </c>
      <c r="F5" s="1">
        <v>616.9</v>
      </c>
      <c r="G5" s="1">
        <v>1238.6300000000001</v>
      </c>
    </row>
    <row r="6" spans="1:7" x14ac:dyDescent="0.25">
      <c r="A6" s="3" t="s">
        <v>10</v>
      </c>
      <c r="B6" s="3">
        <v>112.4</v>
      </c>
      <c r="C6" s="3">
        <v>140.38</v>
      </c>
      <c r="D6" s="3">
        <v>47.89</v>
      </c>
      <c r="E6" s="3">
        <v>50.67</v>
      </c>
      <c r="F6" s="3">
        <v>62.31</v>
      </c>
      <c r="G6" s="3">
        <v>126.39</v>
      </c>
    </row>
    <row r="7" spans="1:7" x14ac:dyDescent="0.25">
      <c r="A7" s="1" t="s">
        <v>11</v>
      </c>
      <c r="B7" s="1">
        <v>1018.54</v>
      </c>
      <c r="C7" s="1">
        <v>1278.06</v>
      </c>
      <c r="D7" s="1">
        <v>459.84</v>
      </c>
      <c r="E7" s="1">
        <v>456.53</v>
      </c>
      <c r="F7" s="1">
        <v>570.19000000000005</v>
      </c>
      <c r="G7" s="1">
        <v>1161.6500000000001</v>
      </c>
    </row>
    <row r="8" spans="1:7" x14ac:dyDescent="0.25">
      <c r="A8" s="1" t="s">
        <v>12</v>
      </c>
      <c r="B8" s="1">
        <v>101.85</v>
      </c>
      <c r="C8" s="1">
        <v>129.1</v>
      </c>
      <c r="D8" s="1">
        <v>46.45</v>
      </c>
      <c r="E8" s="1">
        <v>46.11</v>
      </c>
      <c r="F8" s="1">
        <v>57.59</v>
      </c>
      <c r="G8" s="1">
        <v>118.54</v>
      </c>
    </row>
    <row r="9" spans="1:7" x14ac:dyDescent="0.25">
      <c r="A9" s="1" t="s">
        <v>13</v>
      </c>
      <c r="B9" s="1">
        <v>1003.98</v>
      </c>
      <c r="C9" s="1">
        <v>1278.06</v>
      </c>
      <c r="D9" s="1">
        <v>455.76</v>
      </c>
      <c r="E9" s="1">
        <v>281.39999999999998</v>
      </c>
      <c r="F9" s="1">
        <v>244.87</v>
      </c>
      <c r="G9" s="1">
        <v>1161.6500000000001</v>
      </c>
    </row>
    <row r="10" spans="1:7" x14ac:dyDescent="0.25">
      <c r="A10" s="1" t="s">
        <v>14</v>
      </c>
      <c r="B10" s="1">
        <v>100.4</v>
      </c>
      <c r="C10" s="1">
        <v>129.1</v>
      </c>
      <c r="D10" s="1">
        <v>46.04</v>
      </c>
      <c r="E10" s="1">
        <v>28.42</v>
      </c>
      <c r="F10" s="1">
        <v>24.73</v>
      </c>
      <c r="G10" s="1">
        <v>118.54</v>
      </c>
    </row>
    <row r="11" spans="1:7" x14ac:dyDescent="0.25">
      <c r="A11" s="1" t="s">
        <v>15</v>
      </c>
      <c r="B11" s="1">
        <v>655.05999999999995</v>
      </c>
      <c r="C11" s="1">
        <v>963.25</v>
      </c>
      <c r="D11" s="1">
        <v>355.39</v>
      </c>
      <c r="E11" s="1">
        <v>283.67</v>
      </c>
      <c r="F11" s="1">
        <v>156</v>
      </c>
      <c r="G11" s="1">
        <v>757</v>
      </c>
    </row>
    <row r="12" spans="1:7" x14ac:dyDescent="0.25">
      <c r="A12" s="1" t="s">
        <v>16</v>
      </c>
      <c r="B12" s="1">
        <v>167.98</v>
      </c>
      <c r="C12" s="1">
        <v>209.84</v>
      </c>
      <c r="D12" s="1">
        <v>202.59</v>
      </c>
      <c r="E12" s="1">
        <v>212.23</v>
      </c>
      <c r="F12" s="1">
        <v>172.37</v>
      </c>
      <c r="G12" s="1">
        <v>185.21</v>
      </c>
    </row>
    <row r="13" spans="1:7" x14ac:dyDescent="0.25">
      <c r="A13" s="1" t="s">
        <v>17</v>
      </c>
      <c r="B13" s="1">
        <v>38.880000000000003</v>
      </c>
      <c r="C13" s="1">
        <v>40.76</v>
      </c>
      <c r="D13" s="1">
        <v>31</v>
      </c>
      <c r="E13" s="1">
        <v>17.48</v>
      </c>
      <c r="F13" s="1">
        <v>29.51</v>
      </c>
      <c r="G13" s="1">
        <v>40.44</v>
      </c>
    </row>
    <row r="14" spans="1:7" x14ac:dyDescent="0.25">
      <c r="A14" s="1" t="s">
        <v>18</v>
      </c>
      <c r="B14" s="1">
        <v>72.12</v>
      </c>
      <c r="C14" s="1">
        <v>72.900000000000006</v>
      </c>
      <c r="D14" s="1">
        <v>61.78</v>
      </c>
      <c r="E14" s="1">
        <v>39.47</v>
      </c>
      <c r="F14" s="1">
        <v>81.17</v>
      </c>
      <c r="G14" s="1">
        <v>78.98</v>
      </c>
    </row>
    <row r="15" spans="1:7" x14ac:dyDescent="0.25">
      <c r="A15" s="1" t="s">
        <v>19</v>
      </c>
      <c r="B15" s="1">
        <v>6</v>
      </c>
      <c r="C15" s="1">
        <v>8</v>
      </c>
      <c r="D15" s="1">
        <v>2</v>
      </c>
      <c r="E15" s="1">
        <v>1</v>
      </c>
      <c r="F15" s="1">
        <v>3</v>
      </c>
      <c r="G15" s="1">
        <v>7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5">
      <c r="A17" s="1" t="s">
        <v>21</v>
      </c>
      <c r="B17" s="1">
        <v>1011.26</v>
      </c>
      <c r="C17" s="1">
        <v>1278.06</v>
      </c>
      <c r="D17" s="1">
        <v>457.8</v>
      </c>
      <c r="E17" s="1">
        <v>368.96</v>
      </c>
      <c r="F17" s="1">
        <v>407.53</v>
      </c>
      <c r="G17" s="1">
        <v>1161.6500000000001</v>
      </c>
    </row>
    <row r="18" spans="1:7" x14ac:dyDescent="0.25">
      <c r="A18" s="1" t="s">
        <v>22</v>
      </c>
      <c r="B18" s="1">
        <v>7.28</v>
      </c>
      <c r="C18" s="1">
        <v>0</v>
      </c>
      <c r="D18" s="1">
        <v>2.04</v>
      </c>
      <c r="E18" s="1">
        <v>87.56</v>
      </c>
      <c r="F18" s="1">
        <v>162.66</v>
      </c>
      <c r="G18" s="1">
        <v>0</v>
      </c>
    </row>
    <row r="19" spans="1:7" x14ac:dyDescent="0.25">
      <c r="A19" s="1" t="s">
        <v>23</v>
      </c>
      <c r="B19" s="1">
        <v>0</v>
      </c>
      <c r="C19" s="1">
        <v>0</v>
      </c>
      <c r="D19" s="1">
        <v>0</v>
      </c>
      <c r="E19" s="1">
        <v>1</v>
      </c>
      <c r="F19" s="1">
        <v>3</v>
      </c>
      <c r="G19" s="1">
        <v>0</v>
      </c>
    </row>
    <row r="20" spans="1:7" x14ac:dyDescent="0.25">
      <c r="A20" s="1" t="s">
        <v>24</v>
      </c>
      <c r="B20" s="1">
        <v>0</v>
      </c>
      <c r="C20" s="1">
        <v>0</v>
      </c>
      <c r="D20" s="1">
        <v>0</v>
      </c>
      <c r="E20" s="1">
        <v>0.7</v>
      </c>
      <c r="F20" s="1">
        <v>5</v>
      </c>
      <c r="G20" s="1">
        <v>0</v>
      </c>
    </row>
    <row r="21" spans="1:7" x14ac:dyDescent="0.25">
      <c r="A21" s="1" t="s">
        <v>25</v>
      </c>
      <c r="B21" s="1">
        <v>10.1</v>
      </c>
      <c r="C21" s="1">
        <v>10</v>
      </c>
      <c r="D21" s="1">
        <v>10</v>
      </c>
      <c r="E21" s="1">
        <v>9.3000000000000007</v>
      </c>
      <c r="F21" s="1">
        <v>5</v>
      </c>
      <c r="G21" s="1">
        <v>9.9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5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1.5</v>
      </c>
      <c r="G24" s="1">
        <v>0</v>
      </c>
    </row>
    <row r="25" spans="1:7" x14ac:dyDescent="0.25">
      <c r="A25" s="1" t="s">
        <v>29</v>
      </c>
      <c r="B25" s="1">
        <v>0</v>
      </c>
      <c r="C25" s="1">
        <v>0</v>
      </c>
      <c r="D25" s="1">
        <v>3.6</v>
      </c>
      <c r="E25" s="1">
        <v>6.7</v>
      </c>
      <c r="F25" s="1">
        <v>6.7</v>
      </c>
      <c r="G25" s="1">
        <v>0</v>
      </c>
    </row>
    <row r="26" spans="1:7" x14ac:dyDescent="0.25">
      <c r="A26" s="1" t="s">
        <v>30</v>
      </c>
      <c r="B26" s="1">
        <v>10.1</v>
      </c>
      <c r="C26" s="1">
        <v>10</v>
      </c>
      <c r="D26" s="1">
        <v>6.4</v>
      </c>
      <c r="E26" s="1">
        <v>3.3</v>
      </c>
      <c r="F26" s="1">
        <v>1.8</v>
      </c>
      <c r="G26" s="1">
        <v>9.9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25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15</v>
      </c>
      <c r="G29" s="3">
        <f t="shared" si="1"/>
        <v>0</v>
      </c>
    </row>
    <row r="30" spans="1:7" x14ac:dyDescent="0.25">
      <c r="A30" s="3" t="s">
        <v>33</v>
      </c>
      <c r="B30" s="3">
        <f>B25/B28*100</f>
        <v>0</v>
      </c>
      <c r="C30" s="3">
        <f t="shared" ref="C30:G30" si="2">C25/C28*100</f>
        <v>0</v>
      </c>
      <c r="D30" s="3">
        <f t="shared" si="2"/>
        <v>36</v>
      </c>
      <c r="E30" s="3">
        <f t="shared" si="2"/>
        <v>67</v>
      </c>
      <c r="F30" s="3">
        <f t="shared" si="2"/>
        <v>67</v>
      </c>
      <c r="G30" s="3">
        <f t="shared" si="2"/>
        <v>0</v>
      </c>
    </row>
    <row r="31" spans="1:7" x14ac:dyDescent="0.25">
      <c r="A31" s="3" t="s">
        <v>34</v>
      </c>
      <c r="B31" s="3">
        <f>B26/B28*100</f>
        <v>100</v>
      </c>
      <c r="C31" s="3">
        <f t="shared" ref="C31:G31" si="3">C26/C28*100</f>
        <v>100</v>
      </c>
      <c r="D31" s="3">
        <f t="shared" si="3"/>
        <v>64</v>
      </c>
      <c r="E31" s="3">
        <f t="shared" si="3"/>
        <v>32.999999999999993</v>
      </c>
      <c r="F31" s="3">
        <f t="shared" si="3"/>
        <v>18</v>
      </c>
      <c r="G31" s="3">
        <f t="shared" si="3"/>
        <v>100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105.84</v>
      </c>
      <c r="C33" s="3">
        <v>139.18</v>
      </c>
      <c r="D33" s="3">
        <v>48.47</v>
      </c>
      <c r="E33" s="3">
        <v>30.88</v>
      </c>
      <c r="F33" s="3">
        <v>4.07</v>
      </c>
      <c r="G33" s="3">
        <v>123.33</v>
      </c>
    </row>
    <row r="35" spans="1:7" x14ac:dyDescent="0.25">
      <c r="A35" s="3" t="s">
        <v>36</v>
      </c>
      <c r="B35" s="3"/>
      <c r="C35" s="3"/>
      <c r="D35" s="3">
        <f>D33-C33</f>
        <v>-90.710000000000008</v>
      </c>
      <c r="E35" s="3"/>
      <c r="F35" s="3">
        <f>F33-E33</f>
        <v>-26.81</v>
      </c>
      <c r="G35" s="3"/>
    </row>
    <row r="37" spans="1:7" x14ac:dyDescent="0.25">
      <c r="A37" s="3" t="s">
        <v>36</v>
      </c>
      <c r="B37" s="3"/>
      <c r="C37" s="3">
        <f>C33-B33</f>
        <v>33.340000000000003</v>
      </c>
      <c r="D37" s="3"/>
      <c r="E37" s="3">
        <f>E33-D33</f>
        <v>-17.59</v>
      </c>
      <c r="F37" s="3"/>
      <c r="G37" s="3">
        <f>G33-F33</f>
        <v>119.25999999999999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89BEE-C35E-465D-84FF-6985778F88A4}">
  <dimension ref="A1:G37"/>
  <sheetViews>
    <sheetView topLeftCell="A10" workbookViewId="0">
      <selection activeCell="J25" sqref="J25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357.54</v>
      </c>
      <c r="C2" s="1">
        <v>331.61</v>
      </c>
      <c r="D2" s="1">
        <v>357.13</v>
      </c>
      <c r="E2" s="1">
        <v>347.55</v>
      </c>
      <c r="F2" s="1">
        <v>339.4</v>
      </c>
      <c r="G2" s="1">
        <v>311.63</v>
      </c>
    </row>
    <row r="3" spans="1:7" x14ac:dyDescent="0.25">
      <c r="A3" s="1" t="s">
        <v>7</v>
      </c>
      <c r="B3" s="1">
        <v>43.29</v>
      </c>
      <c r="C3" s="1">
        <v>41.52</v>
      </c>
      <c r="D3" s="1">
        <v>42.12</v>
      </c>
      <c r="E3" s="1">
        <v>45.07</v>
      </c>
      <c r="F3" s="1">
        <v>43.42</v>
      </c>
      <c r="G3" s="1">
        <v>43.17</v>
      </c>
    </row>
    <row r="4" spans="1:7" x14ac:dyDescent="0.25">
      <c r="A4" s="1" t="s">
        <v>8</v>
      </c>
      <c r="B4" s="1">
        <v>15718.44</v>
      </c>
      <c r="C4" s="1">
        <v>14045.68</v>
      </c>
      <c r="D4" s="1">
        <v>15275.28</v>
      </c>
      <c r="E4" s="1">
        <v>15932</v>
      </c>
      <c r="F4" s="1">
        <v>14984.93</v>
      </c>
      <c r="G4" s="1">
        <v>13722.97</v>
      </c>
    </row>
    <row r="5" spans="1:7" x14ac:dyDescent="0.25">
      <c r="A5" s="1" t="s">
        <v>9</v>
      </c>
      <c r="B5" s="1">
        <v>617.77</v>
      </c>
      <c r="C5" s="1">
        <v>682.81</v>
      </c>
      <c r="D5" s="1">
        <v>460.15</v>
      </c>
      <c r="E5" s="1">
        <v>359.58</v>
      </c>
      <c r="F5" s="1">
        <v>532.51</v>
      </c>
      <c r="G5" s="1">
        <v>594.64</v>
      </c>
    </row>
    <row r="6" spans="1:7" x14ac:dyDescent="0.25">
      <c r="A6" s="3" t="s">
        <v>10</v>
      </c>
      <c r="B6" s="3">
        <v>61.78</v>
      </c>
      <c r="C6" s="3">
        <v>68.97</v>
      </c>
      <c r="D6" s="3">
        <v>46.48</v>
      </c>
      <c r="E6" s="3">
        <v>36.32</v>
      </c>
      <c r="F6" s="3">
        <v>53.79</v>
      </c>
      <c r="G6" s="3">
        <v>60.68</v>
      </c>
    </row>
    <row r="7" spans="1:7" x14ac:dyDescent="0.25">
      <c r="A7" s="1" t="s">
        <v>11</v>
      </c>
      <c r="B7" s="1">
        <v>600.83000000000004</v>
      </c>
      <c r="C7" s="1">
        <v>579.28</v>
      </c>
      <c r="D7" s="1">
        <v>439.74</v>
      </c>
      <c r="E7" s="1">
        <v>322.61</v>
      </c>
      <c r="F7" s="1">
        <v>479.63</v>
      </c>
      <c r="G7" s="1">
        <v>448.39</v>
      </c>
    </row>
    <row r="8" spans="1:7" x14ac:dyDescent="0.25">
      <c r="A8" s="1" t="s">
        <v>12</v>
      </c>
      <c r="B8" s="1">
        <v>60.08</v>
      </c>
      <c r="C8" s="1">
        <v>58.51</v>
      </c>
      <c r="D8" s="1">
        <v>44.42</v>
      </c>
      <c r="E8" s="1">
        <v>32.590000000000003</v>
      </c>
      <c r="F8" s="1">
        <v>48.45</v>
      </c>
      <c r="G8" s="1">
        <v>45.75</v>
      </c>
    </row>
    <row r="9" spans="1:7" x14ac:dyDescent="0.25">
      <c r="A9" s="1" t="s">
        <v>13</v>
      </c>
      <c r="B9" s="1">
        <v>600.25</v>
      </c>
      <c r="C9" s="1">
        <v>560.54</v>
      </c>
      <c r="D9" s="1">
        <v>437.85</v>
      </c>
      <c r="E9" s="1">
        <v>260.04000000000002</v>
      </c>
      <c r="F9" s="1">
        <v>290.52999999999997</v>
      </c>
      <c r="G9" s="1">
        <v>321.82</v>
      </c>
    </row>
    <row r="10" spans="1:7" x14ac:dyDescent="0.25">
      <c r="A10" s="1" t="s">
        <v>14</v>
      </c>
      <c r="B10" s="1">
        <v>60.02</v>
      </c>
      <c r="C10" s="1">
        <v>56.62</v>
      </c>
      <c r="D10" s="1">
        <v>44.23</v>
      </c>
      <c r="E10" s="1">
        <v>26.27</v>
      </c>
      <c r="F10" s="1">
        <v>29.35</v>
      </c>
      <c r="G10" s="1">
        <v>32.840000000000003</v>
      </c>
    </row>
    <row r="11" spans="1:7" x14ac:dyDescent="0.25">
      <c r="A11" s="1" t="s">
        <v>15</v>
      </c>
      <c r="B11" s="1">
        <v>454.36</v>
      </c>
      <c r="C11" s="1">
        <v>448.28</v>
      </c>
      <c r="D11" s="1">
        <v>365.23</v>
      </c>
      <c r="E11" s="1">
        <v>246.16</v>
      </c>
      <c r="F11" s="1">
        <v>109.98</v>
      </c>
      <c r="G11" s="1">
        <v>130.05000000000001</v>
      </c>
    </row>
    <row r="12" spans="1:7" x14ac:dyDescent="0.25">
      <c r="A12" s="1" t="s">
        <v>16</v>
      </c>
      <c r="B12" s="1">
        <v>170.04</v>
      </c>
      <c r="C12" s="1">
        <v>156.78</v>
      </c>
      <c r="D12" s="1">
        <v>173.84</v>
      </c>
      <c r="E12" s="1">
        <v>167.77</v>
      </c>
      <c r="F12" s="1">
        <v>148.93</v>
      </c>
      <c r="G12" s="1">
        <v>118.32</v>
      </c>
    </row>
    <row r="13" spans="1:7" x14ac:dyDescent="0.25">
      <c r="A13" s="1" t="s">
        <v>17</v>
      </c>
      <c r="B13" s="1">
        <v>35.29</v>
      </c>
      <c r="C13" s="1">
        <v>28.86</v>
      </c>
      <c r="D13" s="1">
        <v>23.58</v>
      </c>
      <c r="E13" s="1">
        <v>14.49</v>
      </c>
      <c r="F13" s="1">
        <v>23.81</v>
      </c>
      <c r="G13" s="1">
        <v>29.65</v>
      </c>
    </row>
    <row r="14" spans="1:7" x14ac:dyDescent="0.25">
      <c r="A14" s="1" t="s">
        <v>18</v>
      </c>
      <c r="B14" s="1">
        <v>61.75</v>
      </c>
      <c r="C14" s="1">
        <v>60.04</v>
      </c>
      <c r="D14" s="1">
        <v>52.65</v>
      </c>
      <c r="E14" s="1">
        <v>31.91</v>
      </c>
      <c r="F14" s="1">
        <v>44.31</v>
      </c>
      <c r="G14" s="1">
        <v>63.47</v>
      </c>
    </row>
    <row r="15" spans="1:7" x14ac:dyDescent="0.25">
      <c r="A15" s="1" t="s">
        <v>19</v>
      </c>
      <c r="B15" s="1">
        <v>6</v>
      </c>
      <c r="C15" s="1">
        <v>8</v>
      </c>
      <c r="D15" s="1">
        <v>3</v>
      </c>
      <c r="E15" s="1">
        <v>3</v>
      </c>
      <c r="F15" s="1">
        <v>4</v>
      </c>
      <c r="G15" s="1">
        <v>4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5">
      <c r="A17" s="1" t="s">
        <v>21</v>
      </c>
      <c r="B17" s="1">
        <v>600.54</v>
      </c>
      <c r="C17" s="1">
        <v>569.91</v>
      </c>
      <c r="D17" s="1">
        <v>438.79</v>
      </c>
      <c r="E17" s="1">
        <v>291.32</v>
      </c>
      <c r="F17" s="1">
        <v>385.08</v>
      </c>
      <c r="G17" s="1">
        <v>385.11</v>
      </c>
    </row>
    <row r="18" spans="1:7" x14ac:dyDescent="0.25">
      <c r="A18" s="1" t="s">
        <v>22</v>
      </c>
      <c r="B18" s="1">
        <v>0.28999999999999998</v>
      </c>
      <c r="C18" s="1">
        <v>9.3699999999999992</v>
      </c>
      <c r="D18" s="1">
        <v>0.94</v>
      </c>
      <c r="E18" s="1">
        <v>31.29</v>
      </c>
      <c r="F18" s="1">
        <v>94.55</v>
      </c>
      <c r="G18" s="1">
        <v>63.28</v>
      </c>
    </row>
    <row r="19" spans="1:7" x14ac:dyDescent="0.25">
      <c r="A19" s="1" t="s">
        <v>23</v>
      </c>
      <c r="B19" s="1">
        <v>0</v>
      </c>
      <c r="C19" s="1">
        <v>0</v>
      </c>
      <c r="D19" s="1">
        <v>0</v>
      </c>
      <c r="E19" s="1">
        <v>0</v>
      </c>
      <c r="F19" s="1">
        <v>2</v>
      </c>
      <c r="G19" s="1">
        <v>3</v>
      </c>
    </row>
    <row r="20" spans="1:7" x14ac:dyDescent="0.25">
      <c r="A20" s="1" t="s">
        <v>24</v>
      </c>
      <c r="B20" s="1">
        <v>0</v>
      </c>
      <c r="C20" s="1">
        <v>0</v>
      </c>
      <c r="D20" s="1">
        <v>0</v>
      </c>
      <c r="E20" s="1">
        <v>0</v>
      </c>
      <c r="F20" s="1">
        <v>2.7</v>
      </c>
      <c r="G20" s="1">
        <v>2.2000000000000002</v>
      </c>
    </row>
    <row r="21" spans="1:7" x14ac:dyDescent="0.25">
      <c r="A21" s="1" t="s">
        <v>25</v>
      </c>
      <c r="B21" s="1">
        <v>10.1</v>
      </c>
      <c r="C21" s="1">
        <v>10</v>
      </c>
      <c r="D21" s="1">
        <v>10</v>
      </c>
      <c r="E21" s="1">
        <v>10</v>
      </c>
      <c r="F21" s="1">
        <v>7.3</v>
      </c>
      <c r="G21" s="1">
        <v>7.7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5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2.4</v>
      </c>
      <c r="G24" s="1">
        <v>0</v>
      </c>
    </row>
    <row r="25" spans="1:7" x14ac:dyDescent="0.25">
      <c r="A25" s="1" t="s">
        <v>29</v>
      </c>
      <c r="B25" s="1">
        <v>0</v>
      </c>
      <c r="C25" s="1">
        <v>2.4</v>
      </c>
      <c r="D25" s="1">
        <v>2.5</v>
      </c>
      <c r="E25" s="1">
        <v>6.1</v>
      </c>
      <c r="F25" s="1">
        <v>5.2</v>
      </c>
      <c r="G25" s="1">
        <v>4.0999999999999996</v>
      </c>
    </row>
    <row r="26" spans="1:7" x14ac:dyDescent="0.25">
      <c r="A26" s="1" t="s">
        <v>30</v>
      </c>
      <c r="B26" s="1">
        <v>10.1</v>
      </c>
      <c r="C26" s="1">
        <v>7.6</v>
      </c>
      <c r="D26" s="1">
        <v>7.5</v>
      </c>
      <c r="E26" s="1">
        <v>3.9</v>
      </c>
      <c r="F26" s="1">
        <v>2.4</v>
      </c>
      <c r="G26" s="1">
        <v>5.8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9.8999999999999986</v>
      </c>
    </row>
    <row r="29" spans="1:7" x14ac:dyDescent="0.25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24</v>
      </c>
      <c r="G29" s="3">
        <f t="shared" si="1"/>
        <v>0</v>
      </c>
    </row>
    <row r="30" spans="1:7" x14ac:dyDescent="0.25">
      <c r="A30" s="3" t="s">
        <v>33</v>
      </c>
      <c r="B30" s="3">
        <f>B25/B28*100</f>
        <v>0</v>
      </c>
      <c r="C30" s="3">
        <f t="shared" ref="C30:G30" si="2">C25/C28*100</f>
        <v>24</v>
      </c>
      <c r="D30" s="3">
        <f t="shared" si="2"/>
        <v>25</v>
      </c>
      <c r="E30" s="3">
        <f t="shared" si="2"/>
        <v>61</v>
      </c>
      <c r="F30" s="3">
        <f t="shared" si="2"/>
        <v>52</v>
      </c>
      <c r="G30" s="3">
        <f t="shared" si="2"/>
        <v>41.414141414141412</v>
      </c>
    </row>
    <row r="31" spans="1:7" x14ac:dyDescent="0.25">
      <c r="A31" s="3" t="s">
        <v>34</v>
      </c>
      <c r="B31" s="3">
        <f>B26/B28*100</f>
        <v>100</v>
      </c>
      <c r="C31" s="3">
        <f t="shared" ref="C31:G31" si="3">C26/C28*100</f>
        <v>76</v>
      </c>
      <c r="D31" s="3">
        <f t="shared" si="3"/>
        <v>75</v>
      </c>
      <c r="E31" s="3">
        <f t="shared" si="3"/>
        <v>39</v>
      </c>
      <c r="F31" s="3">
        <f t="shared" si="3"/>
        <v>24</v>
      </c>
      <c r="G31" s="3">
        <f t="shared" si="3"/>
        <v>58.585858585858595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60.25</v>
      </c>
      <c r="C33" s="3">
        <v>65.569999999999993</v>
      </c>
      <c r="D33" s="3">
        <v>46.68</v>
      </c>
      <c r="E33" s="3">
        <v>29.72</v>
      </c>
      <c r="F33" s="3">
        <v>16.95</v>
      </c>
      <c r="G33" s="3">
        <v>35.07</v>
      </c>
    </row>
    <row r="35" spans="1:7" x14ac:dyDescent="0.25">
      <c r="A35" s="3" t="s">
        <v>36</v>
      </c>
      <c r="B35" s="3"/>
      <c r="C35" s="3"/>
      <c r="D35" s="3">
        <f>D33-C33</f>
        <v>-18.889999999999993</v>
      </c>
      <c r="E35" s="3"/>
      <c r="F35" s="3">
        <f>F33-E33</f>
        <v>-12.77</v>
      </c>
      <c r="G35" s="3"/>
    </row>
    <row r="37" spans="1:7" x14ac:dyDescent="0.25">
      <c r="A37" s="3" t="s">
        <v>36</v>
      </c>
      <c r="B37" s="3"/>
      <c r="C37" s="3">
        <f>C33-B33</f>
        <v>5.3199999999999932</v>
      </c>
      <c r="D37" s="3"/>
      <c r="E37" s="3">
        <f>E33-D33</f>
        <v>-16.96</v>
      </c>
      <c r="F37" s="3"/>
      <c r="G37" s="3">
        <f>G33-F33</f>
        <v>18.12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6530A-7EBC-4DDE-97B6-EBBF2B8B8B38}">
  <dimension ref="A1:G37"/>
  <sheetViews>
    <sheetView topLeftCell="A10" workbookViewId="0">
      <selection activeCell="B30" sqref="B30:G30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441.89</v>
      </c>
      <c r="C2" s="1">
        <v>357.13</v>
      </c>
      <c r="D2" s="1">
        <v>434.09</v>
      </c>
      <c r="E2" s="1">
        <v>385.47</v>
      </c>
      <c r="F2" s="1">
        <v>346.57</v>
      </c>
      <c r="G2" s="1">
        <v>317.19</v>
      </c>
    </row>
    <row r="3" spans="1:7" x14ac:dyDescent="0.25">
      <c r="A3" s="1" t="s">
        <v>7</v>
      </c>
      <c r="B3" s="1">
        <v>46.77</v>
      </c>
      <c r="C3" s="1">
        <v>44.43</v>
      </c>
      <c r="D3" s="1">
        <v>42.86</v>
      </c>
      <c r="E3" s="1">
        <v>44.61</v>
      </c>
      <c r="F3" s="1">
        <v>48.3</v>
      </c>
      <c r="G3" s="1">
        <v>46.54</v>
      </c>
    </row>
    <row r="4" spans="1:7" x14ac:dyDescent="0.25">
      <c r="A4" s="1" t="s">
        <v>8</v>
      </c>
      <c r="B4" s="1">
        <v>21037.24</v>
      </c>
      <c r="C4" s="1">
        <v>15976.74</v>
      </c>
      <c r="D4" s="1">
        <v>18916.37</v>
      </c>
      <c r="E4" s="1">
        <v>17434.77</v>
      </c>
      <c r="F4" s="1">
        <v>16972.16</v>
      </c>
      <c r="G4" s="1">
        <v>14964.54</v>
      </c>
    </row>
    <row r="5" spans="1:7" x14ac:dyDescent="0.25">
      <c r="A5" s="1" t="s">
        <v>9</v>
      </c>
      <c r="B5" s="1">
        <v>636.79999999999995</v>
      </c>
      <c r="C5" s="1">
        <v>708.96</v>
      </c>
      <c r="D5" s="1">
        <v>317.83999999999997</v>
      </c>
      <c r="E5" s="1">
        <v>154.69999999999999</v>
      </c>
      <c r="F5" s="1">
        <v>433.76</v>
      </c>
      <c r="G5" s="1">
        <v>473.07</v>
      </c>
    </row>
    <row r="6" spans="1:7" x14ac:dyDescent="0.25">
      <c r="A6" s="3" t="s">
        <v>10</v>
      </c>
      <c r="B6" s="3">
        <v>63.68</v>
      </c>
      <c r="C6" s="3">
        <v>71.61</v>
      </c>
      <c r="D6" s="3">
        <v>32.11</v>
      </c>
      <c r="E6" s="3">
        <v>15.63</v>
      </c>
      <c r="F6" s="3">
        <v>43.81</v>
      </c>
      <c r="G6" s="3">
        <v>48.27</v>
      </c>
    </row>
    <row r="7" spans="1:7" x14ac:dyDescent="0.25">
      <c r="A7" s="1" t="s">
        <v>11</v>
      </c>
      <c r="B7" s="1">
        <v>566.09</v>
      </c>
      <c r="C7" s="1">
        <v>618.62</v>
      </c>
      <c r="D7" s="1">
        <v>307.39999999999998</v>
      </c>
      <c r="E7" s="1">
        <v>145.74</v>
      </c>
      <c r="F7" s="1">
        <v>397.9</v>
      </c>
      <c r="G7" s="1">
        <v>412.05</v>
      </c>
    </row>
    <row r="8" spans="1:7" x14ac:dyDescent="0.25">
      <c r="A8" s="1" t="s">
        <v>12</v>
      </c>
      <c r="B8" s="1">
        <v>56.61</v>
      </c>
      <c r="C8" s="1">
        <v>62.49</v>
      </c>
      <c r="D8" s="1">
        <v>31.05</v>
      </c>
      <c r="E8" s="1">
        <v>14.72</v>
      </c>
      <c r="F8" s="1">
        <v>40.19</v>
      </c>
      <c r="G8" s="1">
        <v>42.05</v>
      </c>
    </row>
    <row r="9" spans="1:7" x14ac:dyDescent="0.25">
      <c r="A9" s="1" t="s">
        <v>13</v>
      </c>
      <c r="B9" s="1">
        <v>452.9</v>
      </c>
      <c r="C9" s="1">
        <v>460.3</v>
      </c>
      <c r="D9" s="1">
        <v>273.32</v>
      </c>
      <c r="E9" s="1">
        <v>61.67</v>
      </c>
      <c r="F9" s="1">
        <v>216.04</v>
      </c>
      <c r="G9" s="1">
        <v>247.1</v>
      </c>
    </row>
    <row r="10" spans="1:7" x14ac:dyDescent="0.25">
      <c r="A10" s="1" t="s">
        <v>14</v>
      </c>
      <c r="B10" s="1">
        <v>45.29</v>
      </c>
      <c r="C10" s="1">
        <v>46.49</v>
      </c>
      <c r="D10" s="1">
        <v>27.61</v>
      </c>
      <c r="E10" s="1">
        <v>6.23</v>
      </c>
      <c r="F10" s="1">
        <v>21.82</v>
      </c>
      <c r="G10" s="1">
        <v>25.21</v>
      </c>
    </row>
    <row r="11" spans="1:7" x14ac:dyDescent="0.25">
      <c r="A11" s="1" t="s">
        <v>15</v>
      </c>
      <c r="B11" s="1">
        <v>362.97</v>
      </c>
      <c r="C11" s="1">
        <v>378.65</v>
      </c>
      <c r="D11" s="1">
        <v>212.91</v>
      </c>
      <c r="E11" s="1">
        <v>63.06</v>
      </c>
      <c r="F11" s="1">
        <v>79.88</v>
      </c>
      <c r="G11" s="1">
        <v>41.93</v>
      </c>
    </row>
    <row r="12" spans="1:7" x14ac:dyDescent="0.25">
      <c r="A12" s="1" t="s">
        <v>16</v>
      </c>
      <c r="B12" s="1">
        <v>178.93</v>
      </c>
      <c r="C12" s="1">
        <v>153.41</v>
      </c>
      <c r="D12" s="1">
        <v>196.03</v>
      </c>
      <c r="E12" s="1">
        <v>201.84</v>
      </c>
      <c r="F12" s="1">
        <v>145.99</v>
      </c>
      <c r="G12" s="1">
        <v>124.81</v>
      </c>
    </row>
    <row r="13" spans="1:7" x14ac:dyDescent="0.25">
      <c r="A13" s="1" t="s">
        <v>17</v>
      </c>
      <c r="B13" s="1">
        <v>31.17</v>
      </c>
      <c r="C13" s="1">
        <v>36.65</v>
      </c>
      <c r="D13" s="1">
        <v>24.83</v>
      </c>
      <c r="E13" s="1">
        <v>9.39</v>
      </c>
      <c r="F13" s="1">
        <v>26.76</v>
      </c>
      <c r="G13" s="1">
        <v>27.32</v>
      </c>
    </row>
    <row r="14" spans="1:7" x14ac:dyDescent="0.25">
      <c r="A14" s="1" t="s">
        <v>18</v>
      </c>
      <c r="B14" s="1">
        <v>67.510000000000005</v>
      </c>
      <c r="C14" s="1">
        <v>63.26</v>
      </c>
      <c r="D14" s="1">
        <v>56.58</v>
      </c>
      <c r="E14" s="1">
        <v>17.61</v>
      </c>
      <c r="F14" s="1">
        <v>59.14</v>
      </c>
      <c r="G14" s="1">
        <v>59.62</v>
      </c>
    </row>
    <row r="15" spans="1:7" x14ac:dyDescent="0.25">
      <c r="A15" s="1" t="s">
        <v>19</v>
      </c>
      <c r="B15" s="1">
        <v>6</v>
      </c>
      <c r="C15" s="1">
        <v>4</v>
      </c>
      <c r="D15" s="1">
        <v>2</v>
      </c>
      <c r="E15" s="1">
        <v>1</v>
      </c>
      <c r="F15" s="1">
        <v>2</v>
      </c>
      <c r="G15" s="1">
        <v>4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5">
      <c r="A17" s="1" t="s">
        <v>21</v>
      </c>
      <c r="B17" s="1">
        <v>509.5</v>
      </c>
      <c r="C17" s="1">
        <v>539.46</v>
      </c>
      <c r="D17" s="1">
        <v>290.36</v>
      </c>
      <c r="E17" s="1">
        <v>103.7</v>
      </c>
      <c r="F17" s="1">
        <v>306.97000000000003</v>
      </c>
      <c r="G17" s="1">
        <v>329.57</v>
      </c>
    </row>
    <row r="18" spans="1:7" x14ac:dyDescent="0.25">
      <c r="A18" s="1" t="s">
        <v>22</v>
      </c>
      <c r="B18" s="1">
        <v>56.59</v>
      </c>
      <c r="C18" s="1">
        <v>79.16</v>
      </c>
      <c r="D18" s="1">
        <v>17.04</v>
      </c>
      <c r="E18" s="1">
        <v>42.04</v>
      </c>
      <c r="F18" s="1">
        <v>90.93</v>
      </c>
      <c r="G18" s="1">
        <v>82.48</v>
      </c>
    </row>
    <row r="19" spans="1:7" x14ac:dyDescent="0.25">
      <c r="A19" s="1" t="s">
        <v>23</v>
      </c>
      <c r="B19" s="1">
        <v>1</v>
      </c>
      <c r="C19" s="1">
        <v>2</v>
      </c>
      <c r="D19" s="1">
        <v>1</v>
      </c>
      <c r="E19" s="1">
        <v>3</v>
      </c>
      <c r="F19" s="1">
        <v>1</v>
      </c>
      <c r="G19" s="1">
        <v>2</v>
      </c>
    </row>
    <row r="20" spans="1:7" x14ac:dyDescent="0.25">
      <c r="A20" s="1" t="s">
        <v>24</v>
      </c>
      <c r="B20" s="1">
        <v>0.7</v>
      </c>
      <c r="C20" s="1">
        <v>2.9</v>
      </c>
      <c r="D20" s="1">
        <v>0.5</v>
      </c>
      <c r="E20" s="1">
        <v>1.7</v>
      </c>
      <c r="F20" s="1">
        <v>4</v>
      </c>
      <c r="G20" s="1">
        <v>2.6</v>
      </c>
    </row>
    <row r="21" spans="1:7" x14ac:dyDescent="0.25">
      <c r="A21" s="1" t="s">
        <v>25</v>
      </c>
      <c r="B21" s="1">
        <v>9.4</v>
      </c>
      <c r="C21" s="1">
        <v>7.1</v>
      </c>
      <c r="D21" s="1">
        <v>9.5</v>
      </c>
      <c r="E21" s="1">
        <v>8.3000000000000007</v>
      </c>
      <c r="F21" s="1">
        <v>6</v>
      </c>
      <c r="G21" s="1">
        <v>7.3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1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1.7</v>
      </c>
    </row>
    <row r="24" spans="1:7" x14ac:dyDescent="0.25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2.9</v>
      </c>
      <c r="G24" s="1">
        <v>0</v>
      </c>
    </row>
    <row r="25" spans="1:7" x14ac:dyDescent="0.25">
      <c r="A25" s="1" t="s">
        <v>29</v>
      </c>
      <c r="B25" s="1">
        <v>1.6</v>
      </c>
      <c r="C25" s="1">
        <v>2.2999999999999998</v>
      </c>
      <c r="D25" s="1">
        <v>5.4</v>
      </c>
      <c r="E25" s="1">
        <v>10</v>
      </c>
      <c r="F25" s="1">
        <v>2.2999999999999998</v>
      </c>
      <c r="G25" s="1">
        <v>8.6</v>
      </c>
    </row>
    <row r="26" spans="1:7" x14ac:dyDescent="0.25">
      <c r="A26" s="1" t="s">
        <v>30</v>
      </c>
      <c r="B26" s="1">
        <v>8.5</v>
      </c>
      <c r="C26" s="1">
        <v>7.7</v>
      </c>
      <c r="D26" s="1">
        <v>4.5999999999999996</v>
      </c>
      <c r="E26" s="1">
        <v>0</v>
      </c>
      <c r="F26" s="1">
        <v>4.8</v>
      </c>
      <c r="G26" s="1">
        <v>1.3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25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28.999999999999996</v>
      </c>
      <c r="G29" s="3">
        <f t="shared" si="1"/>
        <v>0</v>
      </c>
    </row>
    <row r="30" spans="1:7" x14ac:dyDescent="0.25">
      <c r="A30" s="3" t="s">
        <v>33</v>
      </c>
      <c r="B30" s="3">
        <f>B25/B28*100</f>
        <v>15.841584158415841</v>
      </c>
      <c r="C30" s="3">
        <f t="shared" ref="C30:G30" si="2">C25/C28*100</f>
        <v>23</v>
      </c>
      <c r="D30" s="3">
        <f t="shared" si="2"/>
        <v>54</v>
      </c>
      <c r="E30" s="3">
        <f t="shared" si="2"/>
        <v>100</v>
      </c>
      <c r="F30" s="3">
        <f t="shared" si="2"/>
        <v>23</v>
      </c>
      <c r="G30" s="3">
        <f t="shared" si="2"/>
        <v>86.868686868686865</v>
      </c>
    </row>
    <row r="31" spans="1:7" x14ac:dyDescent="0.25">
      <c r="A31" s="3" t="s">
        <v>34</v>
      </c>
      <c r="B31" s="3">
        <f>B26/B28*100</f>
        <v>84.158415841584173</v>
      </c>
      <c r="C31" s="3">
        <f t="shared" ref="C31:G31" si="3">C26/C28*100</f>
        <v>77</v>
      </c>
      <c r="D31" s="3">
        <f t="shared" si="3"/>
        <v>46</v>
      </c>
      <c r="E31" s="3">
        <f t="shared" si="3"/>
        <v>0</v>
      </c>
      <c r="F31" s="3">
        <f t="shared" si="3"/>
        <v>48</v>
      </c>
      <c r="G31" s="3">
        <f t="shared" si="3"/>
        <v>13.131313131313133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49.72</v>
      </c>
      <c r="C33" s="3">
        <v>50.04</v>
      </c>
      <c r="D33" s="3">
        <v>30.21</v>
      </c>
      <c r="E33" s="3">
        <v>6.72</v>
      </c>
      <c r="F33" s="3">
        <v>10.8</v>
      </c>
      <c r="G33" s="3">
        <v>15.29</v>
      </c>
    </row>
    <row r="35" spans="1:7" x14ac:dyDescent="0.25">
      <c r="A35" s="3" t="s">
        <v>36</v>
      </c>
      <c r="B35" s="3"/>
      <c r="C35" s="3"/>
      <c r="D35" s="3">
        <f>D33-C33</f>
        <v>-19.829999999999998</v>
      </c>
      <c r="E35" s="3"/>
      <c r="F35" s="3">
        <f>F33-E33</f>
        <v>4.080000000000001</v>
      </c>
      <c r="G35" s="3"/>
    </row>
    <row r="37" spans="1:7" x14ac:dyDescent="0.25">
      <c r="A37" s="3" t="s">
        <v>36</v>
      </c>
      <c r="B37" s="3"/>
      <c r="C37" s="3" t="e">
        <f>C33-#REF!</f>
        <v>#REF!</v>
      </c>
      <c r="D37" s="3"/>
      <c r="E37" s="3">
        <f>E33-D33</f>
        <v>-23.490000000000002</v>
      </c>
      <c r="F37" s="3"/>
      <c r="G37" s="3">
        <f>G33-F33</f>
        <v>4.4899999999999984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B1837-B2F7-4444-98A1-09FF542C742C}">
  <dimension ref="A1:G37"/>
  <sheetViews>
    <sheetView tabSelected="1" workbookViewId="0">
      <selection activeCell="L11" sqref="L11:L23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427.16</v>
      </c>
      <c r="C2" s="1">
        <v>402.29</v>
      </c>
      <c r="D2" s="1">
        <v>437.52</v>
      </c>
      <c r="E2" s="1">
        <v>405.94</v>
      </c>
      <c r="F2" s="1">
        <v>380.77</v>
      </c>
      <c r="G2" s="1">
        <v>412.09</v>
      </c>
    </row>
    <row r="3" spans="1:7" x14ac:dyDescent="0.25">
      <c r="A3" s="1" t="s">
        <v>7</v>
      </c>
      <c r="B3" s="1">
        <v>37.5</v>
      </c>
      <c r="C3" s="1">
        <v>36.01</v>
      </c>
      <c r="D3" s="1">
        <v>36.85</v>
      </c>
      <c r="E3" s="1">
        <v>37.69</v>
      </c>
      <c r="F3" s="1">
        <v>38.86</v>
      </c>
      <c r="G3" s="1">
        <v>36.21</v>
      </c>
    </row>
    <row r="4" spans="1:7" x14ac:dyDescent="0.25">
      <c r="A4" s="1" t="s">
        <v>8</v>
      </c>
      <c r="B4" s="1">
        <v>16280.88</v>
      </c>
      <c r="C4" s="1">
        <v>14724.82</v>
      </c>
      <c r="D4" s="1">
        <v>16392.45</v>
      </c>
      <c r="E4" s="1">
        <v>15500.97</v>
      </c>
      <c r="F4" s="1">
        <v>15081.68</v>
      </c>
      <c r="G4" s="1">
        <v>15146.19</v>
      </c>
    </row>
    <row r="5" spans="1:7" x14ac:dyDescent="0.25">
      <c r="A5" s="1" t="s">
        <v>9</v>
      </c>
      <c r="B5" s="1">
        <v>1208.81</v>
      </c>
      <c r="C5" s="1">
        <v>1338.85</v>
      </c>
      <c r="D5" s="1">
        <v>618.91999999999996</v>
      </c>
      <c r="E5" s="1">
        <v>578.83000000000004</v>
      </c>
      <c r="F5" s="1">
        <v>1054.58</v>
      </c>
      <c r="G5" s="1">
        <v>1045.94</v>
      </c>
    </row>
    <row r="6" spans="1:7" x14ac:dyDescent="0.25">
      <c r="A6" s="3" t="s">
        <v>10</v>
      </c>
      <c r="B6" s="3">
        <v>120.88</v>
      </c>
      <c r="C6" s="3">
        <v>135.24</v>
      </c>
      <c r="D6" s="3">
        <v>62.52</v>
      </c>
      <c r="E6" s="3">
        <v>58.47</v>
      </c>
      <c r="F6" s="3">
        <v>106.52</v>
      </c>
      <c r="G6" s="3">
        <v>106.73</v>
      </c>
    </row>
    <row r="7" spans="1:7" x14ac:dyDescent="0.25">
      <c r="A7" s="1" t="s">
        <v>11</v>
      </c>
      <c r="B7" s="1">
        <v>1109.92</v>
      </c>
      <c r="C7" s="1">
        <v>1152.26</v>
      </c>
      <c r="D7" s="1">
        <v>536.15</v>
      </c>
      <c r="E7" s="1">
        <v>507.88</v>
      </c>
      <c r="F7" s="1">
        <v>892.57</v>
      </c>
      <c r="G7" s="1">
        <v>981.9</v>
      </c>
    </row>
    <row r="8" spans="1:7" x14ac:dyDescent="0.25">
      <c r="A8" s="1" t="s">
        <v>12</v>
      </c>
      <c r="B8" s="1">
        <v>110.99</v>
      </c>
      <c r="C8" s="1">
        <v>116.39</v>
      </c>
      <c r="D8" s="1">
        <v>54.16</v>
      </c>
      <c r="E8" s="1">
        <v>51.3</v>
      </c>
      <c r="F8" s="1">
        <v>90.16</v>
      </c>
      <c r="G8" s="1">
        <v>100.19</v>
      </c>
    </row>
    <row r="9" spans="1:7" x14ac:dyDescent="0.25">
      <c r="A9" s="1" t="s">
        <v>13</v>
      </c>
      <c r="B9" s="1">
        <v>1109.92</v>
      </c>
      <c r="C9" s="1">
        <v>1111.55</v>
      </c>
      <c r="D9" s="1">
        <v>209.31</v>
      </c>
      <c r="E9" s="1">
        <v>-263.88</v>
      </c>
      <c r="F9" s="1">
        <v>821.95</v>
      </c>
      <c r="G9" s="1">
        <v>819.8</v>
      </c>
    </row>
    <row r="10" spans="1:7" x14ac:dyDescent="0.25">
      <c r="A10" s="1" t="s">
        <v>14</v>
      </c>
      <c r="B10" s="1">
        <v>110.99</v>
      </c>
      <c r="C10" s="1">
        <v>112.28</v>
      </c>
      <c r="D10" s="1">
        <v>21.14</v>
      </c>
      <c r="E10" s="1">
        <v>-26.65</v>
      </c>
      <c r="F10" s="1">
        <v>83.02</v>
      </c>
      <c r="G10" s="1">
        <v>83.65</v>
      </c>
    </row>
    <row r="11" spans="1:7" x14ac:dyDescent="0.25">
      <c r="A11" s="1" t="s">
        <v>15</v>
      </c>
      <c r="B11" s="1">
        <v>1009.73</v>
      </c>
      <c r="C11" s="1">
        <v>1110.1500000000001</v>
      </c>
      <c r="D11" s="1">
        <v>155.69</v>
      </c>
      <c r="E11" s="1">
        <v>112.38</v>
      </c>
      <c r="F11" s="1">
        <v>605.27</v>
      </c>
      <c r="G11" s="1">
        <v>628.6</v>
      </c>
    </row>
    <row r="12" spans="1:7" x14ac:dyDescent="0.25">
      <c r="A12" s="1" t="s">
        <v>16</v>
      </c>
      <c r="B12" s="1">
        <v>202.83</v>
      </c>
      <c r="C12" s="1">
        <v>221.05</v>
      </c>
      <c r="D12" s="1">
        <v>212.84</v>
      </c>
      <c r="E12" s="1">
        <v>185.73</v>
      </c>
      <c r="F12" s="1">
        <v>188.95</v>
      </c>
      <c r="G12" s="1">
        <v>196.32</v>
      </c>
    </row>
    <row r="13" spans="1:7" x14ac:dyDescent="0.25">
      <c r="A13" s="1" t="s">
        <v>17</v>
      </c>
      <c r="B13" s="1">
        <v>29.14</v>
      </c>
      <c r="C13" s="1">
        <v>24.93</v>
      </c>
      <c r="D13" s="1">
        <v>33.24</v>
      </c>
      <c r="E13" s="1">
        <v>24.13</v>
      </c>
      <c r="F13" s="1">
        <v>33.549999999999997</v>
      </c>
      <c r="G13" s="1">
        <v>27.95</v>
      </c>
    </row>
    <row r="14" spans="1:7" x14ac:dyDescent="0.25">
      <c r="A14" s="1" t="s">
        <v>18</v>
      </c>
      <c r="B14" s="1">
        <v>64.66</v>
      </c>
      <c r="C14" s="1">
        <v>53.85</v>
      </c>
      <c r="D14" s="1">
        <v>50.64</v>
      </c>
      <c r="E14" s="1">
        <v>55.79</v>
      </c>
      <c r="F14" s="1">
        <v>84.26</v>
      </c>
      <c r="G14" s="1">
        <v>79.56</v>
      </c>
    </row>
    <row r="15" spans="1:7" x14ac:dyDescent="0.25">
      <c r="A15" s="1" t="s">
        <v>19</v>
      </c>
      <c r="B15" s="1">
        <v>6</v>
      </c>
      <c r="C15" s="1">
        <v>8</v>
      </c>
      <c r="D15" s="1">
        <v>2</v>
      </c>
      <c r="E15" s="1">
        <v>4</v>
      </c>
      <c r="F15" s="1">
        <v>6</v>
      </c>
      <c r="G15" s="1">
        <v>6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5">
      <c r="A17" s="1" t="s">
        <v>21</v>
      </c>
      <c r="B17" s="1">
        <v>1109.92</v>
      </c>
      <c r="C17" s="1">
        <v>1131.9100000000001</v>
      </c>
      <c r="D17" s="1">
        <v>372.73</v>
      </c>
      <c r="E17" s="1">
        <v>122</v>
      </c>
      <c r="F17" s="1">
        <v>857.26</v>
      </c>
      <c r="G17" s="1">
        <v>900.85</v>
      </c>
    </row>
    <row r="18" spans="1:7" x14ac:dyDescent="0.25">
      <c r="A18" s="1" t="s">
        <v>22</v>
      </c>
      <c r="B18" s="1">
        <v>0</v>
      </c>
      <c r="C18" s="1">
        <v>20.350000000000001</v>
      </c>
      <c r="D18" s="1">
        <v>163.41999999999999</v>
      </c>
      <c r="E18" s="1">
        <v>385.88</v>
      </c>
      <c r="F18" s="1">
        <v>35.31</v>
      </c>
      <c r="G18" s="1">
        <v>81.05</v>
      </c>
    </row>
    <row r="19" spans="1:7" x14ac:dyDescent="0.25">
      <c r="A19" s="1" t="s">
        <v>23</v>
      </c>
      <c r="B19" s="1">
        <v>0</v>
      </c>
      <c r="C19" s="1">
        <v>0</v>
      </c>
      <c r="D19" s="1">
        <v>2</v>
      </c>
      <c r="E19" s="1">
        <v>4</v>
      </c>
      <c r="F19" s="1">
        <v>1</v>
      </c>
      <c r="G19" s="1">
        <v>1</v>
      </c>
    </row>
    <row r="20" spans="1:7" x14ac:dyDescent="0.25">
      <c r="A20" s="1" t="s">
        <v>24</v>
      </c>
      <c r="B20" s="1">
        <v>0</v>
      </c>
      <c r="C20" s="1">
        <v>0</v>
      </c>
      <c r="D20" s="1">
        <v>4.4000000000000004</v>
      </c>
      <c r="E20" s="1">
        <v>6.5</v>
      </c>
      <c r="F20" s="1">
        <v>0.5</v>
      </c>
      <c r="G20" s="1">
        <v>1.4</v>
      </c>
    </row>
    <row r="21" spans="1:7" x14ac:dyDescent="0.25">
      <c r="A21" s="1" t="s">
        <v>25</v>
      </c>
      <c r="B21" s="1">
        <v>10.1</v>
      </c>
      <c r="C21" s="1">
        <v>10</v>
      </c>
      <c r="D21" s="1">
        <v>5.6</v>
      </c>
      <c r="E21" s="1">
        <v>3.5</v>
      </c>
      <c r="F21" s="1">
        <v>9.5</v>
      </c>
      <c r="G21" s="1">
        <v>8.5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5">
      <c r="A24" s="1" t="s">
        <v>28</v>
      </c>
      <c r="B24" s="1">
        <v>0</v>
      </c>
      <c r="C24" s="1">
        <v>0</v>
      </c>
      <c r="D24" s="1">
        <v>1.6</v>
      </c>
      <c r="E24" s="1">
        <v>4.4000000000000004</v>
      </c>
      <c r="F24" s="1">
        <v>0</v>
      </c>
      <c r="G24" s="1">
        <v>1.3</v>
      </c>
    </row>
    <row r="25" spans="1:7" x14ac:dyDescent="0.25">
      <c r="A25" s="1" t="s">
        <v>29</v>
      </c>
      <c r="B25" s="1">
        <v>0</v>
      </c>
      <c r="C25" s="1">
        <v>0</v>
      </c>
      <c r="D25" s="1">
        <v>5.8</v>
      </c>
      <c r="E25" s="1">
        <v>4.4000000000000004</v>
      </c>
      <c r="F25" s="1">
        <v>1</v>
      </c>
      <c r="G25" s="1">
        <v>1</v>
      </c>
    </row>
    <row r="26" spans="1:7" x14ac:dyDescent="0.25">
      <c r="A26" s="1" t="s">
        <v>30</v>
      </c>
      <c r="B26" s="1">
        <v>10.1</v>
      </c>
      <c r="C26" s="1">
        <v>10</v>
      </c>
      <c r="D26" s="1">
        <v>2.6</v>
      </c>
      <c r="E26" s="1">
        <v>1.2</v>
      </c>
      <c r="F26" s="1">
        <v>9</v>
      </c>
      <c r="G26" s="1">
        <v>7.6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9.8999999999999986</v>
      </c>
    </row>
    <row r="29" spans="1:7" x14ac:dyDescent="0.25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16</v>
      </c>
      <c r="E29" s="3">
        <f t="shared" si="1"/>
        <v>44.000000000000007</v>
      </c>
      <c r="F29" s="3">
        <f t="shared" si="1"/>
        <v>0</v>
      </c>
      <c r="G29" s="3">
        <f t="shared" si="1"/>
        <v>13.131313131313133</v>
      </c>
    </row>
    <row r="30" spans="1:7" x14ac:dyDescent="0.25">
      <c r="A30" s="3" t="s">
        <v>33</v>
      </c>
      <c r="B30" s="3">
        <f>B25/B28*100</f>
        <v>0</v>
      </c>
      <c r="C30" s="3">
        <f t="shared" ref="C30:G30" si="2">C25/C28*100</f>
        <v>0</v>
      </c>
      <c r="D30" s="3">
        <f t="shared" si="2"/>
        <v>57.999999999999993</v>
      </c>
      <c r="E30" s="3">
        <f t="shared" si="2"/>
        <v>44.000000000000007</v>
      </c>
      <c r="F30" s="3">
        <f t="shared" si="2"/>
        <v>10</v>
      </c>
      <c r="G30" s="3">
        <f t="shared" si="2"/>
        <v>10.101010101010102</v>
      </c>
    </row>
    <row r="31" spans="1:7" x14ac:dyDescent="0.25">
      <c r="A31" s="3" t="s">
        <v>34</v>
      </c>
      <c r="B31" s="3">
        <f>B26/B28*100</f>
        <v>100</v>
      </c>
      <c r="C31" s="3">
        <f t="shared" ref="C31:G31" si="3">C26/C28*100</f>
        <v>100</v>
      </c>
      <c r="D31" s="3">
        <f t="shared" si="3"/>
        <v>26</v>
      </c>
      <c r="E31" s="3">
        <f t="shared" si="3"/>
        <v>12</v>
      </c>
      <c r="F31" s="3">
        <f t="shared" si="3"/>
        <v>90</v>
      </c>
      <c r="G31" s="3">
        <f t="shared" si="3"/>
        <v>76.767676767676775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117.83</v>
      </c>
      <c r="C33" s="3">
        <v>127.33</v>
      </c>
      <c r="D33" s="3">
        <v>17.18</v>
      </c>
      <c r="E33" s="3">
        <v>-15.27</v>
      </c>
      <c r="F33" s="3">
        <v>93.85</v>
      </c>
      <c r="G33" s="3">
        <v>87.72</v>
      </c>
    </row>
    <row r="35" spans="1:7" x14ac:dyDescent="0.25">
      <c r="A35" s="3" t="s">
        <v>36</v>
      </c>
      <c r="B35" s="3"/>
      <c r="C35" s="3"/>
      <c r="D35" s="3">
        <f>D33-C33</f>
        <v>-110.15</v>
      </c>
      <c r="E35" s="3"/>
      <c r="F35" s="3">
        <f>F33-E33</f>
        <v>109.11999999999999</v>
      </c>
      <c r="G35" s="3"/>
    </row>
    <row r="37" spans="1:7" x14ac:dyDescent="0.25">
      <c r="A37" s="3" t="s">
        <v>36</v>
      </c>
      <c r="B37" s="3"/>
      <c r="C37" s="3">
        <f>C33-B33</f>
        <v>9.5</v>
      </c>
      <c r="D37" s="3"/>
      <c r="E37" s="3">
        <f>E33-D33</f>
        <v>-32.450000000000003</v>
      </c>
      <c r="F37" s="3"/>
      <c r="G37" s="3" t="e">
        <f>#REF!-F33</f>
        <v>#REF!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17ED4-209D-46A9-A6E0-B0628CCF5CB9}">
  <dimension ref="A1:G37"/>
  <sheetViews>
    <sheetView workbookViewId="0">
      <selection activeCell="B22" sqref="B22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/>
      <c r="C2" s="1"/>
      <c r="D2" s="1"/>
      <c r="E2" s="1"/>
      <c r="F2" s="1"/>
      <c r="G2" s="1"/>
    </row>
    <row r="3" spans="1:7" x14ac:dyDescent="0.25">
      <c r="A3" s="1" t="s">
        <v>7</v>
      </c>
      <c r="B3" s="1"/>
      <c r="C3" s="1"/>
      <c r="D3" s="1"/>
      <c r="E3" s="1"/>
      <c r="F3" s="1"/>
      <c r="G3" s="1"/>
    </row>
    <row r="4" spans="1:7" x14ac:dyDescent="0.25">
      <c r="A4" s="1" t="s">
        <v>8</v>
      </c>
      <c r="B4" s="1"/>
      <c r="C4" s="1"/>
      <c r="D4" s="1"/>
      <c r="E4" s="1"/>
      <c r="F4" s="1"/>
      <c r="G4" s="1"/>
    </row>
    <row r="5" spans="1:7" x14ac:dyDescent="0.25">
      <c r="A5" s="1" t="s">
        <v>9</v>
      </c>
      <c r="B5" s="1"/>
      <c r="C5" s="1"/>
      <c r="D5" s="1"/>
      <c r="E5" s="1"/>
      <c r="F5" s="1"/>
      <c r="G5" s="1"/>
    </row>
    <row r="6" spans="1:7" x14ac:dyDescent="0.25">
      <c r="A6" s="3" t="s">
        <v>10</v>
      </c>
      <c r="B6" s="3"/>
      <c r="C6" s="3"/>
      <c r="D6" s="3"/>
      <c r="E6" s="3"/>
      <c r="F6" s="3"/>
      <c r="G6" s="3"/>
    </row>
    <row r="7" spans="1:7" x14ac:dyDescent="0.25">
      <c r="A7" s="1" t="s">
        <v>11</v>
      </c>
      <c r="B7" s="1"/>
      <c r="C7" s="1"/>
      <c r="D7" s="1"/>
      <c r="E7" s="1"/>
      <c r="F7" s="1"/>
      <c r="G7" s="1"/>
    </row>
    <row r="8" spans="1:7" x14ac:dyDescent="0.25">
      <c r="A8" s="1" t="s">
        <v>12</v>
      </c>
      <c r="B8" s="1"/>
      <c r="C8" s="1"/>
      <c r="D8" s="1"/>
      <c r="E8" s="1"/>
      <c r="F8" s="1"/>
      <c r="G8" s="1"/>
    </row>
    <row r="9" spans="1:7" x14ac:dyDescent="0.25">
      <c r="A9" s="1" t="s">
        <v>13</v>
      </c>
      <c r="B9" s="1"/>
      <c r="C9" s="1"/>
      <c r="D9" s="1"/>
      <c r="E9" s="1"/>
      <c r="F9" s="1"/>
      <c r="G9" s="1"/>
    </row>
    <row r="10" spans="1:7" x14ac:dyDescent="0.25">
      <c r="A10" s="1" t="s">
        <v>14</v>
      </c>
      <c r="B10" s="1"/>
      <c r="C10" s="1"/>
      <c r="D10" s="1"/>
      <c r="E10" s="1"/>
      <c r="F10" s="1"/>
      <c r="G10" s="1"/>
    </row>
    <row r="11" spans="1:7" x14ac:dyDescent="0.25">
      <c r="A11" s="1" t="s">
        <v>15</v>
      </c>
      <c r="B11" s="1"/>
      <c r="C11" s="1"/>
      <c r="D11" s="1"/>
      <c r="E11" s="1"/>
      <c r="F11" s="1"/>
      <c r="G11" s="1"/>
    </row>
    <row r="12" spans="1:7" x14ac:dyDescent="0.25">
      <c r="A12" s="1" t="s">
        <v>16</v>
      </c>
      <c r="B12" s="1"/>
      <c r="C12" s="1"/>
      <c r="D12" s="1"/>
      <c r="E12" s="1"/>
      <c r="F12" s="1"/>
      <c r="G12" s="1"/>
    </row>
    <row r="13" spans="1:7" x14ac:dyDescent="0.25">
      <c r="A13" s="1" t="s">
        <v>17</v>
      </c>
      <c r="B13" s="1"/>
      <c r="C13" s="1"/>
      <c r="D13" s="1"/>
      <c r="E13" s="1"/>
      <c r="F13" s="1"/>
      <c r="G13" s="1"/>
    </row>
    <row r="14" spans="1:7" x14ac:dyDescent="0.25">
      <c r="A14" s="1" t="s">
        <v>18</v>
      </c>
      <c r="B14" s="1"/>
      <c r="C14" s="1"/>
      <c r="D14" s="1"/>
      <c r="E14" s="1"/>
      <c r="F14" s="1"/>
      <c r="G14" s="1"/>
    </row>
    <row r="15" spans="1:7" x14ac:dyDescent="0.25">
      <c r="A15" s="1" t="s">
        <v>19</v>
      </c>
      <c r="B15" s="1"/>
      <c r="C15" s="1"/>
      <c r="D15" s="1"/>
      <c r="E15" s="1"/>
      <c r="F15" s="1"/>
      <c r="G15" s="1"/>
    </row>
    <row r="16" spans="1:7" x14ac:dyDescent="0.25">
      <c r="A16" s="1" t="s">
        <v>20</v>
      </c>
      <c r="B16" s="1"/>
      <c r="C16" s="1"/>
      <c r="D16" s="1"/>
      <c r="E16" s="1"/>
      <c r="F16" s="1"/>
      <c r="G16" s="1"/>
    </row>
    <row r="17" spans="1:7" x14ac:dyDescent="0.25">
      <c r="A17" s="1" t="s">
        <v>21</v>
      </c>
      <c r="B17" s="1"/>
      <c r="C17" s="1"/>
      <c r="D17" s="1"/>
      <c r="E17" s="1"/>
      <c r="F17" s="1"/>
      <c r="G17" s="1"/>
    </row>
    <row r="18" spans="1:7" x14ac:dyDescent="0.25">
      <c r="A18" s="1" t="s">
        <v>22</v>
      </c>
      <c r="B18" s="1"/>
      <c r="C18" s="1"/>
      <c r="D18" s="1"/>
      <c r="E18" s="1"/>
      <c r="F18" s="1"/>
      <c r="G18" s="1"/>
    </row>
    <row r="19" spans="1:7" x14ac:dyDescent="0.25">
      <c r="A19" s="1" t="s">
        <v>23</v>
      </c>
      <c r="B19" s="1"/>
      <c r="C19" s="1"/>
      <c r="D19" s="1"/>
      <c r="E19" s="1"/>
      <c r="F19" s="1"/>
      <c r="G19" s="1"/>
    </row>
    <row r="20" spans="1:7" x14ac:dyDescent="0.25">
      <c r="A20" s="1" t="s">
        <v>24</v>
      </c>
      <c r="B20" s="1"/>
      <c r="C20" s="1"/>
      <c r="D20" s="1"/>
      <c r="E20" s="1"/>
      <c r="F20" s="1"/>
      <c r="G20" s="1"/>
    </row>
    <row r="21" spans="1:7" x14ac:dyDescent="0.25">
      <c r="A21" s="1" t="s">
        <v>25</v>
      </c>
      <c r="B21" s="1"/>
      <c r="C21" s="1"/>
      <c r="D21" s="1"/>
      <c r="E21" s="1"/>
      <c r="F21" s="1"/>
      <c r="G21" s="1"/>
    </row>
    <row r="22" spans="1:7" x14ac:dyDescent="0.25">
      <c r="A22" s="1" t="s">
        <v>26</v>
      </c>
      <c r="B22" s="1"/>
      <c r="C22" s="1"/>
      <c r="D22" s="1"/>
      <c r="E22" s="1"/>
      <c r="F22" s="1"/>
      <c r="G22" s="1"/>
    </row>
    <row r="23" spans="1:7" x14ac:dyDescent="0.25">
      <c r="A23" s="1" t="s">
        <v>27</v>
      </c>
      <c r="B23" s="1"/>
      <c r="C23" s="1"/>
      <c r="D23" s="1"/>
      <c r="E23" s="1"/>
      <c r="F23" s="1"/>
      <c r="G23" s="1"/>
    </row>
    <row r="24" spans="1:7" x14ac:dyDescent="0.25">
      <c r="A24" s="1" t="s">
        <v>28</v>
      </c>
      <c r="B24" s="1"/>
      <c r="C24" s="1"/>
      <c r="D24" s="1"/>
      <c r="E24" s="1"/>
      <c r="F24" s="1"/>
      <c r="G24" s="1"/>
    </row>
    <row r="25" spans="1:7" x14ac:dyDescent="0.25">
      <c r="A25" s="1" t="s">
        <v>29</v>
      </c>
      <c r="B25" s="1"/>
      <c r="C25" s="1"/>
      <c r="D25" s="1"/>
      <c r="E25" s="1"/>
      <c r="F25" s="1"/>
      <c r="G25" s="1"/>
    </row>
    <row r="26" spans="1:7" x14ac:dyDescent="0.25">
      <c r="A26" s="1" t="s">
        <v>30</v>
      </c>
      <c r="B26" s="1"/>
      <c r="C26" s="1"/>
      <c r="D26" s="1"/>
      <c r="E26" s="1"/>
      <c r="F26" s="1"/>
      <c r="G26" s="1"/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0</v>
      </c>
      <c r="C28" s="1">
        <f t="shared" ref="C28:G28" si="0">SUM(C24:C26)</f>
        <v>0</v>
      </c>
      <c r="D28" s="1">
        <f t="shared" si="0"/>
        <v>0</v>
      </c>
      <c r="E28" s="1">
        <f t="shared" si="0"/>
        <v>0</v>
      </c>
      <c r="F28" s="1">
        <f t="shared" si="0"/>
        <v>0</v>
      </c>
      <c r="G28" s="1">
        <f t="shared" si="0"/>
        <v>0</v>
      </c>
    </row>
    <row r="29" spans="1:7" x14ac:dyDescent="0.25">
      <c r="A29" s="3" t="s">
        <v>32</v>
      </c>
      <c r="B29" s="3" t="e">
        <f>B24/B28*100</f>
        <v>#DIV/0!</v>
      </c>
      <c r="C29" s="3" t="e">
        <f t="shared" ref="C29:G29" si="1">C24/C28*100</f>
        <v>#DIV/0!</v>
      </c>
      <c r="D29" s="3" t="e">
        <f t="shared" si="1"/>
        <v>#DIV/0!</v>
      </c>
      <c r="E29" s="3" t="e">
        <f t="shared" si="1"/>
        <v>#DIV/0!</v>
      </c>
      <c r="F29" s="3" t="e">
        <f t="shared" si="1"/>
        <v>#DIV/0!</v>
      </c>
      <c r="G29" s="3" t="e">
        <f t="shared" si="1"/>
        <v>#DIV/0!</v>
      </c>
    </row>
    <row r="30" spans="1:7" x14ac:dyDescent="0.25">
      <c r="A30" s="3" t="s">
        <v>33</v>
      </c>
      <c r="B30" s="3" t="e">
        <f>B25/B28*100</f>
        <v>#DIV/0!</v>
      </c>
      <c r="C30" s="3" t="e">
        <f t="shared" ref="C30:G30" si="2">C25/C28*100</f>
        <v>#DIV/0!</v>
      </c>
      <c r="D30" s="3" t="e">
        <f t="shared" si="2"/>
        <v>#DIV/0!</v>
      </c>
      <c r="E30" s="3" t="e">
        <f t="shared" si="2"/>
        <v>#DIV/0!</v>
      </c>
      <c r="F30" s="3" t="e">
        <f t="shared" si="2"/>
        <v>#DIV/0!</v>
      </c>
      <c r="G30" s="3" t="e">
        <f t="shared" si="2"/>
        <v>#DIV/0!</v>
      </c>
    </row>
    <row r="31" spans="1:7" x14ac:dyDescent="0.25">
      <c r="A31" s="3" t="s">
        <v>34</v>
      </c>
      <c r="B31" s="3" t="e">
        <f>B26/B28*100</f>
        <v>#DIV/0!</v>
      </c>
      <c r="C31" s="3" t="e">
        <f t="shared" ref="C31:G31" si="3">C26/C28*100</f>
        <v>#DIV/0!</v>
      </c>
      <c r="D31" s="3" t="e">
        <f t="shared" si="3"/>
        <v>#DIV/0!</v>
      </c>
      <c r="E31" s="3" t="e">
        <f t="shared" si="3"/>
        <v>#DIV/0!</v>
      </c>
      <c r="F31" s="3" t="e">
        <f t="shared" si="3"/>
        <v>#DIV/0!</v>
      </c>
      <c r="G31" s="3" t="e">
        <f t="shared" si="3"/>
        <v>#DIV/0!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/>
      <c r="C33" s="3"/>
      <c r="D33" s="3"/>
      <c r="E33" s="3"/>
      <c r="F33" s="3"/>
      <c r="G33" s="3"/>
    </row>
    <row r="35" spans="1:7" x14ac:dyDescent="0.25">
      <c r="A35" s="3" t="s">
        <v>36</v>
      </c>
      <c r="B35" s="3"/>
      <c r="C35" s="3"/>
      <c r="D35" s="3">
        <f>D33-C33</f>
        <v>0</v>
      </c>
      <c r="E35" s="3"/>
      <c r="F35" s="3">
        <f>F33-E33</f>
        <v>0</v>
      </c>
      <c r="G35" s="3"/>
    </row>
    <row r="37" spans="1:7" x14ac:dyDescent="0.25">
      <c r="A37" s="3" t="s">
        <v>36</v>
      </c>
      <c r="B37" s="3"/>
      <c r="C37" s="3">
        <f>C33-B33</f>
        <v>0</v>
      </c>
      <c r="D37" s="3"/>
      <c r="E37" s="3">
        <f>E33-D33</f>
        <v>0</v>
      </c>
      <c r="F37" s="3"/>
      <c r="G37" s="3">
        <f>G33-F33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231031B001.1</vt:lpstr>
      <vt:lpstr>231031B001.2</vt:lpstr>
      <vt:lpstr>231031B001.3</vt:lpstr>
      <vt:lpstr>231031B001.5</vt:lpstr>
      <vt:lpstr>template</vt:lpstr>
    </vt:vector>
  </TitlesOfParts>
  <Company>UCLA Health Sciences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hallemlab</dc:creator>
  <cp:lastModifiedBy>hallemlab</cp:lastModifiedBy>
  <dcterms:created xsi:type="dcterms:W3CDTF">2023-11-06T19:52:56Z</dcterms:created>
  <dcterms:modified xsi:type="dcterms:W3CDTF">2023-11-07T01:24:10Z</dcterms:modified>
</cp:coreProperties>
</file>