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ratti\iL3s\wild-type\2023-1124\WormLab Data\"/>
    </mc:Choice>
  </mc:AlternateContent>
  <xr:revisionPtr revIDLastSave="0" documentId="13_ncr:1_{8D74962D-1F83-4071-A100-027BADA25907}" xr6:coauthVersionLast="36" xr6:coauthVersionMax="36" xr10:uidLastSave="{00000000-0000-0000-0000-000000000000}"/>
  <bookViews>
    <workbookView xWindow="0" yWindow="0" windowWidth="21570" windowHeight="10110" activeTab="3" xr2:uid="{C879BC74-DA7F-4ACD-B866-781F512D591B}"/>
  </bookViews>
  <sheets>
    <sheet name="231124B002.2" sheetId="2" r:id="rId1"/>
    <sheet name="231124B002.3" sheetId="3" r:id="rId2"/>
    <sheet name="231124B002.4" sheetId="4" r:id="rId3"/>
    <sheet name="231124B002.5" sheetId="5" r:id="rId4"/>
    <sheet name="template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5" l="1"/>
  <c r="E37" i="5"/>
  <c r="C37" i="5"/>
  <c r="F35" i="5"/>
  <c r="D35" i="5"/>
  <c r="E31" i="5"/>
  <c r="D31" i="5"/>
  <c r="C31" i="5"/>
  <c r="B31" i="5"/>
  <c r="E30" i="5"/>
  <c r="D30" i="5"/>
  <c r="C30" i="5"/>
  <c r="B30" i="5"/>
  <c r="E29" i="5"/>
  <c r="D29" i="5"/>
  <c r="C29" i="5"/>
  <c r="B29" i="5"/>
  <c r="G28" i="5"/>
  <c r="G31" i="5" s="1"/>
  <c r="F28" i="5"/>
  <c r="F31" i="5" s="1"/>
  <c r="E28" i="5"/>
  <c r="D28" i="5"/>
  <c r="C28" i="5"/>
  <c r="B28" i="5"/>
  <c r="G37" i="4"/>
  <c r="E37" i="4"/>
  <c r="C37" i="4"/>
  <c r="F35" i="4"/>
  <c r="D35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G28" i="4"/>
  <c r="F28" i="4"/>
  <c r="E28" i="4"/>
  <c r="D28" i="4"/>
  <c r="C28" i="4"/>
  <c r="C29" i="4" s="1"/>
  <c r="B28" i="4"/>
  <c r="B29" i="4" s="1"/>
  <c r="F30" i="5" l="1"/>
  <c r="F29" i="5"/>
  <c r="G29" i="5"/>
  <c r="G30" i="5"/>
  <c r="G37" i="3"/>
  <c r="E37" i="3"/>
  <c r="C37" i="3"/>
  <c r="F35" i="3"/>
  <c r="D35" i="3"/>
  <c r="F31" i="3"/>
  <c r="E31" i="3"/>
  <c r="D31" i="3"/>
  <c r="C31" i="3"/>
  <c r="B31" i="3"/>
  <c r="G30" i="3"/>
  <c r="F30" i="3"/>
  <c r="E30" i="3"/>
  <c r="D30" i="3"/>
  <c r="C30" i="3"/>
  <c r="B30" i="3"/>
  <c r="F29" i="3"/>
  <c r="G28" i="3"/>
  <c r="G31" i="3" s="1"/>
  <c r="F28" i="3"/>
  <c r="E28" i="3"/>
  <c r="E29" i="3" s="1"/>
  <c r="D28" i="3"/>
  <c r="D29" i="3" s="1"/>
  <c r="C28" i="3"/>
  <c r="C29" i="3" s="1"/>
  <c r="B28" i="3"/>
  <c r="B29" i="3" s="1"/>
  <c r="G37" i="2"/>
  <c r="E37" i="2"/>
  <c r="C37" i="2"/>
  <c r="F35" i="2"/>
  <c r="D35" i="2"/>
  <c r="F31" i="2"/>
  <c r="D30" i="2"/>
  <c r="G28" i="2"/>
  <c r="G31" i="2" s="1"/>
  <c r="F28" i="2"/>
  <c r="F30" i="2" s="1"/>
  <c r="E28" i="2"/>
  <c r="E31" i="2" s="1"/>
  <c r="D28" i="2"/>
  <c r="D31" i="2" s="1"/>
  <c r="C28" i="2"/>
  <c r="C31" i="2" s="1"/>
  <c r="B28" i="2"/>
  <c r="B31" i="2" s="1"/>
  <c r="G29" i="3" l="1"/>
  <c r="D29" i="2"/>
  <c r="E29" i="2"/>
  <c r="F29" i="2"/>
  <c r="G29" i="2"/>
  <c r="C29" i="2"/>
  <c r="B30" i="2"/>
  <c r="B29" i="2"/>
  <c r="C30" i="2"/>
  <c r="E30" i="2"/>
  <c r="G30" i="2"/>
  <c r="G37" i="1"/>
  <c r="E37" i="1"/>
  <c r="C37" i="1"/>
  <c r="F35" i="1"/>
  <c r="D35" i="1"/>
  <c r="E31" i="1"/>
  <c r="D31" i="1"/>
  <c r="C31" i="1"/>
  <c r="G30" i="1"/>
  <c r="F30" i="1"/>
  <c r="E30" i="1"/>
  <c r="D30" i="1"/>
  <c r="C30" i="1"/>
  <c r="B30" i="1"/>
  <c r="G29" i="1"/>
  <c r="F29" i="1"/>
  <c r="E29" i="1"/>
  <c r="G28" i="1"/>
  <c r="G31" i="1" s="1"/>
  <c r="F28" i="1"/>
  <c r="F31" i="1" s="1"/>
  <c r="E28" i="1"/>
  <c r="D28" i="1"/>
  <c r="D29" i="1" s="1"/>
  <c r="C28" i="1"/>
  <c r="C29" i="1" s="1"/>
  <c r="B28" i="1"/>
  <c r="B29" i="1" s="1"/>
  <c r="B31" i="1" l="1"/>
</calcChain>
</file>

<file path=xl/sharedStrings.xml><?xml version="1.0" encoding="utf-8"?>
<sst xmlns="http://schemas.openxmlformats.org/spreadsheetml/2006/main" count="190" uniqueCount="37">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</sst>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1AEE-82BE-48F0-BEF6-B40AEA0E9493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465.54</v>
      </c>
      <c r="C2" s="1">
        <v>472.28</v>
      </c>
      <c r="D2" s="1">
        <v>489.86</v>
      </c>
      <c r="E2" s="1">
        <v>482.88</v>
      </c>
      <c r="F2" s="1">
        <v>470.85</v>
      </c>
      <c r="G2" s="1">
        <v>488.22</v>
      </c>
    </row>
    <row r="3" spans="1:7" x14ac:dyDescent="0.25">
      <c r="A3" s="1" t="s">
        <v>7</v>
      </c>
      <c r="B3" s="1">
        <v>39.340000000000003</v>
      </c>
      <c r="C3" s="1">
        <v>49.97</v>
      </c>
      <c r="D3" s="1">
        <v>46.67</v>
      </c>
      <c r="E3" s="1">
        <v>48.62</v>
      </c>
      <c r="F3" s="1">
        <v>48.4</v>
      </c>
      <c r="G3" s="1">
        <v>46.28</v>
      </c>
    </row>
    <row r="4" spans="1:7" x14ac:dyDescent="0.25">
      <c r="A4" s="1" t="s">
        <v>8</v>
      </c>
      <c r="B4" s="1">
        <v>18652.66</v>
      </c>
      <c r="C4" s="1">
        <v>23979.18</v>
      </c>
      <c r="D4" s="1">
        <v>23225.95</v>
      </c>
      <c r="E4" s="1">
        <v>23900.45</v>
      </c>
      <c r="F4" s="1">
        <v>23149.82</v>
      </c>
      <c r="G4" s="1">
        <v>22942.18</v>
      </c>
    </row>
    <row r="5" spans="1:7" x14ac:dyDescent="0.25">
      <c r="A5" s="1" t="s">
        <v>9</v>
      </c>
      <c r="B5" s="1">
        <v>2132.64</v>
      </c>
      <c r="C5" s="1">
        <v>1263.55</v>
      </c>
      <c r="D5" s="1">
        <v>338.08</v>
      </c>
      <c r="E5" s="1">
        <v>366.4</v>
      </c>
      <c r="F5" s="1">
        <v>1546.71</v>
      </c>
      <c r="G5" s="1">
        <v>1587.13</v>
      </c>
    </row>
    <row r="6" spans="1:7" x14ac:dyDescent="0.25">
      <c r="A6" s="3" t="s">
        <v>10</v>
      </c>
      <c r="B6" s="3">
        <v>213.26</v>
      </c>
      <c r="C6" s="3">
        <v>127.63</v>
      </c>
      <c r="D6" s="3">
        <v>34.15</v>
      </c>
      <c r="E6" s="3">
        <v>37.01</v>
      </c>
      <c r="F6" s="3">
        <v>156.22999999999999</v>
      </c>
      <c r="G6" s="3">
        <v>161.94999999999999</v>
      </c>
    </row>
    <row r="7" spans="1:7" x14ac:dyDescent="0.25">
      <c r="A7" s="1" t="s">
        <v>11</v>
      </c>
      <c r="B7" s="1">
        <v>1888.59</v>
      </c>
      <c r="C7" s="1">
        <v>1162.79</v>
      </c>
      <c r="D7" s="1">
        <v>320.72000000000003</v>
      </c>
      <c r="E7" s="1">
        <v>339.72</v>
      </c>
      <c r="F7" s="1">
        <v>1431.91</v>
      </c>
      <c r="G7" s="1">
        <v>1406.47</v>
      </c>
    </row>
    <row r="8" spans="1:7" x14ac:dyDescent="0.25">
      <c r="A8" s="1" t="s">
        <v>12</v>
      </c>
      <c r="B8" s="1">
        <v>188.86</v>
      </c>
      <c r="C8" s="1">
        <v>117.45</v>
      </c>
      <c r="D8" s="1">
        <v>32.4</v>
      </c>
      <c r="E8" s="1">
        <v>34.32</v>
      </c>
      <c r="F8" s="1">
        <v>144.63999999999999</v>
      </c>
      <c r="G8" s="1">
        <v>143.52000000000001</v>
      </c>
    </row>
    <row r="9" spans="1:7" x14ac:dyDescent="0.25">
      <c r="A9" s="1" t="s">
        <v>13</v>
      </c>
      <c r="B9" s="1">
        <v>1888.59</v>
      </c>
      <c r="C9" s="1">
        <v>1135.23</v>
      </c>
      <c r="D9" s="1">
        <v>143.54</v>
      </c>
      <c r="E9" s="1">
        <v>209.43</v>
      </c>
      <c r="F9" s="1">
        <v>1428.49</v>
      </c>
      <c r="G9" s="1">
        <v>1406.47</v>
      </c>
    </row>
    <row r="10" spans="1:7" x14ac:dyDescent="0.25">
      <c r="A10" s="1" t="s">
        <v>14</v>
      </c>
      <c r="B10" s="1">
        <v>188.86</v>
      </c>
      <c r="C10" s="1">
        <v>114.67</v>
      </c>
      <c r="D10" s="1">
        <v>14.5</v>
      </c>
      <c r="E10" s="1">
        <v>21.15</v>
      </c>
      <c r="F10" s="1">
        <v>144.29</v>
      </c>
      <c r="G10" s="1">
        <v>143.52000000000001</v>
      </c>
    </row>
    <row r="11" spans="1:7" x14ac:dyDescent="0.25">
      <c r="A11" s="1" t="s">
        <v>15</v>
      </c>
      <c r="B11" s="1">
        <v>1892.35</v>
      </c>
      <c r="C11" s="1">
        <v>932.62</v>
      </c>
      <c r="D11" s="1">
        <v>108.24</v>
      </c>
      <c r="E11" s="1">
        <v>199.55</v>
      </c>
      <c r="F11" s="1">
        <v>1059.73</v>
      </c>
      <c r="G11" s="1">
        <v>1228.07</v>
      </c>
    </row>
    <row r="12" spans="1:7" x14ac:dyDescent="0.25">
      <c r="A12" s="1" t="s">
        <v>16</v>
      </c>
      <c r="B12" s="1">
        <v>230.26</v>
      </c>
      <c r="C12" s="1">
        <v>214</v>
      </c>
      <c r="D12" s="1">
        <v>238.08</v>
      </c>
      <c r="E12" s="1">
        <v>231.48</v>
      </c>
      <c r="F12" s="1">
        <v>209.01</v>
      </c>
      <c r="G12" s="1">
        <v>223.91</v>
      </c>
    </row>
    <row r="13" spans="1:7" x14ac:dyDescent="0.25">
      <c r="A13" s="1" t="s">
        <v>17</v>
      </c>
      <c r="B13" s="1">
        <v>29.16</v>
      </c>
      <c r="C13" s="1">
        <v>31.89</v>
      </c>
      <c r="D13" s="1">
        <v>9.44</v>
      </c>
      <c r="E13" s="1">
        <v>19.64</v>
      </c>
      <c r="F13" s="1">
        <v>40.19</v>
      </c>
      <c r="G13" s="1">
        <v>28.65</v>
      </c>
    </row>
    <row r="14" spans="1:7" x14ac:dyDescent="0.25">
      <c r="A14" s="1" t="s">
        <v>18</v>
      </c>
      <c r="B14" s="1">
        <v>61.17</v>
      </c>
      <c r="C14" s="1">
        <v>74.33</v>
      </c>
      <c r="D14" s="1">
        <v>24.27</v>
      </c>
      <c r="E14" s="1">
        <v>38.15</v>
      </c>
      <c r="F14" s="1">
        <v>93.43</v>
      </c>
      <c r="G14" s="1">
        <v>78.08</v>
      </c>
    </row>
    <row r="15" spans="1:7" x14ac:dyDescent="0.25">
      <c r="A15" s="1" t="s">
        <v>19</v>
      </c>
      <c r="B15" s="1">
        <v>5</v>
      </c>
      <c r="C15" s="1">
        <v>6</v>
      </c>
      <c r="D15" s="1">
        <v>1</v>
      </c>
      <c r="E15" s="1">
        <v>1</v>
      </c>
      <c r="F15" s="1">
        <v>7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1888.59</v>
      </c>
      <c r="C17" s="1">
        <v>1149.01</v>
      </c>
      <c r="D17" s="1">
        <v>232.13</v>
      </c>
      <c r="E17" s="1">
        <v>274.57</v>
      </c>
      <c r="F17" s="1">
        <v>1430.2</v>
      </c>
      <c r="G17" s="1">
        <v>1406.47</v>
      </c>
    </row>
    <row r="18" spans="1:7" x14ac:dyDescent="0.25">
      <c r="A18" s="1" t="s">
        <v>22</v>
      </c>
      <c r="B18" s="1">
        <v>0</v>
      </c>
      <c r="C18" s="1">
        <v>13.78</v>
      </c>
      <c r="D18" s="1">
        <v>88.59</v>
      </c>
      <c r="E18" s="1">
        <v>65.14</v>
      </c>
      <c r="F18" s="1">
        <v>1.71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3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4.0999999999999996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5.9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6.5</v>
      </c>
      <c r="E25" s="1">
        <v>8.3000000000000007</v>
      </c>
      <c r="F25" s="1">
        <v>2.2999999999999998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3.5</v>
      </c>
      <c r="E26" s="1">
        <v>1.7</v>
      </c>
      <c r="F26" s="1">
        <v>7.7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65</v>
      </c>
      <c r="E30" s="3">
        <f t="shared" si="2"/>
        <v>83</v>
      </c>
      <c r="F30" s="3">
        <f t="shared" si="2"/>
        <v>23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35</v>
      </c>
      <c r="E31" s="3">
        <f t="shared" si="3"/>
        <v>17</v>
      </c>
      <c r="F31" s="3">
        <f t="shared" si="3"/>
        <v>77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204.67</v>
      </c>
      <c r="C33" s="3">
        <v>122.2</v>
      </c>
      <c r="D33" s="3">
        <v>13.74</v>
      </c>
      <c r="E33" s="3">
        <v>20.82</v>
      </c>
      <c r="F33" s="3">
        <v>147.80000000000001</v>
      </c>
      <c r="G33" s="3">
        <v>159.27000000000001</v>
      </c>
    </row>
    <row r="35" spans="1:7" x14ac:dyDescent="0.25">
      <c r="A35" s="3" t="s">
        <v>36</v>
      </c>
      <c r="B35" s="3"/>
      <c r="C35" s="3"/>
      <c r="D35" s="3">
        <f>D33-C33</f>
        <v>-108.46000000000001</v>
      </c>
      <c r="E35" s="3"/>
      <c r="F35" s="3">
        <f>F33-E33</f>
        <v>126.98000000000002</v>
      </c>
      <c r="G35" s="3"/>
    </row>
    <row r="37" spans="1:7" x14ac:dyDescent="0.25">
      <c r="A37" s="3" t="s">
        <v>36</v>
      </c>
      <c r="B37" s="3"/>
      <c r="C37" s="3">
        <f>C33-B33</f>
        <v>-82.469999999999985</v>
      </c>
      <c r="D37" s="3"/>
      <c r="E37" s="3">
        <f>E33-D33</f>
        <v>7.08</v>
      </c>
      <c r="F37" s="3"/>
      <c r="G37" s="3">
        <f>G33-F33</f>
        <v>11.469999999999999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F0C4-93B9-4920-8FA0-19823F2363EE}">
  <dimension ref="A1:G37"/>
  <sheetViews>
    <sheetView topLeftCell="A13" workbookViewId="0">
      <selection activeCell="A41" sqref="A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452.86</v>
      </c>
      <c r="C2" s="1">
        <v>505.84</v>
      </c>
      <c r="D2" s="1">
        <v>478.74</v>
      </c>
      <c r="E2" s="1">
        <v>471.11</v>
      </c>
      <c r="F2" s="1">
        <v>466.62</v>
      </c>
      <c r="G2" s="1">
        <v>425.97</v>
      </c>
    </row>
    <row r="3" spans="1:7" x14ac:dyDescent="0.25">
      <c r="A3" s="1" t="s">
        <v>7</v>
      </c>
      <c r="B3" s="1">
        <v>51.67</v>
      </c>
      <c r="C3" s="1">
        <v>53.11</v>
      </c>
      <c r="D3" s="1">
        <v>48.82</v>
      </c>
      <c r="E3" s="1">
        <v>50.48</v>
      </c>
      <c r="F3" s="1">
        <v>57.76</v>
      </c>
      <c r="G3" s="1">
        <v>53</v>
      </c>
    </row>
    <row r="4" spans="1:7" x14ac:dyDescent="0.25">
      <c r="A4" s="1" t="s">
        <v>8</v>
      </c>
      <c r="B4" s="1">
        <v>23832.54</v>
      </c>
      <c r="C4" s="1">
        <v>27291.38</v>
      </c>
      <c r="D4" s="1">
        <v>23698.639999999999</v>
      </c>
      <c r="E4" s="1">
        <v>24152.32</v>
      </c>
      <c r="F4" s="1">
        <v>27426.34</v>
      </c>
      <c r="G4" s="1">
        <v>23135.51</v>
      </c>
    </row>
    <row r="5" spans="1:7" x14ac:dyDescent="0.25">
      <c r="A5" s="1" t="s">
        <v>9</v>
      </c>
      <c r="B5" s="1">
        <v>1404.89</v>
      </c>
      <c r="C5" s="1">
        <v>1826.87</v>
      </c>
      <c r="D5" s="1">
        <v>1178.5899999999999</v>
      </c>
      <c r="E5" s="1">
        <v>593.20000000000005</v>
      </c>
      <c r="F5" s="1">
        <v>842.06</v>
      </c>
      <c r="G5" s="1">
        <v>812.26</v>
      </c>
    </row>
    <row r="6" spans="1:7" x14ac:dyDescent="0.25">
      <c r="A6" s="3" t="s">
        <v>10</v>
      </c>
      <c r="B6" s="3">
        <v>140.49</v>
      </c>
      <c r="C6" s="3">
        <v>184.53</v>
      </c>
      <c r="D6" s="3">
        <v>119.05</v>
      </c>
      <c r="E6" s="3">
        <v>59.92</v>
      </c>
      <c r="F6" s="3">
        <v>85.06</v>
      </c>
      <c r="G6" s="3">
        <v>82.88</v>
      </c>
    </row>
    <row r="7" spans="1:7" x14ac:dyDescent="0.25">
      <c r="A7" s="1" t="s">
        <v>11</v>
      </c>
      <c r="B7" s="1">
        <v>1318.67</v>
      </c>
      <c r="C7" s="1">
        <v>1674.08</v>
      </c>
      <c r="D7" s="1">
        <v>1114.01</v>
      </c>
      <c r="E7" s="1">
        <v>515.91999999999996</v>
      </c>
      <c r="F7" s="1">
        <v>769.08</v>
      </c>
      <c r="G7" s="1">
        <v>736.53</v>
      </c>
    </row>
    <row r="8" spans="1:7" x14ac:dyDescent="0.25">
      <c r="A8" s="1" t="s">
        <v>12</v>
      </c>
      <c r="B8" s="1">
        <v>131.87</v>
      </c>
      <c r="C8" s="1">
        <v>169.1</v>
      </c>
      <c r="D8" s="1">
        <v>112.53</v>
      </c>
      <c r="E8" s="1">
        <v>52.11</v>
      </c>
      <c r="F8" s="1">
        <v>77.680000000000007</v>
      </c>
      <c r="G8" s="1">
        <v>75.16</v>
      </c>
    </row>
    <row r="9" spans="1:7" x14ac:dyDescent="0.25">
      <c r="A9" s="1" t="s">
        <v>13</v>
      </c>
      <c r="B9" s="1">
        <v>894.82</v>
      </c>
      <c r="C9" s="1">
        <v>1674.08</v>
      </c>
      <c r="D9" s="1">
        <v>1114.01</v>
      </c>
      <c r="E9" s="1">
        <v>361.86</v>
      </c>
      <c r="F9" s="1">
        <v>309.81</v>
      </c>
      <c r="G9" s="1">
        <v>336.4</v>
      </c>
    </row>
    <row r="10" spans="1:7" x14ac:dyDescent="0.25">
      <c r="A10" s="1" t="s">
        <v>14</v>
      </c>
      <c r="B10" s="1">
        <v>89.48</v>
      </c>
      <c r="C10" s="1">
        <v>169.1</v>
      </c>
      <c r="D10" s="1">
        <v>112.53</v>
      </c>
      <c r="E10" s="1">
        <v>36.549999999999997</v>
      </c>
      <c r="F10" s="1">
        <v>31.29</v>
      </c>
      <c r="G10" s="1">
        <v>34.33</v>
      </c>
    </row>
    <row r="11" spans="1:7" x14ac:dyDescent="0.25">
      <c r="A11" s="1" t="s">
        <v>15</v>
      </c>
      <c r="B11" s="1">
        <v>438.17</v>
      </c>
      <c r="C11" s="1">
        <v>1572.1</v>
      </c>
      <c r="D11" s="1">
        <v>1033.3699999999999</v>
      </c>
      <c r="E11" s="1">
        <v>281.33</v>
      </c>
      <c r="F11" s="1">
        <v>241.2</v>
      </c>
      <c r="G11" s="1">
        <v>217.44</v>
      </c>
    </row>
    <row r="12" spans="1:7" x14ac:dyDescent="0.25">
      <c r="A12" s="1" t="s">
        <v>16</v>
      </c>
      <c r="B12" s="1">
        <v>214.82</v>
      </c>
      <c r="C12" s="1">
        <v>239.88</v>
      </c>
      <c r="D12" s="1">
        <v>227.9</v>
      </c>
      <c r="E12" s="1">
        <v>198.45</v>
      </c>
      <c r="F12" s="1">
        <v>176.75</v>
      </c>
      <c r="G12" s="1">
        <v>178.44</v>
      </c>
    </row>
    <row r="13" spans="1:7" x14ac:dyDescent="0.25">
      <c r="A13" s="1" t="s">
        <v>17</v>
      </c>
      <c r="B13" s="1">
        <v>32.81</v>
      </c>
      <c r="C13" s="1">
        <v>29.3</v>
      </c>
      <c r="D13" s="1">
        <v>21.82</v>
      </c>
      <c r="E13" s="1">
        <v>43.49</v>
      </c>
      <c r="F13" s="1">
        <v>52.26</v>
      </c>
      <c r="G13" s="1">
        <v>31.46</v>
      </c>
    </row>
    <row r="14" spans="1:7" x14ac:dyDescent="0.25">
      <c r="A14" s="1" t="s">
        <v>18</v>
      </c>
      <c r="B14" s="1">
        <v>67.44</v>
      </c>
      <c r="C14" s="1">
        <v>60.13</v>
      </c>
      <c r="D14" s="1">
        <v>47.25</v>
      </c>
      <c r="E14" s="1">
        <v>94.2</v>
      </c>
      <c r="F14" s="1">
        <v>90.02</v>
      </c>
      <c r="G14" s="1">
        <v>82.43</v>
      </c>
    </row>
    <row r="15" spans="1:7" x14ac:dyDescent="0.25">
      <c r="A15" s="1" t="s">
        <v>19</v>
      </c>
      <c r="B15" s="1">
        <v>7</v>
      </c>
      <c r="C15" s="1">
        <v>4</v>
      </c>
      <c r="D15" s="1">
        <v>4</v>
      </c>
      <c r="E15" s="1">
        <v>2</v>
      </c>
      <c r="F15" s="1">
        <v>5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1106.75</v>
      </c>
      <c r="C17" s="1">
        <v>1674.08</v>
      </c>
      <c r="D17" s="1">
        <v>1114.01</v>
      </c>
      <c r="E17" s="1">
        <v>438.89</v>
      </c>
      <c r="F17" s="1">
        <v>539.44000000000005</v>
      </c>
      <c r="G17" s="1">
        <v>536.46</v>
      </c>
    </row>
    <row r="18" spans="1:7" x14ac:dyDescent="0.25">
      <c r="A18" s="1" t="s">
        <v>22</v>
      </c>
      <c r="B18" s="1">
        <v>211.93</v>
      </c>
      <c r="C18" s="1">
        <v>0</v>
      </c>
      <c r="D18" s="1">
        <v>0</v>
      </c>
      <c r="E18" s="1">
        <v>77.03</v>
      </c>
      <c r="F18" s="1">
        <v>229.64</v>
      </c>
      <c r="G18" s="1">
        <v>200.06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</row>
    <row r="20" spans="1:7" x14ac:dyDescent="0.25">
      <c r="A20" s="1" t="s">
        <v>24</v>
      </c>
      <c r="B20" s="1">
        <v>1.9</v>
      </c>
      <c r="C20" s="1">
        <v>0</v>
      </c>
      <c r="D20" s="1">
        <v>0</v>
      </c>
      <c r="E20" s="1">
        <v>0</v>
      </c>
      <c r="F20" s="1">
        <v>3.1</v>
      </c>
      <c r="G20" s="1">
        <v>2</v>
      </c>
    </row>
    <row r="21" spans="1:7" x14ac:dyDescent="0.25">
      <c r="A21" s="1" t="s">
        <v>25</v>
      </c>
      <c r="B21" s="1">
        <v>8.1999999999999993</v>
      </c>
      <c r="C21" s="1">
        <v>10</v>
      </c>
      <c r="D21" s="1">
        <v>10</v>
      </c>
      <c r="E21" s="1">
        <v>10</v>
      </c>
      <c r="F21" s="1">
        <v>6.9</v>
      </c>
      <c r="G21" s="1">
        <v>7.9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3</v>
      </c>
      <c r="G23" s="1">
        <v>2.5</v>
      </c>
    </row>
    <row r="24" spans="1:7" x14ac:dyDescent="0.25">
      <c r="A24" s="1" t="s">
        <v>28</v>
      </c>
      <c r="B24" s="1">
        <v>2</v>
      </c>
      <c r="C24" s="1">
        <v>0</v>
      </c>
      <c r="D24" s="1">
        <v>0</v>
      </c>
      <c r="E24" s="1">
        <v>0</v>
      </c>
      <c r="F24" s="1">
        <v>3.5</v>
      </c>
      <c r="G24" s="1">
        <v>2</v>
      </c>
    </row>
    <row r="25" spans="1:7" x14ac:dyDescent="0.25">
      <c r="A25" s="1" t="s">
        <v>29</v>
      </c>
      <c r="B25" s="1">
        <v>1.7</v>
      </c>
      <c r="C25" s="1">
        <v>0</v>
      </c>
      <c r="D25" s="1">
        <v>0</v>
      </c>
      <c r="E25" s="1">
        <v>5</v>
      </c>
      <c r="F25" s="1">
        <v>5.5</v>
      </c>
      <c r="G25" s="1">
        <v>4</v>
      </c>
    </row>
    <row r="26" spans="1:7" x14ac:dyDescent="0.25">
      <c r="A26" s="1" t="s">
        <v>30</v>
      </c>
      <c r="B26" s="1">
        <v>6.4</v>
      </c>
      <c r="C26" s="1">
        <v>10</v>
      </c>
      <c r="D26" s="1">
        <v>10</v>
      </c>
      <c r="E26" s="1">
        <v>5</v>
      </c>
      <c r="F26" s="1">
        <v>1</v>
      </c>
      <c r="G26" s="1">
        <v>3.9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19.801980198019802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35</v>
      </c>
      <c r="G29" s="3">
        <f t="shared" si="1"/>
        <v>20.202020202020201</v>
      </c>
    </row>
    <row r="30" spans="1:7" x14ac:dyDescent="0.25">
      <c r="A30" s="3" t="s">
        <v>33</v>
      </c>
      <c r="B30" s="3">
        <f>B25/B28*100</f>
        <v>16.831683168316829</v>
      </c>
      <c r="C30" s="3">
        <f t="shared" ref="C30:G30" si="2">C25/C28*100</f>
        <v>0</v>
      </c>
      <c r="D30" s="3">
        <f t="shared" si="2"/>
        <v>0</v>
      </c>
      <c r="E30" s="3">
        <f t="shared" si="2"/>
        <v>50</v>
      </c>
      <c r="F30" s="3">
        <f t="shared" si="2"/>
        <v>55.000000000000007</v>
      </c>
      <c r="G30" s="3">
        <f t="shared" si="2"/>
        <v>40.404040404040401</v>
      </c>
    </row>
    <row r="31" spans="1:7" x14ac:dyDescent="0.25">
      <c r="A31" s="3" t="s">
        <v>34</v>
      </c>
      <c r="B31" s="3">
        <f>B26/B28*100</f>
        <v>63.366336633663359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50</v>
      </c>
      <c r="F31" s="3">
        <f t="shared" si="3"/>
        <v>10</v>
      </c>
      <c r="G31" s="3">
        <f t="shared" si="3"/>
        <v>39.393939393939391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96.37</v>
      </c>
      <c r="C33" s="3">
        <v>179.43</v>
      </c>
      <c r="D33" s="3">
        <v>121.08</v>
      </c>
      <c r="E33" s="3">
        <v>41.79</v>
      </c>
      <c r="F33" s="3">
        <v>10.72</v>
      </c>
      <c r="G33" s="3">
        <v>33.17</v>
      </c>
    </row>
    <row r="35" spans="1:7" x14ac:dyDescent="0.25">
      <c r="A35" s="3" t="s">
        <v>36</v>
      </c>
      <c r="B35" s="3"/>
      <c r="C35" s="3"/>
      <c r="D35" s="3">
        <f>D33-C33</f>
        <v>-58.350000000000009</v>
      </c>
      <c r="E35" s="3"/>
      <c r="F35" s="3">
        <f>F33-E33</f>
        <v>-31.07</v>
      </c>
      <c r="G35" s="3"/>
    </row>
    <row r="37" spans="1:7" x14ac:dyDescent="0.25">
      <c r="A37" s="3" t="s">
        <v>36</v>
      </c>
      <c r="B37" s="3"/>
      <c r="C37" s="3">
        <f>C33-B33</f>
        <v>83.06</v>
      </c>
      <c r="D37" s="3"/>
      <c r="E37" s="3">
        <f>E33-D33</f>
        <v>-79.289999999999992</v>
      </c>
      <c r="F37" s="3"/>
      <c r="G37" s="3">
        <f>G33-F33</f>
        <v>22.450000000000003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1588-5C6D-4E4B-96F8-E50488F8F3D5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491.74</v>
      </c>
      <c r="C2" s="1">
        <v>410.45</v>
      </c>
      <c r="D2" s="1">
        <v>462.19</v>
      </c>
      <c r="E2" s="1">
        <v>371.61</v>
      </c>
      <c r="F2" s="1">
        <v>407.15</v>
      </c>
      <c r="G2" s="1">
        <v>421.39</v>
      </c>
    </row>
    <row r="3" spans="1:7" x14ac:dyDescent="0.25">
      <c r="A3" s="1" t="s">
        <v>7</v>
      </c>
      <c r="B3" s="1">
        <v>38.92</v>
      </c>
      <c r="C3" s="1">
        <v>35.86</v>
      </c>
      <c r="D3" s="1">
        <v>40.65</v>
      </c>
      <c r="E3" s="1">
        <v>38.17</v>
      </c>
      <c r="F3" s="1">
        <v>38.78</v>
      </c>
      <c r="G3" s="1">
        <v>39.56</v>
      </c>
    </row>
    <row r="4" spans="1:7" x14ac:dyDescent="0.25">
      <c r="A4" s="1" t="s">
        <v>8</v>
      </c>
      <c r="B4" s="1">
        <v>19510.88</v>
      </c>
      <c r="C4" s="1">
        <v>15060.23</v>
      </c>
      <c r="D4" s="1">
        <v>19130.080000000002</v>
      </c>
      <c r="E4" s="1">
        <v>14410.29</v>
      </c>
      <c r="F4" s="1">
        <v>16011.74</v>
      </c>
      <c r="G4" s="1">
        <v>16928.27</v>
      </c>
    </row>
    <row r="5" spans="1:7" x14ac:dyDescent="0.25">
      <c r="A5" s="1" t="s">
        <v>9</v>
      </c>
      <c r="B5" s="1">
        <v>1799.39</v>
      </c>
      <c r="C5" s="1">
        <v>1587.52</v>
      </c>
      <c r="D5" s="1">
        <v>871.73</v>
      </c>
      <c r="E5" s="1">
        <v>373.09</v>
      </c>
      <c r="F5" s="1">
        <v>713.35</v>
      </c>
      <c r="G5" s="1">
        <v>862.5</v>
      </c>
    </row>
    <row r="6" spans="1:7" x14ac:dyDescent="0.25">
      <c r="A6" s="3" t="s">
        <v>10</v>
      </c>
      <c r="B6" s="3">
        <v>179.94</v>
      </c>
      <c r="C6" s="3">
        <v>160.36000000000001</v>
      </c>
      <c r="D6" s="3">
        <v>88.05</v>
      </c>
      <c r="E6" s="3">
        <v>37.69</v>
      </c>
      <c r="F6" s="3">
        <v>72.06</v>
      </c>
      <c r="G6" s="3">
        <v>88.01</v>
      </c>
    </row>
    <row r="7" spans="1:7" x14ac:dyDescent="0.25">
      <c r="A7" s="1" t="s">
        <v>11</v>
      </c>
      <c r="B7" s="1">
        <v>1593.92</v>
      </c>
      <c r="C7" s="1">
        <v>1434.41</v>
      </c>
      <c r="D7" s="1">
        <v>788.34</v>
      </c>
      <c r="E7" s="1">
        <v>335.56</v>
      </c>
      <c r="F7" s="1">
        <v>647.79999999999995</v>
      </c>
      <c r="G7" s="1">
        <v>704.57</v>
      </c>
    </row>
    <row r="8" spans="1:7" x14ac:dyDescent="0.25">
      <c r="A8" s="1" t="s">
        <v>12</v>
      </c>
      <c r="B8" s="1">
        <v>159.38999999999999</v>
      </c>
      <c r="C8" s="1">
        <v>144.88999999999999</v>
      </c>
      <c r="D8" s="1">
        <v>79.63</v>
      </c>
      <c r="E8" s="1">
        <v>33.89</v>
      </c>
      <c r="F8" s="1">
        <v>65.430000000000007</v>
      </c>
      <c r="G8" s="1">
        <v>71.89</v>
      </c>
    </row>
    <row r="9" spans="1:7" x14ac:dyDescent="0.25">
      <c r="A9" s="1" t="s">
        <v>13</v>
      </c>
      <c r="B9" s="1">
        <v>1593.92</v>
      </c>
      <c r="C9" s="1">
        <v>1434.41</v>
      </c>
      <c r="D9" s="1">
        <v>744.35</v>
      </c>
      <c r="E9" s="1">
        <v>126.99</v>
      </c>
      <c r="F9" s="1">
        <v>439.17</v>
      </c>
      <c r="G9" s="1">
        <v>272.61</v>
      </c>
    </row>
    <row r="10" spans="1:7" x14ac:dyDescent="0.25">
      <c r="A10" s="1" t="s">
        <v>14</v>
      </c>
      <c r="B10" s="1">
        <v>159.38999999999999</v>
      </c>
      <c r="C10" s="1">
        <v>144.88999999999999</v>
      </c>
      <c r="D10" s="1">
        <v>75.19</v>
      </c>
      <c r="E10" s="1">
        <v>12.83</v>
      </c>
      <c r="F10" s="1">
        <v>44.36</v>
      </c>
      <c r="G10" s="1">
        <v>27.82</v>
      </c>
    </row>
    <row r="11" spans="1:7" x14ac:dyDescent="0.25">
      <c r="A11" s="1" t="s">
        <v>15</v>
      </c>
      <c r="B11" s="1">
        <v>1551.96</v>
      </c>
      <c r="C11" s="1">
        <v>1383.41</v>
      </c>
      <c r="D11" s="1">
        <v>754.89</v>
      </c>
      <c r="E11" s="1">
        <v>112.43</v>
      </c>
      <c r="F11" s="1">
        <v>227.32</v>
      </c>
      <c r="G11" s="1">
        <v>92.25</v>
      </c>
    </row>
    <row r="12" spans="1:7" x14ac:dyDescent="0.25">
      <c r="A12" s="1" t="s">
        <v>16</v>
      </c>
      <c r="B12" s="1">
        <v>218.27</v>
      </c>
      <c r="C12" s="1">
        <v>201.65</v>
      </c>
      <c r="D12" s="1">
        <v>224.02</v>
      </c>
      <c r="E12" s="1">
        <v>203</v>
      </c>
      <c r="F12" s="1">
        <v>189.1</v>
      </c>
      <c r="G12" s="1">
        <v>133.63</v>
      </c>
    </row>
    <row r="13" spans="1:7" x14ac:dyDescent="0.25">
      <c r="A13" s="1" t="s">
        <v>17</v>
      </c>
      <c r="B13" s="1">
        <v>28.08</v>
      </c>
      <c r="C13" s="1">
        <v>33.72</v>
      </c>
      <c r="D13" s="1">
        <v>13.45</v>
      </c>
      <c r="E13" s="1">
        <v>17.670000000000002</v>
      </c>
      <c r="F13" s="1">
        <v>31.44</v>
      </c>
      <c r="G13" s="1">
        <v>44.19</v>
      </c>
    </row>
    <row r="14" spans="1:7" x14ac:dyDescent="0.25">
      <c r="A14" s="1" t="s">
        <v>18</v>
      </c>
      <c r="B14" s="1">
        <v>62.61</v>
      </c>
      <c r="C14" s="1">
        <v>62.2</v>
      </c>
      <c r="D14" s="1">
        <v>47.76</v>
      </c>
      <c r="E14" s="1">
        <v>26.72</v>
      </c>
      <c r="F14" s="1">
        <v>68.84</v>
      </c>
      <c r="G14" s="1">
        <v>75.73</v>
      </c>
    </row>
    <row r="15" spans="1:7" x14ac:dyDescent="0.25">
      <c r="A15" s="1" t="s">
        <v>19</v>
      </c>
      <c r="B15" s="1">
        <v>4</v>
      </c>
      <c r="C15" s="1">
        <v>8</v>
      </c>
      <c r="D15" s="1">
        <v>2</v>
      </c>
      <c r="E15" s="1">
        <v>2</v>
      </c>
      <c r="F15" s="1">
        <v>2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1593.92</v>
      </c>
      <c r="C17" s="1">
        <v>1434.41</v>
      </c>
      <c r="D17" s="1">
        <v>766.34</v>
      </c>
      <c r="E17" s="1">
        <v>231.28</v>
      </c>
      <c r="F17" s="1">
        <v>543.49</v>
      </c>
      <c r="G17" s="1">
        <v>488.59</v>
      </c>
    </row>
    <row r="18" spans="1:7" x14ac:dyDescent="0.25">
      <c r="A18" s="1" t="s">
        <v>22</v>
      </c>
      <c r="B18" s="1">
        <v>0</v>
      </c>
      <c r="C18" s="1">
        <v>0</v>
      </c>
      <c r="D18" s="1">
        <v>21.99</v>
      </c>
      <c r="E18" s="1">
        <v>104.28</v>
      </c>
      <c r="F18" s="1">
        <v>104.31</v>
      </c>
      <c r="G18" s="1">
        <v>215.98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1</v>
      </c>
      <c r="G19" s="1">
        <v>3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2.2000000000000002</v>
      </c>
      <c r="F20" s="1">
        <v>2.6</v>
      </c>
      <c r="G20" s="1">
        <v>3.7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7.8</v>
      </c>
      <c r="F21" s="1">
        <v>7.4</v>
      </c>
      <c r="G21" s="1">
        <v>6.2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1.3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1.4</v>
      </c>
      <c r="G24" s="1">
        <v>1.3</v>
      </c>
    </row>
    <row r="25" spans="1:7" x14ac:dyDescent="0.25">
      <c r="A25" s="1" t="s">
        <v>29</v>
      </c>
      <c r="B25" s="1">
        <v>0</v>
      </c>
      <c r="C25" s="1">
        <v>0</v>
      </c>
      <c r="D25" s="1">
        <v>1.1000000000000001</v>
      </c>
      <c r="E25" s="1">
        <v>8.6999999999999993</v>
      </c>
      <c r="F25" s="1">
        <v>5.0999999999999996</v>
      </c>
      <c r="G25" s="1">
        <v>3.6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8.9</v>
      </c>
      <c r="E26" s="1">
        <v>1.3</v>
      </c>
      <c r="F26" s="1">
        <v>3.5</v>
      </c>
      <c r="G26" s="1">
        <v>5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13.999999999999998</v>
      </c>
      <c r="G29" s="3">
        <f t="shared" si="1"/>
        <v>13.131313131313133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11.000000000000002</v>
      </c>
      <c r="E30" s="3">
        <f t="shared" si="2"/>
        <v>86.999999999999986</v>
      </c>
      <c r="F30" s="3">
        <f t="shared" si="2"/>
        <v>51</v>
      </c>
      <c r="G30" s="3">
        <f t="shared" si="2"/>
        <v>36.363636363636367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89</v>
      </c>
      <c r="E31" s="3">
        <f t="shared" si="3"/>
        <v>13</v>
      </c>
      <c r="F31" s="3">
        <f t="shared" si="3"/>
        <v>35</v>
      </c>
      <c r="G31" s="3">
        <f t="shared" si="3"/>
        <v>50.505050505050505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175.35</v>
      </c>
      <c r="C33" s="3">
        <v>158.57</v>
      </c>
      <c r="D33" s="3">
        <v>81.99</v>
      </c>
      <c r="E33" s="3">
        <v>13.15</v>
      </c>
      <c r="F33" s="3">
        <v>31.81</v>
      </c>
      <c r="G33" s="3">
        <v>24.19</v>
      </c>
    </row>
    <row r="35" spans="1:7" x14ac:dyDescent="0.25">
      <c r="A35" s="3" t="s">
        <v>36</v>
      </c>
      <c r="B35" s="3"/>
      <c r="C35" s="3"/>
      <c r="D35" s="3">
        <f>D33-C33</f>
        <v>-76.58</v>
      </c>
      <c r="E35" s="3"/>
      <c r="F35" s="3">
        <f>F33-E33</f>
        <v>18.659999999999997</v>
      </c>
      <c r="G35" s="3"/>
    </row>
    <row r="37" spans="1:7" x14ac:dyDescent="0.25">
      <c r="A37" s="3" t="s">
        <v>36</v>
      </c>
      <c r="B37" s="3"/>
      <c r="C37" s="3">
        <f>C33-B33</f>
        <v>-16.78</v>
      </c>
      <c r="D37" s="3"/>
      <c r="E37" s="3">
        <f>E33-D33</f>
        <v>-68.839999999999989</v>
      </c>
      <c r="F37" s="3"/>
      <c r="G37" s="3">
        <f>G33-F33</f>
        <v>-7.6199999999999974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11B98-7B96-4168-826F-2A31507826B4}">
  <dimension ref="A1:G37"/>
  <sheetViews>
    <sheetView tabSelected="1" topLeftCell="A10" workbookViewId="0">
      <selection activeCell="M29" sqref="M2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487.19</v>
      </c>
      <c r="C2" s="1">
        <v>488.3</v>
      </c>
      <c r="D2" s="1">
        <v>480.51</v>
      </c>
      <c r="E2" s="1">
        <v>453.31</v>
      </c>
      <c r="F2" s="1">
        <v>486.75</v>
      </c>
      <c r="G2" s="1">
        <v>456.58</v>
      </c>
    </row>
    <row r="3" spans="1:7" x14ac:dyDescent="0.25">
      <c r="A3" s="1" t="s">
        <v>7</v>
      </c>
      <c r="B3" s="1">
        <v>41.88</v>
      </c>
      <c r="C3" s="1">
        <v>44.43</v>
      </c>
      <c r="D3" s="1">
        <v>39.75</v>
      </c>
      <c r="E3" s="1">
        <v>39</v>
      </c>
      <c r="F3" s="1">
        <v>44.56</v>
      </c>
      <c r="G3" s="1">
        <v>41.25</v>
      </c>
    </row>
    <row r="4" spans="1:7" x14ac:dyDescent="0.25">
      <c r="A4" s="1" t="s">
        <v>8</v>
      </c>
      <c r="B4" s="1">
        <v>20725.32</v>
      </c>
      <c r="C4" s="1">
        <v>22064.6</v>
      </c>
      <c r="D4" s="1">
        <v>19479.400000000001</v>
      </c>
      <c r="E4" s="1">
        <v>18049.07</v>
      </c>
      <c r="F4" s="1">
        <v>22040.14</v>
      </c>
      <c r="G4" s="1">
        <v>19216.169999999998</v>
      </c>
    </row>
    <row r="5" spans="1:7" x14ac:dyDescent="0.25">
      <c r="A5" s="1" t="s">
        <v>9</v>
      </c>
      <c r="B5" s="1">
        <v>2095.58</v>
      </c>
      <c r="C5" s="1">
        <v>1283.24</v>
      </c>
      <c r="D5" s="1">
        <v>995.9</v>
      </c>
      <c r="E5" s="1">
        <v>964.47</v>
      </c>
      <c r="F5" s="1">
        <v>1086.8499999999999</v>
      </c>
      <c r="G5" s="1">
        <v>1132.57</v>
      </c>
    </row>
    <row r="6" spans="1:7" x14ac:dyDescent="0.25">
      <c r="A6" s="3" t="s">
        <v>10</v>
      </c>
      <c r="B6" s="3">
        <v>209.56</v>
      </c>
      <c r="C6" s="3">
        <v>129.62</v>
      </c>
      <c r="D6" s="3">
        <v>100.6</v>
      </c>
      <c r="E6" s="3">
        <v>97.42</v>
      </c>
      <c r="F6" s="3">
        <v>109.78</v>
      </c>
      <c r="G6" s="3">
        <v>115.57</v>
      </c>
    </row>
    <row r="7" spans="1:7" x14ac:dyDescent="0.25">
      <c r="A7" s="1" t="s">
        <v>11</v>
      </c>
      <c r="B7" s="1">
        <v>1943.08</v>
      </c>
      <c r="C7" s="1">
        <v>1186.51</v>
      </c>
      <c r="D7" s="1">
        <v>949.5</v>
      </c>
      <c r="E7" s="1">
        <v>911.52</v>
      </c>
      <c r="F7" s="1">
        <v>1022.03</v>
      </c>
      <c r="G7" s="1">
        <v>1012.84</v>
      </c>
    </row>
    <row r="8" spans="1:7" x14ac:dyDescent="0.25">
      <c r="A8" s="1" t="s">
        <v>12</v>
      </c>
      <c r="B8" s="1">
        <v>194.31</v>
      </c>
      <c r="C8" s="1">
        <v>119.85</v>
      </c>
      <c r="D8" s="1">
        <v>95.91</v>
      </c>
      <c r="E8" s="1">
        <v>92.07</v>
      </c>
      <c r="F8" s="1">
        <v>103.24</v>
      </c>
      <c r="G8" s="1">
        <v>103.35</v>
      </c>
    </row>
    <row r="9" spans="1:7" x14ac:dyDescent="0.25">
      <c r="A9" s="1" t="s">
        <v>13</v>
      </c>
      <c r="B9" s="1">
        <v>1943.08</v>
      </c>
      <c r="C9" s="1">
        <v>1011.01</v>
      </c>
      <c r="D9" s="1">
        <v>847.4</v>
      </c>
      <c r="E9" s="1">
        <v>776.44</v>
      </c>
      <c r="F9" s="1">
        <v>-567.11</v>
      </c>
      <c r="G9" s="1">
        <v>999.41</v>
      </c>
    </row>
    <row r="10" spans="1:7" x14ac:dyDescent="0.25">
      <c r="A10" s="1" t="s">
        <v>14</v>
      </c>
      <c r="B10" s="1">
        <v>194.31</v>
      </c>
      <c r="C10" s="1">
        <v>102.12</v>
      </c>
      <c r="D10" s="1">
        <v>85.6</v>
      </c>
      <c r="E10" s="1">
        <v>78.430000000000007</v>
      </c>
      <c r="F10" s="1">
        <v>-57.28</v>
      </c>
      <c r="G10" s="1">
        <v>101.98</v>
      </c>
    </row>
    <row r="11" spans="1:7" x14ac:dyDescent="0.25">
      <c r="A11" s="1" t="s">
        <v>15</v>
      </c>
      <c r="B11" s="1">
        <v>1859.18</v>
      </c>
      <c r="C11" s="1">
        <v>755.89</v>
      </c>
      <c r="D11" s="1">
        <v>753.3</v>
      </c>
      <c r="E11" s="1">
        <v>664.51</v>
      </c>
      <c r="F11" s="1">
        <v>256.5</v>
      </c>
      <c r="G11" s="1">
        <v>906.07</v>
      </c>
    </row>
    <row r="12" spans="1:7" x14ac:dyDescent="0.25">
      <c r="A12" s="1" t="s">
        <v>16</v>
      </c>
      <c r="B12" s="1">
        <v>231.03</v>
      </c>
      <c r="C12" s="1">
        <v>196.13</v>
      </c>
      <c r="D12" s="1">
        <v>240.8</v>
      </c>
      <c r="E12" s="1">
        <v>215.75</v>
      </c>
      <c r="F12" s="1">
        <v>196.55</v>
      </c>
      <c r="G12" s="1">
        <v>212.51</v>
      </c>
    </row>
    <row r="13" spans="1:7" x14ac:dyDescent="0.25">
      <c r="A13" s="1" t="s">
        <v>17</v>
      </c>
      <c r="B13" s="1">
        <v>28.46</v>
      </c>
      <c r="C13" s="1">
        <v>54.71</v>
      </c>
      <c r="D13" s="1">
        <v>21.37</v>
      </c>
      <c r="E13" s="1">
        <v>26.48</v>
      </c>
      <c r="F13" s="1">
        <v>50.32</v>
      </c>
      <c r="G13" s="1">
        <v>33.840000000000003</v>
      </c>
    </row>
    <row r="14" spans="1:7" x14ac:dyDescent="0.25">
      <c r="A14" s="1" t="s">
        <v>18</v>
      </c>
      <c r="B14" s="1">
        <v>57.15</v>
      </c>
      <c r="C14" s="1">
        <v>93.98</v>
      </c>
      <c r="D14" s="1">
        <v>42.84</v>
      </c>
      <c r="E14" s="1">
        <v>58.71</v>
      </c>
      <c r="F14" s="1">
        <v>97.44</v>
      </c>
      <c r="G14" s="1">
        <v>82.18</v>
      </c>
    </row>
    <row r="15" spans="1:7" x14ac:dyDescent="0.25">
      <c r="A15" s="1" t="s">
        <v>19</v>
      </c>
      <c r="B15" s="1">
        <v>4</v>
      </c>
      <c r="C15" s="1">
        <v>7</v>
      </c>
      <c r="D15" s="1">
        <v>4</v>
      </c>
      <c r="E15" s="1">
        <v>5</v>
      </c>
      <c r="F15" s="1">
        <v>4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1943.08</v>
      </c>
      <c r="C17" s="1">
        <v>1098.76</v>
      </c>
      <c r="D17" s="1">
        <v>898.45</v>
      </c>
      <c r="E17" s="1">
        <v>843.98</v>
      </c>
      <c r="F17" s="1">
        <v>227.46</v>
      </c>
      <c r="G17" s="1">
        <v>1006.12</v>
      </c>
    </row>
    <row r="18" spans="1:7" x14ac:dyDescent="0.25">
      <c r="A18" s="1" t="s">
        <v>22</v>
      </c>
      <c r="B18" s="1">
        <v>0</v>
      </c>
      <c r="C18" s="1">
        <v>87.75</v>
      </c>
      <c r="D18" s="1">
        <v>51.05</v>
      </c>
      <c r="E18" s="1">
        <v>67.540000000000006</v>
      </c>
      <c r="F18" s="1">
        <v>794.57</v>
      </c>
      <c r="G18" s="1">
        <v>6.71</v>
      </c>
    </row>
    <row r="19" spans="1:7" x14ac:dyDescent="0.25">
      <c r="A19" s="1" t="s">
        <v>23</v>
      </c>
      <c r="B19" s="1">
        <v>0</v>
      </c>
      <c r="C19" s="1">
        <v>1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1.8</v>
      </c>
      <c r="D20" s="1">
        <v>0</v>
      </c>
      <c r="E20" s="1">
        <v>0</v>
      </c>
      <c r="F20" s="1">
        <v>3.8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8.1999999999999993</v>
      </c>
      <c r="D21" s="1">
        <v>10</v>
      </c>
      <c r="E21" s="1">
        <v>10</v>
      </c>
      <c r="F21" s="1">
        <v>6.2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2.2999999999999998</v>
      </c>
      <c r="G23" s="1">
        <v>0</v>
      </c>
    </row>
    <row r="24" spans="1:7" x14ac:dyDescent="0.25">
      <c r="A24" s="1" t="s">
        <v>28</v>
      </c>
      <c r="B24" s="1">
        <v>0</v>
      </c>
      <c r="C24" s="1">
        <v>1.8</v>
      </c>
      <c r="D24" s="1">
        <v>0</v>
      </c>
      <c r="E24" s="1">
        <v>0</v>
      </c>
      <c r="F24" s="1">
        <v>2.8</v>
      </c>
      <c r="G24" s="1">
        <v>0</v>
      </c>
    </row>
    <row r="25" spans="1:7" x14ac:dyDescent="0.25">
      <c r="A25" s="1" t="s">
        <v>29</v>
      </c>
      <c r="B25" s="1">
        <v>0</v>
      </c>
      <c r="C25" s="1">
        <v>2.2000000000000002</v>
      </c>
      <c r="D25" s="1">
        <v>0</v>
      </c>
      <c r="E25" s="1">
        <v>0</v>
      </c>
      <c r="F25" s="1">
        <v>1.8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6</v>
      </c>
      <c r="D26" s="1">
        <v>10</v>
      </c>
      <c r="E26" s="1">
        <v>10</v>
      </c>
      <c r="F26" s="1">
        <v>5.4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18</v>
      </c>
      <c r="D29" s="3">
        <f t="shared" si="1"/>
        <v>0</v>
      </c>
      <c r="E29" s="3">
        <f t="shared" si="1"/>
        <v>0</v>
      </c>
      <c r="F29" s="3">
        <f t="shared" si="1"/>
        <v>27.999999999999996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22.000000000000004</v>
      </c>
      <c r="D30" s="3">
        <f t="shared" si="2"/>
        <v>0</v>
      </c>
      <c r="E30" s="3">
        <f t="shared" si="2"/>
        <v>0</v>
      </c>
      <c r="F30" s="3">
        <f t="shared" si="2"/>
        <v>18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60</v>
      </c>
      <c r="D31" s="3">
        <f t="shared" si="3"/>
        <v>100</v>
      </c>
      <c r="E31" s="3">
        <f t="shared" si="3"/>
        <v>100</v>
      </c>
      <c r="F31" s="3">
        <f t="shared" si="3"/>
        <v>54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205.25</v>
      </c>
      <c r="C33" s="3">
        <v>98.09</v>
      </c>
      <c r="D33" s="3">
        <v>89.8</v>
      </c>
      <c r="E33" s="3">
        <v>81.09</v>
      </c>
      <c r="F33" s="3">
        <v>-19.62</v>
      </c>
      <c r="G33" s="3">
        <v>111.14</v>
      </c>
    </row>
    <row r="35" spans="1:7" x14ac:dyDescent="0.25">
      <c r="A35" s="3" t="s">
        <v>36</v>
      </c>
      <c r="B35" s="3"/>
      <c r="C35" s="3"/>
      <c r="D35" s="3">
        <f>D33-C33</f>
        <v>-8.2900000000000063</v>
      </c>
      <c r="E35" s="3"/>
      <c r="F35" s="3">
        <f>F33-E33</f>
        <v>-100.71000000000001</v>
      </c>
      <c r="G35" s="3"/>
    </row>
    <row r="37" spans="1:7" x14ac:dyDescent="0.25">
      <c r="A37" s="3" t="s">
        <v>36</v>
      </c>
      <c r="B37" s="3"/>
      <c r="C37" s="3">
        <f>C33-B33</f>
        <v>-107.16</v>
      </c>
      <c r="D37" s="3"/>
      <c r="E37" s="3">
        <f>E33-D33</f>
        <v>-8.7099999999999937</v>
      </c>
      <c r="F37" s="3"/>
      <c r="G37" s="3">
        <f>G33-F33</f>
        <v>130.76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ACDB-1E1A-4B9C-AD84-5EE03422DC6A}">
  <dimension ref="A1:G37"/>
  <sheetViews>
    <sheetView workbookViewId="0">
      <selection activeCell="L19" sqref="L1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231124B002.2</vt:lpstr>
      <vt:lpstr>231124B002.3</vt:lpstr>
      <vt:lpstr>231124B002.4</vt:lpstr>
      <vt:lpstr>231124B002.5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2023-12-13T23:51:53Z</dcterms:created>
  <dcterms:modified xsi:type="dcterms:W3CDTF">2023-12-14T19:43:15Z</dcterms:modified>
</cp:coreProperties>
</file>