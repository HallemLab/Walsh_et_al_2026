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1\WormLab Data\"/>
    </mc:Choice>
  </mc:AlternateContent>
  <xr:revisionPtr revIDLastSave="0" documentId="13_ncr:1_{65B5A6AD-0F9E-41D7-A601-19054DDE40D3}" xr6:coauthVersionLast="47" xr6:coauthVersionMax="47" xr10:uidLastSave="{00000000-0000-0000-0000-000000000000}"/>
  <bookViews>
    <workbookView xWindow="1812" yWindow="1812" windowWidth="17916" windowHeight="11808" firstSheet="2" activeTab="5" xr2:uid="{047A98E2-5748-4911-9424-C4858A548650}"/>
  </bookViews>
  <sheets>
    <sheet name="240411Bnts001.3" sheetId="2" r:id="rId1"/>
    <sheet name="240411Bnts002.1" sheetId="3" r:id="rId2"/>
    <sheet name="240411Bnts002.2" sheetId="4" r:id="rId3"/>
    <sheet name="240411Bnts002.3" sheetId="5" r:id="rId4"/>
    <sheet name="240411Bnts003.2" sheetId="6" r:id="rId5"/>
    <sheet name="240411Bnts004.3" sheetId="7" r:id="rId6"/>
    <sheet name="template" sheetId="1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31" i="7"/>
  <c r="F31" i="7"/>
  <c r="C31" i="7"/>
  <c r="B31" i="7"/>
  <c r="G28" i="7"/>
  <c r="G30" i="7" s="1"/>
  <c r="F28" i="7"/>
  <c r="F30" i="7" s="1"/>
  <c r="E28" i="7"/>
  <c r="E31" i="7" s="1"/>
  <c r="D28" i="7"/>
  <c r="D31" i="7" s="1"/>
  <c r="C28" i="7"/>
  <c r="C30" i="7" s="1"/>
  <c r="B28" i="7"/>
  <c r="B30" i="7" s="1"/>
  <c r="G37" i="6"/>
  <c r="E37" i="6"/>
  <c r="C37" i="6"/>
  <c r="F35" i="6"/>
  <c r="D35" i="6"/>
  <c r="G28" i="6"/>
  <c r="G31" i="6" s="1"/>
  <c r="F28" i="6"/>
  <c r="F31" i="6" s="1"/>
  <c r="E28" i="6"/>
  <c r="E31" i="6" s="1"/>
  <c r="D28" i="6"/>
  <c r="D29" i="6" s="1"/>
  <c r="C28" i="6"/>
  <c r="C29" i="6" s="1"/>
  <c r="B28" i="6"/>
  <c r="B29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C31" i="4"/>
  <c r="D30" i="4"/>
  <c r="C30" i="4"/>
  <c r="B30" i="4"/>
  <c r="G28" i="4"/>
  <c r="G31" i="4" s="1"/>
  <c r="F28" i="4"/>
  <c r="F31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B31" i="3"/>
  <c r="B30" i="3"/>
  <c r="G28" i="3"/>
  <c r="G31" i="3" s="1"/>
  <c r="F28" i="3"/>
  <c r="F31" i="3" s="1"/>
  <c r="E28" i="3"/>
  <c r="E31" i="3" s="1"/>
  <c r="D28" i="3"/>
  <c r="D29" i="3" s="1"/>
  <c r="C28" i="3"/>
  <c r="C31" i="3" s="1"/>
  <c r="B28" i="3"/>
  <c r="B29" i="3" s="1"/>
  <c r="G37" i="2"/>
  <c r="E37" i="2"/>
  <c r="C37" i="2"/>
  <c r="F35" i="2"/>
  <c r="D35" i="2"/>
  <c r="G28" i="2"/>
  <c r="G31" i="2" s="1"/>
  <c r="F28" i="2"/>
  <c r="F31" i="2" s="1"/>
  <c r="E28" i="2"/>
  <c r="E31" i="2" s="1"/>
  <c r="D28" i="2"/>
  <c r="D31" i="2" s="1"/>
  <c r="C28" i="2"/>
  <c r="C31" i="2" s="1"/>
  <c r="B28" i="2"/>
  <c r="B31" i="2" s="1"/>
  <c r="B29" i="7" l="1"/>
  <c r="C29" i="7"/>
  <c r="D29" i="7"/>
  <c r="E29" i="7"/>
  <c r="F29" i="7"/>
  <c r="G29" i="7"/>
  <c r="D30" i="7"/>
  <c r="E30" i="7"/>
  <c r="B30" i="6"/>
  <c r="C31" i="6"/>
  <c r="C30" i="6"/>
  <c r="D30" i="6"/>
  <c r="B31" i="6"/>
  <c r="D31" i="6"/>
  <c r="E29" i="6"/>
  <c r="F29" i="6"/>
  <c r="E30" i="6"/>
  <c r="F30" i="6"/>
  <c r="G29" i="6"/>
  <c r="G30" i="6"/>
  <c r="E29" i="4"/>
  <c r="F29" i="4"/>
  <c r="G29" i="4"/>
  <c r="E30" i="4"/>
  <c r="F30" i="4"/>
  <c r="G30" i="4"/>
  <c r="B31" i="4"/>
  <c r="D31" i="4"/>
  <c r="C29" i="3"/>
  <c r="E29" i="3"/>
  <c r="F29" i="3"/>
  <c r="G29" i="3"/>
  <c r="C30" i="3"/>
  <c r="D30" i="3"/>
  <c r="E30" i="3"/>
  <c r="F30" i="3"/>
  <c r="G30" i="3"/>
  <c r="D31" i="3"/>
  <c r="E29" i="2"/>
  <c r="F29" i="2"/>
  <c r="G29" i="2"/>
  <c r="B29" i="2"/>
  <c r="B30" i="2"/>
  <c r="C30" i="2"/>
  <c r="C29" i="2"/>
  <c r="D30" i="2"/>
  <c r="E30" i="2"/>
  <c r="D29" i="2"/>
  <c r="F30" i="2"/>
  <c r="G30" i="2"/>
  <c r="G37" i="1"/>
  <c r="E37" i="1"/>
  <c r="C37" i="1"/>
  <c r="F35" i="1"/>
  <c r="D35" i="1"/>
  <c r="G31" i="1"/>
  <c r="F31" i="1"/>
  <c r="E31" i="1"/>
  <c r="G28" i="1"/>
  <c r="G30" i="1" s="1"/>
  <c r="F28" i="1"/>
  <c r="F30" i="1" s="1"/>
  <c r="E28" i="1"/>
  <c r="E30" i="1" s="1"/>
  <c r="D28" i="1"/>
  <c r="D31" i="1" s="1"/>
  <c r="C28" i="1"/>
  <c r="C31" i="1" s="1"/>
  <c r="B28" i="1"/>
  <c r="B31" i="1" s="1"/>
  <c r="B29" i="1" l="1"/>
  <c r="C29" i="1"/>
  <c r="D29" i="1"/>
  <c r="E29" i="1"/>
  <c r="F29" i="1"/>
  <c r="G29" i="1"/>
  <c r="B30" i="1"/>
  <c r="C30" i="1"/>
  <c r="D30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<sst xmlns="http://schemas.openxmlformats.org/spreadsheetml/2006/main" count="266" uniqueCount="37">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</sst>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3E73-59BE-4E34-94E9-75DFC6832A8A}">
  <dimension ref="A1:G37"/>
  <sheetViews>
    <sheetView topLeftCell="A16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437.02</v>
      </c>
      <c r="C2" s="1">
        <v>469.85</v>
      </c>
      <c r="D2" s="1">
        <v>477.97</v>
      </c>
      <c r="E2" s="1">
        <v>443.56</v>
      </c>
      <c r="F2" s="1">
        <v>411.85</v>
      </c>
      <c r="G2" s="1">
        <v>447.52</v>
      </c>
    </row>
    <row r="3" spans="1:7" x14ac:dyDescent="0.3">
      <c r="A3" s="1" t="s">
        <v>7</v>
      </c>
      <c r="B3" s="1">
        <v>41.85</v>
      </c>
      <c r="C3" s="1">
        <v>44.88</v>
      </c>
      <c r="D3" s="1">
        <v>44.8</v>
      </c>
      <c r="E3" s="1">
        <v>44.68</v>
      </c>
      <c r="F3" s="1">
        <v>41.73</v>
      </c>
      <c r="G3" s="1">
        <v>42.22</v>
      </c>
    </row>
    <row r="4" spans="1:7" x14ac:dyDescent="0.3">
      <c r="A4" s="1" t="s">
        <v>8</v>
      </c>
      <c r="B4" s="1">
        <v>18652.650000000001</v>
      </c>
      <c r="C4" s="1">
        <v>21500.55</v>
      </c>
      <c r="D4" s="1">
        <v>21820.62</v>
      </c>
      <c r="E4" s="1">
        <v>20188.71</v>
      </c>
      <c r="F4" s="1">
        <v>17653.48</v>
      </c>
      <c r="G4" s="1">
        <v>19236.259999999998</v>
      </c>
    </row>
    <row r="5" spans="1:7" x14ac:dyDescent="0.3">
      <c r="A5" s="1" t="s">
        <v>9</v>
      </c>
      <c r="B5" s="1">
        <v>2828.09</v>
      </c>
      <c r="C5" s="1">
        <v>1923.11</v>
      </c>
      <c r="D5" s="1">
        <v>2863.7</v>
      </c>
      <c r="E5" s="1">
        <v>1812.53</v>
      </c>
      <c r="F5" s="1">
        <v>1686.84</v>
      </c>
      <c r="G5" s="1">
        <v>2318.0500000000002</v>
      </c>
    </row>
    <row r="6" spans="1:7" x14ac:dyDescent="0.3">
      <c r="A6" s="3" t="s">
        <v>10</v>
      </c>
      <c r="B6" s="3">
        <v>282.81</v>
      </c>
      <c r="C6" s="3">
        <v>194.25</v>
      </c>
      <c r="D6" s="3">
        <v>289.26</v>
      </c>
      <c r="E6" s="3">
        <v>183.08</v>
      </c>
      <c r="F6" s="3">
        <v>170.39</v>
      </c>
      <c r="G6" s="3">
        <v>236.54</v>
      </c>
    </row>
    <row r="7" spans="1:7" x14ac:dyDescent="0.3">
      <c r="A7" s="1" t="s">
        <v>11</v>
      </c>
      <c r="B7" s="1">
        <v>2430.12</v>
      </c>
      <c r="C7" s="1">
        <v>1704.67</v>
      </c>
      <c r="D7" s="1">
        <v>2554.09</v>
      </c>
      <c r="E7" s="1">
        <v>1646.68</v>
      </c>
      <c r="F7" s="1">
        <v>1484.52</v>
      </c>
      <c r="G7" s="1">
        <v>1953.61</v>
      </c>
    </row>
    <row r="8" spans="1:7" x14ac:dyDescent="0.3">
      <c r="A8" s="1" t="s">
        <v>12</v>
      </c>
      <c r="B8" s="1">
        <v>243.01</v>
      </c>
      <c r="C8" s="1">
        <v>172.19</v>
      </c>
      <c r="D8" s="1">
        <v>257.99</v>
      </c>
      <c r="E8" s="1">
        <v>166.33</v>
      </c>
      <c r="F8" s="1">
        <v>149.94999999999999</v>
      </c>
      <c r="G8" s="1">
        <v>199.35</v>
      </c>
    </row>
    <row r="9" spans="1:7" x14ac:dyDescent="0.3">
      <c r="A9" s="1" t="s">
        <v>13</v>
      </c>
      <c r="B9" s="1">
        <v>2430.12</v>
      </c>
      <c r="C9" s="1">
        <v>1564.14</v>
      </c>
      <c r="D9" s="1">
        <v>2554.09</v>
      </c>
      <c r="E9" s="1">
        <v>1646.68</v>
      </c>
      <c r="F9" s="1">
        <v>1087.8699999999999</v>
      </c>
      <c r="G9" s="1">
        <v>1931.25</v>
      </c>
    </row>
    <row r="10" spans="1:7" x14ac:dyDescent="0.3">
      <c r="A10" s="1" t="s">
        <v>14</v>
      </c>
      <c r="B10" s="1">
        <v>243.01</v>
      </c>
      <c r="C10" s="1">
        <v>157.99</v>
      </c>
      <c r="D10" s="1">
        <v>257.99</v>
      </c>
      <c r="E10" s="1">
        <v>166.33</v>
      </c>
      <c r="F10" s="1">
        <v>109.89</v>
      </c>
      <c r="G10" s="1">
        <v>197.07</v>
      </c>
    </row>
    <row r="11" spans="1:7" x14ac:dyDescent="0.3">
      <c r="A11" s="1" t="s">
        <v>15</v>
      </c>
      <c r="B11" s="1">
        <v>2024.22</v>
      </c>
      <c r="C11" s="1">
        <v>1296.47</v>
      </c>
      <c r="D11" s="1">
        <v>2085.88</v>
      </c>
      <c r="E11" s="1">
        <v>1539.7</v>
      </c>
      <c r="F11" s="1">
        <v>780.26</v>
      </c>
      <c r="G11" s="1">
        <v>1528.78</v>
      </c>
    </row>
    <row r="12" spans="1:7" x14ac:dyDescent="0.3">
      <c r="A12" s="1" t="s">
        <v>16</v>
      </c>
      <c r="B12" s="1">
        <v>233.33</v>
      </c>
      <c r="C12" s="1">
        <v>183.03</v>
      </c>
      <c r="D12" s="1">
        <v>256.27</v>
      </c>
      <c r="E12" s="1">
        <v>218.17</v>
      </c>
      <c r="F12" s="1">
        <v>222.34</v>
      </c>
      <c r="G12" s="1">
        <v>229.51</v>
      </c>
    </row>
    <row r="13" spans="1:7" x14ac:dyDescent="0.3">
      <c r="A13" s="1" t="s">
        <v>17</v>
      </c>
      <c r="B13" s="1">
        <v>37.659999999999997</v>
      </c>
      <c r="C13" s="1">
        <v>52.95</v>
      </c>
      <c r="D13" s="1">
        <v>32.21</v>
      </c>
      <c r="E13" s="1">
        <v>30.31</v>
      </c>
      <c r="F13" s="1">
        <v>32.83</v>
      </c>
      <c r="G13" s="1">
        <v>42.02</v>
      </c>
    </row>
    <row r="14" spans="1:7" x14ac:dyDescent="0.3">
      <c r="A14" s="1" t="s">
        <v>18</v>
      </c>
      <c r="B14" s="1">
        <v>73.099999999999994</v>
      </c>
      <c r="C14" s="1">
        <v>95.53</v>
      </c>
      <c r="D14" s="1">
        <v>66.209999999999994</v>
      </c>
      <c r="E14" s="1">
        <v>69.53</v>
      </c>
      <c r="F14" s="1">
        <v>74.150000000000006</v>
      </c>
      <c r="G14" s="1">
        <v>105.5</v>
      </c>
    </row>
    <row r="15" spans="1:7" x14ac:dyDescent="0.3">
      <c r="A15" s="1" t="s">
        <v>19</v>
      </c>
      <c r="B15" s="1">
        <v>11</v>
      </c>
      <c r="C15" s="1">
        <v>7</v>
      </c>
      <c r="D15" s="1">
        <v>6</v>
      </c>
      <c r="E15" s="1">
        <v>8</v>
      </c>
      <c r="F15" s="1">
        <v>7</v>
      </c>
      <c r="G15" s="1">
        <v>8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2430.12</v>
      </c>
      <c r="C17" s="1">
        <v>1634.4</v>
      </c>
      <c r="D17" s="1">
        <v>2554.09</v>
      </c>
      <c r="E17" s="1">
        <v>1646.68</v>
      </c>
      <c r="F17" s="1">
        <v>1286.19</v>
      </c>
      <c r="G17" s="1">
        <v>1942.43</v>
      </c>
    </row>
    <row r="18" spans="1:7" x14ac:dyDescent="0.3">
      <c r="A18" s="1" t="s">
        <v>22</v>
      </c>
      <c r="B18" s="1">
        <v>0</v>
      </c>
      <c r="C18" s="1">
        <v>70.260000000000005</v>
      </c>
      <c r="D18" s="1">
        <v>0</v>
      </c>
      <c r="E18" s="1">
        <v>0</v>
      </c>
      <c r="F18" s="1">
        <v>198.33</v>
      </c>
      <c r="G18" s="1">
        <v>11.18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2.9</v>
      </c>
      <c r="G24" s="1">
        <v>0</v>
      </c>
    </row>
    <row r="25" spans="1:7" x14ac:dyDescent="0.3">
      <c r="A25" s="1" t="s">
        <v>29</v>
      </c>
      <c r="B25" s="1">
        <v>0</v>
      </c>
      <c r="C25" s="1">
        <v>3.1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6.9</v>
      </c>
      <c r="D26" s="1">
        <v>10</v>
      </c>
      <c r="E26" s="1">
        <v>10</v>
      </c>
      <c r="F26" s="1">
        <v>7.1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31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69</v>
      </c>
      <c r="D31" s="3">
        <f t="shared" si="3"/>
        <v>100</v>
      </c>
      <c r="E31" s="3">
        <f t="shared" si="3"/>
        <v>100</v>
      </c>
      <c r="F31" s="3">
        <f t="shared" si="3"/>
        <v>71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269.79000000000002</v>
      </c>
      <c r="C33" s="3">
        <v>182.99</v>
      </c>
      <c r="D33" s="3">
        <v>279.25</v>
      </c>
      <c r="E33" s="3">
        <v>179.65</v>
      </c>
      <c r="F33" s="3">
        <v>102.98</v>
      </c>
      <c r="G33" s="3">
        <v>227.95</v>
      </c>
    </row>
    <row r="35" spans="1:7" x14ac:dyDescent="0.3">
      <c r="A35" s="3" t="s">
        <v>36</v>
      </c>
      <c r="B35" s="3"/>
      <c r="C35" s="3"/>
      <c r="D35" s="3">
        <f>D33-C33</f>
        <v>96.259999999999991</v>
      </c>
      <c r="E35" s="3"/>
      <c r="F35" s="3">
        <f>F33-E33</f>
        <v>-76.67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-99.6</v>
      </c>
      <c r="F37" s="3"/>
      <c r="G37" s="3">
        <f>G33-F33</f>
        <v>124.96999999999998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8387-D49E-43AC-81BB-6098CC90C728}">
  <dimension ref="A1:G37"/>
  <sheetViews>
    <sheetView topLeftCell="A5" zoomScale="70" zoomScaleNormal="70" workbookViewId="0">
      <selection activeCell="L25" sqref="L2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521.62</v>
      </c>
      <c r="C2" s="1">
        <v>451.84</v>
      </c>
      <c r="D2" s="1">
        <v>466.63</v>
      </c>
      <c r="E2" s="1">
        <v>523.25</v>
      </c>
      <c r="F2" s="1">
        <v>453.75</v>
      </c>
      <c r="G2" s="1">
        <v>459.05</v>
      </c>
    </row>
    <row r="3" spans="1:7" x14ac:dyDescent="0.3">
      <c r="A3" s="1" t="s">
        <v>7</v>
      </c>
      <c r="B3" s="1">
        <v>35.659999999999997</v>
      </c>
      <c r="C3" s="1">
        <v>32.92</v>
      </c>
      <c r="D3" s="1">
        <v>32.950000000000003</v>
      </c>
      <c r="E3" s="1">
        <v>33.93</v>
      </c>
      <c r="F3" s="1">
        <v>31.06</v>
      </c>
      <c r="G3" s="1">
        <v>32.9</v>
      </c>
    </row>
    <row r="4" spans="1:7" x14ac:dyDescent="0.3">
      <c r="A4" s="1" t="s">
        <v>8</v>
      </c>
      <c r="B4" s="1">
        <v>18908.98</v>
      </c>
      <c r="C4" s="1">
        <v>15116.6</v>
      </c>
      <c r="D4" s="1">
        <v>15641.46</v>
      </c>
      <c r="E4" s="1">
        <v>18049.560000000001</v>
      </c>
      <c r="F4" s="1">
        <v>14318.73</v>
      </c>
      <c r="G4" s="1">
        <v>15379.36</v>
      </c>
    </row>
    <row r="5" spans="1:7" x14ac:dyDescent="0.3">
      <c r="A5" s="1" t="s">
        <v>9</v>
      </c>
      <c r="B5" s="1">
        <v>2682.47</v>
      </c>
      <c r="C5" s="1">
        <v>3012.21</v>
      </c>
      <c r="D5" s="1">
        <v>3126.91</v>
      </c>
      <c r="E5" s="1">
        <v>2748.73</v>
      </c>
      <c r="F5" s="1">
        <v>2585.1799999999998</v>
      </c>
      <c r="G5" s="1">
        <v>2639.68</v>
      </c>
    </row>
    <row r="6" spans="1:7" x14ac:dyDescent="0.3">
      <c r="A6" s="3" t="s">
        <v>10</v>
      </c>
      <c r="B6" s="3">
        <v>268.25</v>
      </c>
      <c r="C6" s="3">
        <v>304.26</v>
      </c>
      <c r="D6" s="3">
        <v>315.85000000000002</v>
      </c>
      <c r="E6" s="3">
        <v>277.64999999999998</v>
      </c>
      <c r="F6" s="3">
        <v>261.13</v>
      </c>
      <c r="G6" s="3">
        <v>269.35000000000002</v>
      </c>
    </row>
    <row r="7" spans="1:7" x14ac:dyDescent="0.3">
      <c r="A7" s="1" t="s">
        <v>11</v>
      </c>
      <c r="B7" s="1">
        <v>2472.87</v>
      </c>
      <c r="C7" s="1">
        <v>2626.53</v>
      </c>
      <c r="D7" s="1">
        <v>2788.27</v>
      </c>
      <c r="E7" s="1">
        <v>2604.04</v>
      </c>
      <c r="F7" s="1">
        <v>2347.1799999999998</v>
      </c>
      <c r="G7" s="1">
        <v>2404.38</v>
      </c>
    </row>
    <row r="8" spans="1:7" x14ac:dyDescent="0.3">
      <c r="A8" s="1" t="s">
        <v>12</v>
      </c>
      <c r="B8" s="1">
        <v>247.29</v>
      </c>
      <c r="C8" s="1">
        <v>265.31</v>
      </c>
      <c r="D8" s="1">
        <v>281.64</v>
      </c>
      <c r="E8" s="1">
        <v>263.02999999999997</v>
      </c>
      <c r="F8" s="1">
        <v>237.09</v>
      </c>
      <c r="G8" s="1">
        <v>245.34</v>
      </c>
    </row>
    <row r="9" spans="1:7" x14ac:dyDescent="0.3">
      <c r="A9" s="1" t="s">
        <v>13</v>
      </c>
      <c r="B9" s="1">
        <v>2472.87</v>
      </c>
      <c r="C9" s="1">
        <v>2626.53</v>
      </c>
      <c r="D9" s="1">
        <v>2788.27</v>
      </c>
      <c r="E9" s="1">
        <v>2604.04</v>
      </c>
      <c r="F9" s="1">
        <v>2347.1799999999998</v>
      </c>
      <c r="G9" s="1">
        <v>2404.38</v>
      </c>
    </row>
    <row r="10" spans="1:7" x14ac:dyDescent="0.3">
      <c r="A10" s="1" t="s">
        <v>14</v>
      </c>
      <c r="B10" s="1">
        <v>247.29</v>
      </c>
      <c r="C10" s="1">
        <v>265.31</v>
      </c>
      <c r="D10" s="1">
        <v>281.64</v>
      </c>
      <c r="E10" s="1">
        <v>263.02999999999997</v>
      </c>
      <c r="F10" s="1">
        <v>237.09</v>
      </c>
      <c r="G10" s="1">
        <v>245.34</v>
      </c>
    </row>
    <row r="11" spans="1:7" x14ac:dyDescent="0.3">
      <c r="A11" s="1" t="s">
        <v>15</v>
      </c>
      <c r="B11" s="1">
        <v>2224.6799999999998</v>
      </c>
      <c r="C11" s="1">
        <v>2886.95</v>
      </c>
      <c r="D11" s="1">
        <v>2880.58</v>
      </c>
      <c r="E11" s="1">
        <v>2519.5500000000002</v>
      </c>
      <c r="F11" s="1">
        <v>2410.3200000000002</v>
      </c>
      <c r="G11" s="1">
        <v>2489.25</v>
      </c>
    </row>
    <row r="12" spans="1:7" x14ac:dyDescent="0.3">
      <c r="A12" s="1" t="s">
        <v>16</v>
      </c>
      <c r="B12" s="1">
        <v>264.61</v>
      </c>
      <c r="C12" s="1">
        <v>287.39</v>
      </c>
      <c r="D12" s="1">
        <v>280.48</v>
      </c>
      <c r="E12" s="1">
        <v>276.45</v>
      </c>
      <c r="F12" s="1">
        <v>262.95999999999998</v>
      </c>
      <c r="G12" s="1">
        <v>266.22000000000003</v>
      </c>
    </row>
    <row r="13" spans="1:7" x14ac:dyDescent="0.3">
      <c r="A13" s="1" t="s">
        <v>17</v>
      </c>
      <c r="B13" s="1">
        <v>30.52</v>
      </c>
      <c r="C13" s="1">
        <v>21.66</v>
      </c>
      <c r="D13" s="1">
        <v>22.19</v>
      </c>
      <c r="E13" s="1">
        <v>22.3</v>
      </c>
      <c r="F13" s="1">
        <v>21.69</v>
      </c>
      <c r="G13" s="1">
        <v>24.65</v>
      </c>
    </row>
    <row r="14" spans="1:7" x14ac:dyDescent="0.3">
      <c r="A14" s="1" t="s">
        <v>18</v>
      </c>
      <c r="B14" s="1">
        <v>66.180000000000007</v>
      </c>
      <c r="C14" s="1">
        <v>58.33</v>
      </c>
      <c r="D14" s="1">
        <v>52.29</v>
      </c>
      <c r="E14" s="1">
        <v>57.01</v>
      </c>
      <c r="F14" s="1">
        <v>59.23</v>
      </c>
      <c r="G14" s="1">
        <v>56.69</v>
      </c>
    </row>
    <row r="15" spans="1:7" x14ac:dyDescent="0.3">
      <c r="A15" s="1" t="s">
        <v>19</v>
      </c>
      <c r="B15" s="1">
        <v>8</v>
      </c>
      <c r="C15" s="1">
        <v>7</v>
      </c>
      <c r="D15" s="1">
        <v>5</v>
      </c>
      <c r="E15" s="1">
        <v>2</v>
      </c>
      <c r="F15" s="1">
        <v>7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2472.87</v>
      </c>
      <c r="C17" s="1">
        <v>2626.53</v>
      </c>
      <c r="D17" s="1">
        <v>2788.27</v>
      </c>
      <c r="E17" s="1">
        <v>2604.04</v>
      </c>
      <c r="F17" s="1">
        <v>2347.1799999999998</v>
      </c>
      <c r="G17" s="1">
        <v>2404.38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4">
        <v>262.12</v>
      </c>
      <c r="C33" s="5">
        <v>306.31</v>
      </c>
      <c r="D33" s="5">
        <v>310.60000000000002</v>
      </c>
      <c r="E33" s="5">
        <v>275.49</v>
      </c>
      <c r="F33" s="5">
        <v>257.73</v>
      </c>
      <c r="G33" s="5">
        <v>267.85000000000002</v>
      </c>
    </row>
    <row r="35" spans="1:7" x14ac:dyDescent="0.3">
      <c r="A35" s="3" t="s">
        <v>36</v>
      </c>
      <c r="B35" s="3"/>
      <c r="C35" s="3"/>
      <c r="D35" s="3">
        <f>D33-C33</f>
        <v>4.2900000000000205</v>
      </c>
      <c r="E35" s="3"/>
      <c r="F35" s="3">
        <f>F33-E33</f>
        <v>-17.759999999999991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-35.110000000000014</v>
      </c>
      <c r="F37" s="3"/>
      <c r="G37" s="3">
        <f>G33-F33</f>
        <v>10.120000000000005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F40F-0049-41C2-8AAE-71DE37C7921A}">
  <dimension ref="A1:G37"/>
  <sheetViews>
    <sheetView topLeftCell="A5" zoomScale="80" zoomScaleNormal="80" workbookViewId="0">
      <selection activeCell="K14" sqref="K1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511.52</v>
      </c>
      <c r="C2" s="1">
        <v>486.61</v>
      </c>
      <c r="D2" s="1">
        <v>524.35</v>
      </c>
      <c r="E2" s="1">
        <v>499.58</v>
      </c>
      <c r="F2" s="1">
        <v>484.12</v>
      </c>
      <c r="G2" s="1">
        <v>357.4</v>
      </c>
    </row>
    <row r="3" spans="1:7" x14ac:dyDescent="0.3">
      <c r="A3" s="1" t="s">
        <v>7</v>
      </c>
      <c r="B3" s="1">
        <v>53.86</v>
      </c>
      <c r="C3" s="1">
        <v>54.27</v>
      </c>
      <c r="D3" s="1">
        <v>53.6</v>
      </c>
      <c r="E3" s="1">
        <v>53.5</v>
      </c>
      <c r="F3" s="1">
        <v>55.85</v>
      </c>
      <c r="G3" s="1">
        <v>35.619999999999997</v>
      </c>
    </row>
    <row r="4" spans="1:7" x14ac:dyDescent="0.3">
      <c r="A4" s="1" t="s">
        <v>8</v>
      </c>
      <c r="B4" s="1">
        <v>28042.59</v>
      </c>
      <c r="C4" s="1">
        <v>26898.400000000001</v>
      </c>
      <c r="D4" s="1">
        <v>28602.06</v>
      </c>
      <c r="E4" s="1">
        <v>27135.759999999998</v>
      </c>
      <c r="F4" s="1">
        <v>27504.400000000001</v>
      </c>
      <c r="G4" s="1">
        <v>13033.74</v>
      </c>
    </row>
    <row r="5" spans="1:7" x14ac:dyDescent="0.3">
      <c r="A5" s="1" t="s">
        <v>9</v>
      </c>
      <c r="B5" s="1">
        <v>1595.61</v>
      </c>
      <c r="C5" s="1">
        <v>1736.8</v>
      </c>
      <c r="D5" s="1">
        <v>2542.4299999999998</v>
      </c>
      <c r="E5" s="1">
        <v>1188.97</v>
      </c>
      <c r="F5" s="1">
        <v>1275.51</v>
      </c>
      <c r="G5" s="1">
        <v>1826</v>
      </c>
    </row>
    <row r="6" spans="1:7" x14ac:dyDescent="0.3">
      <c r="A6" s="3" t="s">
        <v>10</v>
      </c>
      <c r="B6" s="3">
        <v>159.56</v>
      </c>
      <c r="C6" s="3">
        <v>175.43</v>
      </c>
      <c r="D6" s="3">
        <v>256.81</v>
      </c>
      <c r="E6" s="3">
        <v>120.1</v>
      </c>
      <c r="F6" s="3">
        <v>128.84</v>
      </c>
      <c r="G6" s="3">
        <v>186.33</v>
      </c>
    </row>
    <row r="7" spans="1:7" x14ac:dyDescent="0.3">
      <c r="A7" s="1" t="s">
        <v>11</v>
      </c>
      <c r="B7" s="1">
        <v>1355.37</v>
      </c>
      <c r="C7" s="1">
        <v>1539.4</v>
      </c>
      <c r="D7" s="1">
        <v>2451.25</v>
      </c>
      <c r="E7" s="1">
        <v>1155.1600000000001</v>
      </c>
      <c r="F7" s="1">
        <v>1142.5</v>
      </c>
      <c r="G7" s="1">
        <v>1647.57</v>
      </c>
    </row>
    <row r="8" spans="1:7" x14ac:dyDescent="0.3">
      <c r="A8" s="1" t="s">
        <v>12</v>
      </c>
      <c r="B8" s="1">
        <v>135.54</v>
      </c>
      <c r="C8" s="1">
        <v>155.49</v>
      </c>
      <c r="D8" s="1">
        <v>247.6</v>
      </c>
      <c r="E8" s="1">
        <v>116.68</v>
      </c>
      <c r="F8" s="1">
        <v>115.4</v>
      </c>
      <c r="G8" s="1">
        <v>168.12</v>
      </c>
    </row>
    <row r="9" spans="1:7" x14ac:dyDescent="0.3">
      <c r="A9" s="1" t="s">
        <v>13</v>
      </c>
      <c r="B9" s="1">
        <v>674.47</v>
      </c>
      <c r="C9" s="1">
        <v>816.7</v>
      </c>
      <c r="D9" s="1">
        <v>2451.25</v>
      </c>
      <c r="E9" s="1">
        <v>512.69000000000005</v>
      </c>
      <c r="F9" s="1">
        <v>552.92999999999995</v>
      </c>
      <c r="G9" s="1">
        <v>1334.83</v>
      </c>
    </row>
    <row r="10" spans="1:7" x14ac:dyDescent="0.3">
      <c r="A10" s="1" t="s">
        <v>14</v>
      </c>
      <c r="B10" s="1">
        <v>67.45</v>
      </c>
      <c r="C10" s="1">
        <v>82.49</v>
      </c>
      <c r="D10" s="1">
        <v>247.6</v>
      </c>
      <c r="E10" s="1">
        <v>51.79</v>
      </c>
      <c r="F10" s="1">
        <v>55.85</v>
      </c>
      <c r="G10" s="1">
        <v>136.21</v>
      </c>
    </row>
    <row r="11" spans="1:7" x14ac:dyDescent="0.3">
      <c r="A11" s="1" t="s">
        <v>15</v>
      </c>
      <c r="B11" s="1">
        <v>633.14</v>
      </c>
      <c r="C11" s="1">
        <v>413.77</v>
      </c>
      <c r="D11" s="1">
        <v>2249.38</v>
      </c>
      <c r="E11" s="1">
        <v>198.2</v>
      </c>
      <c r="F11" s="1">
        <v>573.16999999999996</v>
      </c>
      <c r="G11" s="1">
        <v>1028.3599999999999</v>
      </c>
    </row>
    <row r="12" spans="1:7" x14ac:dyDescent="0.3">
      <c r="A12" s="1" t="s">
        <v>16</v>
      </c>
      <c r="B12" s="1">
        <v>225.22</v>
      </c>
      <c r="C12" s="1">
        <v>206.83</v>
      </c>
      <c r="D12" s="1">
        <v>277.56</v>
      </c>
      <c r="E12" s="1">
        <v>239.1</v>
      </c>
      <c r="F12" s="1">
        <v>224.73</v>
      </c>
      <c r="G12" s="1">
        <v>194.58</v>
      </c>
    </row>
    <row r="13" spans="1:7" x14ac:dyDescent="0.3">
      <c r="A13" s="1" t="s">
        <v>17</v>
      </c>
      <c r="B13" s="1">
        <v>48.07</v>
      </c>
      <c r="C13" s="1">
        <v>44.99</v>
      </c>
      <c r="D13" s="1">
        <v>30.93</v>
      </c>
      <c r="E13" s="1">
        <v>27.34</v>
      </c>
      <c r="F13" s="1">
        <v>47.24</v>
      </c>
      <c r="G13" s="1">
        <v>29.78</v>
      </c>
    </row>
    <row r="14" spans="1:7" x14ac:dyDescent="0.3">
      <c r="A14" s="1" t="s">
        <v>18</v>
      </c>
      <c r="B14" s="1">
        <v>110.85</v>
      </c>
      <c r="C14" s="1">
        <v>93.71</v>
      </c>
      <c r="D14" s="1">
        <v>78.010000000000005</v>
      </c>
      <c r="E14" s="1">
        <v>74.2</v>
      </c>
      <c r="F14" s="1">
        <v>87.62</v>
      </c>
      <c r="G14" s="1">
        <v>70.510000000000005</v>
      </c>
    </row>
    <row r="15" spans="1:7" x14ac:dyDescent="0.3">
      <c r="A15" s="1" t="s">
        <v>19</v>
      </c>
      <c r="B15" s="1">
        <v>5</v>
      </c>
      <c r="C15" s="1">
        <v>6</v>
      </c>
      <c r="D15" s="1">
        <v>9</v>
      </c>
      <c r="E15" s="1">
        <v>4</v>
      </c>
      <c r="F15" s="1">
        <v>6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1014.92</v>
      </c>
      <c r="C17" s="1">
        <v>1178.05</v>
      </c>
      <c r="D17" s="1">
        <v>2451.25</v>
      </c>
      <c r="E17" s="1">
        <v>833.93</v>
      </c>
      <c r="F17" s="1">
        <v>847.71</v>
      </c>
      <c r="G17" s="1">
        <v>1491.2</v>
      </c>
    </row>
    <row r="18" spans="1:7" x14ac:dyDescent="0.3">
      <c r="A18" s="1" t="s">
        <v>22</v>
      </c>
      <c r="B18" s="1">
        <v>340.45</v>
      </c>
      <c r="C18" s="1">
        <v>361.35</v>
      </c>
      <c r="D18" s="1">
        <v>0</v>
      </c>
      <c r="E18" s="1">
        <v>321.23</v>
      </c>
      <c r="F18" s="1">
        <v>294.77999999999997</v>
      </c>
      <c r="G18" s="1">
        <v>156.37</v>
      </c>
    </row>
    <row r="19" spans="1:7" x14ac:dyDescent="0.3">
      <c r="A19" s="1" t="s">
        <v>23</v>
      </c>
      <c r="B19" s="1">
        <v>1</v>
      </c>
      <c r="C19" s="1">
        <v>2</v>
      </c>
      <c r="D19" s="1">
        <v>0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1.7</v>
      </c>
      <c r="C20" s="1">
        <v>2.2999999999999998</v>
      </c>
      <c r="D20" s="1">
        <v>0</v>
      </c>
      <c r="E20" s="1">
        <v>3.3</v>
      </c>
      <c r="F20" s="1">
        <v>2.7</v>
      </c>
      <c r="G20" s="1">
        <v>0</v>
      </c>
    </row>
    <row r="21" spans="1:7" x14ac:dyDescent="0.3">
      <c r="A21" s="1" t="s">
        <v>25</v>
      </c>
      <c r="B21" s="1">
        <v>8.4</v>
      </c>
      <c r="C21" s="1">
        <v>7.7</v>
      </c>
      <c r="D21" s="1">
        <v>10</v>
      </c>
      <c r="E21" s="1">
        <v>6.7</v>
      </c>
      <c r="F21" s="1">
        <v>7.3</v>
      </c>
      <c r="G21" s="1">
        <v>9.9</v>
      </c>
    </row>
    <row r="22" spans="1:7" x14ac:dyDescent="0.3">
      <c r="A22" s="1" t="s">
        <v>26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2.2999999999999998</v>
      </c>
      <c r="C23" s="1">
        <v>2.4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1.6</v>
      </c>
      <c r="C24" s="1">
        <v>3</v>
      </c>
      <c r="D24" s="1">
        <v>0</v>
      </c>
      <c r="E24" s="1">
        <v>2.9</v>
      </c>
      <c r="F24" s="1">
        <v>1.8</v>
      </c>
      <c r="G24" s="1">
        <v>1.2</v>
      </c>
    </row>
    <row r="25" spans="1:7" x14ac:dyDescent="0.3">
      <c r="A25" s="1" t="s">
        <v>29</v>
      </c>
      <c r="B25" s="1">
        <v>2.2000000000000002</v>
      </c>
      <c r="C25" s="1">
        <v>0</v>
      </c>
      <c r="D25" s="1">
        <v>0</v>
      </c>
      <c r="E25" s="1">
        <v>1.5</v>
      </c>
      <c r="F25" s="1">
        <v>1.9</v>
      </c>
      <c r="G25" s="1">
        <v>1.7</v>
      </c>
    </row>
    <row r="26" spans="1:7" x14ac:dyDescent="0.3">
      <c r="A26" s="1" t="s">
        <v>30</v>
      </c>
      <c r="B26" s="1">
        <v>6.3</v>
      </c>
      <c r="C26" s="1">
        <v>7</v>
      </c>
      <c r="D26" s="1">
        <v>10</v>
      </c>
      <c r="E26" s="1">
        <v>5.6</v>
      </c>
      <c r="F26" s="1">
        <v>6.3</v>
      </c>
      <c r="G26" s="1">
        <v>7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15.841584158415841</v>
      </c>
      <c r="C29" s="3">
        <f t="shared" ref="C29:G29" si="1">C24/C28*100</f>
        <v>30</v>
      </c>
      <c r="D29" s="3">
        <f t="shared" si="1"/>
        <v>0</v>
      </c>
      <c r="E29" s="3">
        <f t="shared" si="1"/>
        <v>28.999999999999996</v>
      </c>
      <c r="F29" s="3">
        <f t="shared" si="1"/>
        <v>18</v>
      </c>
      <c r="G29" s="3">
        <f t="shared" si="1"/>
        <v>12.121212121212119</v>
      </c>
    </row>
    <row r="30" spans="1:7" x14ac:dyDescent="0.3">
      <c r="A30" s="3" t="s">
        <v>33</v>
      </c>
      <c r="B30" s="3">
        <f>B25/B28*100</f>
        <v>21.782178217821784</v>
      </c>
      <c r="C30" s="3">
        <f t="shared" ref="C30:G30" si="2">C25/C28*100</f>
        <v>0</v>
      </c>
      <c r="D30" s="3">
        <f t="shared" si="2"/>
        <v>0</v>
      </c>
      <c r="E30" s="3">
        <f t="shared" si="2"/>
        <v>15</v>
      </c>
      <c r="F30" s="3">
        <f t="shared" si="2"/>
        <v>19</v>
      </c>
      <c r="G30" s="3">
        <f t="shared" si="2"/>
        <v>17.171717171717169</v>
      </c>
    </row>
    <row r="31" spans="1:7" x14ac:dyDescent="0.3">
      <c r="A31" s="3" t="s">
        <v>34</v>
      </c>
      <c r="B31" s="3">
        <f>B26/B28*100</f>
        <v>62.376237623762378</v>
      </c>
      <c r="C31" s="3">
        <f t="shared" ref="C31:G31" si="3">C26/C28*100</f>
        <v>70</v>
      </c>
      <c r="D31" s="3">
        <f t="shared" si="3"/>
        <v>100</v>
      </c>
      <c r="E31" s="3">
        <f t="shared" si="3"/>
        <v>55.999999999999993</v>
      </c>
      <c r="F31" s="3">
        <f t="shared" si="3"/>
        <v>63</v>
      </c>
      <c r="G31" s="3">
        <f t="shared" si="3"/>
        <v>70.707070707070713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4">
        <v>70.459999999999994</v>
      </c>
      <c r="C33" s="5">
        <v>89.67</v>
      </c>
      <c r="D33" s="5">
        <v>252.06</v>
      </c>
      <c r="E33" s="5">
        <v>20.239999999999998</v>
      </c>
      <c r="F33" s="5">
        <v>21.08</v>
      </c>
      <c r="G33" s="5">
        <v>128.26</v>
      </c>
    </row>
    <row r="35" spans="1:7" x14ac:dyDescent="0.3">
      <c r="A35" s="3" t="s">
        <v>36</v>
      </c>
      <c r="B35" s="3"/>
      <c r="C35" s="3"/>
      <c r="D35" s="3">
        <f>D33-C33</f>
        <v>162.38999999999999</v>
      </c>
      <c r="E35" s="3"/>
      <c r="F35" s="3">
        <f>F33-E33</f>
        <v>0.83999999999999986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-231.82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F93F-2A8F-49A1-98CB-BBFF63090451}">
  <dimension ref="A1:G37"/>
  <sheetViews>
    <sheetView zoomScale="60" zoomScaleNormal="6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521.26</v>
      </c>
      <c r="C2" s="1">
        <v>501.01</v>
      </c>
      <c r="D2" s="1">
        <v>503.01</v>
      </c>
      <c r="E2" s="1">
        <v>511</v>
      </c>
      <c r="F2" s="1">
        <v>512.04999999999995</v>
      </c>
      <c r="G2" s="1">
        <v>512.80999999999995</v>
      </c>
    </row>
    <row r="3" spans="1:7" x14ac:dyDescent="0.3">
      <c r="A3" s="1" t="s">
        <v>7</v>
      </c>
      <c r="B3" s="1">
        <v>57.72</v>
      </c>
      <c r="C3" s="1">
        <v>52.66</v>
      </c>
      <c r="D3" s="1">
        <v>54.14</v>
      </c>
      <c r="E3" s="1">
        <v>58.13</v>
      </c>
      <c r="F3" s="1">
        <v>57.28</v>
      </c>
      <c r="G3" s="1">
        <v>60.01</v>
      </c>
    </row>
    <row r="4" spans="1:7" x14ac:dyDescent="0.3">
      <c r="A4" s="1" t="s">
        <v>8</v>
      </c>
      <c r="B4" s="1">
        <v>30603.48</v>
      </c>
      <c r="C4" s="1">
        <v>26721.9</v>
      </c>
      <c r="D4" s="1">
        <v>27763.51</v>
      </c>
      <c r="E4" s="1">
        <v>30255.66</v>
      </c>
      <c r="F4" s="1">
        <v>29880.51</v>
      </c>
      <c r="G4" s="1">
        <v>31305.51</v>
      </c>
    </row>
    <row r="5" spans="1:7" x14ac:dyDescent="0.3">
      <c r="A5" s="1" t="s">
        <v>9</v>
      </c>
      <c r="B5" s="1">
        <v>2357.9499999999998</v>
      </c>
      <c r="C5" s="1">
        <v>2369.88</v>
      </c>
      <c r="D5" s="1">
        <v>3166.59</v>
      </c>
      <c r="E5" s="1">
        <v>2837.02</v>
      </c>
      <c r="F5" s="1">
        <v>1767.24</v>
      </c>
      <c r="G5" s="1">
        <v>2104.46</v>
      </c>
    </row>
    <row r="6" spans="1:7" x14ac:dyDescent="0.3">
      <c r="A6" s="3" t="s">
        <v>10</v>
      </c>
      <c r="B6" s="3">
        <v>235.79</v>
      </c>
      <c r="C6" s="3">
        <v>239.38</v>
      </c>
      <c r="D6" s="3">
        <v>319.86</v>
      </c>
      <c r="E6" s="3">
        <v>286.57</v>
      </c>
      <c r="F6" s="3">
        <v>178.51</v>
      </c>
      <c r="G6" s="3">
        <v>214.74</v>
      </c>
    </row>
    <row r="7" spans="1:7" x14ac:dyDescent="0.3">
      <c r="A7" s="1" t="s">
        <v>11</v>
      </c>
      <c r="B7" s="1">
        <v>2123.75</v>
      </c>
      <c r="C7" s="1">
        <v>2172.58</v>
      </c>
      <c r="D7" s="1">
        <v>2737</v>
      </c>
      <c r="E7" s="1">
        <v>2590.56</v>
      </c>
      <c r="F7" s="1">
        <v>1577.75</v>
      </c>
      <c r="G7" s="1">
        <v>1965.38</v>
      </c>
    </row>
    <row r="8" spans="1:7" x14ac:dyDescent="0.3">
      <c r="A8" s="1" t="s">
        <v>12</v>
      </c>
      <c r="B8" s="1">
        <v>212.37</v>
      </c>
      <c r="C8" s="1">
        <v>219.45</v>
      </c>
      <c r="D8" s="1">
        <v>276.45999999999998</v>
      </c>
      <c r="E8" s="1">
        <v>261.67</v>
      </c>
      <c r="F8" s="1">
        <v>159.37</v>
      </c>
      <c r="G8" s="1">
        <v>200.55</v>
      </c>
    </row>
    <row r="9" spans="1:7" x14ac:dyDescent="0.3">
      <c r="A9" s="1" t="s">
        <v>13</v>
      </c>
      <c r="B9" s="1">
        <v>2009.61</v>
      </c>
      <c r="C9" s="1">
        <v>2139.86</v>
      </c>
      <c r="D9" s="1">
        <v>2701.38</v>
      </c>
      <c r="E9" s="1">
        <v>2590.56</v>
      </c>
      <c r="F9" s="1">
        <v>-1140.4000000000001</v>
      </c>
      <c r="G9" s="1">
        <v>1672.14</v>
      </c>
    </row>
    <row r="10" spans="1:7" x14ac:dyDescent="0.3">
      <c r="A10" s="1" t="s">
        <v>14</v>
      </c>
      <c r="B10" s="1">
        <v>200.96</v>
      </c>
      <c r="C10" s="1">
        <v>216.15</v>
      </c>
      <c r="D10" s="1">
        <v>272.87</v>
      </c>
      <c r="E10" s="1">
        <v>261.67</v>
      </c>
      <c r="F10" s="1">
        <v>-115.19</v>
      </c>
      <c r="G10" s="1">
        <v>170.63</v>
      </c>
    </row>
    <row r="11" spans="1:7" x14ac:dyDescent="0.3">
      <c r="A11" s="1" t="s">
        <v>15</v>
      </c>
      <c r="B11" s="1">
        <v>1714.36</v>
      </c>
      <c r="C11" s="1">
        <v>1583.81</v>
      </c>
      <c r="D11" s="1">
        <v>2613.9499999999998</v>
      </c>
      <c r="E11" s="1">
        <v>2463.4899999999998</v>
      </c>
      <c r="F11" s="1">
        <v>313.92</v>
      </c>
      <c r="G11" s="1">
        <v>1384.95</v>
      </c>
    </row>
    <row r="12" spans="1:7" x14ac:dyDescent="0.3">
      <c r="A12" s="1" t="s">
        <v>16</v>
      </c>
      <c r="B12" s="1">
        <v>234.27</v>
      </c>
      <c r="C12" s="1">
        <v>248.75</v>
      </c>
      <c r="D12" s="1">
        <v>251.03</v>
      </c>
      <c r="E12" s="1">
        <v>255.69</v>
      </c>
      <c r="F12" s="1">
        <v>231.38</v>
      </c>
      <c r="G12" s="1">
        <v>237.42</v>
      </c>
    </row>
    <row r="13" spans="1:7" x14ac:dyDescent="0.3">
      <c r="A13" s="1" t="s">
        <v>17</v>
      </c>
      <c r="B13" s="1">
        <v>41.17</v>
      </c>
      <c r="C13" s="1">
        <v>41.9</v>
      </c>
      <c r="D13" s="1">
        <v>34.1</v>
      </c>
      <c r="E13" s="1">
        <v>35.299999999999997</v>
      </c>
      <c r="F13" s="1">
        <v>45.73</v>
      </c>
      <c r="G13" s="1">
        <v>42.48</v>
      </c>
    </row>
    <row r="14" spans="1:7" x14ac:dyDescent="0.3">
      <c r="A14" s="1" t="s">
        <v>18</v>
      </c>
      <c r="B14" s="1">
        <v>89.77</v>
      </c>
      <c r="C14" s="1">
        <v>87.28</v>
      </c>
      <c r="D14" s="1">
        <v>78.12</v>
      </c>
      <c r="E14" s="1">
        <v>88.16</v>
      </c>
      <c r="F14" s="1">
        <v>104.12</v>
      </c>
      <c r="G14" s="1">
        <v>101.18</v>
      </c>
    </row>
    <row r="15" spans="1:7" x14ac:dyDescent="0.3">
      <c r="A15" s="1" t="s">
        <v>19</v>
      </c>
      <c r="B15" s="1">
        <v>8</v>
      </c>
      <c r="C15" s="1">
        <v>8</v>
      </c>
      <c r="D15" s="1">
        <v>6</v>
      </c>
      <c r="E15" s="1">
        <v>6</v>
      </c>
      <c r="F15" s="1">
        <v>6</v>
      </c>
      <c r="G15" s="1">
        <v>8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2066.6799999999998</v>
      </c>
      <c r="C17" s="1">
        <v>2156.2199999999998</v>
      </c>
      <c r="D17" s="1">
        <v>2719.19</v>
      </c>
      <c r="E17" s="1">
        <v>2590.56</v>
      </c>
      <c r="F17" s="1">
        <v>218.67</v>
      </c>
      <c r="G17" s="1">
        <v>1818.76</v>
      </c>
    </row>
    <row r="18" spans="1:7" x14ac:dyDescent="0.3">
      <c r="A18" s="1" t="s">
        <v>22</v>
      </c>
      <c r="B18" s="1">
        <v>57.07</v>
      </c>
      <c r="C18" s="1">
        <v>16.36</v>
      </c>
      <c r="D18" s="1">
        <v>17.809999999999999</v>
      </c>
      <c r="E18" s="1">
        <v>0</v>
      </c>
      <c r="F18" s="1">
        <v>1359.07</v>
      </c>
      <c r="G18" s="1">
        <v>146.62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8.1</v>
      </c>
      <c r="G20" s="1">
        <v>1.4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1.9</v>
      </c>
      <c r="G21" s="1">
        <v>8.5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8.6</v>
      </c>
      <c r="G24" s="1">
        <v>2.2999999999999998</v>
      </c>
    </row>
    <row r="25" spans="1:7" x14ac:dyDescent="0.3">
      <c r="A25" s="1" t="s">
        <v>29</v>
      </c>
      <c r="B25" s="1">
        <v>1.3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8.8000000000000007</v>
      </c>
      <c r="C26" s="1">
        <v>10</v>
      </c>
      <c r="D26" s="1">
        <v>10</v>
      </c>
      <c r="E26" s="1">
        <v>10</v>
      </c>
      <c r="F26" s="1">
        <v>1.4</v>
      </c>
      <c r="G26" s="1">
        <v>7.6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86</v>
      </c>
      <c r="G29" s="3">
        <f t="shared" si="1"/>
        <v>23.232323232323235</v>
      </c>
    </row>
    <row r="30" spans="1:7" x14ac:dyDescent="0.3">
      <c r="A30" s="3" t="s">
        <v>33</v>
      </c>
      <c r="B30" s="3">
        <f>B25/B28*100</f>
        <v>12.871287128712869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87.128712871287135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13.999999999999998</v>
      </c>
      <c r="G31" s="3">
        <f t="shared" si="3"/>
        <v>76.767676767676775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217.57</v>
      </c>
      <c r="C33" s="3">
        <v>228.21</v>
      </c>
      <c r="D33" s="3">
        <v>305.17</v>
      </c>
      <c r="E33" s="3">
        <v>280.83</v>
      </c>
      <c r="F33" s="3">
        <v>-110.2</v>
      </c>
      <c r="G33" s="3">
        <v>157.69999999999999</v>
      </c>
    </row>
    <row r="35" spans="1:7" x14ac:dyDescent="0.3">
      <c r="A35" s="3" t="s">
        <v>36</v>
      </c>
      <c r="B35" s="3"/>
      <c r="C35" s="3"/>
      <c r="D35" s="3">
        <f>D33-C33</f>
        <v>76.960000000000008</v>
      </c>
      <c r="E35" s="3"/>
      <c r="F35" s="3">
        <f>F33-E33</f>
        <v>-391.03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-24.340000000000032</v>
      </c>
      <c r="F37" s="3"/>
      <c r="G37" s="3">
        <f>G33-F33</f>
        <v>267.89999999999998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5978-875A-4E24-8832-7DF2E099511C}">
  <dimension ref="A1:G37"/>
  <sheetViews>
    <sheetView zoomScale="70" zoomScaleNormal="70" workbookViewId="0">
      <selection activeCell="P24" sqref="P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464.7</v>
      </c>
      <c r="C2" s="1">
        <v>504.99</v>
      </c>
      <c r="D2" s="1">
        <v>516.35</v>
      </c>
      <c r="E2" s="1">
        <v>506.48</v>
      </c>
      <c r="F2" s="1">
        <v>539.63</v>
      </c>
      <c r="G2" s="1">
        <v>537.67999999999995</v>
      </c>
    </row>
    <row r="3" spans="1:7" x14ac:dyDescent="0.3">
      <c r="A3" s="1" t="s">
        <v>7</v>
      </c>
      <c r="B3" s="1">
        <v>61.57</v>
      </c>
      <c r="C3" s="1">
        <v>62.59</v>
      </c>
      <c r="D3" s="1">
        <v>55.14</v>
      </c>
      <c r="E3" s="1">
        <v>58.12</v>
      </c>
      <c r="F3" s="1">
        <v>53.37</v>
      </c>
      <c r="G3" s="1">
        <v>53.51</v>
      </c>
    </row>
    <row r="4" spans="1:7" x14ac:dyDescent="0.3">
      <c r="A4" s="1" t="s">
        <v>8</v>
      </c>
      <c r="B4" s="1">
        <v>29069.41</v>
      </c>
      <c r="C4" s="1">
        <v>32202.720000000001</v>
      </c>
      <c r="D4" s="1">
        <v>28925.27</v>
      </c>
      <c r="E4" s="1">
        <v>30028.77</v>
      </c>
      <c r="F4" s="1">
        <v>29333.37</v>
      </c>
      <c r="G4" s="1">
        <v>29283.59</v>
      </c>
    </row>
    <row r="5" spans="1:7" x14ac:dyDescent="0.3">
      <c r="A5" s="1" t="s">
        <v>9</v>
      </c>
      <c r="B5" s="1">
        <v>1412.85</v>
      </c>
      <c r="C5" s="1">
        <v>1478.6</v>
      </c>
      <c r="D5" s="1">
        <v>2080.9699999999998</v>
      </c>
      <c r="E5" s="1">
        <v>1599.28</v>
      </c>
      <c r="F5" s="1">
        <v>2407.0500000000002</v>
      </c>
      <c r="G5" s="1">
        <v>3460.31</v>
      </c>
    </row>
    <row r="6" spans="1:7" x14ac:dyDescent="0.3">
      <c r="A6" s="3" t="s">
        <v>10</v>
      </c>
      <c r="B6" s="3">
        <v>141.29</v>
      </c>
      <c r="C6" s="3">
        <v>149.35</v>
      </c>
      <c r="D6" s="3">
        <v>210.2</v>
      </c>
      <c r="E6" s="3">
        <v>161.54</v>
      </c>
      <c r="F6" s="3">
        <v>243.14</v>
      </c>
      <c r="G6" s="3">
        <v>353.09</v>
      </c>
    </row>
    <row r="7" spans="1:7" x14ac:dyDescent="0.3">
      <c r="A7" s="1" t="s">
        <v>11</v>
      </c>
      <c r="B7" s="1">
        <v>1104.43</v>
      </c>
      <c r="C7" s="1">
        <v>1234.58</v>
      </c>
      <c r="D7" s="1">
        <v>1946.45</v>
      </c>
      <c r="E7" s="1">
        <v>1469.2</v>
      </c>
      <c r="F7" s="1">
        <v>2269.0300000000002</v>
      </c>
      <c r="G7" s="1">
        <v>3247.25</v>
      </c>
    </row>
    <row r="8" spans="1:7" x14ac:dyDescent="0.3">
      <c r="A8" s="1" t="s">
        <v>12</v>
      </c>
      <c r="B8" s="1">
        <v>110.44</v>
      </c>
      <c r="C8" s="1">
        <v>124.71</v>
      </c>
      <c r="D8" s="1">
        <v>196.61</v>
      </c>
      <c r="E8" s="1">
        <v>148.4</v>
      </c>
      <c r="F8" s="1">
        <v>229.2</v>
      </c>
      <c r="G8" s="1">
        <v>331.35</v>
      </c>
    </row>
    <row r="9" spans="1:7" x14ac:dyDescent="0.3">
      <c r="A9" s="1" t="s">
        <v>13</v>
      </c>
      <c r="B9" s="1">
        <v>605.14</v>
      </c>
      <c r="C9" s="1">
        <v>802.8</v>
      </c>
      <c r="D9" s="1">
        <v>1890.15</v>
      </c>
      <c r="E9" s="1">
        <v>1238.53</v>
      </c>
      <c r="F9" s="1">
        <v>2176.06</v>
      </c>
      <c r="G9" s="1">
        <v>3247.25</v>
      </c>
    </row>
    <row r="10" spans="1:7" x14ac:dyDescent="0.3">
      <c r="A10" s="1" t="s">
        <v>14</v>
      </c>
      <c r="B10" s="1">
        <v>60.51</v>
      </c>
      <c r="C10" s="1">
        <v>81.09</v>
      </c>
      <c r="D10" s="1">
        <v>190.92</v>
      </c>
      <c r="E10" s="1">
        <v>125.1</v>
      </c>
      <c r="F10" s="1">
        <v>219.8</v>
      </c>
      <c r="G10" s="1">
        <v>331.35</v>
      </c>
    </row>
    <row r="11" spans="1:7" x14ac:dyDescent="0.3">
      <c r="A11" s="1" t="s">
        <v>15</v>
      </c>
      <c r="B11" s="1">
        <v>356.58</v>
      </c>
      <c r="C11" s="1">
        <v>412.96</v>
      </c>
      <c r="D11" s="1">
        <v>1383</v>
      </c>
      <c r="E11" s="1">
        <v>747.41</v>
      </c>
      <c r="F11" s="1">
        <v>1821.49</v>
      </c>
      <c r="G11" s="1">
        <v>2847.31</v>
      </c>
    </row>
    <row r="12" spans="1:7" x14ac:dyDescent="0.3">
      <c r="A12" s="1" t="s">
        <v>16</v>
      </c>
      <c r="B12" s="1">
        <v>162.31</v>
      </c>
      <c r="C12" s="1">
        <v>181.22</v>
      </c>
      <c r="D12" s="1">
        <v>246.95</v>
      </c>
      <c r="E12" s="1">
        <v>213.56</v>
      </c>
      <c r="F12" s="1">
        <v>270.04000000000002</v>
      </c>
      <c r="G12" s="1">
        <v>276.10000000000002</v>
      </c>
    </row>
    <row r="13" spans="1:7" x14ac:dyDescent="0.3">
      <c r="A13" s="1" t="s">
        <v>17</v>
      </c>
      <c r="B13" s="1">
        <v>54.62</v>
      </c>
      <c r="C13" s="1">
        <v>48.25</v>
      </c>
      <c r="D13" s="1">
        <v>39.770000000000003</v>
      </c>
      <c r="E13" s="1">
        <v>44.55</v>
      </c>
      <c r="F13" s="1">
        <v>29.02</v>
      </c>
      <c r="G13" s="1">
        <v>37.19</v>
      </c>
    </row>
    <row r="14" spans="1:7" x14ac:dyDescent="0.3">
      <c r="A14" s="1" t="s">
        <v>18</v>
      </c>
      <c r="B14" s="1">
        <v>99.77</v>
      </c>
      <c r="C14" s="1">
        <v>100.66</v>
      </c>
      <c r="D14" s="1">
        <v>100.05</v>
      </c>
      <c r="E14" s="1">
        <v>98.83</v>
      </c>
      <c r="F14" s="1">
        <v>72.48</v>
      </c>
      <c r="G14" s="1">
        <v>85.14</v>
      </c>
    </row>
    <row r="15" spans="1:7" x14ac:dyDescent="0.3">
      <c r="A15" s="1" t="s">
        <v>19</v>
      </c>
      <c r="B15" s="1">
        <v>7</v>
      </c>
      <c r="C15" s="1">
        <v>4</v>
      </c>
      <c r="D15" s="1">
        <v>8</v>
      </c>
      <c r="E15" s="1">
        <v>6</v>
      </c>
      <c r="F15" s="1">
        <v>6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854.78</v>
      </c>
      <c r="C17" s="1">
        <v>1018.69</v>
      </c>
      <c r="D17" s="1">
        <v>1918.3</v>
      </c>
      <c r="E17" s="1">
        <v>1353.86</v>
      </c>
      <c r="F17" s="1">
        <v>2222.5500000000002</v>
      </c>
      <c r="G17" s="1">
        <v>3247.25</v>
      </c>
    </row>
    <row r="18" spans="1:7" x14ac:dyDescent="0.3">
      <c r="A18" s="1" t="s">
        <v>22</v>
      </c>
      <c r="B18" s="1">
        <v>249.64</v>
      </c>
      <c r="C18" s="1">
        <v>215.89</v>
      </c>
      <c r="D18" s="1">
        <v>28.15</v>
      </c>
      <c r="E18" s="1">
        <v>115.33</v>
      </c>
      <c r="F18" s="1">
        <v>46.48</v>
      </c>
      <c r="G18" s="1">
        <v>0</v>
      </c>
    </row>
    <row r="19" spans="1:7" x14ac:dyDescent="0.3">
      <c r="A19" s="1" t="s">
        <v>23</v>
      </c>
      <c r="B19" s="1">
        <v>1</v>
      </c>
      <c r="C19" s="1">
        <v>2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2.1</v>
      </c>
      <c r="C20" s="1">
        <v>2.4</v>
      </c>
      <c r="D20" s="1">
        <v>0</v>
      </c>
      <c r="E20" s="1">
        <v>1</v>
      </c>
      <c r="F20" s="1">
        <v>0</v>
      </c>
      <c r="G20" s="1">
        <v>0</v>
      </c>
    </row>
    <row r="21" spans="1:7" x14ac:dyDescent="0.3">
      <c r="A21" s="1" t="s">
        <v>25</v>
      </c>
      <c r="B21" s="1">
        <v>8</v>
      </c>
      <c r="C21" s="1">
        <v>7.6</v>
      </c>
      <c r="D21" s="1">
        <v>10</v>
      </c>
      <c r="E21" s="1">
        <v>9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1.2</v>
      </c>
      <c r="F23" s="1">
        <v>0</v>
      </c>
      <c r="G23" s="1">
        <v>0</v>
      </c>
    </row>
    <row r="24" spans="1:7" x14ac:dyDescent="0.3">
      <c r="A24" s="1" t="s">
        <v>28</v>
      </c>
      <c r="B24" s="1">
        <v>2.5</v>
      </c>
      <c r="C24" s="1">
        <v>2.2000000000000002</v>
      </c>
      <c r="D24" s="1">
        <v>0</v>
      </c>
      <c r="E24" s="1">
        <v>2.7</v>
      </c>
      <c r="F24" s="1">
        <v>0</v>
      </c>
      <c r="G24" s="1">
        <v>0</v>
      </c>
    </row>
    <row r="25" spans="1:7" x14ac:dyDescent="0.3">
      <c r="A25" s="1" t="s">
        <v>29</v>
      </c>
      <c r="B25" s="1">
        <v>3.5</v>
      </c>
      <c r="C25" s="1">
        <v>2.2999999999999998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4.0999999999999996</v>
      </c>
      <c r="C26" s="1">
        <v>5.5</v>
      </c>
      <c r="D26" s="1">
        <v>10</v>
      </c>
      <c r="E26" s="1">
        <v>7.3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24.752475247524753</v>
      </c>
      <c r="C29" s="3">
        <f t="shared" ref="C29:G29" si="1">C24/C28*100</f>
        <v>22.000000000000004</v>
      </c>
      <c r="D29" s="3">
        <f t="shared" si="1"/>
        <v>0</v>
      </c>
      <c r="E29" s="3">
        <f t="shared" si="1"/>
        <v>27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34.653465346534659</v>
      </c>
      <c r="C30" s="3">
        <f t="shared" ref="C30:G30" si="2">C25/C28*100</f>
        <v>23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40.594059405940591</v>
      </c>
      <c r="C31" s="3">
        <f t="shared" ref="C31:G31" si="3">C26/C28*100</f>
        <v>55.000000000000007</v>
      </c>
      <c r="D31" s="3">
        <f t="shared" si="3"/>
        <v>100</v>
      </c>
      <c r="E31" s="3">
        <f t="shared" si="3"/>
        <v>73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60.04</v>
      </c>
      <c r="C33" s="3">
        <v>70.25</v>
      </c>
      <c r="D33" s="3">
        <v>189.52</v>
      </c>
      <c r="E33" s="3">
        <v>108.13</v>
      </c>
      <c r="F33" s="3">
        <v>226.33</v>
      </c>
      <c r="G33" s="3">
        <v>350.42</v>
      </c>
    </row>
    <row r="35" spans="1:7" x14ac:dyDescent="0.3">
      <c r="A35" s="3" t="s">
        <v>36</v>
      </c>
      <c r="B35" s="3"/>
      <c r="C35" s="3"/>
      <c r="D35" s="3">
        <f>D33-C33</f>
        <v>119.27000000000001</v>
      </c>
      <c r="E35" s="3"/>
      <c r="F35" s="3">
        <f>F33-E33</f>
        <v>118.20000000000002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-81.390000000000015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C9B2-181F-4BD0-8379-29C19BBD682F}">
  <dimension ref="A1:G37"/>
  <sheetViews>
    <sheetView tabSelected="1" zoomScale="70" zoomScaleNormal="70" workbookViewId="0">
      <selection activeCell="J24" sqref="J2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541.42999999999995</v>
      </c>
      <c r="C2" s="1">
        <v>527.09</v>
      </c>
      <c r="D2" s="1">
        <v>523.29</v>
      </c>
      <c r="E2" s="1">
        <v>515.23</v>
      </c>
      <c r="F2" s="1">
        <v>510.93</v>
      </c>
      <c r="G2" s="1">
        <v>502.75</v>
      </c>
    </row>
    <row r="3" spans="1:7" x14ac:dyDescent="0.3">
      <c r="A3" s="1" t="s">
        <v>7</v>
      </c>
      <c r="B3" s="1">
        <v>57.84</v>
      </c>
      <c r="C3" s="1">
        <v>57.9</v>
      </c>
      <c r="D3" s="1">
        <v>58.23</v>
      </c>
      <c r="E3" s="1">
        <v>64.510000000000005</v>
      </c>
      <c r="F3" s="1">
        <v>64.22</v>
      </c>
      <c r="G3" s="1">
        <v>62.35</v>
      </c>
    </row>
    <row r="4" spans="1:7" x14ac:dyDescent="0.3">
      <c r="A4" s="1" t="s">
        <v>8</v>
      </c>
      <c r="B4" s="1">
        <v>31813.65</v>
      </c>
      <c r="C4" s="1">
        <v>31022.31</v>
      </c>
      <c r="D4" s="1">
        <v>31005.85</v>
      </c>
      <c r="E4" s="1">
        <v>33955.089999999997</v>
      </c>
      <c r="F4" s="1">
        <v>33412.720000000001</v>
      </c>
      <c r="G4" s="1">
        <v>31807.35</v>
      </c>
    </row>
    <row r="5" spans="1:7" x14ac:dyDescent="0.3">
      <c r="A5" s="1" t="s">
        <v>9</v>
      </c>
      <c r="B5" s="1">
        <v>1767.92</v>
      </c>
      <c r="C5" s="1">
        <v>1893.62</v>
      </c>
      <c r="D5" s="1">
        <v>2229.4899999999998</v>
      </c>
      <c r="E5" s="1">
        <v>1305.4100000000001</v>
      </c>
      <c r="F5" s="1">
        <v>1366.19</v>
      </c>
      <c r="G5" s="1">
        <v>821.16</v>
      </c>
    </row>
    <row r="6" spans="1:7" x14ac:dyDescent="0.3">
      <c r="A6" s="3" t="s">
        <v>10</v>
      </c>
      <c r="B6" s="3">
        <v>176.79</v>
      </c>
      <c r="C6" s="3">
        <v>191.28</v>
      </c>
      <c r="D6" s="3">
        <v>225.2</v>
      </c>
      <c r="E6" s="3">
        <v>131.86000000000001</v>
      </c>
      <c r="F6" s="3">
        <v>138</v>
      </c>
      <c r="G6" s="3">
        <v>83.79</v>
      </c>
    </row>
    <row r="7" spans="1:7" x14ac:dyDescent="0.3">
      <c r="A7" s="1" t="s">
        <v>11</v>
      </c>
      <c r="B7" s="1">
        <v>1624.22</v>
      </c>
      <c r="C7" s="1">
        <v>1747.48</v>
      </c>
      <c r="D7" s="1">
        <v>2090.14</v>
      </c>
      <c r="E7" s="1">
        <v>1238.31</v>
      </c>
      <c r="F7" s="1">
        <v>1231.53</v>
      </c>
      <c r="G7" s="1">
        <v>770.92</v>
      </c>
    </row>
    <row r="8" spans="1:7" x14ac:dyDescent="0.3">
      <c r="A8" s="1" t="s">
        <v>12</v>
      </c>
      <c r="B8" s="1">
        <v>162.41999999999999</v>
      </c>
      <c r="C8" s="1">
        <v>176.51</v>
      </c>
      <c r="D8" s="1">
        <v>211.12</v>
      </c>
      <c r="E8" s="1">
        <v>125.08</v>
      </c>
      <c r="F8" s="1">
        <v>124.4</v>
      </c>
      <c r="G8" s="1">
        <v>78.67</v>
      </c>
    </row>
    <row r="9" spans="1:7" x14ac:dyDescent="0.3">
      <c r="A9" s="1" t="s">
        <v>13</v>
      </c>
      <c r="B9" s="1">
        <v>1431.38</v>
      </c>
      <c r="C9" s="1">
        <v>1747.48</v>
      </c>
      <c r="D9" s="1">
        <v>2090.14</v>
      </c>
      <c r="E9" s="1">
        <v>784.98</v>
      </c>
      <c r="F9" s="1">
        <v>-899.97</v>
      </c>
      <c r="G9" s="1">
        <v>728.77</v>
      </c>
    </row>
    <row r="10" spans="1:7" x14ac:dyDescent="0.3">
      <c r="A10" s="1" t="s">
        <v>14</v>
      </c>
      <c r="B10" s="1">
        <v>143.13999999999999</v>
      </c>
      <c r="C10" s="1">
        <v>176.51</v>
      </c>
      <c r="D10" s="1">
        <v>211.12</v>
      </c>
      <c r="E10" s="1">
        <v>79.290000000000006</v>
      </c>
      <c r="F10" s="1">
        <v>-90.91</v>
      </c>
      <c r="G10" s="1">
        <v>74.36</v>
      </c>
    </row>
    <row r="11" spans="1:7" x14ac:dyDescent="0.3">
      <c r="A11" s="1" t="s">
        <v>15</v>
      </c>
      <c r="B11" s="1">
        <v>498.69</v>
      </c>
      <c r="C11" s="1">
        <v>1436.97</v>
      </c>
      <c r="D11" s="1">
        <v>2047.02</v>
      </c>
      <c r="E11" s="1">
        <v>448.1</v>
      </c>
      <c r="F11" s="1">
        <v>529.48</v>
      </c>
      <c r="G11" s="1">
        <v>629.84</v>
      </c>
    </row>
    <row r="12" spans="1:7" x14ac:dyDescent="0.3">
      <c r="A12" s="1" t="s">
        <v>16</v>
      </c>
      <c r="B12" s="1">
        <v>234.07</v>
      </c>
      <c r="C12" s="1">
        <v>247.63</v>
      </c>
      <c r="D12" s="1">
        <v>264.58</v>
      </c>
      <c r="E12" s="1">
        <v>241.73</v>
      </c>
      <c r="F12" s="1">
        <v>227.14</v>
      </c>
      <c r="G12" s="1">
        <v>250.8</v>
      </c>
    </row>
    <row r="13" spans="1:7" x14ac:dyDescent="0.3">
      <c r="A13" s="1" t="s">
        <v>17</v>
      </c>
      <c r="B13" s="1">
        <v>52.17</v>
      </c>
      <c r="C13" s="1">
        <v>31.59</v>
      </c>
      <c r="D13" s="1">
        <v>24.86</v>
      </c>
      <c r="E13" s="1">
        <v>34.97</v>
      </c>
      <c r="F13" s="1">
        <v>37.770000000000003</v>
      </c>
      <c r="G13" s="1">
        <v>34.159999999999997</v>
      </c>
    </row>
    <row r="14" spans="1:7" x14ac:dyDescent="0.3">
      <c r="A14" s="1" t="s">
        <v>18</v>
      </c>
      <c r="B14" s="1">
        <v>97.72</v>
      </c>
      <c r="C14" s="1">
        <v>77.06</v>
      </c>
      <c r="D14" s="1">
        <v>62.01</v>
      </c>
      <c r="E14" s="1">
        <v>89.69</v>
      </c>
      <c r="F14" s="1">
        <v>85.74</v>
      </c>
      <c r="G14" s="1">
        <v>71.8</v>
      </c>
    </row>
    <row r="15" spans="1:7" x14ac:dyDescent="0.3">
      <c r="A15" s="1" t="s">
        <v>19</v>
      </c>
      <c r="B15" s="1">
        <v>7</v>
      </c>
      <c r="C15" s="1">
        <v>6</v>
      </c>
      <c r="D15" s="1">
        <v>6</v>
      </c>
      <c r="E15" s="1">
        <v>2</v>
      </c>
      <c r="F15" s="1">
        <v>7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1527.8</v>
      </c>
      <c r="C17" s="1">
        <v>1747.48</v>
      </c>
      <c r="D17" s="1">
        <v>2090.14</v>
      </c>
      <c r="E17" s="1">
        <v>1011.64</v>
      </c>
      <c r="F17" s="1">
        <v>165.78</v>
      </c>
      <c r="G17" s="1">
        <v>749.85</v>
      </c>
    </row>
    <row r="18" spans="1:7" x14ac:dyDescent="0.3">
      <c r="A18" s="1" t="s">
        <v>22</v>
      </c>
      <c r="B18" s="1">
        <v>96.42</v>
      </c>
      <c r="C18" s="1">
        <v>0</v>
      </c>
      <c r="D18" s="1">
        <v>0</v>
      </c>
      <c r="E18" s="1">
        <v>226.67</v>
      </c>
      <c r="F18" s="1">
        <v>1065.75</v>
      </c>
      <c r="G18" s="1">
        <v>21.08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1.2</v>
      </c>
      <c r="F20" s="1">
        <v>5.0999999999999996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8.8000000000000007</v>
      </c>
      <c r="F21" s="1">
        <v>4.9000000000000004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1.1000000000000001</v>
      </c>
      <c r="F24" s="1">
        <v>5.3</v>
      </c>
      <c r="G24" s="1">
        <v>0</v>
      </c>
    </row>
    <row r="25" spans="1:7" x14ac:dyDescent="0.3">
      <c r="A25" s="1" t="s">
        <v>29</v>
      </c>
      <c r="B25" s="1">
        <v>1.3</v>
      </c>
      <c r="C25" s="1">
        <v>0</v>
      </c>
      <c r="D25" s="1">
        <v>0</v>
      </c>
      <c r="E25" s="1">
        <v>0</v>
      </c>
      <c r="F25" s="1">
        <v>1</v>
      </c>
      <c r="G25" s="1">
        <v>1</v>
      </c>
    </row>
    <row r="26" spans="1:7" x14ac:dyDescent="0.3">
      <c r="A26" s="1" t="s">
        <v>30</v>
      </c>
      <c r="B26" s="1">
        <v>8.8000000000000007</v>
      </c>
      <c r="C26" s="1">
        <v>10</v>
      </c>
      <c r="D26" s="1">
        <v>10</v>
      </c>
      <c r="E26" s="1">
        <v>8.9</v>
      </c>
      <c r="F26" s="1">
        <v>3.7</v>
      </c>
      <c r="G26" s="1">
        <v>8.9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11.000000000000002</v>
      </c>
      <c r="F29" s="3">
        <f t="shared" si="1"/>
        <v>53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12.871287128712869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10</v>
      </c>
      <c r="G30" s="3">
        <f t="shared" si="2"/>
        <v>10.1010101010101</v>
      </c>
    </row>
    <row r="31" spans="1:7" x14ac:dyDescent="0.3">
      <c r="A31" s="3" t="s">
        <v>34</v>
      </c>
      <c r="B31" s="3">
        <f>B26/B28*100</f>
        <v>87.128712871287135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89</v>
      </c>
      <c r="F31" s="3">
        <f t="shared" si="3"/>
        <v>37</v>
      </c>
      <c r="G31" s="3">
        <f t="shared" si="3"/>
        <v>89.898989898989896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159.09</v>
      </c>
      <c r="C33" s="3">
        <v>191.64</v>
      </c>
      <c r="D33" s="3">
        <v>220.71</v>
      </c>
      <c r="E33" s="3">
        <v>85.7</v>
      </c>
      <c r="F33" s="3">
        <v>-67.36</v>
      </c>
      <c r="G33" s="3">
        <v>75.430000000000007</v>
      </c>
    </row>
    <row r="35" spans="1:7" x14ac:dyDescent="0.3">
      <c r="A35" s="3" t="s">
        <v>36</v>
      </c>
      <c r="B35" s="3"/>
      <c r="C35" s="3"/>
      <c r="D35" s="3">
        <f>D33-C33</f>
        <v>29.070000000000022</v>
      </c>
      <c r="E35" s="3"/>
      <c r="F35" s="3">
        <f>F33-E33</f>
        <v>-153.06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-135.01</v>
      </c>
      <c r="F37" s="3"/>
      <c r="G37" s="3">
        <f>G33-F33</f>
        <v>142.79000000000002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4007-9590-48F8-8F8F-26DD640D6EA4}">
  <dimension ref="A1:G37"/>
  <sheetViews>
    <sheetView workbookViewId="0">
      <selection activeCell="A17" sqref="A1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240411Bnts001.3</vt:lpstr>
      <vt:lpstr>240411Bnts002.1</vt:lpstr>
      <vt:lpstr>240411Bnts002.2</vt:lpstr>
      <vt:lpstr>240411Bnts002.3</vt:lpstr>
      <vt:lpstr>240411Bnts003.2</vt:lpstr>
      <vt:lpstr>240411Bnts004.3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2024-04-18T23:29:33Z</dcterms:created>
  <dcterms:modified xsi:type="dcterms:W3CDTF">2024-04-22T04:36:04Z</dcterms:modified>
</cp:coreProperties>
</file>