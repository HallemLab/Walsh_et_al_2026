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412\WormLab Data\"/>
    </mc:Choice>
  </mc:AlternateContent>
  <xr:revisionPtr revIDLastSave="0" documentId="13_ncr:1_{8A58BC7A-2796-433B-9CEE-1770FB151DCD}" xr6:coauthVersionLast="47" xr6:coauthVersionMax="47" xr10:uidLastSave="{00000000-0000-0000-0000-000000000000}"/>
  <bookViews>
    <workbookView xWindow="1812" yWindow="1812" windowWidth="17892" windowHeight="11472" firstSheet="3" activeTab="6" xr2:uid="{9FADA2D0-A1CD-4B4B-B770-EABB79C2CE46}"/>
  </bookViews>
  <sheets>
    <sheet name="240412Bnts001.3" sheetId="2" r:id="rId1"/>
    <sheet name="240412Bnts002.1" sheetId="3" r:id="rId2"/>
    <sheet name="240412Bnts002.2" sheetId="4" r:id="rId3"/>
    <sheet name="240412Bnts003.2" sheetId="5" r:id="rId4"/>
    <sheet name="240412Bnts003.3" sheetId="6" r:id="rId5"/>
    <sheet name="240412Bnts004.2" sheetId="7" r:id="rId6"/>
    <sheet name="240412Bnts004.3" sheetId="8" r:id="rId7"/>
    <sheet name="template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8" l="1"/>
  <c r="E37" i="8"/>
  <c r="C37" i="8"/>
  <c r="F35" i="8"/>
  <c r="D35" i="8"/>
  <c r="C31" i="8"/>
  <c r="B31" i="8"/>
  <c r="E30" i="8"/>
  <c r="D30" i="8"/>
  <c r="C30" i="8"/>
  <c r="B30" i="8"/>
  <c r="E29" i="8"/>
  <c r="G28" i="8"/>
  <c r="G30" i="8" s="1"/>
  <c r="F28" i="8"/>
  <c r="F31" i="8" s="1"/>
  <c r="E28" i="8"/>
  <c r="E31" i="8" s="1"/>
  <c r="D28" i="8"/>
  <c r="D29" i="8" s="1"/>
  <c r="C28" i="8"/>
  <c r="C29" i="8" s="1"/>
  <c r="B28" i="8"/>
  <c r="B29" i="8" s="1"/>
  <c r="G37" i="7"/>
  <c r="E37" i="7"/>
  <c r="C37" i="7"/>
  <c r="F35" i="7"/>
  <c r="D35" i="7"/>
  <c r="G31" i="7"/>
  <c r="F31" i="7"/>
  <c r="E31" i="7"/>
  <c r="D31" i="7"/>
  <c r="C31" i="7"/>
  <c r="G30" i="7"/>
  <c r="F30" i="7"/>
  <c r="E30" i="7"/>
  <c r="D30" i="7"/>
  <c r="C30" i="7"/>
  <c r="G29" i="7"/>
  <c r="F29" i="7"/>
  <c r="E29" i="7"/>
  <c r="G28" i="7"/>
  <c r="F28" i="7"/>
  <c r="E28" i="7"/>
  <c r="D28" i="7"/>
  <c r="D29" i="7" s="1"/>
  <c r="C28" i="7"/>
  <c r="C29" i="7" s="1"/>
  <c r="B28" i="7"/>
  <c r="B29" i="7" s="1"/>
  <c r="G37" i="6"/>
  <c r="E37" i="6"/>
  <c r="C37" i="6"/>
  <c r="F35" i="6"/>
  <c r="D35" i="6"/>
  <c r="C31" i="6"/>
  <c r="B31" i="6"/>
  <c r="C30" i="6"/>
  <c r="B30" i="6"/>
  <c r="G28" i="6"/>
  <c r="G29" i="6" s="1"/>
  <c r="F28" i="6"/>
  <c r="F29" i="6" s="1"/>
  <c r="E28" i="6"/>
  <c r="E29" i="6" s="1"/>
  <c r="D28" i="6"/>
  <c r="D29" i="6" s="1"/>
  <c r="C28" i="6"/>
  <c r="C29" i="6" s="1"/>
  <c r="B28" i="6"/>
  <c r="B29" i="6" s="1"/>
  <c r="G37" i="5"/>
  <c r="E37" i="5"/>
  <c r="C37" i="5"/>
  <c r="F35" i="5"/>
  <c r="D35" i="5"/>
  <c r="F31" i="5"/>
  <c r="E31" i="5"/>
  <c r="D31" i="5"/>
  <c r="C31" i="5"/>
  <c r="B31" i="5"/>
  <c r="F30" i="5"/>
  <c r="E30" i="5"/>
  <c r="D30" i="5"/>
  <c r="C30" i="5"/>
  <c r="B30" i="5"/>
  <c r="F29" i="5"/>
  <c r="E29" i="5"/>
  <c r="D29" i="5"/>
  <c r="C29" i="5"/>
  <c r="B29" i="5"/>
  <c r="G28" i="5"/>
  <c r="G30" i="5" s="1"/>
  <c r="F28" i="5"/>
  <c r="E28" i="5"/>
  <c r="D28" i="5"/>
  <c r="C28" i="5"/>
  <c r="B28" i="5"/>
  <c r="G37" i="4"/>
  <c r="E37" i="4"/>
  <c r="C37" i="4"/>
  <c r="F35" i="4"/>
  <c r="D35" i="4"/>
  <c r="G31" i="4"/>
  <c r="F31" i="4"/>
  <c r="E31" i="4"/>
  <c r="D31" i="4"/>
  <c r="C31" i="4"/>
  <c r="G30" i="4"/>
  <c r="F30" i="4"/>
  <c r="E30" i="4"/>
  <c r="G29" i="4"/>
  <c r="F29" i="4"/>
  <c r="E29" i="4"/>
  <c r="G28" i="4"/>
  <c r="F28" i="4"/>
  <c r="E28" i="4"/>
  <c r="D28" i="4"/>
  <c r="D30" i="4" s="1"/>
  <c r="C28" i="4"/>
  <c r="C29" i="4" s="1"/>
  <c r="B28" i="4"/>
  <c r="B29" i="4" s="1"/>
  <c r="G37" i="3"/>
  <c r="E37" i="3"/>
  <c r="C37" i="3"/>
  <c r="F35" i="3"/>
  <c r="D35" i="3"/>
  <c r="C31" i="3"/>
  <c r="C30" i="3"/>
  <c r="B30" i="3"/>
  <c r="G28" i="3"/>
  <c r="G29" i="3" s="1"/>
  <c r="F28" i="3"/>
  <c r="F29" i="3" s="1"/>
  <c r="E28" i="3"/>
  <c r="E29" i="3" s="1"/>
  <c r="D28" i="3"/>
  <c r="D29" i="3" s="1"/>
  <c r="C28" i="3"/>
  <c r="C29" i="3" s="1"/>
  <c r="B28" i="3"/>
  <c r="B29" i="3" s="1"/>
  <c r="G37" i="2"/>
  <c r="E37" i="2"/>
  <c r="C37" i="2"/>
  <c r="F35" i="2"/>
  <c r="D35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G28" i="2"/>
  <c r="F28" i="2"/>
  <c r="E28" i="2"/>
  <c r="D28" i="2"/>
  <c r="D29" i="2" s="1"/>
  <c r="C28" i="2"/>
  <c r="C29" i="2" s="1"/>
  <c r="B28" i="2"/>
  <c r="B29" i="2" s="1"/>
  <c r="G37" i="1"/>
  <c r="E37" i="1"/>
  <c r="C37" i="1"/>
  <c r="F35" i="1"/>
  <c r="D35" i="1"/>
  <c r="F31" i="1"/>
  <c r="E31" i="1"/>
  <c r="C31" i="1"/>
  <c r="G30" i="1"/>
  <c r="F30" i="1"/>
  <c r="G28" i="1"/>
  <c r="G31" i="1" s="1"/>
  <c r="F28" i="1"/>
  <c r="F29" i="1" s="1"/>
  <c r="E28" i="1"/>
  <c r="E30" i="1" s="1"/>
  <c r="D28" i="1"/>
  <c r="D31" i="1" s="1"/>
  <c r="C28" i="1"/>
  <c r="C30" i="1" s="1"/>
  <c r="B28" i="1"/>
  <c r="B30" i="1" s="1"/>
  <c r="F30" i="8" l="1"/>
  <c r="G31" i="8"/>
  <c r="F29" i="8"/>
  <c r="G29" i="8"/>
  <c r="D31" i="8"/>
  <c r="B30" i="7"/>
  <c r="B31" i="7"/>
  <c r="D30" i="6"/>
  <c r="E30" i="6"/>
  <c r="F30" i="6"/>
  <c r="G30" i="6"/>
  <c r="D31" i="6"/>
  <c r="E31" i="6"/>
  <c r="F31" i="6"/>
  <c r="G31" i="6"/>
  <c r="G31" i="5"/>
  <c r="G29" i="5"/>
  <c r="D29" i="4"/>
  <c r="B30" i="4"/>
  <c r="C30" i="4"/>
  <c r="B31" i="4"/>
  <c r="D30" i="3"/>
  <c r="E30" i="3"/>
  <c r="F30" i="3"/>
  <c r="G30" i="3"/>
  <c r="D31" i="3"/>
  <c r="E31" i="3"/>
  <c r="F31" i="3"/>
  <c r="G31" i="3"/>
  <c r="B31" i="3"/>
  <c r="B31" i="1"/>
  <c r="B29" i="1"/>
  <c r="C29" i="1"/>
  <c r="D29" i="1"/>
  <c r="E29" i="1"/>
  <c r="G29" i="1"/>
  <c r="D30" i="1"/>
</calcChain>
</file>

<file path=xl/sharedStrings.xml><?xml version="1.0" encoding="utf-8"?>
<sst xmlns="http://schemas.openxmlformats.org/spreadsheetml/2006/main" count="304" uniqueCount="37">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</sst>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C34A-1CC4-4C98-87C6-C70EFC128A20}">
  <dimension ref="A1:G37"/>
  <sheetViews>
    <sheetView zoomScale="70" zoomScaleNormal="70" workbookViewId="0">
      <selection activeCell="M10" sqref="M1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466.47</v>
      </c>
      <c r="C2" s="1">
        <v>464.53</v>
      </c>
      <c r="D2" s="1">
        <v>438.43</v>
      </c>
      <c r="E2" s="1">
        <v>366.75</v>
      </c>
      <c r="F2" s="1">
        <v>471.24</v>
      </c>
      <c r="G2" s="1">
        <v>459.72</v>
      </c>
    </row>
    <row r="3" spans="1:7" x14ac:dyDescent="0.3">
      <c r="A3" s="1" t="s">
        <v>7</v>
      </c>
      <c r="B3" s="1">
        <v>44.67</v>
      </c>
      <c r="C3" s="1">
        <v>45.24</v>
      </c>
      <c r="D3" s="1">
        <v>43.19</v>
      </c>
      <c r="E3" s="1">
        <v>37.619999999999997</v>
      </c>
      <c r="F3" s="1">
        <v>46.26</v>
      </c>
      <c r="G3" s="1">
        <v>44.51</v>
      </c>
    </row>
    <row r="4" spans="1:7" x14ac:dyDescent="0.3">
      <c r="A4" s="1" t="s">
        <v>8</v>
      </c>
      <c r="B4" s="1">
        <v>21147.02</v>
      </c>
      <c r="C4" s="1">
        <v>21447.599999999999</v>
      </c>
      <c r="D4" s="1">
        <v>19353.400000000001</v>
      </c>
      <c r="E4" s="1">
        <v>14122.99</v>
      </c>
      <c r="F4" s="1">
        <v>22125.24</v>
      </c>
      <c r="G4" s="1">
        <v>20929.09</v>
      </c>
    </row>
    <row r="5" spans="1:7" x14ac:dyDescent="0.3">
      <c r="A5" s="1" t="s">
        <v>9</v>
      </c>
      <c r="B5" s="1">
        <v>1776.37</v>
      </c>
      <c r="C5" s="1">
        <v>2172.4</v>
      </c>
      <c r="D5" s="1">
        <v>2099.1999999999998</v>
      </c>
      <c r="E5" s="1">
        <v>1825.67</v>
      </c>
      <c r="F5" s="1">
        <v>2121.19</v>
      </c>
      <c r="G5" s="1">
        <v>1848.98</v>
      </c>
    </row>
    <row r="6" spans="1:7" x14ac:dyDescent="0.3">
      <c r="A6" s="3" t="s">
        <v>10</v>
      </c>
      <c r="B6" s="3">
        <v>177.64</v>
      </c>
      <c r="C6" s="3">
        <v>219.43</v>
      </c>
      <c r="D6" s="3">
        <v>212.04</v>
      </c>
      <c r="E6" s="3">
        <v>184.41</v>
      </c>
      <c r="F6" s="3">
        <v>214.26</v>
      </c>
      <c r="G6" s="3">
        <v>188.67</v>
      </c>
    </row>
    <row r="7" spans="1:7" x14ac:dyDescent="0.3">
      <c r="A7" s="1" t="s">
        <v>11</v>
      </c>
      <c r="B7" s="1">
        <v>1627.57</v>
      </c>
      <c r="C7" s="1">
        <v>2031.27</v>
      </c>
      <c r="D7" s="1">
        <v>1939.28</v>
      </c>
      <c r="E7" s="1">
        <v>1731.65</v>
      </c>
      <c r="F7" s="1">
        <v>1998.35</v>
      </c>
      <c r="G7" s="1">
        <v>1766.17</v>
      </c>
    </row>
    <row r="8" spans="1:7" x14ac:dyDescent="0.3">
      <c r="A8" s="1" t="s">
        <v>12</v>
      </c>
      <c r="B8" s="1">
        <v>162.76</v>
      </c>
      <c r="C8" s="1">
        <v>205.18</v>
      </c>
      <c r="D8" s="1">
        <v>195.89</v>
      </c>
      <c r="E8" s="1">
        <v>174.91</v>
      </c>
      <c r="F8" s="1">
        <v>201.85</v>
      </c>
      <c r="G8" s="1">
        <v>180.22</v>
      </c>
    </row>
    <row r="9" spans="1:7" x14ac:dyDescent="0.3">
      <c r="A9" s="1" t="s">
        <v>13</v>
      </c>
      <c r="B9" s="1">
        <v>1627.57</v>
      </c>
      <c r="C9" s="1">
        <v>2029.49</v>
      </c>
      <c r="D9" s="1">
        <v>1932.97</v>
      </c>
      <c r="E9" s="1">
        <v>1731.65</v>
      </c>
      <c r="F9" s="1">
        <v>1998.35</v>
      </c>
      <c r="G9" s="1">
        <v>1108.47</v>
      </c>
    </row>
    <row r="10" spans="1:7" x14ac:dyDescent="0.3">
      <c r="A10" s="1" t="s">
        <v>14</v>
      </c>
      <c r="B10" s="1">
        <v>162.76</v>
      </c>
      <c r="C10" s="1">
        <v>205</v>
      </c>
      <c r="D10" s="1">
        <v>195.25</v>
      </c>
      <c r="E10" s="1">
        <v>174.91</v>
      </c>
      <c r="F10" s="1">
        <v>201.85</v>
      </c>
      <c r="G10" s="1">
        <v>113.11</v>
      </c>
    </row>
    <row r="11" spans="1:7" x14ac:dyDescent="0.3">
      <c r="A11" s="1" t="s">
        <v>15</v>
      </c>
      <c r="B11" s="1">
        <v>1527.89</v>
      </c>
      <c r="C11" s="1">
        <v>1231.8800000000001</v>
      </c>
      <c r="D11" s="1">
        <v>1995.83</v>
      </c>
      <c r="E11" s="1">
        <v>1705.1</v>
      </c>
      <c r="F11" s="1">
        <v>2010.41</v>
      </c>
      <c r="G11" s="1">
        <v>837.85</v>
      </c>
    </row>
    <row r="12" spans="1:7" x14ac:dyDescent="0.3">
      <c r="A12" s="1" t="s">
        <v>16</v>
      </c>
      <c r="B12" s="1">
        <v>258.89</v>
      </c>
      <c r="C12" s="1">
        <v>247.11</v>
      </c>
      <c r="D12" s="1">
        <v>207.78</v>
      </c>
      <c r="E12" s="1">
        <v>205.57</v>
      </c>
      <c r="F12" s="1">
        <v>276.31</v>
      </c>
      <c r="G12" s="1">
        <v>246.39</v>
      </c>
    </row>
    <row r="13" spans="1:7" x14ac:dyDescent="0.3">
      <c r="A13" s="1" t="s">
        <v>17</v>
      </c>
      <c r="B13" s="1">
        <v>27.64</v>
      </c>
      <c r="C13" s="1">
        <v>34.72</v>
      </c>
      <c r="D13" s="1">
        <v>17.510000000000002</v>
      </c>
      <c r="E13" s="1">
        <v>20.95</v>
      </c>
      <c r="F13" s="1">
        <v>17.48</v>
      </c>
      <c r="G13" s="1">
        <v>29.13</v>
      </c>
    </row>
    <row r="14" spans="1:7" x14ac:dyDescent="0.3">
      <c r="A14" s="1" t="s">
        <v>18</v>
      </c>
      <c r="B14" s="1">
        <v>61.88</v>
      </c>
      <c r="C14" s="1">
        <v>79.56</v>
      </c>
      <c r="D14" s="1">
        <v>49.54</v>
      </c>
      <c r="E14" s="1">
        <v>48.12</v>
      </c>
      <c r="F14" s="1">
        <v>42.96</v>
      </c>
      <c r="G14" s="1">
        <v>86.09</v>
      </c>
    </row>
    <row r="15" spans="1:7" x14ac:dyDescent="0.3">
      <c r="A15" s="1" t="s">
        <v>19</v>
      </c>
      <c r="B15" s="1">
        <v>6</v>
      </c>
      <c r="C15" s="1">
        <v>8</v>
      </c>
      <c r="D15" s="1">
        <v>6</v>
      </c>
      <c r="E15" s="1">
        <v>7</v>
      </c>
      <c r="F15" s="1">
        <v>5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1627.57</v>
      </c>
      <c r="C17" s="1">
        <v>2030.38</v>
      </c>
      <c r="D17" s="1">
        <v>1936.13</v>
      </c>
      <c r="E17" s="1">
        <v>1731.65</v>
      </c>
      <c r="F17" s="1">
        <v>1998.35</v>
      </c>
      <c r="G17" s="1">
        <v>1437.32</v>
      </c>
    </row>
    <row r="18" spans="1:7" x14ac:dyDescent="0.3">
      <c r="A18" s="1" t="s">
        <v>22</v>
      </c>
      <c r="B18" s="1">
        <v>0</v>
      </c>
      <c r="C18" s="1">
        <v>0.89</v>
      </c>
      <c r="D18" s="1">
        <v>3.16</v>
      </c>
      <c r="E18" s="1">
        <v>0</v>
      </c>
      <c r="F18" s="1">
        <v>0</v>
      </c>
      <c r="G18" s="1">
        <v>328.85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1.8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8.1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1.8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8.1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18.181818181818183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81.818181818181813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173.66</v>
      </c>
      <c r="C33" s="3">
        <v>214.43</v>
      </c>
      <c r="D33" s="3">
        <v>210.42</v>
      </c>
      <c r="E33" s="3">
        <v>178.27</v>
      </c>
      <c r="F33" s="3">
        <v>213.48</v>
      </c>
      <c r="G33" s="3">
        <v>97.47</v>
      </c>
    </row>
    <row r="35" spans="1:7" x14ac:dyDescent="0.3">
      <c r="A35" s="3" t="s">
        <v>36</v>
      </c>
      <c r="B35" s="3"/>
      <c r="C35" s="3"/>
      <c r="D35" s="3">
        <f>D33-C33</f>
        <v>-4.0100000000000193</v>
      </c>
      <c r="E35" s="3"/>
      <c r="F35" s="3">
        <f>F33-E33</f>
        <v>35.20999999999998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-32.149999999999977</v>
      </c>
      <c r="F37" s="3"/>
      <c r="G37" s="3">
        <f>G33-F33</f>
        <v>-116.00999999999999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D210-77FC-401E-B820-EFF7DCEAFA7D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412.06</v>
      </c>
      <c r="C2" s="1">
        <v>367.29</v>
      </c>
      <c r="D2" s="1">
        <v>415.41</v>
      </c>
      <c r="E2" s="1">
        <v>505.35</v>
      </c>
      <c r="F2" s="1">
        <v>446.92</v>
      </c>
      <c r="G2" s="1">
        <v>467.65</v>
      </c>
    </row>
    <row r="3" spans="1:7" x14ac:dyDescent="0.3">
      <c r="A3" s="1" t="s">
        <v>7</v>
      </c>
      <c r="B3" s="1">
        <v>45.94</v>
      </c>
      <c r="C3" s="1">
        <v>35.049999999999997</v>
      </c>
      <c r="D3" s="1">
        <v>36.76</v>
      </c>
      <c r="E3" s="1">
        <v>42.16</v>
      </c>
      <c r="F3" s="1">
        <v>41.35</v>
      </c>
      <c r="G3" s="1">
        <v>40.71</v>
      </c>
    </row>
    <row r="4" spans="1:7" x14ac:dyDescent="0.3">
      <c r="A4" s="1" t="s">
        <v>8</v>
      </c>
      <c r="B4" s="1">
        <v>18931.64</v>
      </c>
      <c r="C4" s="1">
        <v>13047.58</v>
      </c>
      <c r="D4" s="1">
        <v>15574.12</v>
      </c>
      <c r="E4" s="1">
        <v>21667.11</v>
      </c>
      <c r="F4" s="1">
        <v>18768.150000000001</v>
      </c>
      <c r="G4" s="1">
        <v>19369.32</v>
      </c>
    </row>
    <row r="5" spans="1:7" x14ac:dyDescent="0.3">
      <c r="A5" s="1" t="s">
        <v>9</v>
      </c>
      <c r="B5" s="1">
        <v>1487.53</v>
      </c>
      <c r="C5" s="1">
        <v>2112.6999999999998</v>
      </c>
      <c r="D5" s="1">
        <v>2361.4</v>
      </c>
      <c r="E5" s="1">
        <v>1609</v>
      </c>
      <c r="F5" s="1">
        <v>524.41999999999996</v>
      </c>
      <c r="G5" s="1">
        <v>1598.13</v>
      </c>
    </row>
    <row r="6" spans="1:7" x14ac:dyDescent="0.3">
      <c r="A6" s="3" t="s">
        <v>10</v>
      </c>
      <c r="B6" s="3">
        <v>148.75</v>
      </c>
      <c r="C6" s="3">
        <v>213.4</v>
      </c>
      <c r="D6" s="3">
        <v>238.53</v>
      </c>
      <c r="E6" s="3">
        <v>162.52000000000001</v>
      </c>
      <c r="F6" s="3">
        <v>52.97</v>
      </c>
      <c r="G6" s="3">
        <v>163.07</v>
      </c>
    </row>
    <row r="7" spans="1:7" x14ac:dyDescent="0.3">
      <c r="A7" s="1" t="s">
        <v>11</v>
      </c>
      <c r="B7" s="1">
        <v>1272.98</v>
      </c>
      <c r="C7" s="1">
        <v>1916.76</v>
      </c>
      <c r="D7" s="1">
        <v>2176.5300000000002</v>
      </c>
      <c r="E7" s="1">
        <v>1525.19</v>
      </c>
      <c r="F7" s="1">
        <v>436.97</v>
      </c>
      <c r="G7" s="1">
        <v>1545.09</v>
      </c>
    </row>
    <row r="8" spans="1:7" x14ac:dyDescent="0.3">
      <c r="A8" s="1" t="s">
        <v>12</v>
      </c>
      <c r="B8" s="1">
        <v>127.3</v>
      </c>
      <c r="C8" s="1">
        <v>193.61</v>
      </c>
      <c r="D8" s="1">
        <v>219.85</v>
      </c>
      <c r="E8" s="1">
        <v>154.06</v>
      </c>
      <c r="F8" s="1">
        <v>44.14</v>
      </c>
      <c r="G8" s="1">
        <v>157.66</v>
      </c>
    </row>
    <row r="9" spans="1:7" x14ac:dyDescent="0.3">
      <c r="A9" s="1" t="s">
        <v>13</v>
      </c>
      <c r="B9" s="1">
        <v>984.77</v>
      </c>
      <c r="C9" s="1">
        <v>1524.74</v>
      </c>
      <c r="D9" s="1">
        <v>2144.5</v>
      </c>
      <c r="E9" s="1">
        <v>1431.72</v>
      </c>
      <c r="F9" s="1">
        <v>294</v>
      </c>
      <c r="G9" s="1">
        <v>1545.09</v>
      </c>
    </row>
    <row r="10" spans="1:7" x14ac:dyDescent="0.3">
      <c r="A10" s="1" t="s">
        <v>14</v>
      </c>
      <c r="B10" s="1">
        <v>98.48</v>
      </c>
      <c r="C10" s="1">
        <v>154.01</v>
      </c>
      <c r="D10" s="1">
        <v>216.62</v>
      </c>
      <c r="E10" s="1">
        <v>144.62</v>
      </c>
      <c r="F10" s="1">
        <v>29.7</v>
      </c>
      <c r="G10" s="1">
        <v>157.66</v>
      </c>
    </row>
    <row r="11" spans="1:7" x14ac:dyDescent="0.3">
      <c r="A11" s="1" t="s">
        <v>15</v>
      </c>
      <c r="B11" s="1">
        <v>842.16</v>
      </c>
      <c r="C11" s="1">
        <v>421.61</v>
      </c>
      <c r="D11" s="1">
        <v>1464.02</v>
      </c>
      <c r="E11" s="1">
        <v>1350.09</v>
      </c>
      <c r="F11" s="1">
        <v>212.03</v>
      </c>
      <c r="G11" s="1">
        <v>1495.53</v>
      </c>
    </row>
    <row r="12" spans="1:7" x14ac:dyDescent="0.3">
      <c r="A12" s="1" t="s">
        <v>16</v>
      </c>
      <c r="B12" s="1">
        <v>198.08</v>
      </c>
      <c r="C12" s="1">
        <v>199.57</v>
      </c>
      <c r="D12" s="1">
        <v>249.02</v>
      </c>
      <c r="E12" s="1">
        <v>269.33999999999997</v>
      </c>
      <c r="F12" s="1">
        <v>226.62</v>
      </c>
      <c r="G12" s="1">
        <v>252.4</v>
      </c>
    </row>
    <row r="13" spans="1:7" x14ac:dyDescent="0.3">
      <c r="A13" s="1" t="s">
        <v>17</v>
      </c>
      <c r="B13" s="1">
        <v>30</v>
      </c>
      <c r="C13" s="1">
        <v>34.770000000000003</v>
      </c>
      <c r="D13" s="1">
        <v>24.77</v>
      </c>
      <c r="E13" s="1">
        <v>26.1</v>
      </c>
      <c r="F13" s="1">
        <v>40.26</v>
      </c>
      <c r="G13" s="1">
        <v>18.32</v>
      </c>
    </row>
    <row r="14" spans="1:7" x14ac:dyDescent="0.3">
      <c r="A14" s="1" t="s">
        <v>18</v>
      </c>
      <c r="B14" s="1">
        <v>77.94</v>
      </c>
      <c r="C14" s="1">
        <v>85.05</v>
      </c>
      <c r="D14" s="1">
        <v>65.13</v>
      </c>
      <c r="E14" s="1">
        <v>56.91</v>
      </c>
      <c r="F14" s="1">
        <v>64.03</v>
      </c>
      <c r="G14" s="1">
        <v>40.83</v>
      </c>
    </row>
    <row r="15" spans="1:7" x14ac:dyDescent="0.3">
      <c r="A15" s="1" t="s">
        <v>19</v>
      </c>
      <c r="B15" s="1">
        <v>8</v>
      </c>
      <c r="C15" s="1">
        <v>9</v>
      </c>
      <c r="D15" s="1">
        <v>9</v>
      </c>
      <c r="E15" s="1">
        <v>3</v>
      </c>
      <c r="F15" s="1">
        <v>3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1128.8699999999999</v>
      </c>
      <c r="C17" s="1">
        <v>1720.75</v>
      </c>
      <c r="D17" s="1">
        <v>2160.52</v>
      </c>
      <c r="E17" s="1">
        <v>1478.45</v>
      </c>
      <c r="F17" s="1">
        <v>365.49</v>
      </c>
      <c r="G17" s="1">
        <v>1545.09</v>
      </c>
    </row>
    <row r="18" spans="1:7" x14ac:dyDescent="0.3">
      <c r="A18" s="1" t="s">
        <v>22</v>
      </c>
      <c r="B18" s="1">
        <v>144.1</v>
      </c>
      <c r="C18" s="1">
        <v>196.01</v>
      </c>
      <c r="D18" s="1">
        <v>16.02</v>
      </c>
      <c r="E18" s="1">
        <v>46.74</v>
      </c>
      <c r="F18" s="1">
        <v>71.48</v>
      </c>
      <c r="G18" s="1">
        <v>0</v>
      </c>
    </row>
    <row r="19" spans="1:7" x14ac:dyDescent="0.3">
      <c r="A19" s="1" t="s">
        <v>23</v>
      </c>
      <c r="B19" s="1">
        <v>0</v>
      </c>
      <c r="C19" s="1">
        <v>1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1.1000000000000001</v>
      </c>
      <c r="D20" s="1">
        <v>0</v>
      </c>
      <c r="E20" s="1">
        <v>0</v>
      </c>
      <c r="F20" s="1">
        <v>1.3</v>
      </c>
      <c r="G20" s="1">
        <v>0</v>
      </c>
    </row>
    <row r="21" spans="1:7" x14ac:dyDescent="0.3">
      <c r="A21" s="1" t="s">
        <v>25</v>
      </c>
      <c r="B21" s="1">
        <v>10.1</v>
      </c>
      <c r="C21" s="1">
        <v>8.9</v>
      </c>
      <c r="D21" s="1">
        <v>10</v>
      </c>
      <c r="E21" s="1">
        <v>10</v>
      </c>
      <c r="F21" s="1">
        <v>8.6999999999999993</v>
      </c>
      <c r="G21" s="1">
        <v>9.9</v>
      </c>
    </row>
    <row r="22" spans="1:7" x14ac:dyDescent="0.3">
      <c r="A22" s="1" t="s">
        <v>26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2.6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1.1000000000000001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2.6</v>
      </c>
      <c r="C25" s="1">
        <v>1.3</v>
      </c>
      <c r="D25" s="1">
        <v>0</v>
      </c>
      <c r="E25" s="1">
        <v>0</v>
      </c>
      <c r="F25" s="1">
        <v>6.2</v>
      </c>
      <c r="G25" s="1">
        <v>0</v>
      </c>
    </row>
    <row r="26" spans="1:7" x14ac:dyDescent="0.3">
      <c r="A26" s="1" t="s">
        <v>30</v>
      </c>
      <c r="B26" s="1">
        <v>7.5</v>
      </c>
      <c r="C26" s="1">
        <v>7.6</v>
      </c>
      <c r="D26" s="1">
        <v>10</v>
      </c>
      <c r="E26" s="1">
        <v>10</v>
      </c>
      <c r="F26" s="1">
        <v>3.8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11.000000000000002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25.742574257425744</v>
      </c>
      <c r="C30" s="3">
        <f t="shared" ref="C30:G30" si="2">C25/C28*100</f>
        <v>13</v>
      </c>
      <c r="D30" s="3">
        <f t="shared" si="2"/>
        <v>0</v>
      </c>
      <c r="E30" s="3">
        <f t="shared" si="2"/>
        <v>0</v>
      </c>
      <c r="F30" s="3">
        <f t="shared" si="2"/>
        <v>62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74.257425742574256</v>
      </c>
      <c r="C31" s="3">
        <f t="shared" ref="C31:G31" si="3">C26/C28*100</f>
        <v>76</v>
      </c>
      <c r="D31" s="3">
        <f t="shared" si="3"/>
        <v>100</v>
      </c>
      <c r="E31" s="3">
        <f t="shared" si="3"/>
        <v>100</v>
      </c>
      <c r="F31" s="3">
        <f t="shared" si="3"/>
        <v>38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108.46</v>
      </c>
      <c r="C33" s="3">
        <v>163.9</v>
      </c>
      <c r="D33" s="3">
        <v>232.42</v>
      </c>
      <c r="E33" s="3">
        <v>153.49</v>
      </c>
      <c r="F33" s="3">
        <v>27.93</v>
      </c>
      <c r="G33" s="3">
        <v>160.79</v>
      </c>
    </row>
    <row r="35" spans="1:7" x14ac:dyDescent="0.3">
      <c r="A35" s="3" t="s">
        <v>36</v>
      </c>
      <c r="B35" s="3"/>
      <c r="C35" s="3"/>
      <c r="D35" s="3">
        <f>D33-C33</f>
        <v>68.519999999999982</v>
      </c>
      <c r="E35" s="3"/>
      <c r="F35" s="3">
        <f>F33-E33</f>
        <v>-125.56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-78.929999999999978</v>
      </c>
      <c r="F37" s="3"/>
      <c r="G37" s="3">
        <f>G33-F33</f>
        <v>132.85999999999999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5EAE-B4F8-4925-B81C-9F3E6B0716F0}">
  <dimension ref="A1:G37"/>
  <sheetViews>
    <sheetView zoomScale="70" zoomScaleNormal="70" workbookViewId="0">
      <selection activeCell="I10" sqref="I10:I2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474.67</v>
      </c>
      <c r="C2" s="1">
        <v>527.07000000000005</v>
      </c>
      <c r="D2" s="1">
        <v>534.15</v>
      </c>
      <c r="E2" s="1">
        <v>430.73</v>
      </c>
      <c r="F2" s="1">
        <v>487.9</v>
      </c>
      <c r="G2" s="1">
        <v>570.04999999999995</v>
      </c>
    </row>
    <row r="3" spans="1:7" x14ac:dyDescent="0.3">
      <c r="A3" s="1" t="s">
        <v>7</v>
      </c>
      <c r="B3" s="1">
        <v>37.409999999999997</v>
      </c>
      <c r="C3" s="1">
        <v>41.69</v>
      </c>
      <c r="D3" s="1">
        <v>40.5</v>
      </c>
      <c r="E3" s="1">
        <v>36.56</v>
      </c>
      <c r="F3" s="1">
        <v>37.21</v>
      </c>
      <c r="G3" s="1">
        <v>50.06</v>
      </c>
    </row>
    <row r="4" spans="1:7" x14ac:dyDescent="0.3">
      <c r="A4" s="1" t="s">
        <v>8</v>
      </c>
      <c r="B4" s="1">
        <v>18003.89</v>
      </c>
      <c r="C4" s="1">
        <v>22297</v>
      </c>
      <c r="D4" s="1">
        <v>21996.959999999999</v>
      </c>
      <c r="E4" s="1">
        <v>16037.97</v>
      </c>
      <c r="F4" s="1">
        <v>18459.849999999999</v>
      </c>
      <c r="G4" s="1">
        <v>29155.88</v>
      </c>
    </row>
    <row r="5" spans="1:7" x14ac:dyDescent="0.3">
      <c r="A5" s="1" t="s">
        <v>9</v>
      </c>
      <c r="B5" s="1">
        <v>1232.27</v>
      </c>
      <c r="C5" s="1">
        <v>2461.35</v>
      </c>
      <c r="D5" s="1">
        <v>2327.0500000000002</v>
      </c>
      <c r="E5" s="1">
        <v>1368.83</v>
      </c>
      <c r="F5" s="1">
        <v>1379.09</v>
      </c>
      <c r="G5" s="1">
        <v>2443</v>
      </c>
    </row>
    <row r="6" spans="1:7" x14ac:dyDescent="0.3">
      <c r="A6" s="3" t="s">
        <v>10</v>
      </c>
      <c r="B6" s="3">
        <v>123.23</v>
      </c>
      <c r="C6" s="3">
        <v>248.62</v>
      </c>
      <c r="D6" s="3">
        <v>235.06</v>
      </c>
      <c r="E6" s="3">
        <v>138.27000000000001</v>
      </c>
      <c r="F6" s="3">
        <v>139.30000000000001</v>
      </c>
      <c r="G6" s="3">
        <v>249.29</v>
      </c>
    </row>
    <row r="7" spans="1:7" x14ac:dyDescent="0.3">
      <c r="A7" s="1" t="s">
        <v>11</v>
      </c>
      <c r="B7" s="1">
        <v>1105.0899999999999</v>
      </c>
      <c r="C7" s="1">
        <v>2314.8200000000002</v>
      </c>
      <c r="D7" s="1">
        <v>2178.84</v>
      </c>
      <c r="E7" s="1">
        <v>1219.75</v>
      </c>
      <c r="F7" s="1">
        <v>1194.73</v>
      </c>
      <c r="G7" s="1">
        <v>2375.64</v>
      </c>
    </row>
    <row r="8" spans="1:7" x14ac:dyDescent="0.3">
      <c r="A8" s="1" t="s">
        <v>12</v>
      </c>
      <c r="B8" s="1">
        <v>110.51</v>
      </c>
      <c r="C8" s="1">
        <v>233.82</v>
      </c>
      <c r="D8" s="1">
        <v>220.08</v>
      </c>
      <c r="E8" s="1">
        <v>123.21</v>
      </c>
      <c r="F8" s="1">
        <v>120.68</v>
      </c>
      <c r="G8" s="1">
        <v>242.41</v>
      </c>
    </row>
    <row r="9" spans="1:7" x14ac:dyDescent="0.3">
      <c r="A9" s="1" t="s">
        <v>13</v>
      </c>
      <c r="B9" s="1">
        <v>813.3</v>
      </c>
      <c r="C9" s="1">
        <v>2314.8200000000002</v>
      </c>
      <c r="D9" s="1">
        <v>2178.84</v>
      </c>
      <c r="E9" s="1">
        <v>860.34</v>
      </c>
      <c r="F9" s="1">
        <v>1148.51</v>
      </c>
      <c r="G9" s="1">
        <v>2375.64</v>
      </c>
    </row>
    <row r="10" spans="1:7" x14ac:dyDescent="0.3">
      <c r="A10" s="1" t="s">
        <v>14</v>
      </c>
      <c r="B10" s="1">
        <v>81.33</v>
      </c>
      <c r="C10" s="1">
        <v>233.82</v>
      </c>
      <c r="D10" s="1">
        <v>220.08</v>
      </c>
      <c r="E10" s="1">
        <v>86.9</v>
      </c>
      <c r="F10" s="1">
        <v>116.01</v>
      </c>
      <c r="G10" s="1">
        <v>242.41</v>
      </c>
    </row>
    <row r="11" spans="1:7" x14ac:dyDescent="0.3">
      <c r="A11" s="1" t="s">
        <v>15</v>
      </c>
      <c r="B11" s="1">
        <v>208.49</v>
      </c>
      <c r="C11" s="1">
        <v>1995.29</v>
      </c>
      <c r="D11" s="1">
        <v>2090.2199999999998</v>
      </c>
      <c r="E11" s="1">
        <v>191.02</v>
      </c>
      <c r="F11" s="1">
        <v>959.13</v>
      </c>
      <c r="G11" s="1">
        <v>2178.4299999999998</v>
      </c>
    </row>
    <row r="12" spans="1:7" x14ac:dyDescent="0.3">
      <c r="A12" s="1" t="s">
        <v>16</v>
      </c>
      <c r="B12" s="1">
        <v>213.93</v>
      </c>
      <c r="C12" s="1">
        <v>268.38</v>
      </c>
      <c r="D12" s="1">
        <v>271.13</v>
      </c>
      <c r="E12" s="1">
        <v>203.85</v>
      </c>
      <c r="F12" s="1">
        <v>238.49</v>
      </c>
      <c r="G12" s="1">
        <v>280.37</v>
      </c>
    </row>
    <row r="13" spans="1:7" x14ac:dyDescent="0.3">
      <c r="A13" s="1" t="s">
        <v>17</v>
      </c>
      <c r="B13" s="1">
        <v>42.41</v>
      </c>
      <c r="C13" s="1">
        <v>43.71</v>
      </c>
      <c r="D13" s="1">
        <v>25.67</v>
      </c>
      <c r="E13" s="1">
        <v>48.41</v>
      </c>
      <c r="F13" s="1">
        <v>38.6</v>
      </c>
      <c r="G13" s="1">
        <v>29.17</v>
      </c>
    </row>
    <row r="14" spans="1:7" x14ac:dyDescent="0.3">
      <c r="A14" s="1" t="s">
        <v>18</v>
      </c>
      <c r="B14" s="1">
        <v>94.75</v>
      </c>
      <c r="C14" s="1">
        <v>90.31</v>
      </c>
      <c r="D14" s="1">
        <v>62.53</v>
      </c>
      <c r="E14" s="1">
        <v>87.97</v>
      </c>
      <c r="F14" s="1">
        <v>94.49</v>
      </c>
      <c r="G14" s="1">
        <v>79.819999999999993</v>
      </c>
    </row>
    <row r="15" spans="1:7" x14ac:dyDescent="0.3">
      <c r="A15" s="1" t="s">
        <v>19</v>
      </c>
      <c r="B15" s="1">
        <v>4</v>
      </c>
      <c r="C15" s="1">
        <v>9</v>
      </c>
      <c r="D15" s="1">
        <v>6</v>
      </c>
      <c r="E15" s="1">
        <v>7</v>
      </c>
      <c r="F15" s="1">
        <v>4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959.19</v>
      </c>
      <c r="C17" s="1">
        <v>2314.8200000000002</v>
      </c>
      <c r="D17" s="1">
        <v>2178.84</v>
      </c>
      <c r="E17" s="1">
        <v>1040.05</v>
      </c>
      <c r="F17" s="1">
        <v>1171.6199999999999</v>
      </c>
      <c r="G17" s="1">
        <v>2375.64</v>
      </c>
    </row>
    <row r="18" spans="1:7" x14ac:dyDescent="0.3">
      <c r="A18" s="1" t="s">
        <v>22</v>
      </c>
      <c r="B18" s="1">
        <v>145.9</v>
      </c>
      <c r="C18" s="1">
        <v>0</v>
      </c>
      <c r="D18" s="1">
        <v>0</v>
      </c>
      <c r="E18" s="1">
        <v>179.7</v>
      </c>
      <c r="F18" s="1">
        <v>23.11</v>
      </c>
      <c r="G18" s="1">
        <v>0</v>
      </c>
    </row>
    <row r="19" spans="1:7" x14ac:dyDescent="0.3">
      <c r="A19" s="1" t="s">
        <v>23</v>
      </c>
      <c r="B19" s="1">
        <v>2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3">
      <c r="A20" s="1" t="s">
        <v>24</v>
      </c>
      <c r="B20" s="1">
        <v>2.1</v>
      </c>
      <c r="C20" s="1">
        <v>0</v>
      </c>
      <c r="D20" s="1">
        <v>0</v>
      </c>
      <c r="E20" s="1">
        <v>1.1000000000000001</v>
      </c>
      <c r="F20" s="1">
        <v>0</v>
      </c>
      <c r="G20" s="1">
        <v>0</v>
      </c>
    </row>
    <row r="21" spans="1:7" x14ac:dyDescent="0.3">
      <c r="A21" s="1" t="s">
        <v>25</v>
      </c>
      <c r="B21" s="1">
        <v>8</v>
      </c>
      <c r="C21" s="1">
        <v>10</v>
      </c>
      <c r="D21" s="1">
        <v>10</v>
      </c>
      <c r="E21" s="1">
        <v>8.9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2.4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4.8</v>
      </c>
      <c r="C25" s="1">
        <v>0</v>
      </c>
      <c r="D25" s="1">
        <v>0</v>
      </c>
      <c r="E25" s="1">
        <v>1.9</v>
      </c>
      <c r="F25" s="1">
        <v>0</v>
      </c>
      <c r="G25" s="1">
        <v>0</v>
      </c>
    </row>
    <row r="26" spans="1:7" x14ac:dyDescent="0.3">
      <c r="A26" s="1" t="s">
        <v>30</v>
      </c>
      <c r="B26" s="1">
        <v>5.3</v>
      </c>
      <c r="C26" s="1">
        <v>10</v>
      </c>
      <c r="D26" s="1">
        <v>10</v>
      </c>
      <c r="E26" s="1">
        <v>8.1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47.524752475247524</v>
      </c>
      <c r="C30" s="3">
        <f t="shared" ref="C30:G30" si="2">C25/C28*100</f>
        <v>0</v>
      </c>
      <c r="D30" s="3">
        <f t="shared" si="2"/>
        <v>0</v>
      </c>
      <c r="E30" s="3">
        <f t="shared" si="2"/>
        <v>19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52.475247524752476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81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68.510000000000005</v>
      </c>
      <c r="C33" s="3">
        <v>243.45</v>
      </c>
      <c r="D33" s="3">
        <v>233.93</v>
      </c>
      <c r="E33" s="3">
        <v>91.59</v>
      </c>
      <c r="F33" s="3">
        <v>127.71</v>
      </c>
      <c r="G33" s="3">
        <v>247.15</v>
      </c>
    </row>
    <row r="35" spans="1:7" x14ac:dyDescent="0.3">
      <c r="A35" s="3" t="s">
        <v>36</v>
      </c>
      <c r="B35" s="3"/>
      <c r="C35" s="3"/>
      <c r="D35" s="3">
        <f>D33-C33</f>
        <v>-9.5199999999999818</v>
      </c>
      <c r="E35" s="3"/>
      <c r="F35" s="3">
        <f>F33-E33</f>
        <v>36.11999999999999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-142.34</v>
      </c>
      <c r="F37" s="3"/>
      <c r="G37" s="3">
        <f>G33-F33</f>
        <v>119.44000000000001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AAAF-22B3-40F9-8937-FEDEEF74EA29}">
  <dimension ref="A1:G37"/>
  <sheetViews>
    <sheetView zoomScale="70" zoomScaleNormal="70" workbookViewId="0">
      <selection activeCell="N18" sqref="N18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523.39</v>
      </c>
      <c r="C2" s="1">
        <v>511.71</v>
      </c>
      <c r="D2" s="1">
        <v>548.20000000000005</v>
      </c>
      <c r="E2" s="1">
        <v>533.4</v>
      </c>
      <c r="F2" s="1">
        <v>548.57000000000005</v>
      </c>
      <c r="G2" s="1">
        <v>537.35</v>
      </c>
    </row>
    <row r="3" spans="1:7" x14ac:dyDescent="0.3">
      <c r="A3" s="1" t="s">
        <v>7</v>
      </c>
      <c r="B3" s="1">
        <v>49.77</v>
      </c>
      <c r="C3" s="1">
        <v>44.72</v>
      </c>
      <c r="D3" s="1">
        <v>47.44</v>
      </c>
      <c r="E3" s="1">
        <v>50.87</v>
      </c>
      <c r="F3" s="1">
        <v>51.21</v>
      </c>
      <c r="G3" s="1">
        <v>52.01</v>
      </c>
    </row>
    <row r="4" spans="1:7" x14ac:dyDescent="0.3">
      <c r="A4" s="1" t="s">
        <v>8</v>
      </c>
      <c r="B4" s="1">
        <v>26425.01</v>
      </c>
      <c r="C4" s="1">
        <v>23310.240000000002</v>
      </c>
      <c r="D4" s="1">
        <v>26538.33</v>
      </c>
      <c r="E4" s="1">
        <v>27574.68</v>
      </c>
      <c r="F4" s="1">
        <v>28570.25</v>
      </c>
      <c r="G4" s="1">
        <v>28397.61</v>
      </c>
    </row>
    <row r="5" spans="1:7" x14ac:dyDescent="0.3">
      <c r="A5" s="1" t="s">
        <v>9</v>
      </c>
      <c r="B5" s="1">
        <v>1418.31</v>
      </c>
      <c r="C5" s="1">
        <v>2598.46</v>
      </c>
      <c r="D5" s="1">
        <v>2518.02</v>
      </c>
      <c r="E5" s="1">
        <v>1392.11</v>
      </c>
      <c r="F5" s="1">
        <v>1773.36</v>
      </c>
      <c r="G5" s="1">
        <v>2263.9</v>
      </c>
    </row>
    <row r="6" spans="1:7" x14ac:dyDescent="0.3">
      <c r="A6" s="3" t="s">
        <v>10</v>
      </c>
      <c r="B6" s="3">
        <v>141.83000000000001</v>
      </c>
      <c r="C6" s="3">
        <v>262.47000000000003</v>
      </c>
      <c r="D6" s="3">
        <v>254.35</v>
      </c>
      <c r="E6" s="3">
        <v>140.62</v>
      </c>
      <c r="F6" s="3">
        <v>179.13</v>
      </c>
      <c r="G6" s="3">
        <v>231.01</v>
      </c>
    </row>
    <row r="7" spans="1:7" x14ac:dyDescent="0.3">
      <c r="A7" s="1" t="s">
        <v>11</v>
      </c>
      <c r="B7" s="1">
        <v>1276.8800000000001</v>
      </c>
      <c r="C7" s="1">
        <v>2397.9499999999998</v>
      </c>
      <c r="D7" s="1">
        <v>2347.63</v>
      </c>
      <c r="E7" s="1">
        <v>1338.23</v>
      </c>
      <c r="F7" s="1">
        <v>1709.43</v>
      </c>
      <c r="G7" s="1">
        <v>2153.98</v>
      </c>
    </row>
    <row r="8" spans="1:7" x14ac:dyDescent="0.3">
      <c r="A8" s="1" t="s">
        <v>12</v>
      </c>
      <c r="B8" s="1">
        <v>127.69</v>
      </c>
      <c r="C8" s="1">
        <v>242.22</v>
      </c>
      <c r="D8" s="1">
        <v>237.13</v>
      </c>
      <c r="E8" s="1">
        <v>135.18</v>
      </c>
      <c r="F8" s="1">
        <v>172.67</v>
      </c>
      <c r="G8" s="1">
        <v>219.79</v>
      </c>
    </row>
    <row r="9" spans="1:7" x14ac:dyDescent="0.3">
      <c r="A9" s="1" t="s">
        <v>13</v>
      </c>
      <c r="B9" s="1">
        <v>817.78</v>
      </c>
      <c r="C9" s="1">
        <v>2397.9499999999998</v>
      </c>
      <c r="D9" s="1">
        <v>2347.63</v>
      </c>
      <c r="E9" s="1">
        <v>1338.23</v>
      </c>
      <c r="F9" s="1">
        <v>1583.01</v>
      </c>
      <c r="G9" s="1">
        <v>2153.98</v>
      </c>
    </row>
    <row r="10" spans="1:7" x14ac:dyDescent="0.3">
      <c r="A10" s="1" t="s">
        <v>14</v>
      </c>
      <c r="B10" s="1">
        <v>81.78</v>
      </c>
      <c r="C10" s="1">
        <v>242.22</v>
      </c>
      <c r="D10" s="1">
        <v>237.13</v>
      </c>
      <c r="E10" s="1">
        <v>135.18</v>
      </c>
      <c r="F10" s="1">
        <v>159.9</v>
      </c>
      <c r="G10" s="1">
        <v>219.79</v>
      </c>
    </row>
    <row r="11" spans="1:7" x14ac:dyDescent="0.3">
      <c r="A11" s="1" t="s">
        <v>15</v>
      </c>
      <c r="B11" s="1">
        <v>330.68</v>
      </c>
      <c r="C11" s="1">
        <v>1321.04</v>
      </c>
      <c r="D11" s="1">
        <v>2212.96</v>
      </c>
      <c r="E11" s="1">
        <v>1114.68</v>
      </c>
      <c r="F11" s="1">
        <v>1425.75</v>
      </c>
      <c r="G11" s="1">
        <v>2056.87</v>
      </c>
    </row>
    <row r="12" spans="1:7" x14ac:dyDescent="0.3">
      <c r="A12" s="1" t="s">
        <v>16</v>
      </c>
      <c r="B12" s="1">
        <v>230.63</v>
      </c>
      <c r="C12" s="1">
        <v>253.03</v>
      </c>
      <c r="D12" s="1">
        <v>272.86</v>
      </c>
      <c r="E12" s="1">
        <v>245.93</v>
      </c>
      <c r="F12" s="1">
        <v>288.37</v>
      </c>
      <c r="G12" s="1">
        <v>268.04000000000002</v>
      </c>
    </row>
    <row r="13" spans="1:7" x14ac:dyDescent="0.3">
      <c r="A13" s="1" t="s">
        <v>17</v>
      </c>
      <c r="B13" s="1">
        <v>49.85</v>
      </c>
      <c r="C13" s="1">
        <v>40.450000000000003</v>
      </c>
      <c r="D13" s="1">
        <v>29.66</v>
      </c>
      <c r="E13" s="1">
        <v>36.81</v>
      </c>
      <c r="F13" s="1">
        <v>24.01</v>
      </c>
      <c r="G13" s="1">
        <v>27.42</v>
      </c>
    </row>
    <row r="14" spans="1:7" x14ac:dyDescent="0.3">
      <c r="A14" s="1" t="s">
        <v>18</v>
      </c>
      <c r="B14" s="1">
        <v>109.96</v>
      </c>
      <c r="C14" s="1">
        <v>111.14</v>
      </c>
      <c r="D14" s="1">
        <v>74.83</v>
      </c>
      <c r="E14" s="1">
        <v>83.22</v>
      </c>
      <c r="F14" s="1">
        <v>58.15</v>
      </c>
      <c r="G14" s="1">
        <v>74.14</v>
      </c>
    </row>
    <row r="15" spans="1:7" x14ac:dyDescent="0.3">
      <c r="A15" s="1" t="s">
        <v>19</v>
      </c>
      <c r="B15" s="1">
        <v>5</v>
      </c>
      <c r="C15" s="1">
        <v>8</v>
      </c>
      <c r="D15" s="1">
        <v>8</v>
      </c>
      <c r="E15" s="1">
        <v>6</v>
      </c>
      <c r="F15" s="1">
        <v>3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1047.33</v>
      </c>
      <c r="C17" s="1">
        <v>2397.9499999999998</v>
      </c>
      <c r="D17" s="1">
        <v>2347.63</v>
      </c>
      <c r="E17" s="1">
        <v>1338.23</v>
      </c>
      <c r="F17" s="1">
        <v>1646.22</v>
      </c>
      <c r="G17" s="1">
        <v>2153.98</v>
      </c>
    </row>
    <row r="18" spans="1:7" x14ac:dyDescent="0.3">
      <c r="A18" s="1" t="s">
        <v>22</v>
      </c>
      <c r="B18" s="1">
        <v>229.55</v>
      </c>
      <c r="C18" s="1">
        <v>0</v>
      </c>
      <c r="D18" s="1">
        <v>0</v>
      </c>
      <c r="E18" s="1">
        <v>0</v>
      </c>
      <c r="F18" s="1">
        <v>63.21</v>
      </c>
      <c r="G18" s="1">
        <v>0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1.1000000000000001</v>
      </c>
      <c r="C20" s="1">
        <v>0</v>
      </c>
      <c r="D20" s="1">
        <v>0</v>
      </c>
      <c r="E20" s="1">
        <v>0</v>
      </c>
      <c r="F20" s="1">
        <v>1.2</v>
      </c>
      <c r="G20" s="1">
        <v>0</v>
      </c>
    </row>
    <row r="21" spans="1:7" x14ac:dyDescent="0.3">
      <c r="A21" s="1" t="s">
        <v>25</v>
      </c>
      <c r="B21" s="1">
        <v>9</v>
      </c>
      <c r="C21" s="1">
        <v>10</v>
      </c>
      <c r="D21" s="1">
        <v>10</v>
      </c>
      <c r="E21" s="1">
        <v>10</v>
      </c>
      <c r="F21" s="1">
        <v>8.8000000000000007</v>
      </c>
      <c r="G21" s="1">
        <v>9.9</v>
      </c>
    </row>
    <row r="22" spans="1:7" x14ac:dyDescent="0.3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2.5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1.1000000000000001</v>
      </c>
      <c r="C24" s="1">
        <v>0</v>
      </c>
      <c r="D24" s="1">
        <v>0</v>
      </c>
      <c r="E24" s="1">
        <v>0</v>
      </c>
      <c r="F24" s="1">
        <v>1.2</v>
      </c>
      <c r="G24" s="1">
        <v>0</v>
      </c>
    </row>
    <row r="25" spans="1:7" x14ac:dyDescent="0.3">
      <c r="A25" s="1" t="s">
        <v>29</v>
      </c>
      <c r="B25" s="1">
        <v>1.4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7.6</v>
      </c>
      <c r="C26" s="1">
        <v>10</v>
      </c>
      <c r="D26" s="1">
        <v>10</v>
      </c>
      <c r="E26" s="1">
        <v>10</v>
      </c>
      <c r="F26" s="1">
        <v>8.8000000000000007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10.891089108910892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12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13.861386138613859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75.247524752475243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88.000000000000014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88.16</v>
      </c>
      <c r="C33" s="3">
        <v>252.09</v>
      </c>
      <c r="D33" s="3">
        <v>252.29</v>
      </c>
      <c r="E33" s="3">
        <v>137.75</v>
      </c>
      <c r="F33" s="3">
        <v>154.74</v>
      </c>
      <c r="G33" s="3">
        <v>229.23</v>
      </c>
    </row>
    <row r="35" spans="1:7" x14ac:dyDescent="0.3">
      <c r="A35" s="3" t="s">
        <v>36</v>
      </c>
      <c r="B35" s="3"/>
      <c r="C35" s="3"/>
      <c r="D35" s="3">
        <f>D33-C33</f>
        <v>0.19999999999998863</v>
      </c>
      <c r="E35" s="3"/>
      <c r="F35" s="3">
        <f>F33-E33</f>
        <v>16.990000000000009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-114.53999999999999</v>
      </c>
      <c r="F37" s="3"/>
      <c r="G37" s="3">
        <f>G33-F33</f>
        <v>74.489999999999981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03DA-D23D-411D-8672-13A07456DD5C}">
  <dimension ref="A1:G37"/>
  <sheetViews>
    <sheetView zoomScale="70" zoomScaleNormal="70" workbookViewId="0">
      <selection activeCell="L26" sqref="L2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484.69</v>
      </c>
      <c r="C2" s="1">
        <v>474.97</v>
      </c>
      <c r="D2" s="1">
        <v>489.57</v>
      </c>
      <c r="E2" s="1">
        <v>408.62</v>
      </c>
      <c r="F2" s="1">
        <v>503.99</v>
      </c>
      <c r="G2" s="1">
        <v>493.94</v>
      </c>
    </row>
    <row r="3" spans="1:7" x14ac:dyDescent="0.3">
      <c r="A3" s="1" t="s">
        <v>7</v>
      </c>
      <c r="B3" s="1">
        <v>43.2</v>
      </c>
      <c r="C3" s="1">
        <v>41.02</v>
      </c>
      <c r="D3" s="1">
        <v>41.38</v>
      </c>
      <c r="E3" s="1">
        <v>41.61</v>
      </c>
      <c r="F3" s="1">
        <v>44.9</v>
      </c>
      <c r="G3" s="1">
        <v>41.14</v>
      </c>
    </row>
    <row r="4" spans="1:7" x14ac:dyDescent="0.3">
      <c r="A4" s="1" t="s">
        <v>8</v>
      </c>
      <c r="B4" s="1">
        <v>21290.6</v>
      </c>
      <c r="C4" s="1">
        <v>19825.560000000001</v>
      </c>
      <c r="D4" s="1">
        <v>20616.34</v>
      </c>
      <c r="E4" s="1">
        <v>17131.21</v>
      </c>
      <c r="F4" s="1">
        <v>23014.42</v>
      </c>
      <c r="G4" s="1">
        <v>20655.849999999999</v>
      </c>
    </row>
    <row r="5" spans="1:7" x14ac:dyDescent="0.3">
      <c r="A5" s="1" t="s">
        <v>9</v>
      </c>
      <c r="B5" s="1">
        <v>2404.33</v>
      </c>
      <c r="C5" s="1">
        <v>2623.27</v>
      </c>
      <c r="D5" s="1">
        <v>2479.19</v>
      </c>
      <c r="E5" s="1">
        <v>691.89</v>
      </c>
      <c r="F5" s="1">
        <v>1310.05</v>
      </c>
      <c r="G5" s="1">
        <v>1712.24</v>
      </c>
    </row>
    <row r="6" spans="1:7" x14ac:dyDescent="0.3">
      <c r="A6" s="3" t="s">
        <v>10</v>
      </c>
      <c r="B6" s="3">
        <v>240.43</v>
      </c>
      <c r="C6" s="3">
        <v>264.98</v>
      </c>
      <c r="D6" s="3">
        <v>250.42</v>
      </c>
      <c r="E6" s="3">
        <v>69.89</v>
      </c>
      <c r="F6" s="3">
        <v>132.33000000000001</v>
      </c>
      <c r="G6" s="3">
        <v>174.72</v>
      </c>
    </row>
    <row r="7" spans="1:7" x14ac:dyDescent="0.3">
      <c r="A7" s="1" t="s">
        <v>11</v>
      </c>
      <c r="B7" s="1">
        <v>2142.13</v>
      </c>
      <c r="C7" s="1">
        <v>2428.2600000000002</v>
      </c>
      <c r="D7" s="1">
        <v>2341.38</v>
      </c>
      <c r="E7" s="1">
        <v>530.41999999999996</v>
      </c>
      <c r="F7" s="1">
        <v>1256.54</v>
      </c>
      <c r="G7" s="1">
        <v>1648.83</v>
      </c>
    </row>
    <row r="8" spans="1:7" x14ac:dyDescent="0.3">
      <c r="A8" s="1" t="s">
        <v>12</v>
      </c>
      <c r="B8" s="1">
        <v>214.21</v>
      </c>
      <c r="C8" s="1">
        <v>245.28</v>
      </c>
      <c r="D8" s="1">
        <v>236.5</v>
      </c>
      <c r="E8" s="1">
        <v>53.58</v>
      </c>
      <c r="F8" s="1">
        <v>126.92</v>
      </c>
      <c r="G8" s="1">
        <v>168.25</v>
      </c>
    </row>
    <row r="9" spans="1:7" x14ac:dyDescent="0.3">
      <c r="A9" s="1" t="s">
        <v>13</v>
      </c>
      <c r="B9" s="1">
        <v>1824.91</v>
      </c>
      <c r="C9" s="1">
        <v>2428.2600000000002</v>
      </c>
      <c r="D9" s="1">
        <v>2341.38</v>
      </c>
      <c r="E9" s="1">
        <v>128.91999999999999</v>
      </c>
      <c r="F9" s="1">
        <v>1237.71</v>
      </c>
      <c r="G9" s="1">
        <v>1608.43</v>
      </c>
    </row>
    <row r="10" spans="1:7" x14ac:dyDescent="0.3">
      <c r="A10" s="1" t="s">
        <v>14</v>
      </c>
      <c r="B10" s="1">
        <v>182.49</v>
      </c>
      <c r="C10" s="1">
        <v>245.28</v>
      </c>
      <c r="D10" s="1">
        <v>236.5</v>
      </c>
      <c r="E10" s="1">
        <v>13.02</v>
      </c>
      <c r="F10" s="1">
        <v>125.02</v>
      </c>
      <c r="G10" s="1">
        <v>164.13</v>
      </c>
    </row>
    <row r="11" spans="1:7" x14ac:dyDescent="0.3">
      <c r="A11" s="1" t="s">
        <v>15</v>
      </c>
      <c r="B11" s="1">
        <v>1417.45</v>
      </c>
      <c r="C11" s="1">
        <v>1324.58</v>
      </c>
      <c r="D11" s="1">
        <v>1893.2</v>
      </c>
      <c r="E11" s="1">
        <v>83.45</v>
      </c>
      <c r="F11" s="1">
        <v>1104.27</v>
      </c>
      <c r="G11" s="1">
        <v>1093.9100000000001</v>
      </c>
    </row>
    <row r="12" spans="1:7" x14ac:dyDescent="0.3">
      <c r="A12" s="1" t="s">
        <v>16</v>
      </c>
      <c r="B12" s="1">
        <v>247.7</v>
      </c>
      <c r="C12" s="1">
        <v>263.27</v>
      </c>
      <c r="D12" s="1">
        <v>262.89</v>
      </c>
      <c r="E12" s="1">
        <v>159.57</v>
      </c>
      <c r="F12" s="1">
        <v>256.33</v>
      </c>
      <c r="G12" s="1">
        <v>244.11</v>
      </c>
    </row>
    <row r="13" spans="1:7" x14ac:dyDescent="0.3">
      <c r="A13" s="1" t="s">
        <v>17</v>
      </c>
      <c r="B13" s="1">
        <v>34.549999999999997</v>
      </c>
      <c r="C13" s="1">
        <v>35.99</v>
      </c>
      <c r="D13" s="1">
        <v>23.99</v>
      </c>
      <c r="E13" s="1">
        <v>48.15</v>
      </c>
      <c r="F13" s="1">
        <v>22.19</v>
      </c>
      <c r="G13" s="1">
        <v>36.31</v>
      </c>
    </row>
    <row r="14" spans="1:7" x14ac:dyDescent="0.3">
      <c r="A14" s="1" t="s">
        <v>18</v>
      </c>
      <c r="B14" s="1">
        <v>91.58</v>
      </c>
      <c r="C14" s="1">
        <v>93.05</v>
      </c>
      <c r="D14" s="1">
        <v>89.14</v>
      </c>
      <c r="E14" s="1">
        <v>96.52</v>
      </c>
      <c r="F14" s="1">
        <v>70.349999999999994</v>
      </c>
      <c r="G14" s="1">
        <v>87.12</v>
      </c>
    </row>
    <row r="15" spans="1:7" x14ac:dyDescent="0.3">
      <c r="A15" s="1" t="s">
        <v>19</v>
      </c>
      <c r="B15" s="1">
        <v>8</v>
      </c>
      <c r="C15" s="1">
        <v>7</v>
      </c>
      <c r="D15" s="1">
        <v>7</v>
      </c>
      <c r="E15" s="1">
        <v>4</v>
      </c>
      <c r="F15" s="1">
        <v>4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1983.52</v>
      </c>
      <c r="C17" s="1">
        <v>2428.2600000000002</v>
      </c>
      <c r="D17" s="1">
        <v>2341.38</v>
      </c>
      <c r="E17" s="1">
        <v>329.67</v>
      </c>
      <c r="F17" s="1">
        <v>1247.1199999999999</v>
      </c>
      <c r="G17" s="1">
        <v>1628.63</v>
      </c>
    </row>
    <row r="18" spans="1:7" x14ac:dyDescent="0.3">
      <c r="A18" s="1" t="s">
        <v>22</v>
      </c>
      <c r="B18" s="1">
        <v>158.61000000000001</v>
      </c>
      <c r="C18" s="1">
        <v>0</v>
      </c>
      <c r="D18" s="1">
        <v>0</v>
      </c>
      <c r="E18" s="1">
        <v>200.75</v>
      </c>
      <c r="F18" s="1">
        <v>9.41</v>
      </c>
      <c r="G18" s="1">
        <v>20.2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2.8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7.2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2.4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1.2</v>
      </c>
      <c r="F24" s="1">
        <v>0</v>
      </c>
      <c r="G24" s="1">
        <v>0</v>
      </c>
    </row>
    <row r="25" spans="1:7" x14ac:dyDescent="0.3">
      <c r="A25" s="1" t="s">
        <v>29</v>
      </c>
      <c r="B25" s="1">
        <v>1.8</v>
      </c>
      <c r="C25" s="1">
        <v>0</v>
      </c>
      <c r="D25" s="1">
        <v>0</v>
      </c>
      <c r="E25" s="1">
        <v>6.9</v>
      </c>
      <c r="F25" s="1">
        <v>0</v>
      </c>
      <c r="G25" s="1">
        <v>0</v>
      </c>
    </row>
    <row r="26" spans="1:7" x14ac:dyDescent="0.3">
      <c r="A26" s="1" t="s">
        <v>30</v>
      </c>
      <c r="B26" s="1">
        <v>8.3000000000000007</v>
      </c>
      <c r="C26" s="1">
        <v>10</v>
      </c>
      <c r="D26" s="1">
        <v>10</v>
      </c>
      <c r="E26" s="1">
        <v>1.9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12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17.82178217821782</v>
      </c>
      <c r="C30" s="3">
        <f t="shared" ref="C30:G30" si="2">C25/C28*100</f>
        <v>0</v>
      </c>
      <c r="D30" s="3">
        <f t="shared" si="2"/>
        <v>0</v>
      </c>
      <c r="E30" s="3">
        <f t="shared" si="2"/>
        <v>69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82.178217821782169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19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201.94</v>
      </c>
      <c r="C33" s="3">
        <v>261.95</v>
      </c>
      <c r="D33" s="3">
        <v>248.03</v>
      </c>
      <c r="E33" s="3">
        <v>8.75</v>
      </c>
      <c r="F33" s="3">
        <v>127.62</v>
      </c>
      <c r="G33" s="3">
        <v>170.04</v>
      </c>
    </row>
    <row r="35" spans="1:7" x14ac:dyDescent="0.3">
      <c r="A35" s="3" t="s">
        <v>36</v>
      </c>
      <c r="B35" s="3"/>
      <c r="C35" s="3"/>
      <c r="D35" s="3">
        <f>D33-C33</f>
        <v>-13.919999999999987</v>
      </c>
      <c r="E35" s="3"/>
      <c r="F35" s="3">
        <f>F33-E33</f>
        <v>118.87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-239.28</v>
      </c>
      <c r="F37" s="3"/>
      <c r="G37" s="3">
        <f>G33-F33</f>
        <v>42.419999999999987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C125-1A52-4A7A-9F49-F0F66603AF72}">
  <dimension ref="A1:G37"/>
  <sheetViews>
    <sheetView zoomScale="70" zoomScaleNormal="70" workbookViewId="0">
      <selection activeCell="L26" sqref="L2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459.65</v>
      </c>
      <c r="C2" s="1">
        <v>457.61</v>
      </c>
      <c r="D2" s="1">
        <v>446.11</v>
      </c>
      <c r="E2" s="1">
        <v>445.47</v>
      </c>
      <c r="F2" s="1">
        <v>470.25</v>
      </c>
      <c r="G2" s="1">
        <v>463.09</v>
      </c>
    </row>
    <row r="3" spans="1:7" x14ac:dyDescent="0.3">
      <c r="A3" s="1" t="s">
        <v>7</v>
      </c>
      <c r="B3" s="1">
        <v>46.54</v>
      </c>
      <c r="C3" s="1">
        <v>47.79</v>
      </c>
      <c r="D3" s="1">
        <v>48.78</v>
      </c>
      <c r="E3" s="1">
        <v>48.62</v>
      </c>
      <c r="F3" s="1">
        <v>49.97</v>
      </c>
      <c r="G3" s="1">
        <v>49.75</v>
      </c>
    </row>
    <row r="4" spans="1:7" x14ac:dyDescent="0.3">
      <c r="A4" s="1" t="s">
        <v>8</v>
      </c>
      <c r="B4" s="1">
        <v>21743.43</v>
      </c>
      <c r="C4" s="1">
        <v>22312.720000000001</v>
      </c>
      <c r="D4" s="1">
        <v>22169.7</v>
      </c>
      <c r="E4" s="1">
        <v>22117.91</v>
      </c>
      <c r="F4" s="1">
        <v>23871.95</v>
      </c>
      <c r="G4" s="1">
        <v>23473.31</v>
      </c>
    </row>
    <row r="5" spans="1:7" x14ac:dyDescent="0.3">
      <c r="A5" s="1" t="s">
        <v>9</v>
      </c>
      <c r="B5" s="1">
        <v>3289.07</v>
      </c>
      <c r="C5" s="1">
        <v>3471.32</v>
      </c>
      <c r="D5" s="1">
        <v>3183.67</v>
      </c>
      <c r="E5" s="1">
        <v>2409.8200000000002</v>
      </c>
      <c r="F5" s="1">
        <v>1432.72</v>
      </c>
      <c r="G5" s="1">
        <v>2455.1799999999998</v>
      </c>
    </row>
    <row r="6" spans="1:7" x14ac:dyDescent="0.3">
      <c r="A6" s="3" t="s">
        <v>10</v>
      </c>
      <c r="B6" s="3">
        <v>328.91</v>
      </c>
      <c r="C6" s="3">
        <v>350.64</v>
      </c>
      <c r="D6" s="3">
        <v>321.58</v>
      </c>
      <c r="E6" s="3">
        <v>243.42</v>
      </c>
      <c r="F6" s="3">
        <v>144.72</v>
      </c>
      <c r="G6" s="3">
        <v>250.53</v>
      </c>
    </row>
    <row r="7" spans="1:7" x14ac:dyDescent="0.3">
      <c r="A7" s="1" t="s">
        <v>11</v>
      </c>
      <c r="B7" s="1">
        <v>3006.07</v>
      </c>
      <c r="C7" s="1">
        <v>3116.96</v>
      </c>
      <c r="D7" s="1">
        <v>2865.39</v>
      </c>
      <c r="E7" s="1">
        <v>2185.79</v>
      </c>
      <c r="F7" s="1">
        <v>1343.66</v>
      </c>
      <c r="G7" s="1">
        <v>2289.59</v>
      </c>
    </row>
    <row r="8" spans="1:7" x14ac:dyDescent="0.3">
      <c r="A8" s="1" t="s">
        <v>12</v>
      </c>
      <c r="B8" s="1">
        <v>300.61</v>
      </c>
      <c r="C8" s="1">
        <v>314.83999999999997</v>
      </c>
      <c r="D8" s="1">
        <v>289.43</v>
      </c>
      <c r="E8" s="1">
        <v>220.79</v>
      </c>
      <c r="F8" s="1">
        <v>135.72</v>
      </c>
      <c r="G8" s="1">
        <v>233.63</v>
      </c>
    </row>
    <row r="9" spans="1:7" x14ac:dyDescent="0.3">
      <c r="A9" s="1" t="s">
        <v>13</v>
      </c>
      <c r="B9" s="1">
        <v>3006.07</v>
      </c>
      <c r="C9" s="1">
        <v>3116.63</v>
      </c>
      <c r="D9" s="1">
        <v>2865.39</v>
      </c>
      <c r="E9" s="1">
        <v>2185.79</v>
      </c>
      <c r="F9" s="1">
        <v>-1150.69</v>
      </c>
      <c r="G9" s="1">
        <v>2289.59</v>
      </c>
    </row>
    <row r="10" spans="1:7" x14ac:dyDescent="0.3">
      <c r="A10" s="1" t="s">
        <v>14</v>
      </c>
      <c r="B10" s="1">
        <v>300.61</v>
      </c>
      <c r="C10" s="1">
        <v>314.81</v>
      </c>
      <c r="D10" s="1">
        <v>289.43</v>
      </c>
      <c r="E10" s="1">
        <v>220.79</v>
      </c>
      <c r="F10" s="1">
        <v>-116.23</v>
      </c>
      <c r="G10" s="1">
        <v>233.63</v>
      </c>
    </row>
    <row r="11" spans="1:7" x14ac:dyDescent="0.3">
      <c r="A11" s="1" t="s">
        <v>15</v>
      </c>
      <c r="B11" s="1">
        <v>86.37</v>
      </c>
      <c r="C11" s="1">
        <v>1393.71</v>
      </c>
      <c r="D11" s="1">
        <v>2063.4499999999998</v>
      </c>
      <c r="E11" s="1">
        <v>1229.48</v>
      </c>
      <c r="F11" s="1">
        <v>609.55999999999995</v>
      </c>
      <c r="G11" s="1">
        <v>602.48</v>
      </c>
    </row>
    <row r="12" spans="1:7" x14ac:dyDescent="0.3">
      <c r="A12" s="1" t="s">
        <v>16</v>
      </c>
      <c r="B12" s="1">
        <v>246.97</v>
      </c>
      <c r="C12" s="1">
        <v>221.62</v>
      </c>
      <c r="D12" s="1">
        <v>281.14</v>
      </c>
      <c r="E12" s="1">
        <v>231.39</v>
      </c>
      <c r="F12" s="1">
        <v>217.45</v>
      </c>
      <c r="G12" s="1">
        <v>236.24</v>
      </c>
    </row>
    <row r="13" spans="1:7" x14ac:dyDescent="0.3">
      <c r="A13" s="1" t="s">
        <v>17</v>
      </c>
      <c r="B13" s="1">
        <v>47.69</v>
      </c>
      <c r="C13" s="1">
        <v>51.18</v>
      </c>
      <c r="D13" s="1">
        <v>42.93</v>
      </c>
      <c r="E13" s="1">
        <v>52.38</v>
      </c>
      <c r="F13" s="1">
        <v>50.42</v>
      </c>
      <c r="G13" s="1">
        <v>50.29</v>
      </c>
    </row>
    <row r="14" spans="1:7" x14ac:dyDescent="0.3">
      <c r="A14" s="1" t="s">
        <v>18</v>
      </c>
      <c r="B14" s="1">
        <v>90.98</v>
      </c>
      <c r="C14" s="1">
        <v>97.88</v>
      </c>
      <c r="D14" s="1">
        <v>98.43</v>
      </c>
      <c r="E14" s="1">
        <v>88.85</v>
      </c>
      <c r="F14" s="1">
        <v>91.19</v>
      </c>
      <c r="G14" s="1">
        <v>88.19</v>
      </c>
    </row>
    <row r="15" spans="1:7" x14ac:dyDescent="0.3">
      <c r="A15" s="1" t="s">
        <v>19</v>
      </c>
      <c r="B15" s="1">
        <v>10</v>
      </c>
      <c r="C15" s="1">
        <v>9</v>
      </c>
      <c r="D15" s="1">
        <v>10</v>
      </c>
      <c r="E15" s="1">
        <v>8</v>
      </c>
      <c r="F15" s="1">
        <v>7</v>
      </c>
      <c r="G15" s="1">
        <v>10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3006.07</v>
      </c>
      <c r="C17" s="1">
        <v>3116.79</v>
      </c>
      <c r="D17" s="1">
        <v>2865.39</v>
      </c>
      <c r="E17" s="1">
        <v>2185.79</v>
      </c>
      <c r="F17" s="1">
        <v>96.48</v>
      </c>
      <c r="G17" s="1">
        <v>2289.59</v>
      </c>
    </row>
    <row r="18" spans="1:7" x14ac:dyDescent="0.3">
      <c r="A18" s="1" t="s">
        <v>22</v>
      </c>
      <c r="B18" s="1">
        <v>0</v>
      </c>
      <c r="C18" s="1">
        <v>0.16</v>
      </c>
      <c r="D18" s="1">
        <v>0</v>
      </c>
      <c r="E18" s="1">
        <v>0</v>
      </c>
      <c r="F18" s="1">
        <v>1247.17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8.4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1.6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7.1</v>
      </c>
      <c r="G24" s="1">
        <v>0</v>
      </c>
    </row>
    <row r="25" spans="1:7" x14ac:dyDescent="0.3">
      <c r="A25" s="1" t="s">
        <v>29</v>
      </c>
      <c r="B25" s="1">
        <v>0</v>
      </c>
      <c r="C25" s="1">
        <v>1.1000000000000001</v>
      </c>
      <c r="D25" s="1">
        <v>0</v>
      </c>
      <c r="E25" s="1">
        <v>0</v>
      </c>
      <c r="F25" s="1">
        <v>1.9</v>
      </c>
      <c r="G25" s="1">
        <v>0</v>
      </c>
    </row>
    <row r="26" spans="1:7" x14ac:dyDescent="0.3">
      <c r="A26" s="1" t="s">
        <v>30</v>
      </c>
      <c r="B26" s="1">
        <v>10.1</v>
      </c>
      <c r="C26" s="1">
        <v>8.9</v>
      </c>
      <c r="D26" s="1">
        <v>10</v>
      </c>
      <c r="E26" s="1">
        <v>10</v>
      </c>
      <c r="F26" s="1">
        <v>1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71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11.000000000000002</v>
      </c>
      <c r="D30" s="3">
        <f t="shared" si="2"/>
        <v>0</v>
      </c>
      <c r="E30" s="3">
        <f t="shared" si="2"/>
        <v>0</v>
      </c>
      <c r="F30" s="3">
        <f t="shared" si="2"/>
        <v>19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89</v>
      </c>
      <c r="D31" s="3">
        <f t="shared" si="3"/>
        <v>100</v>
      </c>
      <c r="E31" s="3">
        <f t="shared" si="3"/>
        <v>100</v>
      </c>
      <c r="F31" s="3">
        <f t="shared" si="3"/>
        <v>10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306.07</v>
      </c>
      <c r="C33" s="3">
        <v>335.71</v>
      </c>
      <c r="D33" s="3">
        <v>315.64</v>
      </c>
      <c r="E33" s="3">
        <v>239.69</v>
      </c>
      <c r="F33" s="3">
        <v>-103.02</v>
      </c>
      <c r="G33" s="3">
        <v>245.54</v>
      </c>
    </row>
    <row r="35" spans="1:7" x14ac:dyDescent="0.3">
      <c r="A35" s="3" t="s">
        <v>36</v>
      </c>
      <c r="B35" s="3"/>
      <c r="C35" s="3"/>
      <c r="D35" s="3">
        <f>D33-C33</f>
        <v>-20.069999999999993</v>
      </c>
      <c r="E35" s="3"/>
      <c r="F35" s="3">
        <f>F33-E33</f>
        <v>-342.71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-75.949999999999989</v>
      </c>
      <c r="F37" s="3"/>
      <c r="G37" s="3">
        <f>G33-F33</f>
        <v>348.56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56E0-3978-49AC-8B14-8FA5BB3C629A}">
  <dimension ref="A1:G37"/>
  <sheetViews>
    <sheetView tabSelected="1" zoomScale="70" zoomScaleNormal="70" workbookViewId="0">
      <selection activeCell="M10" sqref="M1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427.45</v>
      </c>
      <c r="C2" s="1">
        <v>420.37</v>
      </c>
      <c r="D2" s="1">
        <v>476.6</v>
      </c>
      <c r="E2" s="1">
        <v>386.61</v>
      </c>
      <c r="F2" s="1">
        <v>382.34</v>
      </c>
      <c r="G2" s="1">
        <v>392.95</v>
      </c>
    </row>
    <row r="3" spans="1:7" x14ac:dyDescent="0.3">
      <c r="A3" s="1" t="s">
        <v>7</v>
      </c>
      <c r="B3" s="1">
        <v>40.07</v>
      </c>
      <c r="C3" s="1">
        <v>42.38</v>
      </c>
      <c r="D3" s="1">
        <v>42.13</v>
      </c>
      <c r="E3" s="1">
        <v>41.69</v>
      </c>
      <c r="F3" s="1">
        <v>40.39</v>
      </c>
      <c r="G3" s="1">
        <v>39.72</v>
      </c>
    </row>
    <row r="4" spans="1:7" x14ac:dyDescent="0.3">
      <c r="A4" s="1" t="s">
        <v>8</v>
      </c>
      <c r="B4" s="1">
        <v>17542.23</v>
      </c>
      <c r="C4" s="1">
        <v>18047.330000000002</v>
      </c>
      <c r="D4" s="1">
        <v>20418.88</v>
      </c>
      <c r="E4" s="1">
        <v>16437.8</v>
      </c>
      <c r="F4" s="1">
        <v>15810.94</v>
      </c>
      <c r="G4" s="1">
        <v>15958.43</v>
      </c>
    </row>
    <row r="5" spans="1:7" x14ac:dyDescent="0.3">
      <c r="A5" s="1" t="s">
        <v>9</v>
      </c>
      <c r="B5" s="1">
        <v>2434.13</v>
      </c>
      <c r="C5" s="1">
        <v>2397.88</v>
      </c>
      <c r="D5" s="1">
        <v>3480.67</v>
      </c>
      <c r="E5" s="1">
        <v>1860.22</v>
      </c>
      <c r="F5" s="1">
        <v>1659.3</v>
      </c>
      <c r="G5" s="1">
        <v>2294.52</v>
      </c>
    </row>
    <row r="6" spans="1:7" x14ac:dyDescent="0.3">
      <c r="A6" s="3" t="s">
        <v>10</v>
      </c>
      <c r="B6" s="3">
        <v>243.41</v>
      </c>
      <c r="C6" s="3">
        <v>242.21</v>
      </c>
      <c r="D6" s="3">
        <v>351.58</v>
      </c>
      <c r="E6" s="3">
        <v>187.9</v>
      </c>
      <c r="F6" s="3">
        <v>167.61</v>
      </c>
      <c r="G6" s="3">
        <v>234.13</v>
      </c>
    </row>
    <row r="7" spans="1:7" x14ac:dyDescent="0.3">
      <c r="A7" s="1" t="s">
        <v>11</v>
      </c>
      <c r="B7" s="1">
        <v>2215.2600000000002</v>
      </c>
      <c r="C7" s="1">
        <v>2091.86</v>
      </c>
      <c r="D7" s="1">
        <v>3187.18</v>
      </c>
      <c r="E7" s="1">
        <v>1614.92</v>
      </c>
      <c r="F7" s="1">
        <v>1439.03</v>
      </c>
      <c r="G7" s="1">
        <v>1962.42</v>
      </c>
    </row>
    <row r="8" spans="1:7" x14ac:dyDescent="0.3">
      <c r="A8" s="1" t="s">
        <v>12</v>
      </c>
      <c r="B8" s="1">
        <v>221.53</v>
      </c>
      <c r="C8" s="1">
        <v>211.3</v>
      </c>
      <c r="D8" s="1">
        <v>321.94</v>
      </c>
      <c r="E8" s="1">
        <v>163.12</v>
      </c>
      <c r="F8" s="1">
        <v>145.36000000000001</v>
      </c>
      <c r="G8" s="1">
        <v>200.25</v>
      </c>
    </row>
    <row r="9" spans="1:7" x14ac:dyDescent="0.3">
      <c r="A9" s="1" t="s">
        <v>13</v>
      </c>
      <c r="B9" s="1">
        <v>2215.2600000000002</v>
      </c>
      <c r="C9" s="1">
        <v>2054.1</v>
      </c>
      <c r="D9" s="1">
        <v>3187.18</v>
      </c>
      <c r="E9" s="1">
        <v>1550.52</v>
      </c>
      <c r="F9" s="1">
        <v>-632.84</v>
      </c>
      <c r="G9" s="1">
        <v>1117.9100000000001</v>
      </c>
    </row>
    <row r="10" spans="1:7" x14ac:dyDescent="0.3">
      <c r="A10" s="1" t="s">
        <v>14</v>
      </c>
      <c r="B10" s="1">
        <v>221.53</v>
      </c>
      <c r="C10" s="1">
        <v>207.48</v>
      </c>
      <c r="D10" s="1">
        <v>321.94</v>
      </c>
      <c r="E10" s="1">
        <v>156.62</v>
      </c>
      <c r="F10" s="1">
        <v>-63.92</v>
      </c>
      <c r="G10" s="1">
        <v>114.07</v>
      </c>
    </row>
    <row r="11" spans="1:7" x14ac:dyDescent="0.3">
      <c r="A11" s="1" t="s">
        <v>15</v>
      </c>
      <c r="B11" s="1">
        <v>1401.26</v>
      </c>
      <c r="C11" s="1">
        <v>1163.3699999999999</v>
      </c>
      <c r="D11" s="1">
        <v>3261.82</v>
      </c>
      <c r="E11" s="1">
        <v>1237.25</v>
      </c>
      <c r="F11" s="1">
        <v>341.18</v>
      </c>
      <c r="G11" s="1">
        <v>840.76</v>
      </c>
    </row>
    <row r="12" spans="1:7" x14ac:dyDescent="0.3">
      <c r="A12" s="1" t="s">
        <v>16</v>
      </c>
      <c r="B12" s="1">
        <v>211.25</v>
      </c>
      <c r="C12" s="1">
        <v>205.5</v>
      </c>
      <c r="D12" s="1">
        <v>270.32</v>
      </c>
      <c r="E12" s="1">
        <v>199.5</v>
      </c>
      <c r="F12" s="1">
        <v>211.16</v>
      </c>
      <c r="G12" s="1">
        <v>204.71</v>
      </c>
    </row>
    <row r="13" spans="1:7" x14ac:dyDescent="0.3">
      <c r="A13" s="1" t="s">
        <v>17</v>
      </c>
      <c r="B13" s="1">
        <v>41.55</v>
      </c>
      <c r="C13" s="1">
        <v>47.45</v>
      </c>
      <c r="D13" s="1">
        <v>33.380000000000003</v>
      </c>
      <c r="E13" s="1">
        <v>34.04</v>
      </c>
      <c r="F13" s="1">
        <v>28.22</v>
      </c>
      <c r="G13" s="1">
        <v>39.54</v>
      </c>
    </row>
    <row r="14" spans="1:7" x14ac:dyDescent="0.3">
      <c r="A14" s="1" t="s">
        <v>18</v>
      </c>
      <c r="B14" s="1">
        <v>87.94</v>
      </c>
      <c r="C14" s="1">
        <v>95.84</v>
      </c>
      <c r="D14" s="1">
        <v>62.94</v>
      </c>
      <c r="E14" s="1">
        <v>82.36</v>
      </c>
      <c r="F14" s="1">
        <v>71.680000000000007</v>
      </c>
      <c r="G14" s="1">
        <v>80.98</v>
      </c>
    </row>
    <row r="15" spans="1:7" x14ac:dyDescent="0.3">
      <c r="A15" s="1" t="s">
        <v>19</v>
      </c>
      <c r="B15" s="1">
        <v>9</v>
      </c>
      <c r="C15" s="1">
        <v>7</v>
      </c>
      <c r="D15" s="1">
        <v>3</v>
      </c>
      <c r="E15" s="1">
        <v>9</v>
      </c>
      <c r="F15" s="1">
        <v>5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2215.2600000000002</v>
      </c>
      <c r="C17" s="1">
        <v>2072.98</v>
      </c>
      <c r="D17" s="1">
        <v>3187.18</v>
      </c>
      <c r="E17" s="1">
        <v>1582.72</v>
      </c>
      <c r="F17" s="1">
        <v>403.09</v>
      </c>
      <c r="G17" s="1">
        <v>1540.16</v>
      </c>
    </row>
    <row r="18" spans="1:7" x14ac:dyDescent="0.3">
      <c r="A18" s="1" t="s">
        <v>22</v>
      </c>
      <c r="B18" s="1">
        <v>0</v>
      </c>
      <c r="C18" s="1">
        <v>18.88</v>
      </c>
      <c r="D18" s="1">
        <v>0</v>
      </c>
      <c r="E18" s="1">
        <v>32.200000000000003</v>
      </c>
      <c r="F18" s="1">
        <v>1035.93</v>
      </c>
      <c r="G18" s="1">
        <v>422.25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4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5.0999999999999996</v>
      </c>
      <c r="G20" s="1">
        <v>1.8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4.9000000000000004</v>
      </c>
      <c r="G21" s="1">
        <v>8.1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5.8</v>
      </c>
      <c r="G24" s="1">
        <v>1.1000000000000001</v>
      </c>
    </row>
    <row r="25" spans="1:7" x14ac:dyDescent="0.3">
      <c r="A25" s="1" t="s">
        <v>29</v>
      </c>
      <c r="B25" s="1">
        <v>1.4</v>
      </c>
      <c r="C25" s="1">
        <v>3.1</v>
      </c>
      <c r="D25" s="1">
        <v>0</v>
      </c>
      <c r="E25" s="1">
        <v>2</v>
      </c>
      <c r="F25" s="1">
        <v>0</v>
      </c>
      <c r="G25" s="1">
        <v>1.2</v>
      </c>
    </row>
    <row r="26" spans="1:7" x14ac:dyDescent="0.3">
      <c r="A26" s="1" t="s">
        <v>30</v>
      </c>
      <c r="B26" s="1">
        <v>8.6999999999999993</v>
      </c>
      <c r="C26" s="1">
        <v>6.9</v>
      </c>
      <c r="D26" s="1">
        <v>10</v>
      </c>
      <c r="E26" s="1">
        <v>8</v>
      </c>
      <c r="F26" s="1">
        <v>4.2</v>
      </c>
      <c r="G26" s="1">
        <v>7.6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57.999999999999993</v>
      </c>
      <c r="G29" s="3">
        <f t="shared" si="1"/>
        <v>11.111111111111112</v>
      </c>
    </row>
    <row r="30" spans="1:7" x14ac:dyDescent="0.3">
      <c r="A30" s="3" t="s">
        <v>33</v>
      </c>
      <c r="B30" s="3">
        <f>B25/B28*100</f>
        <v>13.861386138613859</v>
      </c>
      <c r="C30" s="3">
        <f t="shared" ref="C30:G30" si="2">C25/C28*100</f>
        <v>31</v>
      </c>
      <c r="D30" s="3">
        <f t="shared" si="2"/>
        <v>0</v>
      </c>
      <c r="E30" s="3">
        <f t="shared" si="2"/>
        <v>20</v>
      </c>
      <c r="F30" s="3">
        <f t="shared" si="2"/>
        <v>0</v>
      </c>
      <c r="G30" s="3">
        <f t="shared" si="2"/>
        <v>12.121212121212123</v>
      </c>
    </row>
    <row r="31" spans="1:7" x14ac:dyDescent="0.3">
      <c r="A31" s="3" t="s">
        <v>34</v>
      </c>
      <c r="B31" s="3">
        <f>B26/B28*100</f>
        <v>86.138613861386133</v>
      </c>
      <c r="C31" s="3">
        <f t="shared" ref="C31:G31" si="3">C26/C28*100</f>
        <v>69</v>
      </c>
      <c r="D31" s="3">
        <f t="shared" si="3"/>
        <v>100</v>
      </c>
      <c r="E31" s="3">
        <f t="shared" si="3"/>
        <v>80</v>
      </c>
      <c r="F31" s="3">
        <f t="shared" si="3"/>
        <v>42.000000000000007</v>
      </c>
      <c r="G31" s="3">
        <f t="shared" si="3"/>
        <v>76.767676767676775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237.2</v>
      </c>
      <c r="C33" s="3">
        <v>223.15</v>
      </c>
      <c r="D33" s="3">
        <v>344.99</v>
      </c>
      <c r="E33" s="3">
        <v>177.46</v>
      </c>
      <c r="F33" s="3">
        <v>-18.86</v>
      </c>
      <c r="G33" s="3">
        <v>99.22</v>
      </c>
    </row>
    <row r="35" spans="1:7" x14ac:dyDescent="0.3">
      <c r="A35" s="3" t="s">
        <v>36</v>
      </c>
      <c r="B35" s="3"/>
      <c r="C35" s="3"/>
      <c r="D35" s="3">
        <f>D33-C33</f>
        <v>121.84</v>
      </c>
      <c r="E35" s="3"/>
      <c r="F35" s="3">
        <f>F33-E33</f>
        <v>-196.32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-167.53</v>
      </c>
      <c r="F37" s="3"/>
      <c r="G37" s="3">
        <f>G33-F33</f>
        <v>118.08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F7B8-5E52-4EDF-8688-601ECD7B91B4}">
  <dimension ref="A1:G37"/>
  <sheetViews>
    <sheetView zoomScale="70" zoomScaleNormal="70" workbookViewId="0">
      <selection activeCell="A21" sqref="A21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240412Bnts001.3</vt:lpstr>
      <vt:lpstr>240412Bnts002.1</vt:lpstr>
      <vt:lpstr>240412Bnts002.2</vt:lpstr>
      <vt:lpstr>240412Bnts003.2</vt:lpstr>
      <vt:lpstr>240412Bnts003.3</vt:lpstr>
      <vt:lpstr>240412Bnts004.2</vt:lpstr>
      <vt:lpstr>240412Bnts004.3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2024-04-24T03:21:49Z</dcterms:created>
  <dcterms:modified xsi:type="dcterms:W3CDTF">2024-04-26T05:20:38Z</dcterms:modified>
</cp:coreProperties>
</file>