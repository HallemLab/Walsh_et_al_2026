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walsh\Desktop\2024-0424 - Gas Assays\WormLab Data\"/>
    </mc:Choice>
  </mc:AlternateContent>
  <xr:revisionPtr revIDLastSave="0" documentId="13_ncr:1_{7E6C5F6D-3471-46D1-808A-2E98CBB3925A}" xr6:coauthVersionLast="47" xr6:coauthVersionMax="47" xr10:uidLastSave="{00000000-0000-0000-0000-000000000000}"/>
  <bookViews>
    <workbookView xWindow="1884" yWindow="1884" windowWidth="17892" windowHeight="11472" firstSheet="4" activeTab="8" xr2:uid="{FAB3DAD5-1E2D-4C15-A508-E9DB5911C602}"/>
  </bookViews>
  <sheets>
    <sheet name="240424Bnts1.3" sheetId="2" r:id="rId1"/>
    <sheet name="240424Bnts2.1" sheetId="3" r:id="rId2"/>
    <sheet name="240424Bnts2.2" sheetId="4" r:id="rId3"/>
    <sheet name="240424Bnts2.3" sheetId="5" r:id="rId4"/>
    <sheet name="240424Bnts3.1" sheetId="6" r:id="rId5"/>
    <sheet name="240424Bnts3.2" sheetId="7" r:id="rId6"/>
    <sheet name="240424Bnts4.1" sheetId="8" r:id="rId7"/>
    <sheet name="240424Bnts4.2" sheetId="9" r:id="rId8"/>
    <sheet name="template (2)" sheetId="10" r:id="rId9"/>
    <sheet name="template" sheetId="1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7" i="10" l="1"/>
  <c r="E37" i="10"/>
  <c r="C37" i="10"/>
  <c r="F35" i="10"/>
  <c r="D35" i="10"/>
  <c r="G31" i="10"/>
  <c r="F31" i="10"/>
  <c r="E31" i="10"/>
  <c r="D31" i="10"/>
  <c r="C31" i="10"/>
  <c r="B31" i="10"/>
  <c r="G30" i="10"/>
  <c r="F30" i="10"/>
  <c r="E30" i="10"/>
  <c r="D30" i="10"/>
  <c r="C30" i="10"/>
  <c r="B30" i="10"/>
  <c r="G29" i="10"/>
  <c r="F29" i="10"/>
  <c r="E29" i="10"/>
  <c r="G28" i="10"/>
  <c r="F28" i="10"/>
  <c r="E28" i="10"/>
  <c r="D28" i="10"/>
  <c r="D29" i="10" s="1"/>
  <c r="C28" i="10"/>
  <c r="C29" i="10" s="1"/>
  <c r="B28" i="10"/>
  <c r="B29" i="10" s="1"/>
  <c r="G37" i="9"/>
  <c r="E37" i="9"/>
  <c r="C37" i="9"/>
  <c r="F35" i="9"/>
  <c r="D35" i="9"/>
  <c r="E31" i="9"/>
  <c r="D31" i="9"/>
  <c r="C31" i="9"/>
  <c r="B31" i="9"/>
  <c r="F30" i="9"/>
  <c r="E30" i="9"/>
  <c r="D30" i="9"/>
  <c r="C30" i="9"/>
  <c r="B30" i="9"/>
  <c r="F29" i="9"/>
  <c r="E29" i="9"/>
  <c r="D29" i="9"/>
  <c r="C29" i="9"/>
  <c r="B29" i="9"/>
  <c r="G28" i="9"/>
  <c r="G31" i="9" s="1"/>
  <c r="F28" i="9"/>
  <c r="F31" i="9" s="1"/>
  <c r="E28" i="9"/>
  <c r="D28" i="9"/>
  <c r="C28" i="9"/>
  <c r="B28" i="9"/>
  <c r="G37" i="8"/>
  <c r="E37" i="8"/>
  <c r="C37" i="8"/>
  <c r="F35" i="8"/>
  <c r="D35" i="8"/>
  <c r="G31" i="8"/>
  <c r="E29" i="8"/>
  <c r="B29" i="8"/>
  <c r="G28" i="8"/>
  <c r="G30" i="8" s="1"/>
  <c r="F28" i="8"/>
  <c r="F31" i="8" s="1"/>
  <c r="E28" i="8"/>
  <c r="E31" i="8" s="1"/>
  <c r="D28" i="8"/>
  <c r="D31" i="8" s="1"/>
  <c r="C28" i="8"/>
  <c r="C31" i="8" s="1"/>
  <c r="B28" i="8"/>
  <c r="B31" i="8" s="1"/>
  <c r="G37" i="7"/>
  <c r="E37" i="7"/>
  <c r="C37" i="7"/>
  <c r="F35" i="7"/>
  <c r="D35" i="7"/>
  <c r="G28" i="7"/>
  <c r="G31" i="7" s="1"/>
  <c r="F28" i="7"/>
  <c r="F31" i="7" s="1"/>
  <c r="E28" i="7"/>
  <c r="E30" i="7" s="1"/>
  <c r="D28" i="7"/>
  <c r="D29" i="7" s="1"/>
  <c r="C28" i="7"/>
  <c r="C29" i="7" s="1"/>
  <c r="B28" i="7"/>
  <c r="B29" i="7" s="1"/>
  <c r="G37" i="6"/>
  <c r="E37" i="6"/>
  <c r="C37" i="6"/>
  <c r="F35" i="6"/>
  <c r="D35" i="6"/>
  <c r="G31" i="6"/>
  <c r="E31" i="6"/>
  <c r="D31" i="6"/>
  <c r="C31" i="6"/>
  <c r="B31" i="6"/>
  <c r="G30" i="6"/>
  <c r="F30" i="6"/>
  <c r="E30" i="6"/>
  <c r="D30" i="6"/>
  <c r="C30" i="6"/>
  <c r="B30" i="6"/>
  <c r="G29" i="6"/>
  <c r="F29" i="6"/>
  <c r="E29" i="6"/>
  <c r="G28" i="6"/>
  <c r="F28" i="6"/>
  <c r="F31" i="6" s="1"/>
  <c r="E28" i="6"/>
  <c r="D28" i="6"/>
  <c r="D29" i="6" s="1"/>
  <c r="C28" i="6"/>
  <c r="C29" i="6" s="1"/>
  <c r="B28" i="6"/>
  <c r="B29" i="6" s="1"/>
  <c r="G37" i="5"/>
  <c r="E37" i="5"/>
  <c r="C37" i="5"/>
  <c r="F35" i="5"/>
  <c r="D35" i="5"/>
  <c r="G31" i="5"/>
  <c r="F31" i="5"/>
  <c r="E31" i="5"/>
  <c r="D31" i="5"/>
  <c r="C31" i="5"/>
  <c r="B31" i="5"/>
  <c r="G30" i="5"/>
  <c r="F30" i="5"/>
  <c r="E30" i="5"/>
  <c r="D30" i="5"/>
  <c r="C30" i="5"/>
  <c r="B30" i="5"/>
  <c r="G29" i="5"/>
  <c r="F29" i="5"/>
  <c r="E29" i="5"/>
  <c r="G28" i="5"/>
  <c r="F28" i="5"/>
  <c r="E28" i="5"/>
  <c r="D28" i="5"/>
  <c r="D29" i="5" s="1"/>
  <c r="C28" i="5"/>
  <c r="C29" i="5" s="1"/>
  <c r="B28" i="5"/>
  <c r="B29" i="5" s="1"/>
  <c r="G37" i="4"/>
  <c r="E37" i="4"/>
  <c r="C37" i="4"/>
  <c r="F35" i="4"/>
  <c r="D35" i="4"/>
  <c r="F31" i="4"/>
  <c r="E31" i="4"/>
  <c r="D31" i="4"/>
  <c r="C31" i="4"/>
  <c r="B31" i="4"/>
  <c r="G30" i="4"/>
  <c r="F30" i="4"/>
  <c r="E30" i="4"/>
  <c r="D30" i="4"/>
  <c r="C30" i="4"/>
  <c r="B30" i="4"/>
  <c r="G29" i="4"/>
  <c r="F29" i="4"/>
  <c r="E29" i="4"/>
  <c r="G28" i="4"/>
  <c r="G31" i="4" s="1"/>
  <c r="F28" i="4"/>
  <c r="E28" i="4"/>
  <c r="D28" i="4"/>
  <c r="D29" i="4" s="1"/>
  <c r="C28" i="4"/>
  <c r="C29" i="4" s="1"/>
  <c r="B28" i="4"/>
  <c r="B29" i="4" s="1"/>
  <c r="G37" i="3"/>
  <c r="E37" i="3"/>
  <c r="C37" i="3"/>
  <c r="F35" i="3"/>
  <c r="D35" i="3"/>
  <c r="G31" i="3"/>
  <c r="F31" i="3"/>
  <c r="E31" i="3"/>
  <c r="D31" i="3"/>
  <c r="C31" i="3"/>
  <c r="B31" i="3"/>
  <c r="G30" i="3"/>
  <c r="F30" i="3"/>
  <c r="E30" i="3"/>
  <c r="D30" i="3"/>
  <c r="C30" i="3"/>
  <c r="B30" i="3"/>
  <c r="G29" i="3"/>
  <c r="F29" i="3"/>
  <c r="E29" i="3"/>
  <c r="G28" i="3"/>
  <c r="F28" i="3"/>
  <c r="E28" i="3"/>
  <c r="D28" i="3"/>
  <c r="D29" i="3" s="1"/>
  <c r="C28" i="3"/>
  <c r="C29" i="3" s="1"/>
  <c r="B28" i="3"/>
  <c r="B29" i="3" s="1"/>
  <c r="C37" i="2"/>
  <c r="G37" i="2"/>
  <c r="E37" i="2"/>
  <c r="F35" i="2"/>
  <c r="D35" i="2"/>
  <c r="G31" i="2"/>
  <c r="F31" i="2"/>
  <c r="E31" i="2"/>
  <c r="B31" i="2"/>
  <c r="B30" i="2"/>
  <c r="G28" i="2"/>
  <c r="G30" i="2" s="1"/>
  <c r="F28" i="2"/>
  <c r="F29" i="2" s="1"/>
  <c r="E28" i="2"/>
  <c r="E29" i="2" s="1"/>
  <c r="D28" i="2"/>
  <c r="D29" i="2" s="1"/>
  <c r="C28" i="2"/>
  <c r="C29" i="2" s="1"/>
  <c r="B28" i="2"/>
  <c r="B29" i="2" s="1"/>
  <c r="B28" i="1"/>
  <c r="B29" i="1" s="1"/>
  <c r="G37" i="1"/>
  <c r="E37" i="1"/>
  <c r="C37" i="1"/>
  <c r="F35" i="1"/>
  <c r="D35" i="1"/>
  <c r="G28" i="1"/>
  <c r="G31" i="1" s="1"/>
  <c r="F28" i="1"/>
  <c r="F31" i="1" s="1"/>
  <c r="E28" i="1"/>
  <c r="E31" i="1" s="1"/>
  <c r="D28" i="1"/>
  <c r="D31" i="1" s="1"/>
  <c r="C28" i="1"/>
  <c r="C31" i="1" s="1"/>
  <c r="G29" i="9" l="1"/>
  <c r="G30" i="9"/>
  <c r="C29" i="8"/>
  <c r="D29" i="8"/>
  <c r="F29" i="8"/>
  <c r="G29" i="8"/>
  <c r="B30" i="8"/>
  <c r="C30" i="8"/>
  <c r="D30" i="8"/>
  <c r="F30" i="8"/>
  <c r="E30" i="8"/>
  <c r="F30" i="7"/>
  <c r="F29" i="7"/>
  <c r="G29" i="7"/>
  <c r="B30" i="7"/>
  <c r="C30" i="7"/>
  <c r="D30" i="7"/>
  <c r="G30" i="7"/>
  <c r="B31" i="7"/>
  <c r="D31" i="7"/>
  <c r="C31" i="7"/>
  <c r="E31" i="7"/>
  <c r="E29" i="7"/>
  <c r="G29" i="2"/>
  <c r="C30" i="2"/>
  <c r="D30" i="2"/>
  <c r="E30" i="2"/>
  <c r="F30" i="2"/>
  <c r="C31" i="2"/>
  <c r="D31" i="2"/>
  <c r="B31" i="1"/>
  <c r="B30" i="1"/>
  <c r="E29" i="1"/>
  <c r="F29" i="1"/>
  <c r="C29" i="1"/>
  <c r="G29" i="1"/>
  <c r="D29" i="1"/>
  <c r="C30" i="1"/>
  <c r="D30" i="1"/>
  <c r="E30" i="1"/>
  <c r="F30" i="1"/>
  <c r="G30" i="1"/>
</calcChain>
</file>

<file path=xl/sharedStrings.xml><?xml version="1.0" encoding="utf-8"?>
<sst xmlns="http://schemas.openxmlformats.org/spreadsheetml/2006/main" count="380" uniqueCount="37">
  <si>
    <t>0-10s</t>
  </si>
  <si>
    <t>30.1 - 40s</t>
  </si>
  <si>
    <t>40.1 - 50 s</t>
  </si>
  <si>
    <t>70.1-80s</t>
  </si>
  <si>
    <t>80.1-90s</t>
  </si>
  <si>
    <t>110.1 - 120s</t>
  </si>
  <si>
    <t>Mean Worm Length (um)</t>
  </si>
  <si>
    <t>Mean Width (um)</t>
  </si>
  <si>
    <t>Mean Area (um^2)</t>
  </si>
  <si>
    <t>Track Length (um) [Center point trajectory]</t>
  </si>
  <si>
    <t>Center point Speed (um/s) [Center point trajectory/time]</t>
  </si>
  <si>
    <t>Absolute Peristaltic Track Length (um) [forward + reversals]</t>
  </si>
  <si>
    <t>Peristaltic Speed (um/s) [Absolute peristaltic track length/time]</t>
  </si>
  <si>
    <t>Peristaltic Track Length (um) [forward - reversals]</t>
  </si>
  <si>
    <t>Peristaltic Speed (um/s) [peristaltic track length/time]</t>
  </si>
  <si>
    <t>Straight-line Distance (um)</t>
  </si>
  <si>
    <t>Wavelength (um)</t>
  </si>
  <si>
    <t>Mean Amplitude (um)</t>
  </si>
  <si>
    <t>Max Amplitude (um)</t>
  </si>
  <si>
    <t>Turn Count</t>
  </si>
  <si>
    <t>Track duration (s)</t>
  </si>
  <si>
    <t>Distance Traveled Forward(um)</t>
  </si>
  <si>
    <t>Distance Traveled in Reverse(um)</t>
  </si>
  <si>
    <t>Number of Reversals</t>
  </si>
  <si>
    <t>Cumulative Reversal Time (s)</t>
  </si>
  <si>
    <t>Cumulative Forward Time (s)</t>
  </si>
  <si>
    <t>Number of Pirouette</t>
  </si>
  <si>
    <t>Pirouette Time (s)</t>
  </si>
  <si>
    <t>Mobility reversal time (s)</t>
  </si>
  <si>
    <t>Mobility idle time (s)</t>
  </si>
  <si>
    <t>Mobility forward time (s)</t>
  </si>
  <si>
    <t>Total Time</t>
  </si>
  <si>
    <t>% Reversal</t>
  </si>
  <si>
    <t>% Idle</t>
  </si>
  <si>
    <t>% Forward</t>
  </si>
  <si>
    <t>Mean Smoothed Speed</t>
  </si>
  <si>
    <t>Speed Change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</si>
</sst>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87179-4789-4BDE-9862-CD04BB47C28B}">
  <dimension ref="A1:G37"/>
  <sheetViews>
    <sheetView zoomScale="80" zoomScaleNormal="80" workbookViewId="0">
      <selection activeCell="B30" sqref="B30:G30"/>
    </sheetView>
  </sheetViews>
  <sheetFormatPr defaultRowHeight="14.4" x14ac:dyDescent="0.3"/>
  <cols>
    <col min="1" max="1" width="58.88671875" customWidth="1"/>
    <col min="2" max="7" width="12.6640625" customWidth="1"/>
  </cols>
  <sheetData>
    <row r="1" spans="1:7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1" t="s">
        <v>6</v>
      </c>
      <c r="B2" s="1">
        <v>461.2</v>
      </c>
      <c r="C2" s="1">
        <v>456.76</v>
      </c>
      <c r="D2" s="1">
        <v>448.33</v>
      </c>
      <c r="E2" s="1">
        <v>434.89</v>
      </c>
      <c r="F2" s="1">
        <v>461.78</v>
      </c>
      <c r="G2" s="1">
        <v>481.17</v>
      </c>
    </row>
    <row r="3" spans="1:7" x14ac:dyDescent="0.3">
      <c r="A3" s="1" t="s">
        <v>7</v>
      </c>
      <c r="B3" s="1">
        <v>55.28</v>
      </c>
      <c r="C3" s="1">
        <v>48.05</v>
      </c>
      <c r="D3" s="1">
        <v>55.32</v>
      </c>
      <c r="E3" s="1">
        <v>51.03</v>
      </c>
      <c r="F3" s="1">
        <v>51.93</v>
      </c>
      <c r="G3" s="1">
        <v>52.31</v>
      </c>
    </row>
    <row r="4" spans="1:7" x14ac:dyDescent="0.3">
      <c r="A4" s="1" t="s">
        <v>8</v>
      </c>
      <c r="B4" s="1">
        <v>25943.65</v>
      </c>
      <c r="C4" s="1">
        <v>22424.57</v>
      </c>
      <c r="D4" s="1">
        <v>25127.87</v>
      </c>
      <c r="E4" s="1">
        <v>22531.48</v>
      </c>
      <c r="F4" s="1">
        <v>24580.880000000001</v>
      </c>
      <c r="G4" s="1">
        <v>25569.95</v>
      </c>
    </row>
    <row r="5" spans="1:7" x14ac:dyDescent="0.3">
      <c r="A5" s="1" t="s">
        <v>9</v>
      </c>
      <c r="B5" s="1">
        <v>1457.56</v>
      </c>
      <c r="C5" s="1">
        <v>1955.03</v>
      </c>
      <c r="D5" s="1">
        <v>1634.18</v>
      </c>
      <c r="E5" s="1">
        <v>1147.55</v>
      </c>
      <c r="F5" s="1">
        <v>1219.69</v>
      </c>
      <c r="G5" s="1">
        <v>530.29</v>
      </c>
    </row>
    <row r="6" spans="1:7" x14ac:dyDescent="0.3">
      <c r="A6" s="3" t="s">
        <v>10</v>
      </c>
      <c r="B6" s="3">
        <v>145.76</v>
      </c>
      <c r="C6" s="3">
        <v>197.48</v>
      </c>
      <c r="D6" s="3">
        <v>165.07</v>
      </c>
      <c r="E6" s="3">
        <v>115.91</v>
      </c>
      <c r="F6" s="3">
        <v>123.2</v>
      </c>
      <c r="G6" s="3">
        <v>54.11</v>
      </c>
    </row>
    <row r="7" spans="1:7" x14ac:dyDescent="0.3">
      <c r="A7" s="1" t="s">
        <v>11</v>
      </c>
      <c r="B7" s="1">
        <v>1325.38</v>
      </c>
      <c r="C7" s="1">
        <v>1796.04</v>
      </c>
      <c r="D7" s="1">
        <v>1530.85</v>
      </c>
      <c r="E7" s="1">
        <v>1079.8900000000001</v>
      </c>
      <c r="F7" s="1">
        <v>1182.22</v>
      </c>
      <c r="G7" s="1">
        <v>516.09</v>
      </c>
    </row>
    <row r="8" spans="1:7" x14ac:dyDescent="0.3">
      <c r="A8" s="1" t="s">
        <v>12</v>
      </c>
      <c r="B8" s="1">
        <v>132.54</v>
      </c>
      <c r="C8" s="1">
        <v>181.42</v>
      </c>
      <c r="D8" s="1">
        <v>154.63</v>
      </c>
      <c r="E8" s="1">
        <v>109.08</v>
      </c>
      <c r="F8" s="1">
        <v>119.42</v>
      </c>
      <c r="G8" s="1">
        <v>52.66</v>
      </c>
    </row>
    <row r="9" spans="1:7" x14ac:dyDescent="0.3">
      <c r="A9" s="1" t="s">
        <v>13</v>
      </c>
      <c r="B9" s="1">
        <v>1081.1500000000001</v>
      </c>
      <c r="C9" s="1">
        <v>1751.67</v>
      </c>
      <c r="D9" s="1">
        <v>1398.44</v>
      </c>
      <c r="E9" s="1">
        <v>507.13</v>
      </c>
      <c r="F9" s="1">
        <v>1170.75</v>
      </c>
      <c r="G9" s="1">
        <v>364.6</v>
      </c>
    </row>
    <row r="10" spans="1:7" x14ac:dyDescent="0.3">
      <c r="A10" s="1" t="s">
        <v>14</v>
      </c>
      <c r="B10" s="1">
        <v>108.11</v>
      </c>
      <c r="C10" s="1">
        <v>176.94</v>
      </c>
      <c r="D10" s="1">
        <v>141.26</v>
      </c>
      <c r="E10" s="1">
        <v>51.22</v>
      </c>
      <c r="F10" s="1">
        <v>118.26</v>
      </c>
      <c r="G10" s="1">
        <v>37.200000000000003</v>
      </c>
    </row>
    <row r="11" spans="1:7" x14ac:dyDescent="0.3">
      <c r="A11" s="1" t="s">
        <v>15</v>
      </c>
      <c r="B11" s="1">
        <v>583.97</v>
      </c>
      <c r="C11" s="1">
        <v>1153.67</v>
      </c>
      <c r="D11" s="1">
        <v>440.9</v>
      </c>
      <c r="E11" s="1">
        <v>343.16</v>
      </c>
      <c r="F11" s="1">
        <v>809.23</v>
      </c>
      <c r="G11" s="1">
        <v>342.24</v>
      </c>
    </row>
    <row r="12" spans="1:7" x14ac:dyDescent="0.3">
      <c r="A12" s="1" t="s">
        <v>16</v>
      </c>
      <c r="B12" s="1">
        <v>220.79</v>
      </c>
      <c r="C12" s="1">
        <v>236.1</v>
      </c>
      <c r="D12" s="1">
        <v>219.8</v>
      </c>
      <c r="E12" s="1">
        <v>218.66</v>
      </c>
      <c r="F12" s="1">
        <v>241.83</v>
      </c>
      <c r="G12" s="1">
        <v>211.28</v>
      </c>
    </row>
    <row r="13" spans="1:7" x14ac:dyDescent="0.3">
      <c r="A13" s="1" t="s">
        <v>17</v>
      </c>
      <c r="B13" s="1">
        <v>37.46</v>
      </c>
      <c r="C13" s="1">
        <v>34.880000000000003</v>
      </c>
      <c r="D13" s="1">
        <v>40.130000000000003</v>
      </c>
      <c r="E13" s="1">
        <v>26.71</v>
      </c>
      <c r="F13" s="1">
        <v>26.3</v>
      </c>
      <c r="G13" s="1">
        <v>13.92</v>
      </c>
    </row>
    <row r="14" spans="1:7" x14ac:dyDescent="0.3">
      <c r="A14" s="1" t="s">
        <v>18</v>
      </c>
      <c r="B14" s="1">
        <v>80.930000000000007</v>
      </c>
      <c r="C14" s="1">
        <v>86.75</v>
      </c>
      <c r="D14" s="1">
        <v>78.489999999999995</v>
      </c>
      <c r="E14" s="1">
        <v>61.79</v>
      </c>
      <c r="F14" s="1">
        <v>49.19</v>
      </c>
      <c r="G14" s="1">
        <v>35.51</v>
      </c>
    </row>
    <row r="15" spans="1:7" x14ac:dyDescent="0.3">
      <c r="A15" s="1" t="s">
        <v>19</v>
      </c>
      <c r="B15" s="1">
        <v>5</v>
      </c>
      <c r="C15" s="1">
        <v>6</v>
      </c>
      <c r="D15" s="1">
        <v>4</v>
      </c>
      <c r="E15" s="1">
        <v>6</v>
      </c>
      <c r="F15" s="1">
        <v>1</v>
      </c>
      <c r="G15" s="1">
        <v>3</v>
      </c>
    </row>
    <row r="16" spans="1:7" x14ac:dyDescent="0.3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3">
      <c r="A17" s="1" t="s">
        <v>21</v>
      </c>
      <c r="B17" s="1">
        <v>1203.26</v>
      </c>
      <c r="C17" s="1">
        <v>1773.85</v>
      </c>
      <c r="D17" s="1">
        <v>1464.65</v>
      </c>
      <c r="E17" s="1">
        <v>793.51</v>
      </c>
      <c r="F17" s="1">
        <v>1176.48</v>
      </c>
      <c r="G17" s="1">
        <v>440.35</v>
      </c>
    </row>
    <row r="18" spans="1:7" x14ac:dyDescent="0.3">
      <c r="A18" s="1" t="s">
        <v>22</v>
      </c>
      <c r="B18" s="1">
        <v>122.12</v>
      </c>
      <c r="C18" s="1">
        <v>22.18</v>
      </c>
      <c r="D18" s="1">
        <v>66.2</v>
      </c>
      <c r="E18" s="1">
        <v>286.38</v>
      </c>
      <c r="F18" s="1">
        <v>5.73</v>
      </c>
      <c r="G18" s="1">
        <v>75.75</v>
      </c>
    </row>
    <row r="19" spans="1:7" x14ac:dyDescent="0.3">
      <c r="A19" s="1" t="s">
        <v>23</v>
      </c>
      <c r="B19" s="1">
        <v>1</v>
      </c>
      <c r="C19" s="1">
        <v>0</v>
      </c>
      <c r="D19" s="1">
        <v>0</v>
      </c>
      <c r="E19" s="1">
        <v>1</v>
      </c>
      <c r="F19" s="1">
        <v>0</v>
      </c>
      <c r="G19" s="1">
        <v>0</v>
      </c>
    </row>
    <row r="20" spans="1:7" x14ac:dyDescent="0.3">
      <c r="A20" s="1" t="s">
        <v>24</v>
      </c>
      <c r="B20" s="1">
        <v>1.6</v>
      </c>
      <c r="C20" s="1">
        <v>0</v>
      </c>
      <c r="D20" s="1">
        <v>0</v>
      </c>
      <c r="E20" s="1">
        <v>1.4</v>
      </c>
      <c r="F20" s="1">
        <v>0</v>
      </c>
      <c r="G20" s="1">
        <v>0</v>
      </c>
    </row>
    <row r="21" spans="1:7" x14ac:dyDescent="0.3">
      <c r="A21" s="1" t="s">
        <v>25</v>
      </c>
      <c r="B21" s="1">
        <v>8.5</v>
      </c>
      <c r="C21" s="1">
        <v>10</v>
      </c>
      <c r="D21" s="1">
        <v>10</v>
      </c>
      <c r="E21" s="1">
        <v>8.6</v>
      </c>
      <c r="F21" s="1">
        <v>10</v>
      </c>
      <c r="G21" s="1">
        <v>9.9</v>
      </c>
    </row>
    <row r="22" spans="1:7" x14ac:dyDescent="0.3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3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3">
      <c r="A24" s="1" t="s">
        <v>28</v>
      </c>
      <c r="B24" s="1">
        <v>1.9</v>
      </c>
      <c r="C24" s="1">
        <v>0</v>
      </c>
      <c r="D24" s="1">
        <v>0</v>
      </c>
      <c r="E24" s="1">
        <v>1.3</v>
      </c>
      <c r="F24" s="1">
        <v>0</v>
      </c>
      <c r="G24" s="1">
        <v>0</v>
      </c>
    </row>
    <row r="25" spans="1:7" x14ac:dyDescent="0.3">
      <c r="A25" s="1" t="s">
        <v>29</v>
      </c>
      <c r="B25" s="1">
        <v>0</v>
      </c>
      <c r="C25" s="1">
        <v>0</v>
      </c>
      <c r="D25" s="1">
        <v>0</v>
      </c>
      <c r="E25" s="1">
        <v>1.7</v>
      </c>
      <c r="F25" s="1">
        <v>0</v>
      </c>
      <c r="G25" s="1">
        <v>3.6</v>
      </c>
    </row>
    <row r="26" spans="1:7" x14ac:dyDescent="0.3">
      <c r="A26" s="1" t="s">
        <v>30</v>
      </c>
      <c r="B26" s="1">
        <v>8.1999999999999993</v>
      </c>
      <c r="C26" s="1">
        <v>10</v>
      </c>
      <c r="D26" s="1">
        <v>10</v>
      </c>
      <c r="E26" s="1">
        <v>7</v>
      </c>
      <c r="F26" s="1">
        <v>10</v>
      </c>
      <c r="G26" s="1">
        <v>6.3</v>
      </c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3">
      <c r="A29" s="3" t="s">
        <v>32</v>
      </c>
      <c r="B29" s="3">
        <f>B24/B28*100</f>
        <v>18.811881188118811</v>
      </c>
      <c r="C29" s="3">
        <f t="shared" ref="C29:G29" si="1">C24/C28*100</f>
        <v>0</v>
      </c>
      <c r="D29" s="3">
        <f t="shared" si="1"/>
        <v>0</v>
      </c>
      <c r="E29" s="3">
        <f t="shared" si="1"/>
        <v>13</v>
      </c>
      <c r="F29" s="3">
        <f t="shared" si="1"/>
        <v>0</v>
      </c>
      <c r="G29" s="3">
        <f t="shared" si="1"/>
        <v>0</v>
      </c>
    </row>
    <row r="30" spans="1:7" x14ac:dyDescent="0.3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17</v>
      </c>
      <c r="F30" s="3">
        <f t="shared" si="2"/>
        <v>0</v>
      </c>
      <c r="G30" s="3">
        <f t="shared" si="2"/>
        <v>36.363636363636367</v>
      </c>
    </row>
    <row r="31" spans="1:7" x14ac:dyDescent="0.3">
      <c r="A31" s="3" t="s">
        <v>34</v>
      </c>
      <c r="B31" s="3">
        <f>B26/B28*100</f>
        <v>81.188118811881182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70</v>
      </c>
      <c r="F31" s="3">
        <f t="shared" si="3"/>
        <v>100</v>
      </c>
      <c r="G31" s="3">
        <f t="shared" si="3"/>
        <v>63.636363636363633</v>
      </c>
    </row>
    <row r="32" spans="1:7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3" t="s">
        <v>35</v>
      </c>
      <c r="B33" s="3">
        <v>96.85</v>
      </c>
      <c r="C33" s="3">
        <v>186.32</v>
      </c>
      <c r="D33" s="3">
        <v>143.63</v>
      </c>
      <c r="E33" s="3">
        <v>53.6</v>
      </c>
      <c r="F33" s="3">
        <v>119.92</v>
      </c>
      <c r="G33" s="3">
        <v>34.5</v>
      </c>
    </row>
    <row r="35" spans="1:7" x14ac:dyDescent="0.3">
      <c r="A35" s="3" t="s">
        <v>36</v>
      </c>
      <c r="B35" s="3"/>
      <c r="C35" s="3"/>
      <c r="D35" s="3">
        <f>D33-C33</f>
        <v>-42.69</v>
      </c>
      <c r="E35" s="3"/>
      <c r="F35" s="3">
        <f>F33-E33</f>
        <v>66.319999999999993</v>
      </c>
      <c r="G35" s="3"/>
    </row>
    <row r="37" spans="1:7" x14ac:dyDescent="0.3">
      <c r="A37" s="3" t="s">
        <v>36</v>
      </c>
      <c r="B37" s="3"/>
      <c r="C37" s="3" t="e">
        <f>C33-#REF!</f>
        <v>#REF!</v>
      </c>
      <c r="D37" s="3"/>
      <c r="E37" s="3">
        <f>E33-D33</f>
        <v>-90.03</v>
      </c>
      <c r="F37" s="3"/>
      <c r="G37" s="3">
        <f>G33-F33</f>
        <v>-85.42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8ECD8-2DE3-434C-88C2-8386A3C411D9}">
  <dimension ref="A1:G37"/>
  <sheetViews>
    <sheetView zoomScale="70" zoomScaleNormal="70" workbookViewId="0">
      <selection activeCell="L19" sqref="L19"/>
    </sheetView>
  </sheetViews>
  <sheetFormatPr defaultRowHeight="14.4" x14ac:dyDescent="0.3"/>
  <cols>
    <col min="1" max="1" width="58.88671875" customWidth="1"/>
    <col min="2" max="7" width="12.6640625" customWidth="1"/>
  </cols>
  <sheetData>
    <row r="1" spans="1:7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1" t="s">
        <v>6</v>
      </c>
      <c r="B2" s="1">
        <v>451.8</v>
      </c>
      <c r="C2" s="1">
        <v>466.93</v>
      </c>
      <c r="D2" s="1">
        <v>488.52</v>
      </c>
      <c r="E2" s="1">
        <v>452.18</v>
      </c>
      <c r="F2" s="1">
        <v>500.18</v>
      </c>
      <c r="G2" s="1">
        <v>524.65</v>
      </c>
    </row>
    <row r="3" spans="1:7" x14ac:dyDescent="0.3">
      <c r="A3" s="1" t="s">
        <v>7</v>
      </c>
      <c r="B3" s="1">
        <v>42.63</v>
      </c>
      <c r="C3" s="1">
        <v>44.73</v>
      </c>
      <c r="D3" s="1">
        <v>46.7</v>
      </c>
      <c r="E3" s="1">
        <v>50.02</v>
      </c>
      <c r="F3" s="1">
        <v>51.7</v>
      </c>
      <c r="G3" s="1">
        <v>60.01</v>
      </c>
    </row>
    <row r="4" spans="1:7" x14ac:dyDescent="0.3">
      <c r="A4" s="1" t="s">
        <v>8</v>
      </c>
      <c r="B4" s="1">
        <v>19592.78</v>
      </c>
      <c r="C4" s="1">
        <v>21223.1</v>
      </c>
      <c r="D4" s="1">
        <v>23191.53</v>
      </c>
      <c r="E4" s="1">
        <v>22943.07</v>
      </c>
      <c r="F4" s="1">
        <v>26279.54</v>
      </c>
      <c r="G4" s="1">
        <v>32057.200000000001</v>
      </c>
    </row>
    <row r="5" spans="1:7" x14ac:dyDescent="0.3">
      <c r="A5" s="1" t="s">
        <v>9</v>
      </c>
      <c r="B5" s="1">
        <v>2157.85</v>
      </c>
      <c r="C5" s="1">
        <v>2158.61</v>
      </c>
      <c r="D5" s="1">
        <v>2218.94</v>
      </c>
      <c r="E5" s="1">
        <v>1219.98</v>
      </c>
      <c r="F5" s="1">
        <v>2584.0500000000002</v>
      </c>
      <c r="G5" s="1">
        <v>2943.84</v>
      </c>
    </row>
    <row r="6" spans="1:7" x14ac:dyDescent="0.3">
      <c r="A6" s="3" t="s">
        <v>10</v>
      </c>
      <c r="B6" s="3">
        <v>215.78</v>
      </c>
      <c r="C6" s="3">
        <v>218.04</v>
      </c>
      <c r="D6" s="3">
        <v>224.14</v>
      </c>
      <c r="E6" s="3">
        <v>123.23</v>
      </c>
      <c r="F6" s="3">
        <v>261.01</v>
      </c>
      <c r="G6" s="3">
        <v>300.39</v>
      </c>
    </row>
    <row r="7" spans="1:7" x14ac:dyDescent="0.3">
      <c r="A7" s="1" t="s">
        <v>11</v>
      </c>
      <c r="B7" s="1">
        <v>1980.58</v>
      </c>
      <c r="C7" s="1">
        <v>2020.27</v>
      </c>
      <c r="D7" s="1">
        <v>2117.98</v>
      </c>
      <c r="E7" s="1">
        <v>1138.97</v>
      </c>
      <c r="F7" s="1">
        <v>2504.4299999999998</v>
      </c>
      <c r="G7" s="1">
        <v>2826.56</v>
      </c>
    </row>
    <row r="8" spans="1:7" x14ac:dyDescent="0.3">
      <c r="A8" s="1" t="s">
        <v>12</v>
      </c>
      <c r="B8" s="1">
        <v>198.06</v>
      </c>
      <c r="C8" s="1">
        <v>204.07</v>
      </c>
      <c r="D8" s="1">
        <v>213.94</v>
      </c>
      <c r="E8" s="1">
        <v>115.05</v>
      </c>
      <c r="F8" s="1">
        <v>252.97</v>
      </c>
      <c r="G8" s="1">
        <v>288.42</v>
      </c>
    </row>
    <row r="9" spans="1:7" x14ac:dyDescent="0.3">
      <c r="A9" s="1" t="s">
        <v>13</v>
      </c>
      <c r="B9" s="1">
        <v>1980.58</v>
      </c>
      <c r="C9" s="1">
        <v>2020.27</v>
      </c>
      <c r="D9" s="1">
        <v>2117.98</v>
      </c>
      <c r="E9" s="1">
        <v>1065.7</v>
      </c>
      <c r="F9" s="1">
        <v>2504.4299999999998</v>
      </c>
      <c r="G9" s="1">
        <v>2826.56</v>
      </c>
    </row>
    <row r="10" spans="1:7" x14ac:dyDescent="0.3">
      <c r="A10" s="1" t="s">
        <v>14</v>
      </c>
      <c r="B10" s="1">
        <v>198.06</v>
      </c>
      <c r="C10" s="1">
        <v>204.07</v>
      </c>
      <c r="D10" s="1">
        <v>213.94</v>
      </c>
      <c r="E10" s="1">
        <v>107.65</v>
      </c>
      <c r="F10" s="1">
        <v>252.97</v>
      </c>
      <c r="G10" s="1">
        <v>288.42</v>
      </c>
    </row>
    <row r="11" spans="1:7" x14ac:dyDescent="0.3">
      <c r="A11" s="1" t="s">
        <v>15</v>
      </c>
      <c r="B11" s="1">
        <v>1480.18</v>
      </c>
      <c r="C11" s="1">
        <v>1836.31</v>
      </c>
      <c r="D11" s="1">
        <v>1850.62</v>
      </c>
      <c r="E11" s="1">
        <v>338.96</v>
      </c>
      <c r="F11" s="1">
        <v>2037.88</v>
      </c>
      <c r="G11" s="1">
        <v>2430.15</v>
      </c>
    </row>
    <row r="12" spans="1:7" x14ac:dyDescent="0.3">
      <c r="A12" s="1" t="s">
        <v>16</v>
      </c>
      <c r="B12" s="1">
        <v>256.19</v>
      </c>
      <c r="C12" s="1">
        <v>262.85000000000002</v>
      </c>
      <c r="D12" s="1">
        <v>277.85000000000002</v>
      </c>
      <c r="E12" s="1">
        <v>226.95</v>
      </c>
      <c r="F12" s="1">
        <v>260.87</v>
      </c>
      <c r="G12" s="1">
        <v>285.95</v>
      </c>
    </row>
    <row r="13" spans="1:7" x14ac:dyDescent="0.3">
      <c r="A13" s="1" t="s">
        <v>17</v>
      </c>
      <c r="B13" s="1">
        <v>35.35</v>
      </c>
      <c r="C13" s="1">
        <v>30.71</v>
      </c>
      <c r="D13" s="1">
        <v>28.32</v>
      </c>
      <c r="E13" s="1">
        <v>29.6</v>
      </c>
      <c r="F13" s="1">
        <v>25.75</v>
      </c>
      <c r="G13" s="1">
        <v>40.31</v>
      </c>
    </row>
    <row r="14" spans="1:7" x14ac:dyDescent="0.3">
      <c r="A14" s="1" t="s">
        <v>18</v>
      </c>
      <c r="B14" s="1">
        <v>67.099999999999994</v>
      </c>
      <c r="C14" s="1">
        <v>66.010000000000005</v>
      </c>
      <c r="D14" s="1">
        <v>76.75</v>
      </c>
      <c r="E14" s="1">
        <v>99.15</v>
      </c>
      <c r="F14" s="1">
        <v>77.099999999999994</v>
      </c>
      <c r="G14" s="1">
        <v>95.76</v>
      </c>
    </row>
    <row r="15" spans="1:7" x14ac:dyDescent="0.3">
      <c r="A15" s="1" t="s">
        <v>19</v>
      </c>
      <c r="B15" s="1">
        <v>7</v>
      </c>
      <c r="C15" s="1">
        <v>7</v>
      </c>
      <c r="D15" s="1">
        <v>6</v>
      </c>
      <c r="E15" s="1">
        <v>4</v>
      </c>
      <c r="F15" s="1">
        <v>4</v>
      </c>
      <c r="G15" s="1">
        <v>9</v>
      </c>
    </row>
    <row r="16" spans="1:7" x14ac:dyDescent="0.3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3">
      <c r="A17" s="1" t="s">
        <v>21</v>
      </c>
      <c r="B17" s="1">
        <v>1980.58</v>
      </c>
      <c r="C17" s="1">
        <v>2020.27</v>
      </c>
      <c r="D17" s="1">
        <v>2117.98</v>
      </c>
      <c r="E17" s="1">
        <v>1102.3399999999999</v>
      </c>
      <c r="F17" s="1">
        <v>2504.4299999999998</v>
      </c>
      <c r="G17" s="1">
        <v>2826.56</v>
      </c>
    </row>
    <row r="18" spans="1:7" x14ac:dyDescent="0.3">
      <c r="A18" s="1" t="s">
        <v>22</v>
      </c>
      <c r="B18" s="1">
        <v>0</v>
      </c>
      <c r="C18" s="1">
        <v>0</v>
      </c>
      <c r="D18" s="1">
        <v>0</v>
      </c>
      <c r="E18" s="1">
        <v>36.630000000000003</v>
      </c>
      <c r="F18" s="1">
        <v>0</v>
      </c>
      <c r="G18" s="1">
        <v>0</v>
      </c>
    </row>
    <row r="19" spans="1:7" x14ac:dyDescent="0.3">
      <c r="A19" s="1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</row>
    <row r="20" spans="1:7" x14ac:dyDescent="0.3">
      <c r="A20" s="1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</row>
    <row r="21" spans="1:7" x14ac:dyDescent="0.3">
      <c r="A21" s="1" t="s">
        <v>25</v>
      </c>
      <c r="B21" s="1">
        <v>10.1</v>
      </c>
      <c r="C21" s="1">
        <v>10</v>
      </c>
      <c r="D21" s="1">
        <v>10</v>
      </c>
      <c r="E21" s="1">
        <v>10</v>
      </c>
      <c r="F21" s="1">
        <v>10</v>
      </c>
      <c r="G21" s="1">
        <v>9.9</v>
      </c>
    </row>
    <row r="22" spans="1:7" x14ac:dyDescent="0.3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3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3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3">
      <c r="A25" s="1" t="s">
        <v>29</v>
      </c>
      <c r="B25" s="1">
        <v>0</v>
      </c>
      <c r="C25" s="1">
        <v>0</v>
      </c>
      <c r="D25" s="1">
        <v>0</v>
      </c>
      <c r="E25" s="1">
        <v>1.9</v>
      </c>
      <c r="F25" s="1">
        <v>0</v>
      </c>
      <c r="G25" s="1">
        <v>0</v>
      </c>
    </row>
    <row r="26" spans="1:7" x14ac:dyDescent="0.3">
      <c r="A26" s="1" t="s">
        <v>30</v>
      </c>
      <c r="B26" s="1">
        <v>10.1</v>
      </c>
      <c r="C26" s="1">
        <v>10</v>
      </c>
      <c r="D26" s="1">
        <v>10</v>
      </c>
      <c r="E26" s="1">
        <v>8.1</v>
      </c>
      <c r="F26" s="1">
        <v>10</v>
      </c>
      <c r="G26" s="1">
        <v>9.9</v>
      </c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3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3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19</v>
      </c>
      <c r="F30" s="3">
        <f t="shared" si="2"/>
        <v>0</v>
      </c>
      <c r="G30" s="3">
        <f t="shared" si="2"/>
        <v>0</v>
      </c>
    </row>
    <row r="31" spans="1:7" x14ac:dyDescent="0.3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81</v>
      </c>
      <c r="F31" s="3">
        <f t="shared" si="3"/>
        <v>100</v>
      </c>
      <c r="G31" s="3">
        <f t="shared" si="3"/>
        <v>100</v>
      </c>
    </row>
    <row r="32" spans="1:7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3" t="s">
        <v>35</v>
      </c>
      <c r="B33" s="3">
        <v>209.49</v>
      </c>
      <c r="C33" s="3">
        <v>216.19</v>
      </c>
      <c r="D33" s="3">
        <v>221.14</v>
      </c>
      <c r="E33" s="3">
        <v>111.03</v>
      </c>
      <c r="F33" s="3">
        <v>257.05</v>
      </c>
      <c r="G33" s="3">
        <v>294.77999999999997</v>
      </c>
    </row>
    <row r="35" spans="1:7" x14ac:dyDescent="0.3">
      <c r="A35" s="3" t="s">
        <v>36</v>
      </c>
      <c r="B35" s="3"/>
      <c r="C35" s="3"/>
      <c r="D35" s="3">
        <f>D33-C33</f>
        <v>4.9499999999999886</v>
      </c>
      <c r="E35" s="3"/>
      <c r="F35" s="3">
        <f>F33-E33</f>
        <v>146.02000000000001</v>
      </c>
      <c r="G35" s="3"/>
    </row>
    <row r="37" spans="1:7" x14ac:dyDescent="0.3">
      <c r="A37" s="3" t="s">
        <v>36</v>
      </c>
      <c r="B37" s="3"/>
      <c r="C37" s="3" t="e">
        <f>C33-#REF!</f>
        <v>#REF!</v>
      </c>
      <c r="D37" s="3"/>
      <c r="E37" s="3">
        <f>E33-D33</f>
        <v>-110.10999999999999</v>
      </c>
      <c r="F37" s="3"/>
      <c r="G37" s="3">
        <f>G33-F33</f>
        <v>37.729999999999961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94110-E71C-4021-A7A2-C45D9644AC2B}">
  <dimension ref="A1:G37"/>
  <sheetViews>
    <sheetView zoomScale="70" zoomScaleNormal="70" workbookViewId="0">
      <selection activeCell="J18" sqref="J18"/>
    </sheetView>
  </sheetViews>
  <sheetFormatPr defaultRowHeight="14.4" x14ac:dyDescent="0.3"/>
  <cols>
    <col min="1" max="1" width="58.88671875" customWidth="1"/>
    <col min="2" max="7" width="12.6640625" customWidth="1"/>
  </cols>
  <sheetData>
    <row r="1" spans="1:7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1" t="s">
        <v>6</v>
      </c>
      <c r="B2" s="1">
        <v>414.84</v>
      </c>
      <c r="C2" s="1">
        <v>492.27</v>
      </c>
      <c r="D2" s="1">
        <v>531.11</v>
      </c>
      <c r="E2" s="1">
        <v>528.79</v>
      </c>
      <c r="F2" s="1">
        <v>521.08000000000004</v>
      </c>
      <c r="G2" s="1">
        <v>525.71</v>
      </c>
    </row>
    <row r="3" spans="1:7" x14ac:dyDescent="0.3">
      <c r="A3" s="1" t="s">
        <v>7</v>
      </c>
      <c r="B3" s="1">
        <v>43.12</v>
      </c>
      <c r="C3" s="1">
        <v>41.73</v>
      </c>
      <c r="D3" s="1">
        <v>45.34</v>
      </c>
      <c r="E3" s="1">
        <v>46.06</v>
      </c>
      <c r="F3" s="1">
        <v>45.17</v>
      </c>
      <c r="G3" s="1">
        <v>46</v>
      </c>
    </row>
    <row r="4" spans="1:7" x14ac:dyDescent="0.3">
      <c r="A4" s="1" t="s">
        <v>8</v>
      </c>
      <c r="B4" s="1">
        <v>18168.09</v>
      </c>
      <c r="C4" s="1">
        <v>20890.63</v>
      </c>
      <c r="D4" s="1">
        <v>24506.13</v>
      </c>
      <c r="E4" s="1">
        <v>24771.35</v>
      </c>
      <c r="F4" s="1">
        <v>23919.27</v>
      </c>
      <c r="G4" s="1">
        <v>24596.02</v>
      </c>
    </row>
    <row r="5" spans="1:7" x14ac:dyDescent="0.3">
      <c r="A5" s="1" t="s">
        <v>9</v>
      </c>
      <c r="B5" s="1">
        <v>1327.98</v>
      </c>
      <c r="C5" s="1">
        <v>1998.9</v>
      </c>
      <c r="D5" s="1">
        <v>2257.46</v>
      </c>
      <c r="E5" s="1">
        <v>1846.43</v>
      </c>
      <c r="F5" s="1">
        <v>1361.83</v>
      </c>
      <c r="G5" s="1">
        <v>1815.77</v>
      </c>
    </row>
    <row r="6" spans="1:7" x14ac:dyDescent="0.3">
      <c r="A6" s="3" t="s">
        <v>10</v>
      </c>
      <c r="B6" s="3">
        <v>132.80000000000001</v>
      </c>
      <c r="C6" s="3">
        <v>201.91</v>
      </c>
      <c r="D6" s="3">
        <v>228.03</v>
      </c>
      <c r="E6" s="3">
        <v>186.51</v>
      </c>
      <c r="F6" s="3">
        <v>137.56</v>
      </c>
      <c r="G6" s="3">
        <v>185.28</v>
      </c>
    </row>
    <row r="7" spans="1:7" x14ac:dyDescent="0.3">
      <c r="A7" s="1" t="s">
        <v>11</v>
      </c>
      <c r="B7" s="1">
        <v>1136.5</v>
      </c>
      <c r="C7" s="1">
        <v>1739.51</v>
      </c>
      <c r="D7" s="1">
        <v>2133.35</v>
      </c>
      <c r="E7" s="1">
        <v>1741.63</v>
      </c>
      <c r="F7" s="1">
        <v>1271.69</v>
      </c>
      <c r="G7" s="1">
        <v>1713.15</v>
      </c>
    </row>
    <row r="8" spans="1:7" x14ac:dyDescent="0.3">
      <c r="A8" s="1" t="s">
        <v>12</v>
      </c>
      <c r="B8" s="1">
        <v>113.65</v>
      </c>
      <c r="C8" s="1">
        <v>175.71</v>
      </c>
      <c r="D8" s="1">
        <v>215.49</v>
      </c>
      <c r="E8" s="1">
        <v>175.92</v>
      </c>
      <c r="F8" s="1">
        <v>128.44999999999999</v>
      </c>
      <c r="G8" s="1">
        <v>174.81</v>
      </c>
    </row>
    <row r="9" spans="1:7" x14ac:dyDescent="0.3">
      <c r="A9" s="1" t="s">
        <v>13</v>
      </c>
      <c r="B9" s="1">
        <v>-281.16000000000003</v>
      </c>
      <c r="C9" s="1">
        <v>1473.92</v>
      </c>
      <c r="D9" s="1">
        <v>2133.35</v>
      </c>
      <c r="E9" s="1">
        <v>1720.32</v>
      </c>
      <c r="F9" s="1">
        <v>-617.05999999999995</v>
      </c>
      <c r="G9" s="1">
        <v>1695.23</v>
      </c>
    </row>
    <row r="10" spans="1:7" x14ac:dyDescent="0.3">
      <c r="A10" s="1" t="s">
        <v>14</v>
      </c>
      <c r="B10" s="1">
        <v>-28.12</v>
      </c>
      <c r="C10" s="1">
        <v>148.88</v>
      </c>
      <c r="D10" s="1">
        <v>215.49</v>
      </c>
      <c r="E10" s="1">
        <v>173.77</v>
      </c>
      <c r="F10" s="1">
        <v>-62.33</v>
      </c>
      <c r="G10" s="1">
        <v>172.98</v>
      </c>
    </row>
    <row r="11" spans="1:7" x14ac:dyDescent="0.3">
      <c r="A11" s="1" t="s">
        <v>15</v>
      </c>
      <c r="B11" s="1">
        <v>250.94</v>
      </c>
      <c r="C11" s="1">
        <v>319.44</v>
      </c>
      <c r="D11" s="1">
        <v>2053.17</v>
      </c>
      <c r="E11" s="1">
        <v>1690.63</v>
      </c>
      <c r="F11" s="1">
        <v>491</v>
      </c>
      <c r="G11" s="1">
        <v>1392.47</v>
      </c>
    </row>
    <row r="12" spans="1:7" x14ac:dyDescent="0.3">
      <c r="A12" s="1" t="s">
        <v>16</v>
      </c>
      <c r="B12" s="1">
        <v>191.08</v>
      </c>
      <c r="C12" s="1">
        <v>227.93</v>
      </c>
      <c r="D12" s="1">
        <v>275.49</v>
      </c>
      <c r="E12" s="1">
        <v>258.57</v>
      </c>
      <c r="F12" s="1">
        <v>248.54</v>
      </c>
      <c r="G12" s="1">
        <v>245.12</v>
      </c>
    </row>
    <row r="13" spans="1:7" x14ac:dyDescent="0.3">
      <c r="A13" s="1" t="s">
        <v>17</v>
      </c>
      <c r="B13" s="1">
        <v>38.479999999999997</v>
      </c>
      <c r="C13" s="1">
        <v>37.270000000000003</v>
      </c>
      <c r="D13" s="1">
        <v>23.15</v>
      </c>
      <c r="E13" s="1">
        <v>21.68</v>
      </c>
      <c r="F13" s="1">
        <v>37.229999999999997</v>
      </c>
      <c r="G13" s="1">
        <v>32.520000000000003</v>
      </c>
    </row>
    <row r="14" spans="1:7" x14ac:dyDescent="0.3">
      <c r="A14" s="1" t="s">
        <v>18</v>
      </c>
      <c r="B14" s="1">
        <v>90.2</v>
      </c>
      <c r="C14" s="1">
        <v>104.01</v>
      </c>
      <c r="D14" s="1">
        <v>67.84</v>
      </c>
      <c r="E14" s="1">
        <v>54.22</v>
      </c>
      <c r="F14" s="1">
        <v>91.38</v>
      </c>
      <c r="G14" s="1">
        <v>69.930000000000007</v>
      </c>
    </row>
    <row r="15" spans="1:7" x14ac:dyDescent="0.3">
      <c r="A15" s="1" t="s">
        <v>19</v>
      </c>
      <c r="B15" s="1">
        <v>5</v>
      </c>
      <c r="C15" s="1">
        <v>6</v>
      </c>
      <c r="D15" s="1">
        <v>3</v>
      </c>
      <c r="E15" s="1">
        <v>7</v>
      </c>
      <c r="F15" s="1">
        <v>7</v>
      </c>
      <c r="G15" s="1">
        <v>6</v>
      </c>
    </row>
    <row r="16" spans="1:7" x14ac:dyDescent="0.3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3">
      <c r="A17" s="1" t="s">
        <v>21</v>
      </c>
      <c r="B17" s="1">
        <v>427.67</v>
      </c>
      <c r="C17" s="1">
        <v>1606.71</v>
      </c>
      <c r="D17" s="1">
        <v>2133.35</v>
      </c>
      <c r="E17" s="1">
        <v>1730.98</v>
      </c>
      <c r="F17" s="1">
        <v>327.31</v>
      </c>
      <c r="G17" s="1">
        <v>1704.19</v>
      </c>
    </row>
    <row r="18" spans="1:7" x14ac:dyDescent="0.3">
      <c r="A18" s="1" t="s">
        <v>22</v>
      </c>
      <c r="B18" s="1">
        <v>708.83</v>
      </c>
      <c r="C18" s="1">
        <v>132.79</v>
      </c>
      <c r="D18" s="1">
        <v>0</v>
      </c>
      <c r="E18" s="1">
        <v>10.65</v>
      </c>
      <c r="F18" s="1">
        <v>944.37</v>
      </c>
      <c r="G18" s="1">
        <v>8.9600000000000009</v>
      </c>
    </row>
    <row r="19" spans="1:7" x14ac:dyDescent="0.3">
      <c r="A19" s="1" t="s">
        <v>23</v>
      </c>
      <c r="B19" s="1">
        <v>3</v>
      </c>
      <c r="C19" s="1">
        <v>0</v>
      </c>
      <c r="D19" s="1">
        <v>0</v>
      </c>
      <c r="E19" s="1">
        <v>0</v>
      </c>
      <c r="F19" s="1">
        <v>4</v>
      </c>
      <c r="G19" s="1">
        <v>0</v>
      </c>
    </row>
    <row r="20" spans="1:7" x14ac:dyDescent="0.3">
      <c r="A20" s="1" t="s">
        <v>24</v>
      </c>
      <c r="B20" s="1">
        <v>4.0999999999999996</v>
      </c>
      <c r="C20" s="1">
        <v>0</v>
      </c>
      <c r="D20" s="1">
        <v>0</v>
      </c>
      <c r="E20" s="1">
        <v>0</v>
      </c>
      <c r="F20" s="1">
        <v>5.6</v>
      </c>
      <c r="G20" s="1">
        <v>0</v>
      </c>
    </row>
    <row r="21" spans="1:7" x14ac:dyDescent="0.3">
      <c r="A21" s="1" t="s">
        <v>25</v>
      </c>
      <c r="B21" s="1">
        <v>6</v>
      </c>
      <c r="C21" s="1">
        <v>10</v>
      </c>
      <c r="D21" s="1">
        <v>10</v>
      </c>
      <c r="E21" s="1">
        <v>10</v>
      </c>
      <c r="F21" s="1">
        <v>4.4000000000000004</v>
      </c>
      <c r="G21" s="1">
        <v>9.9</v>
      </c>
    </row>
    <row r="22" spans="1:7" x14ac:dyDescent="0.3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3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3">
      <c r="A24" s="1" t="s">
        <v>28</v>
      </c>
      <c r="B24" s="1">
        <v>4.5999999999999996</v>
      </c>
      <c r="C24" s="1">
        <v>0</v>
      </c>
      <c r="D24" s="1">
        <v>0</v>
      </c>
      <c r="E24" s="1">
        <v>0</v>
      </c>
      <c r="F24" s="1">
        <v>7.9</v>
      </c>
      <c r="G24" s="1">
        <v>0</v>
      </c>
    </row>
    <row r="25" spans="1:7" x14ac:dyDescent="0.3">
      <c r="A25" s="1" t="s">
        <v>29</v>
      </c>
      <c r="B25" s="1">
        <v>0</v>
      </c>
      <c r="C25" s="1">
        <v>0</v>
      </c>
      <c r="D25" s="1">
        <v>0</v>
      </c>
      <c r="E25" s="1">
        <v>0</v>
      </c>
      <c r="F25" s="1">
        <v>1.1000000000000001</v>
      </c>
      <c r="G25" s="1">
        <v>0</v>
      </c>
    </row>
    <row r="26" spans="1:7" x14ac:dyDescent="0.3">
      <c r="A26" s="1" t="s">
        <v>30</v>
      </c>
      <c r="B26" s="1">
        <v>5.5</v>
      </c>
      <c r="C26" s="1">
        <v>10</v>
      </c>
      <c r="D26" s="1">
        <v>10</v>
      </c>
      <c r="E26" s="1">
        <v>10</v>
      </c>
      <c r="F26" s="1">
        <v>1</v>
      </c>
      <c r="G26" s="1">
        <v>9.9</v>
      </c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3">
      <c r="A29" s="3" t="s">
        <v>32</v>
      </c>
      <c r="B29" s="3">
        <f>B24/B28*100</f>
        <v>45.544554455445542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79</v>
      </c>
      <c r="G29" s="3">
        <f t="shared" si="1"/>
        <v>0</v>
      </c>
    </row>
    <row r="30" spans="1:7" x14ac:dyDescent="0.3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0</v>
      </c>
      <c r="F30" s="3">
        <f t="shared" si="2"/>
        <v>11.000000000000002</v>
      </c>
      <c r="G30" s="3">
        <f t="shared" si="2"/>
        <v>0</v>
      </c>
    </row>
    <row r="31" spans="1:7" x14ac:dyDescent="0.3">
      <c r="A31" s="3" t="s">
        <v>34</v>
      </c>
      <c r="B31" s="3">
        <f>B26/B28*100</f>
        <v>54.455445544554458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100</v>
      </c>
      <c r="F31" s="3">
        <f t="shared" si="3"/>
        <v>10</v>
      </c>
      <c r="G31" s="3">
        <f t="shared" si="3"/>
        <v>100</v>
      </c>
    </row>
    <row r="32" spans="1:7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3" t="s">
        <v>35</v>
      </c>
      <c r="B33" s="3">
        <v>2.11</v>
      </c>
      <c r="C33" s="3">
        <v>173.64</v>
      </c>
      <c r="D33" s="3">
        <v>226.46</v>
      </c>
      <c r="E33" s="3">
        <v>182.19</v>
      </c>
      <c r="F33" s="3">
        <v>-52.62</v>
      </c>
      <c r="G33" s="3">
        <v>174.33</v>
      </c>
    </row>
    <row r="35" spans="1:7" x14ac:dyDescent="0.3">
      <c r="A35" s="3" t="s">
        <v>36</v>
      </c>
      <c r="B35" s="3"/>
      <c r="C35" s="3"/>
      <c r="D35" s="3">
        <f>D33-C33</f>
        <v>52.820000000000022</v>
      </c>
      <c r="E35" s="3"/>
      <c r="F35" s="3">
        <f>F33-E33</f>
        <v>-234.81</v>
      </c>
      <c r="G35" s="3"/>
    </row>
    <row r="37" spans="1:7" x14ac:dyDescent="0.3">
      <c r="A37" s="3" t="s">
        <v>36</v>
      </c>
      <c r="B37" s="3"/>
      <c r="C37" s="3" t="e">
        <f>C33-#REF!</f>
        <v>#REF!</v>
      </c>
      <c r="D37" s="3"/>
      <c r="E37" s="3">
        <f>E33-D33</f>
        <v>-44.27000000000001</v>
      </c>
      <c r="F37" s="3"/>
      <c r="G37" s="3">
        <f>G33-F33</f>
        <v>226.95000000000002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A31E4-23F0-4D12-941A-1BC305861B7E}">
  <dimension ref="A1:G37"/>
  <sheetViews>
    <sheetView zoomScale="70" zoomScaleNormal="70" workbookViewId="0">
      <selection activeCell="K27" sqref="K27"/>
    </sheetView>
  </sheetViews>
  <sheetFormatPr defaultRowHeight="14.4" x14ac:dyDescent="0.3"/>
  <cols>
    <col min="1" max="1" width="58.88671875" customWidth="1"/>
    <col min="2" max="7" width="12.6640625" customWidth="1"/>
  </cols>
  <sheetData>
    <row r="1" spans="1:7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1" t="s">
        <v>6</v>
      </c>
      <c r="B2" s="1">
        <v>422.57</v>
      </c>
      <c r="C2" s="1">
        <v>416.04</v>
      </c>
      <c r="D2" s="1">
        <v>456.96</v>
      </c>
      <c r="E2" s="1">
        <v>348.3</v>
      </c>
      <c r="F2" s="1">
        <v>392.85</v>
      </c>
      <c r="G2" s="1">
        <v>403.75</v>
      </c>
    </row>
    <row r="3" spans="1:7" x14ac:dyDescent="0.3">
      <c r="A3" s="1" t="s">
        <v>7</v>
      </c>
      <c r="B3" s="1">
        <v>49.09</v>
      </c>
      <c r="C3" s="1">
        <v>46.58</v>
      </c>
      <c r="D3" s="1">
        <v>47.63</v>
      </c>
      <c r="E3" s="1">
        <v>47.78</v>
      </c>
      <c r="F3" s="1">
        <v>45.87</v>
      </c>
      <c r="G3" s="1">
        <v>51.54</v>
      </c>
    </row>
    <row r="4" spans="1:7" x14ac:dyDescent="0.3">
      <c r="A4" s="1" t="s">
        <v>8</v>
      </c>
      <c r="B4" s="1">
        <v>20995.62</v>
      </c>
      <c r="C4" s="1">
        <v>19649.830000000002</v>
      </c>
      <c r="D4" s="1">
        <v>22134.560000000001</v>
      </c>
      <c r="E4" s="1">
        <v>16908.419999999998</v>
      </c>
      <c r="F4" s="1">
        <v>18255.34</v>
      </c>
      <c r="G4" s="1">
        <v>21162.880000000001</v>
      </c>
    </row>
    <row r="5" spans="1:7" x14ac:dyDescent="0.3">
      <c r="A5" s="1" t="s">
        <v>9</v>
      </c>
      <c r="B5" s="1">
        <v>865.73</v>
      </c>
      <c r="C5" s="1">
        <v>1484.65</v>
      </c>
      <c r="D5" s="1">
        <v>2097.98</v>
      </c>
      <c r="E5" s="1">
        <v>648.28</v>
      </c>
      <c r="F5" s="1">
        <v>1143.24</v>
      </c>
      <c r="G5" s="1">
        <v>1178.98</v>
      </c>
    </row>
    <row r="6" spans="1:7" x14ac:dyDescent="0.3">
      <c r="A6" s="3" t="s">
        <v>10</v>
      </c>
      <c r="B6" s="3">
        <v>86.57</v>
      </c>
      <c r="C6" s="3">
        <v>147</v>
      </c>
      <c r="D6" s="3">
        <v>211.92</v>
      </c>
      <c r="E6" s="3">
        <v>65.48</v>
      </c>
      <c r="F6" s="3">
        <v>115.48</v>
      </c>
      <c r="G6" s="3">
        <v>120.3</v>
      </c>
    </row>
    <row r="7" spans="1:7" x14ac:dyDescent="0.3">
      <c r="A7" s="1" t="s">
        <v>11</v>
      </c>
      <c r="B7" s="1">
        <v>777.32</v>
      </c>
      <c r="C7" s="1">
        <v>1346.68</v>
      </c>
      <c r="D7" s="1">
        <v>1950.32</v>
      </c>
      <c r="E7" s="1">
        <v>573.28</v>
      </c>
      <c r="F7" s="1">
        <v>1009.41</v>
      </c>
      <c r="G7" s="1">
        <v>1030.3599999999999</v>
      </c>
    </row>
    <row r="8" spans="1:7" x14ac:dyDescent="0.3">
      <c r="A8" s="1" t="s">
        <v>12</v>
      </c>
      <c r="B8" s="1">
        <v>77.73</v>
      </c>
      <c r="C8" s="1">
        <v>133.33000000000001</v>
      </c>
      <c r="D8" s="1">
        <v>197</v>
      </c>
      <c r="E8" s="1">
        <v>57.91</v>
      </c>
      <c r="F8" s="1">
        <v>101.96</v>
      </c>
      <c r="G8" s="1">
        <v>105.14</v>
      </c>
    </row>
    <row r="9" spans="1:7" x14ac:dyDescent="0.3">
      <c r="A9" s="1" t="s">
        <v>13</v>
      </c>
      <c r="B9" s="1">
        <v>523.85</v>
      </c>
      <c r="C9" s="1">
        <v>611.53</v>
      </c>
      <c r="D9" s="1">
        <v>1950.32</v>
      </c>
      <c r="E9" s="1">
        <v>296.07</v>
      </c>
      <c r="F9" s="1">
        <v>-907.36</v>
      </c>
      <c r="G9" s="1">
        <v>-406.97</v>
      </c>
    </row>
    <row r="10" spans="1:7" x14ac:dyDescent="0.3">
      <c r="A10" s="1" t="s">
        <v>14</v>
      </c>
      <c r="B10" s="1">
        <v>52.39</v>
      </c>
      <c r="C10" s="1">
        <v>60.55</v>
      </c>
      <c r="D10" s="1">
        <v>197</v>
      </c>
      <c r="E10" s="1">
        <v>29.91</v>
      </c>
      <c r="F10" s="1">
        <v>-91.65</v>
      </c>
      <c r="G10" s="1">
        <v>-41.53</v>
      </c>
    </row>
    <row r="11" spans="1:7" x14ac:dyDescent="0.3">
      <c r="A11" s="1" t="s">
        <v>15</v>
      </c>
      <c r="B11" s="1">
        <v>277.17</v>
      </c>
      <c r="C11" s="1">
        <v>390.87</v>
      </c>
      <c r="D11" s="1">
        <v>1173.07</v>
      </c>
      <c r="E11" s="1">
        <v>137.13999999999999</v>
      </c>
      <c r="F11" s="1">
        <v>256.18</v>
      </c>
      <c r="G11" s="1">
        <v>180.16</v>
      </c>
    </row>
    <row r="12" spans="1:7" x14ac:dyDescent="0.3">
      <c r="A12" s="1" t="s">
        <v>16</v>
      </c>
      <c r="B12" s="1">
        <v>195.14</v>
      </c>
      <c r="C12" s="1">
        <v>195.92</v>
      </c>
      <c r="D12" s="1">
        <v>233.32</v>
      </c>
      <c r="E12" s="1">
        <v>153.97999999999999</v>
      </c>
      <c r="F12" s="1">
        <v>181.42</v>
      </c>
      <c r="G12" s="1">
        <v>154.25</v>
      </c>
    </row>
    <row r="13" spans="1:7" x14ac:dyDescent="0.3">
      <c r="A13" s="1" t="s">
        <v>17</v>
      </c>
      <c r="B13" s="1">
        <v>30.54</v>
      </c>
      <c r="C13" s="1">
        <v>36.049999999999997</v>
      </c>
      <c r="D13" s="1">
        <v>25.69</v>
      </c>
      <c r="E13" s="1">
        <v>27.34</v>
      </c>
      <c r="F13" s="1">
        <v>35.08</v>
      </c>
      <c r="G13" s="1">
        <v>42.35</v>
      </c>
    </row>
    <row r="14" spans="1:7" x14ac:dyDescent="0.3">
      <c r="A14" s="1" t="s">
        <v>18</v>
      </c>
      <c r="B14" s="1">
        <v>86.88</v>
      </c>
      <c r="C14" s="1">
        <v>89.91</v>
      </c>
      <c r="D14" s="1">
        <v>86.73</v>
      </c>
      <c r="E14" s="1">
        <v>65.92</v>
      </c>
      <c r="F14" s="1">
        <v>91.68</v>
      </c>
      <c r="G14" s="1">
        <v>94.73</v>
      </c>
    </row>
    <row r="15" spans="1:7" x14ac:dyDescent="0.3">
      <c r="A15" s="1" t="s">
        <v>19</v>
      </c>
      <c r="B15" s="1">
        <v>3</v>
      </c>
      <c r="C15" s="1">
        <v>4</v>
      </c>
      <c r="D15" s="1">
        <v>4</v>
      </c>
      <c r="E15" s="1">
        <v>4</v>
      </c>
      <c r="F15" s="1">
        <v>6</v>
      </c>
      <c r="G15" s="1">
        <v>6</v>
      </c>
    </row>
    <row r="16" spans="1:7" x14ac:dyDescent="0.3">
      <c r="A16" s="1" t="s">
        <v>20</v>
      </c>
      <c r="B16" s="1">
        <v>10</v>
      </c>
      <c r="C16" s="1">
        <v>10.1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3">
      <c r="A17" s="1" t="s">
        <v>21</v>
      </c>
      <c r="B17" s="1">
        <v>650.59</v>
      </c>
      <c r="C17" s="1">
        <v>979.11</v>
      </c>
      <c r="D17" s="1">
        <v>1950.32</v>
      </c>
      <c r="E17" s="1">
        <v>434.68</v>
      </c>
      <c r="F17" s="1">
        <v>51.02</v>
      </c>
      <c r="G17" s="1">
        <v>311.69</v>
      </c>
    </row>
    <row r="18" spans="1:7" x14ac:dyDescent="0.3">
      <c r="A18" s="1" t="s">
        <v>22</v>
      </c>
      <c r="B18" s="1">
        <v>126.73</v>
      </c>
      <c r="C18" s="1">
        <v>367.57</v>
      </c>
      <c r="D18" s="1">
        <v>0</v>
      </c>
      <c r="E18" s="1">
        <v>138.61000000000001</v>
      </c>
      <c r="F18" s="1">
        <v>958.39</v>
      </c>
      <c r="G18" s="1">
        <v>718.67</v>
      </c>
    </row>
    <row r="19" spans="1:7" x14ac:dyDescent="0.3">
      <c r="A19" s="1" t="s">
        <v>23</v>
      </c>
      <c r="B19" s="1">
        <v>1</v>
      </c>
      <c r="C19" s="1">
        <v>1</v>
      </c>
      <c r="D19" s="1">
        <v>0</v>
      </c>
      <c r="E19" s="1">
        <v>0</v>
      </c>
      <c r="F19" s="1">
        <v>3</v>
      </c>
      <c r="G19" s="1">
        <v>3</v>
      </c>
    </row>
    <row r="20" spans="1:7" x14ac:dyDescent="0.3">
      <c r="A20" s="1" t="s">
        <v>24</v>
      </c>
      <c r="B20" s="1">
        <v>1.5</v>
      </c>
      <c r="C20" s="1">
        <v>2.6</v>
      </c>
      <c r="D20" s="1">
        <v>0</v>
      </c>
      <c r="E20" s="1">
        <v>0</v>
      </c>
      <c r="F20" s="1">
        <v>8.5</v>
      </c>
      <c r="G20" s="1">
        <v>6.2</v>
      </c>
    </row>
    <row r="21" spans="1:7" x14ac:dyDescent="0.3">
      <c r="A21" s="1" t="s">
        <v>25</v>
      </c>
      <c r="B21" s="1">
        <v>8.6</v>
      </c>
      <c r="C21" s="1">
        <v>7.6</v>
      </c>
      <c r="D21" s="1">
        <v>10</v>
      </c>
      <c r="E21" s="1">
        <v>10</v>
      </c>
      <c r="F21" s="1">
        <v>1.5</v>
      </c>
      <c r="G21" s="1">
        <v>3.7</v>
      </c>
    </row>
    <row r="22" spans="1:7" x14ac:dyDescent="0.3">
      <c r="A22" s="1" t="s">
        <v>26</v>
      </c>
      <c r="B22" s="1">
        <v>0</v>
      </c>
      <c r="C22" s="1">
        <v>1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3">
      <c r="A23" s="1" t="s">
        <v>27</v>
      </c>
      <c r="B23" s="1">
        <v>0</v>
      </c>
      <c r="C23" s="1">
        <v>2.5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3">
      <c r="A24" s="1" t="s">
        <v>28</v>
      </c>
      <c r="B24" s="1">
        <v>1.2</v>
      </c>
      <c r="C24" s="1">
        <v>0</v>
      </c>
      <c r="D24" s="1">
        <v>0</v>
      </c>
      <c r="E24" s="1">
        <v>0</v>
      </c>
      <c r="F24" s="1">
        <v>5.8</v>
      </c>
      <c r="G24" s="1">
        <v>4.8</v>
      </c>
    </row>
    <row r="25" spans="1:7" x14ac:dyDescent="0.3">
      <c r="A25" s="1" t="s">
        <v>29</v>
      </c>
      <c r="B25" s="1">
        <v>2.2000000000000002</v>
      </c>
      <c r="C25" s="1">
        <v>6</v>
      </c>
      <c r="D25" s="1">
        <v>0</v>
      </c>
      <c r="E25" s="1">
        <v>7.1</v>
      </c>
      <c r="F25" s="1">
        <v>2.5</v>
      </c>
      <c r="G25" s="1">
        <v>1.3</v>
      </c>
    </row>
    <row r="26" spans="1:7" x14ac:dyDescent="0.3">
      <c r="A26" s="1" t="s">
        <v>30</v>
      </c>
      <c r="B26" s="1">
        <v>6.7</v>
      </c>
      <c r="C26" s="1">
        <v>4.2</v>
      </c>
      <c r="D26" s="1">
        <v>10</v>
      </c>
      <c r="E26" s="1">
        <v>2.9</v>
      </c>
      <c r="F26" s="1">
        <v>1.7</v>
      </c>
      <c r="G26" s="1">
        <v>3.8</v>
      </c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 t="s">
        <v>31</v>
      </c>
      <c r="B28" s="1">
        <f>SUM(B24:B26)</f>
        <v>10.100000000000001</v>
      </c>
      <c r="C28" s="1">
        <f t="shared" ref="C28:G28" si="0">SUM(C24:C26)</f>
        <v>10.199999999999999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9.8999999999999986</v>
      </c>
    </row>
    <row r="29" spans="1:7" x14ac:dyDescent="0.3">
      <c r="A29" s="3" t="s">
        <v>32</v>
      </c>
      <c r="B29" s="3">
        <f>B24/B28*100</f>
        <v>11.881188118811879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57.999999999999993</v>
      </c>
      <c r="G29" s="3">
        <f t="shared" si="1"/>
        <v>48.484848484848492</v>
      </c>
    </row>
    <row r="30" spans="1:7" x14ac:dyDescent="0.3">
      <c r="A30" s="3" t="s">
        <v>33</v>
      </c>
      <c r="B30" s="3">
        <f>B25/B28*100</f>
        <v>21.782178217821784</v>
      </c>
      <c r="C30" s="3">
        <f t="shared" ref="C30:G30" si="2">C25/C28*100</f>
        <v>58.82352941176471</v>
      </c>
      <c r="D30" s="3">
        <f t="shared" si="2"/>
        <v>0</v>
      </c>
      <c r="E30" s="3">
        <f t="shared" si="2"/>
        <v>71</v>
      </c>
      <c r="F30" s="3">
        <f t="shared" si="2"/>
        <v>25</v>
      </c>
      <c r="G30" s="3">
        <f t="shared" si="2"/>
        <v>13.131313131313133</v>
      </c>
    </row>
    <row r="31" spans="1:7" x14ac:dyDescent="0.3">
      <c r="A31" s="3" t="s">
        <v>34</v>
      </c>
      <c r="B31" s="3">
        <f>B26/B28*100</f>
        <v>66.336633663366328</v>
      </c>
      <c r="C31" s="3">
        <f t="shared" ref="C31:G31" si="3">C26/C28*100</f>
        <v>41.176470588235297</v>
      </c>
      <c r="D31" s="3">
        <f t="shared" si="3"/>
        <v>100</v>
      </c>
      <c r="E31" s="3">
        <f t="shared" si="3"/>
        <v>28.999999999999996</v>
      </c>
      <c r="F31" s="3">
        <f t="shared" si="3"/>
        <v>17</v>
      </c>
      <c r="G31" s="3">
        <f t="shared" si="3"/>
        <v>38.383838383838388</v>
      </c>
    </row>
    <row r="32" spans="1:7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3" t="s">
        <v>35</v>
      </c>
      <c r="B33" s="3">
        <v>48.65</v>
      </c>
      <c r="C33" s="3">
        <v>53.37</v>
      </c>
      <c r="D33" s="3">
        <v>207.45</v>
      </c>
      <c r="E33" s="3">
        <v>17.55</v>
      </c>
      <c r="F33" s="3">
        <v>-79.7</v>
      </c>
      <c r="G33" s="3">
        <v>-39.85</v>
      </c>
    </row>
    <row r="35" spans="1:7" x14ac:dyDescent="0.3">
      <c r="A35" s="3" t="s">
        <v>36</v>
      </c>
      <c r="B35" s="3"/>
      <c r="C35" s="3"/>
      <c r="D35" s="3">
        <f>D33-C33</f>
        <v>154.07999999999998</v>
      </c>
      <c r="E35" s="3"/>
      <c r="F35" s="3">
        <f>F33-E33</f>
        <v>-97.25</v>
      </c>
      <c r="G35" s="3"/>
    </row>
    <row r="37" spans="1:7" x14ac:dyDescent="0.3">
      <c r="A37" s="3" t="s">
        <v>36</v>
      </c>
      <c r="B37" s="3"/>
      <c r="C37" s="3" t="e">
        <f>C33-#REF!</f>
        <v>#REF!</v>
      </c>
      <c r="D37" s="3"/>
      <c r="E37" s="3">
        <f>E33-D33</f>
        <v>-189.89999999999998</v>
      </c>
      <c r="F37" s="3"/>
      <c r="G37" s="3">
        <f>G33-F33</f>
        <v>39.85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296CC-8AA6-4C2A-96CB-F0C5DA9042D1}">
  <dimension ref="A1:G37"/>
  <sheetViews>
    <sheetView topLeftCell="A2" zoomScale="70" zoomScaleNormal="70" workbookViewId="0">
      <selection activeCell="D37" sqref="D37"/>
    </sheetView>
  </sheetViews>
  <sheetFormatPr defaultRowHeight="14.4" x14ac:dyDescent="0.3"/>
  <cols>
    <col min="1" max="1" width="58.88671875" customWidth="1"/>
    <col min="2" max="7" width="12.6640625" customWidth="1"/>
  </cols>
  <sheetData>
    <row r="1" spans="1:7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1" t="s">
        <v>6</v>
      </c>
      <c r="B2" s="1">
        <v>490.71</v>
      </c>
      <c r="C2" s="1">
        <v>506.44</v>
      </c>
      <c r="D2" s="1">
        <v>509.61</v>
      </c>
      <c r="E2" s="1">
        <v>551.37</v>
      </c>
      <c r="F2" s="1">
        <v>537.32000000000005</v>
      </c>
      <c r="G2" s="1">
        <v>595.14</v>
      </c>
    </row>
    <row r="3" spans="1:7" x14ac:dyDescent="0.3">
      <c r="A3" s="1" t="s">
        <v>7</v>
      </c>
      <c r="B3" s="1">
        <v>45.28</v>
      </c>
      <c r="C3" s="1">
        <v>49.85</v>
      </c>
      <c r="D3" s="1">
        <v>52.13</v>
      </c>
      <c r="E3" s="1">
        <v>69.52</v>
      </c>
      <c r="F3" s="1">
        <v>63.46</v>
      </c>
      <c r="G3" s="1">
        <v>84.72</v>
      </c>
    </row>
    <row r="4" spans="1:7" x14ac:dyDescent="0.3">
      <c r="A4" s="1" t="s">
        <v>8</v>
      </c>
      <c r="B4" s="1">
        <v>22591.01</v>
      </c>
      <c r="C4" s="1">
        <v>25682.59</v>
      </c>
      <c r="D4" s="1">
        <v>27018.94</v>
      </c>
      <c r="E4" s="1">
        <v>38972.9</v>
      </c>
      <c r="F4" s="1">
        <v>34682.93</v>
      </c>
      <c r="G4" s="1">
        <v>51380.68</v>
      </c>
    </row>
    <row r="5" spans="1:7" x14ac:dyDescent="0.3">
      <c r="A5" s="1" t="s">
        <v>9</v>
      </c>
      <c r="B5" s="1">
        <v>1558.52</v>
      </c>
      <c r="C5" s="1">
        <v>2289.83</v>
      </c>
      <c r="D5" s="1">
        <v>2461.0700000000002</v>
      </c>
      <c r="E5" s="1">
        <v>1771.56</v>
      </c>
      <c r="F5" s="1">
        <v>1271.67</v>
      </c>
      <c r="G5" s="1">
        <v>766.43</v>
      </c>
    </row>
    <row r="6" spans="1:7" x14ac:dyDescent="0.3">
      <c r="A6" s="3" t="s">
        <v>10</v>
      </c>
      <c r="B6" s="3">
        <v>155.85</v>
      </c>
      <c r="C6" s="3">
        <v>231.3</v>
      </c>
      <c r="D6" s="3">
        <v>248.59</v>
      </c>
      <c r="E6" s="3">
        <v>178.95</v>
      </c>
      <c r="F6" s="3">
        <v>128.44999999999999</v>
      </c>
      <c r="G6" s="3">
        <v>78.209999999999994</v>
      </c>
    </row>
    <row r="7" spans="1:7" x14ac:dyDescent="0.3">
      <c r="A7" s="1" t="s">
        <v>11</v>
      </c>
      <c r="B7" s="1">
        <v>1394.37</v>
      </c>
      <c r="C7" s="1">
        <v>2137.7399999999998</v>
      </c>
      <c r="D7" s="1">
        <v>2302.17</v>
      </c>
      <c r="E7" s="1">
        <v>1694.35</v>
      </c>
      <c r="F7" s="1">
        <v>1240.24</v>
      </c>
      <c r="G7" s="1">
        <v>745.99</v>
      </c>
    </row>
    <row r="8" spans="1:7" x14ac:dyDescent="0.3">
      <c r="A8" s="1" t="s">
        <v>12</v>
      </c>
      <c r="B8" s="1">
        <v>139.44</v>
      </c>
      <c r="C8" s="1">
        <v>215.93</v>
      </c>
      <c r="D8" s="1">
        <v>232.54</v>
      </c>
      <c r="E8" s="1">
        <v>171.15</v>
      </c>
      <c r="F8" s="1">
        <v>125.28</v>
      </c>
      <c r="G8" s="1">
        <v>76.12</v>
      </c>
    </row>
    <row r="9" spans="1:7" x14ac:dyDescent="0.3">
      <c r="A9" s="1" t="s">
        <v>13</v>
      </c>
      <c r="B9" s="1">
        <v>1158.29</v>
      </c>
      <c r="C9" s="1">
        <v>2125</v>
      </c>
      <c r="D9" s="1">
        <v>2302.17</v>
      </c>
      <c r="E9" s="1">
        <v>1420.69</v>
      </c>
      <c r="F9" s="1">
        <v>1191.46</v>
      </c>
      <c r="G9" s="1">
        <v>742.61</v>
      </c>
    </row>
    <row r="10" spans="1:7" x14ac:dyDescent="0.3">
      <c r="A10" s="1" t="s">
        <v>14</v>
      </c>
      <c r="B10" s="1">
        <v>115.83</v>
      </c>
      <c r="C10" s="1">
        <v>214.65</v>
      </c>
      <c r="D10" s="1">
        <v>232.54</v>
      </c>
      <c r="E10" s="1">
        <v>143.5</v>
      </c>
      <c r="F10" s="1">
        <v>120.35</v>
      </c>
      <c r="G10" s="1">
        <v>75.78</v>
      </c>
    </row>
    <row r="11" spans="1:7" x14ac:dyDescent="0.3">
      <c r="A11" s="1" t="s">
        <v>15</v>
      </c>
      <c r="B11" s="1">
        <v>740.86</v>
      </c>
      <c r="C11" s="1">
        <v>1836.43</v>
      </c>
      <c r="D11" s="1">
        <v>2190.4699999999998</v>
      </c>
      <c r="E11" s="1">
        <v>1327.43</v>
      </c>
      <c r="F11" s="1">
        <v>1046.67</v>
      </c>
      <c r="G11" s="1">
        <v>719.48</v>
      </c>
    </row>
    <row r="12" spans="1:7" x14ac:dyDescent="0.3">
      <c r="A12" s="1" t="s">
        <v>16</v>
      </c>
      <c r="B12" s="1">
        <v>244.1</v>
      </c>
      <c r="C12" s="1">
        <v>258.86</v>
      </c>
      <c r="D12" s="1">
        <v>264.75</v>
      </c>
      <c r="E12" s="1">
        <v>268.08999999999997</v>
      </c>
      <c r="F12" s="1">
        <v>261.99</v>
      </c>
      <c r="G12" s="1">
        <v>287.89999999999998</v>
      </c>
    </row>
    <row r="13" spans="1:7" x14ac:dyDescent="0.3">
      <c r="A13" s="1" t="s">
        <v>17</v>
      </c>
      <c r="B13" s="1">
        <v>31.62</v>
      </c>
      <c r="C13" s="1">
        <v>31.71</v>
      </c>
      <c r="D13" s="1">
        <v>25.3</v>
      </c>
      <c r="E13" s="1">
        <v>21.81</v>
      </c>
      <c r="F13" s="1">
        <v>13.27</v>
      </c>
      <c r="G13" s="1">
        <v>12.15</v>
      </c>
    </row>
    <row r="14" spans="1:7" x14ac:dyDescent="0.3">
      <c r="A14" s="1" t="s">
        <v>18</v>
      </c>
      <c r="B14" s="1">
        <v>74.89</v>
      </c>
      <c r="C14" s="1">
        <v>72.709999999999994</v>
      </c>
      <c r="D14" s="1">
        <v>58.67</v>
      </c>
      <c r="E14" s="1">
        <v>70.8</v>
      </c>
      <c r="F14" s="1">
        <v>35.369999999999997</v>
      </c>
      <c r="G14" s="1">
        <v>35.5</v>
      </c>
    </row>
    <row r="15" spans="1:7" x14ac:dyDescent="0.3">
      <c r="A15" s="1" t="s">
        <v>19</v>
      </c>
      <c r="B15" s="1">
        <v>5</v>
      </c>
      <c r="C15" s="1">
        <v>6</v>
      </c>
      <c r="D15" s="1">
        <v>5</v>
      </c>
      <c r="E15" s="1">
        <v>5</v>
      </c>
      <c r="F15" s="1">
        <v>2</v>
      </c>
      <c r="G15" s="1">
        <v>5</v>
      </c>
    </row>
    <row r="16" spans="1:7" x14ac:dyDescent="0.3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3">
      <c r="A17" s="1" t="s">
        <v>21</v>
      </c>
      <c r="B17" s="1">
        <v>1276.33</v>
      </c>
      <c r="C17" s="1">
        <v>2131.37</v>
      </c>
      <c r="D17" s="1">
        <v>2302.17</v>
      </c>
      <c r="E17" s="1">
        <v>1557.52</v>
      </c>
      <c r="F17" s="1">
        <v>1215.8499999999999</v>
      </c>
      <c r="G17" s="1">
        <v>744.3</v>
      </c>
    </row>
    <row r="18" spans="1:7" x14ac:dyDescent="0.3">
      <c r="A18" s="1" t="s">
        <v>22</v>
      </c>
      <c r="B18" s="1">
        <v>118.04</v>
      </c>
      <c r="C18" s="1">
        <v>6.37</v>
      </c>
      <c r="D18" s="1">
        <v>0</v>
      </c>
      <c r="E18" s="1">
        <v>136.83000000000001</v>
      </c>
      <c r="F18" s="1">
        <v>24.39</v>
      </c>
      <c r="G18" s="1">
        <v>1.69</v>
      </c>
    </row>
    <row r="19" spans="1:7" x14ac:dyDescent="0.3">
      <c r="A19" s="1" t="s">
        <v>23</v>
      </c>
      <c r="B19" s="1">
        <v>1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</row>
    <row r="20" spans="1:7" x14ac:dyDescent="0.3">
      <c r="A20" s="1" t="s">
        <v>24</v>
      </c>
      <c r="B20" s="1">
        <v>1.5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</row>
    <row r="21" spans="1:7" x14ac:dyDescent="0.3">
      <c r="A21" s="1" t="s">
        <v>25</v>
      </c>
      <c r="B21" s="1">
        <v>8.6</v>
      </c>
      <c r="C21" s="1">
        <v>10</v>
      </c>
      <c r="D21" s="1">
        <v>10</v>
      </c>
      <c r="E21" s="1">
        <v>10</v>
      </c>
      <c r="F21" s="1">
        <v>10</v>
      </c>
      <c r="G21" s="1">
        <v>9.9</v>
      </c>
    </row>
    <row r="22" spans="1:7" x14ac:dyDescent="0.3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3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3">
      <c r="A24" s="1" t="s">
        <v>28</v>
      </c>
      <c r="B24" s="1">
        <v>1.5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3">
      <c r="A25" s="1" t="s">
        <v>29</v>
      </c>
      <c r="B25" s="1">
        <v>0</v>
      </c>
      <c r="C25" s="1">
        <v>0</v>
      </c>
      <c r="D25" s="1">
        <v>0</v>
      </c>
      <c r="E25" s="1">
        <v>1.3</v>
      </c>
      <c r="F25" s="1">
        <v>1</v>
      </c>
      <c r="G25" s="1">
        <v>0</v>
      </c>
    </row>
    <row r="26" spans="1:7" x14ac:dyDescent="0.3">
      <c r="A26" s="1" t="s">
        <v>30</v>
      </c>
      <c r="B26" s="1">
        <v>8.6</v>
      </c>
      <c r="C26" s="1">
        <v>10</v>
      </c>
      <c r="D26" s="1">
        <v>10</v>
      </c>
      <c r="E26" s="1">
        <v>8.6999999999999993</v>
      </c>
      <c r="F26" s="1">
        <v>9</v>
      </c>
      <c r="G26" s="1">
        <v>9.9</v>
      </c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3">
      <c r="A29" s="3" t="s">
        <v>32</v>
      </c>
      <c r="B29" s="3">
        <f>B24/B28*100</f>
        <v>14.85148514851485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3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13</v>
      </c>
      <c r="F30" s="3">
        <f t="shared" si="2"/>
        <v>10</v>
      </c>
      <c r="G30" s="3">
        <f t="shared" si="2"/>
        <v>0</v>
      </c>
    </row>
    <row r="31" spans="1:7" x14ac:dyDescent="0.3">
      <c r="A31" s="3" t="s">
        <v>34</v>
      </c>
      <c r="B31" s="3">
        <f>B26/B28*100</f>
        <v>85.148514851485146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86.999999999999986</v>
      </c>
      <c r="F31" s="3">
        <f t="shared" si="3"/>
        <v>90</v>
      </c>
      <c r="G31" s="3">
        <f t="shared" si="3"/>
        <v>100</v>
      </c>
    </row>
    <row r="32" spans="1:7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3" t="s">
        <v>35</v>
      </c>
      <c r="B33" s="3">
        <v>108.39</v>
      </c>
      <c r="C33" s="3">
        <v>226.37</v>
      </c>
      <c r="D33" s="3">
        <v>245.32</v>
      </c>
      <c r="E33" s="3">
        <v>148.49</v>
      </c>
      <c r="F33" s="3">
        <v>115.92</v>
      </c>
      <c r="G33" s="3">
        <v>76.27</v>
      </c>
    </row>
    <row r="35" spans="1:7" x14ac:dyDescent="0.3">
      <c r="A35" s="3" t="s">
        <v>36</v>
      </c>
      <c r="B35" s="3"/>
      <c r="C35" s="3"/>
      <c r="D35" s="3">
        <f>D33-C33</f>
        <v>18.949999999999989</v>
      </c>
      <c r="E35" s="3"/>
      <c r="F35" s="3">
        <f>F33-E33</f>
        <v>-32.570000000000007</v>
      </c>
      <c r="G35" s="3"/>
    </row>
    <row r="37" spans="1:7" x14ac:dyDescent="0.3">
      <c r="A37" s="3" t="s">
        <v>36</v>
      </c>
      <c r="B37" s="3"/>
      <c r="C37" s="3" t="e">
        <f>C33-#REF!</f>
        <v>#REF!</v>
      </c>
      <c r="D37" s="3"/>
      <c r="E37" s="3">
        <f>E33-D33</f>
        <v>-96.829999999999984</v>
      </c>
      <c r="F37" s="3"/>
      <c r="G37" s="3">
        <f>G33-F33</f>
        <v>-39.650000000000006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D05EA-03A6-496F-AD02-B0305F0344A7}">
  <dimension ref="A1:G37"/>
  <sheetViews>
    <sheetView zoomScale="70" zoomScaleNormal="70" workbookViewId="0">
      <selection activeCell="B30" sqref="B30:G30"/>
    </sheetView>
  </sheetViews>
  <sheetFormatPr defaultRowHeight="14.4" x14ac:dyDescent="0.3"/>
  <cols>
    <col min="1" max="1" width="58.88671875" customWidth="1"/>
    <col min="2" max="7" width="12.6640625" customWidth="1"/>
  </cols>
  <sheetData>
    <row r="1" spans="1:7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1" t="s">
        <v>6</v>
      </c>
      <c r="B2" s="1">
        <v>489.99</v>
      </c>
      <c r="C2" s="1">
        <v>485.57</v>
      </c>
      <c r="D2" s="1">
        <v>503.55</v>
      </c>
      <c r="E2" s="1">
        <v>480.21</v>
      </c>
      <c r="F2" s="1">
        <v>467.91</v>
      </c>
      <c r="G2" s="1">
        <v>470.33</v>
      </c>
    </row>
    <row r="3" spans="1:7" x14ac:dyDescent="0.3">
      <c r="A3" s="1" t="s">
        <v>7</v>
      </c>
      <c r="B3" s="1">
        <v>54.83</v>
      </c>
      <c r="C3" s="1">
        <v>49.36</v>
      </c>
      <c r="D3" s="1">
        <v>52.37</v>
      </c>
      <c r="E3" s="1">
        <v>50.68</v>
      </c>
      <c r="F3" s="1">
        <v>53.75</v>
      </c>
      <c r="G3" s="1">
        <v>55.37</v>
      </c>
    </row>
    <row r="4" spans="1:7" x14ac:dyDescent="0.3">
      <c r="A4" s="1" t="s">
        <v>8</v>
      </c>
      <c r="B4" s="1">
        <v>27325.67</v>
      </c>
      <c r="C4" s="1">
        <v>24356.85</v>
      </c>
      <c r="D4" s="1">
        <v>26859.95</v>
      </c>
      <c r="E4" s="1">
        <v>24750.81</v>
      </c>
      <c r="F4" s="1">
        <v>25520.63</v>
      </c>
      <c r="G4" s="1">
        <v>26426.05</v>
      </c>
    </row>
    <row r="5" spans="1:7" x14ac:dyDescent="0.3">
      <c r="A5" s="1" t="s">
        <v>9</v>
      </c>
      <c r="B5" s="1">
        <v>1657.5</v>
      </c>
      <c r="C5" s="1">
        <v>1109.26</v>
      </c>
      <c r="D5" s="1">
        <v>1791.64</v>
      </c>
      <c r="E5" s="1">
        <v>392.27</v>
      </c>
      <c r="F5" s="1">
        <v>943.22</v>
      </c>
      <c r="G5" s="1">
        <v>1536.74</v>
      </c>
    </row>
    <row r="6" spans="1:7" x14ac:dyDescent="0.3">
      <c r="A6" s="3" t="s">
        <v>10</v>
      </c>
      <c r="B6" s="3">
        <v>165.75</v>
      </c>
      <c r="C6" s="3">
        <v>112.05</v>
      </c>
      <c r="D6" s="3">
        <v>180.97</v>
      </c>
      <c r="E6" s="3">
        <v>39.619999999999997</v>
      </c>
      <c r="F6" s="3">
        <v>95.27</v>
      </c>
      <c r="G6" s="3">
        <v>156.81</v>
      </c>
    </row>
    <row r="7" spans="1:7" x14ac:dyDescent="0.3">
      <c r="A7" s="1" t="s">
        <v>11</v>
      </c>
      <c r="B7" s="1">
        <v>1558.22</v>
      </c>
      <c r="C7" s="1">
        <v>1035.43</v>
      </c>
      <c r="D7" s="1">
        <v>1703.71</v>
      </c>
      <c r="E7" s="1">
        <v>330.4</v>
      </c>
      <c r="F7" s="1">
        <v>807</v>
      </c>
      <c r="G7" s="1">
        <v>1334.13</v>
      </c>
    </row>
    <row r="8" spans="1:7" x14ac:dyDescent="0.3">
      <c r="A8" s="1" t="s">
        <v>12</v>
      </c>
      <c r="B8" s="1">
        <v>155.82</v>
      </c>
      <c r="C8" s="1">
        <v>104.59</v>
      </c>
      <c r="D8" s="1">
        <v>172.09</v>
      </c>
      <c r="E8" s="1">
        <v>33.369999999999997</v>
      </c>
      <c r="F8" s="1">
        <v>81.52</v>
      </c>
      <c r="G8" s="1">
        <v>136.13999999999999</v>
      </c>
    </row>
    <row r="9" spans="1:7" x14ac:dyDescent="0.3">
      <c r="A9" s="1" t="s">
        <v>13</v>
      </c>
      <c r="B9" s="1">
        <v>1540.94</v>
      </c>
      <c r="C9" s="1">
        <v>682.32</v>
      </c>
      <c r="D9" s="1">
        <v>1673.85</v>
      </c>
      <c r="E9" s="1">
        <v>-124</v>
      </c>
      <c r="F9" s="1">
        <v>-601.15</v>
      </c>
      <c r="G9" s="1">
        <v>585.41999999999996</v>
      </c>
    </row>
    <row r="10" spans="1:7" x14ac:dyDescent="0.3">
      <c r="A10" s="1" t="s">
        <v>14</v>
      </c>
      <c r="B10" s="1">
        <v>154.09</v>
      </c>
      <c r="C10" s="1">
        <v>68.92</v>
      </c>
      <c r="D10" s="1">
        <v>169.08</v>
      </c>
      <c r="E10" s="1">
        <v>-12.53</v>
      </c>
      <c r="F10" s="1">
        <v>-60.72</v>
      </c>
      <c r="G10" s="1">
        <v>59.74</v>
      </c>
    </row>
    <row r="11" spans="1:7" x14ac:dyDescent="0.3">
      <c r="A11" s="1" t="s">
        <v>15</v>
      </c>
      <c r="B11" s="1">
        <v>952.8</v>
      </c>
      <c r="C11" s="1">
        <v>473.81</v>
      </c>
      <c r="D11" s="1">
        <v>1523.09</v>
      </c>
      <c r="E11" s="1">
        <v>88.24</v>
      </c>
      <c r="F11" s="1">
        <v>296.33</v>
      </c>
      <c r="G11" s="1">
        <v>354.79</v>
      </c>
    </row>
    <row r="12" spans="1:7" x14ac:dyDescent="0.3">
      <c r="A12" s="1" t="s">
        <v>16</v>
      </c>
      <c r="B12" s="1">
        <v>225.53</v>
      </c>
      <c r="C12" s="1">
        <v>226.23</v>
      </c>
      <c r="D12" s="1">
        <v>263.56</v>
      </c>
      <c r="E12" s="1">
        <v>216.67</v>
      </c>
      <c r="F12" s="1">
        <v>166.69</v>
      </c>
      <c r="G12" s="1">
        <v>217.21</v>
      </c>
    </row>
    <row r="13" spans="1:7" x14ac:dyDescent="0.3">
      <c r="A13" s="1" t="s">
        <v>17</v>
      </c>
      <c r="B13" s="1">
        <v>38.51</v>
      </c>
      <c r="C13" s="1">
        <v>31.37</v>
      </c>
      <c r="D13" s="1">
        <v>27.17</v>
      </c>
      <c r="E13" s="1">
        <v>39.06</v>
      </c>
      <c r="F13" s="1">
        <v>58.8</v>
      </c>
      <c r="G13" s="1">
        <v>44.3</v>
      </c>
    </row>
    <row r="14" spans="1:7" x14ac:dyDescent="0.3">
      <c r="A14" s="1" t="s">
        <v>18</v>
      </c>
      <c r="B14" s="1">
        <v>80.22</v>
      </c>
      <c r="C14" s="1">
        <v>89</v>
      </c>
      <c r="D14" s="1">
        <v>77.36</v>
      </c>
      <c r="E14" s="1">
        <v>64.41</v>
      </c>
      <c r="F14" s="1">
        <v>94.35</v>
      </c>
      <c r="G14" s="1">
        <v>99.25</v>
      </c>
    </row>
    <row r="15" spans="1:7" x14ac:dyDescent="0.3">
      <c r="A15" s="1" t="s">
        <v>19</v>
      </c>
      <c r="B15" s="1">
        <v>7</v>
      </c>
      <c r="C15" s="1">
        <v>4</v>
      </c>
      <c r="D15" s="1">
        <v>4</v>
      </c>
      <c r="E15" s="1">
        <v>3</v>
      </c>
      <c r="F15" s="1">
        <v>3</v>
      </c>
      <c r="G15" s="1">
        <v>8</v>
      </c>
    </row>
    <row r="16" spans="1:7" x14ac:dyDescent="0.3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3">
      <c r="A17" s="1" t="s">
        <v>21</v>
      </c>
      <c r="B17" s="1">
        <v>1549.58</v>
      </c>
      <c r="C17" s="1">
        <v>858.87</v>
      </c>
      <c r="D17" s="1">
        <v>1688.78</v>
      </c>
      <c r="E17" s="1">
        <v>103.2</v>
      </c>
      <c r="F17" s="1">
        <v>102.93</v>
      </c>
      <c r="G17" s="1">
        <v>959.78</v>
      </c>
    </row>
    <row r="18" spans="1:7" x14ac:dyDescent="0.3">
      <c r="A18" s="1" t="s">
        <v>22</v>
      </c>
      <c r="B18" s="1">
        <v>8.64</v>
      </c>
      <c r="C18" s="1">
        <v>176.55</v>
      </c>
      <c r="D18" s="1">
        <v>14.93</v>
      </c>
      <c r="E18" s="1">
        <v>227.2</v>
      </c>
      <c r="F18" s="1">
        <v>704.08</v>
      </c>
      <c r="G18" s="1">
        <v>374.36</v>
      </c>
    </row>
    <row r="19" spans="1:7" x14ac:dyDescent="0.3">
      <c r="A19" s="1" t="s">
        <v>23</v>
      </c>
      <c r="B19" s="1">
        <v>0</v>
      </c>
      <c r="C19" s="1">
        <v>1</v>
      </c>
      <c r="D19" s="1">
        <v>0</v>
      </c>
      <c r="E19" s="1">
        <v>3</v>
      </c>
      <c r="F19" s="1">
        <v>1</v>
      </c>
      <c r="G19" s="1">
        <v>1</v>
      </c>
    </row>
    <row r="20" spans="1:7" x14ac:dyDescent="0.3">
      <c r="A20" s="1" t="s">
        <v>24</v>
      </c>
      <c r="B20" s="1">
        <v>0</v>
      </c>
      <c r="C20" s="1">
        <v>1.8</v>
      </c>
      <c r="D20" s="1">
        <v>0</v>
      </c>
      <c r="E20" s="1">
        <v>5.3</v>
      </c>
      <c r="F20" s="1">
        <v>6.8</v>
      </c>
      <c r="G20" s="1">
        <v>2.2000000000000002</v>
      </c>
    </row>
    <row r="21" spans="1:7" x14ac:dyDescent="0.3">
      <c r="A21" s="1" t="s">
        <v>25</v>
      </c>
      <c r="B21" s="1">
        <v>10.1</v>
      </c>
      <c r="C21" s="1">
        <v>8.1999999999999993</v>
      </c>
      <c r="D21" s="1">
        <v>10</v>
      </c>
      <c r="E21" s="1">
        <v>4.7</v>
      </c>
      <c r="F21" s="1">
        <v>3.2</v>
      </c>
      <c r="G21" s="1">
        <v>7.7</v>
      </c>
    </row>
    <row r="22" spans="1:7" x14ac:dyDescent="0.3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1</v>
      </c>
      <c r="G22" s="1">
        <v>1</v>
      </c>
    </row>
    <row r="23" spans="1:7" x14ac:dyDescent="0.3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2.1</v>
      </c>
      <c r="G23" s="1">
        <v>1.9</v>
      </c>
    </row>
    <row r="24" spans="1:7" x14ac:dyDescent="0.3">
      <c r="A24" s="1" t="s">
        <v>28</v>
      </c>
      <c r="B24" s="1">
        <v>0</v>
      </c>
      <c r="C24" s="1">
        <v>1.9</v>
      </c>
      <c r="D24" s="1">
        <v>0</v>
      </c>
      <c r="E24" s="1">
        <v>2.6</v>
      </c>
      <c r="F24" s="1">
        <v>6.1</v>
      </c>
      <c r="G24" s="1">
        <v>2.4</v>
      </c>
    </row>
    <row r="25" spans="1:7" x14ac:dyDescent="0.3">
      <c r="A25" s="1" t="s">
        <v>29</v>
      </c>
      <c r="B25" s="1">
        <v>0</v>
      </c>
      <c r="C25" s="1">
        <v>1.3</v>
      </c>
      <c r="D25" s="1">
        <v>0</v>
      </c>
      <c r="E25" s="1">
        <v>7.4</v>
      </c>
      <c r="F25" s="1">
        <v>0</v>
      </c>
      <c r="G25" s="1">
        <v>2.2000000000000002</v>
      </c>
    </row>
    <row r="26" spans="1:7" x14ac:dyDescent="0.3">
      <c r="A26" s="1" t="s">
        <v>30</v>
      </c>
      <c r="B26" s="1">
        <v>10.1</v>
      </c>
      <c r="C26" s="1">
        <v>6.8</v>
      </c>
      <c r="D26" s="1">
        <v>10</v>
      </c>
      <c r="E26" s="1">
        <v>0</v>
      </c>
      <c r="F26" s="1">
        <v>3.9</v>
      </c>
      <c r="G26" s="1">
        <v>5.3</v>
      </c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9.8999999999999986</v>
      </c>
    </row>
    <row r="29" spans="1:7" x14ac:dyDescent="0.3">
      <c r="A29" s="3" t="s">
        <v>32</v>
      </c>
      <c r="B29" s="3">
        <f>B24/B28*100</f>
        <v>0</v>
      </c>
      <c r="C29" s="3">
        <f t="shared" ref="C29:G29" si="1">C24/C28*100</f>
        <v>19</v>
      </c>
      <c r="D29" s="3">
        <f t="shared" si="1"/>
        <v>0</v>
      </c>
      <c r="E29" s="3">
        <f t="shared" si="1"/>
        <v>26</v>
      </c>
      <c r="F29" s="3">
        <f t="shared" si="1"/>
        <v>61</v>
      </c>
      <c r="G29" s="3">
        <f t="shared" si="1"/>
        <v>24.242424242424246</v>
      </c>
    </row>
    <row r="30" spans="1:7" x14ac:dyDescent="0.3">
      <c r="A30" s="3" t="s">
        <v>33</v>
      </c>
      <c r="B30" s="3">
        <f>B25/B28*100</f>
        <v>0</v>
      </c>
      <c r="C30" s="3">
        <f t="shared" ref="C30:G30" si="2">C25/C28*100</f>
        <v>13</v>
      </c>
      <c r="D30" s="3">
        <f t="shared" si="2"/>
        <v>0</v>
      </c>
      <c r="E30" s="3">
        <f t="shared" si="2"/>
        <v>74</v>
      </c>
      <c r="F30" s="3">
        <f t="shared" si="2"/>
        <v>0</v>
      </c>
      <c r="G30" s="3">
        <f t="shared" si="2"/>
        <v>22.222222222222225</v>
      </c>
    </row>
    <row r="31" spans="1:7" x14ac:dyDescent="0.3">
      <c r="A31" s="3" t="s">
        <v>34</v>
      </c>
      <c r="B31" s="3">
        <f>B26/B28*100</f>
        <v>100</v>
      </c>
      <c r="C31" s="3">
        <f t="shared" ref="C31:G31" si="3">C26/C28*100</f>
        <v>68</v>
      </c>
      <c r="D31" s="3">
        <f t="shared" si="3"/>
        <v>100</v>
      </c>
      <c r="E31" s="3">
        <f t="shared" si="3"/>
        <v>0</v>
      </c>
      <c r="F31" s="3">
        <f t="shared" si="3"/>
        <v>39</v>
      </c>
      <c r="G31" s="3">
        <f t="shared" si="3"/>
        <v>53.535353535353536</v>
      </c>
    </row>
    <row r="32" spans="1:7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3" t="s">
        <v>35</v>
      </c>
      <c r="B33" s="3">
        <v>156.61000000000001</v>
      </c>
      <c r="C33" s="3">
        <v>54.1</v>
      </c>
      <c r="D33" s="3">
        <v>174.35</v>
      </c>
      <c r="E33" s="3">
        <v>-9.7200000000000006</v>
      </c>
      <c r="F33" s="3">
        <v>-38.229999999999997</v>
      </c>
      <c r="G33" s="3">
        <v>35.700000000000003</v>
      </c>
    </row>
    <row r="35" spans="1:7" x14ac:dyDescent="0.3">
      <c r="A35" s="3" t="s">
        <v>36</v>
      </c>
      <c r="B35" s="3"/>
      <c r="C35" s="3"/>
      <c r="D35" s="3">
        <f>D33-C33</f>
        <v>120.25</v>
      </c>
      <c r="E35" s="3"/>
      <c r="F35" s="3">
        <f>F33-E33</f>
        <v>-28.509999999999998</v>
      </c>
      <c r="G35" s="3"/>
    </row>
    <row r="37" spans="1:7" x14ac:dyDescent="0.3">
      <c r="A37" s="3" t="s">
        <v>36</v>
      </c>
      <c r="B37" s="3"/>
      <c r="C37" s="3" t="e">
        <f>C33-#REF!</f>
        <v>#REF!</v>
      </c>
      <c r="D37" s="3"/>
      <c r="E37" s="3">
        <f>E33-D33</f>
        <v>-184.07</v>
      </c>
      <c r="F37" s="3"/>
      <c r="G37" s="3">
        <f>G33-F33</f>
        <v>73.930000000000007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CBC0C-48B7-4504-9AE7-02C0C6541093}">
  <dimension ref="A1:G37"/>
  <sheetViews>
    <sheetView zoomScale="70" zoomScaleNormal="70" workbookViewId="0">
      <selection activeCell="J17" sqref="J17"/>
    </sheetView>
  </sheetViews>
  <sheetFormatPr defaultRowHeight="14.4" x14ac:dyDescent="0.3"/>
  <cols>
    <col min="1" max="1" width="58.88671875" customWidth="1"/>
    <col min="2" max="7" width="12.6640625" customWidth="1"/>
  </cols>
  <sheetData>
    <row r="1" spans="1:7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1" t="s">
        <v>6</v>
      </c>
      <c r="B2" s="1">
        <v>508.79</v>
      </c>
      <c r="C2" s="1">
        <v>488.83</v>
      </c>
      <c r="D2" s="1">
        <v>481.34</v>
      </c>
      <c r="E2" s="1">
        <v>492.06</v>
      </c>
      <c r="F2" s="1">
        <v>506.74</v>
      </c>
      <c r="G2" s="1">
        <v>516.29</v>
      </c>
    </row>
    <row r="3" spans="1:7" x14ac:dyDescent="0.3">
      <c r="A3" s="1" t="s">
        <v>7</v>
      </c>
      <c r="B3" s="1">
        <v>54.01</v>
      </c>
      <c r="C3" s="1">
        <v>51.4</v>
      </c>
      <c r="D3" s="1">
        <v>51.07</v>
      </c>
      <c r="E3" s="1">
        <v>48.01</v>
      </c>
      <c r="F3" s="1">
        <v>51.5</v>
      </c>
      <c r="G3" s="1">
        <v>49.88</v>
      </c>
    </row>
    <row r="4" spans="1:7" x14ac:dyDescent="0.3">
      <c r="A4" s="1" t="s">
        <v>8</v>
      </c>
      <c r="B4" s="1">
        <v>27934.87</v>
      </c>
      <c r="C4" s="1">
        <v>25583.16</v>
      </c>
      <c r="D4" s="1">
        <v>24998.49</v>
      </c>
      <c r="E4" s="1">
        <v>24027.84</v>
      </c>
      <c r="F4" s="1">
        <v>26510.44</v>
      </c>
      <c r="G4" s="1">
        <v>26168.89</v>
      </c>
    </row>
    <row r="5" spans="1:7" x14ac:dyDescent="0.3">
      <c r="A5" s="1" t="s">
        <v>9</v>
      </c>
      <c r="B5" s="1">
        <v>1288.81</v>
      </c>
      <c r="C5" s="1">
        <v>1702.06</v>
      </c>
      <c r="D5" s="1">
        <v>1842.02</v>
      </c>
      <c r="E5" s="1">
        <v>1246.46</v>
      </c>
      <c r="F5" s="1">
        <v>961.44</v>
      </c>
      <c r="G5" s="1">
        <v>766.33</v>
      </c>
    </row>
    <row r="6" spans="1:7" x14ac:dyDescent="0.3">
      <c r="A6" s="3" t="s">
        <v>10</v>
      </c>
      <c r="B6" s="3">
        <v>128.88</v>
      </c>
      <c r="C6" s="3">
        <v>171.92</v>
      </c>
      <c r="D6" s="3">
        <v>186.06</v>
      </c>
      <c r="E6" s="3">
        <v>125.9</v>
      </c>
      <c r="F6" s="3">
        <v>97.11</v>
      </c>
      <c r="G6" s="3">
        <v>78.2</v>
      </c>
    </row>
    <row r="7" spans="1:7" x14ac:dyDescent="0.3">
      <c r="A7" s="1" t="s">
        <v>11</v>
      </c>
      <c r="B7" s="1">
        <v>1153.57</v>
      </c>
      <c r="C7" s="1">
        <v>1467.4</v>
      </c>
      <c r="D7" s="1">
        <v>1674.91</v>
      </c>
      <c r="E7" s="1">
        <v>1027.46</v>
      </c>
      <c r="F7" s="1">
        <v>904.68</v>
      </c>
      <c r="G7" s="1">
        <v>712.99</v>
      </c>
    </row>
    <row r="8" spans="1:7" x14ac:dyDescent="0.3">
      <c r="A8" s="1" t="s">
        <v>12</v>
      </c>
      <c r="B8" s="1">
        <v>115.36</v>
      </c>
      <c r="C8" s="1">
        <v>148.22</v>
      </c>
      <c r="D8" s="1">
        <v>169.18</v>
      </c>
      <c r="E8" s="1">
        <v>103.78</v>
      </c>
      <c r="F8" s="1">
        <v>91.38</v>
      </c>
      <c r="G8" s="1">
        <v>72.75</v>
      </c>
    </row>
    <row r="9" spans="1:7" x14ac:dyDescent="0.3">
      <c r="A9" s="1" t="s">
        <v>13</v>
      </c>
      <c r="B9" s="1">
        <v>636.76</v>
      </c>
      <c r="C9" s="1">
        <v>1347.53</v>
      </c>
      <c r="D9" s="1">
        <v>1655.65</v>
      </c>
      <c r="E9" s="1">
        <v>542.91999999999996</v>
      </c>
      <c r="F9" s="1">
        <v>761.25</v>
      </c>
      <c r="G9" s="1">
        <v>-317.76</v>
      </c>
    </row>
    <row r="10" spans="1:7" x14ac:dyDescent="0.3">
      <c r="A10" s="1" t="s">
        <v>14</v>
      </c>
      <c r="B10" s="1">
        <v>63.68</v>
      </c>
      <c r="C10" s="1">
        <v>136.11000000000001</v>
      </c>
      <c r="D10" s="1">
        <v>167.24</v>
      </c>
      <c r="E10" s="1">
        <v>54.84</v>
      </c>
      <c r="F10" s="1">
        <v>76.89</v>
      </c>
      <c r="G10" s="1">
        <v>-32.42</v>
      </c>
    </row>
    <row r="11" spans="1:7" x14ac:dyDescent="0.3">
      <c r="A11" s="1" t="s">
        <v>15</v>
      </c>
      <c r="B11" s="1">
        <v>438.19</v>
      </c>
      <c r="C11" s="1">
        <v>774.75</v>
      </c>
      <c r="D11" s="1">
        <v>1106.72</v>
      </c>
      <c r="E11" s="1">
        <v>529.47</v>
      </c>
      <c r="F11" s="1">
        <v>720.78</v>
      </c>
      <c r="G11" s="1">
        <v>230.51</v>
      </c>
    </row>
    <row r="12" spans="1:7" x14ac:dyDescent="0.3">
      <c r="A12" s="1" t="s">
        <v>16</v>
      </c>
      <c r="B12" s="1">
        <v>243.34</v>
      </c>
      <c r="C12" s="1">
        <v>227.11</v>
      </c>
      <c r="D12" s="1">
        <v>233.02</v>
      </c>
      <c r="E12" s="1">
        <v>207.67</v>
      </c>
      <c r="F12" s="1">
        <v>254.12</v>
      </c>
      <c r="G12" s="1">
        <v>241.12</v>
      </c>
    </row>
    <row r="13" spans="1:7" x14ac:dyDescent="0.3">
      <c r="A13" s="1" t="s">
        <v>17</v>
      </c>
      <c r="B13" s="1">
        <v>44.07</v>
      </c>
      <c r="C13" s="1">
        <v>39.57</v>
      </c>
      <c r="D13" s="1">
        <v>31.41</v>
      </c>
      <c r="E13" s="1">
        <v>45.77</v>
      </c>
      <c r="F13" s="1">
        <v>20.170000000000002</v>
      </c>
      <c r="G13" s="1">
        <v>37.35</v>
      </c>
    </row>
    <row r="14" spans="1:7" x14ac:dyDescent="0.3">
      <c r="A14" s="1" t="s">
        <v>18</v>
      </c>
      <c r="B14" s="1">
        <v>112.02</v>
      </c>
      <c r="C14" s="1">
        <v>90.05</v>
      </c>
      <c r="D14" s="1">
        <v>95.95</v>
      </c>
      <c r="E14" s="1">
        <v>93.54</v>
      </c>
      <c r="F14" s="1">
        <v>62.56</v>
      </c>
      <c r="G14" s="1">
        <v>77.930000000000007</v>
      </c>
    </row>
    <row r="15" spans="1:7" x14ac:dyDescent="0.3">
      <c r="A15" s="1" t="s">
        <v>19</v>
      </c>
      <c r="B15" s="1">
        <v>6</v>
      </c>
      <c r="C15" s="1">
        <v>6</v>
      </c>
      <c r="D15" s="1">
        <v>8</v>
      </c>
      <c r="E15" s="1">
        <v>4</v>
      </c>
      <c r="F15" s="1">
        <v>4</v>
      </c>
      <c r="G15" s="1">
        <v>2</v>
      </c>
    </row>
    <row r="16" spans="1:7" x14ac:dyDescent="0.3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3">
      <c r="A17" s="1" t="s">
        <v>21</v>
      </c>
      <c r="B17" s="1">
        <v>895.17</v>
      </c>
      <c r="C17" s="1">
        <v>1407.46</v>
      </c>
      <c r="D17" s="1">
        <v>1665.28</v>
      </c>
      <c r="E17" s="1">
        <v>785.19</v>
      </c>
      <c r="F17" s="1">
        <v>832.96</v>
      </c>
      <c r="G17" s="1">
        <v>197.61</v>
      </c>
    </row>
    <row r="18" spans="1:7" x14ac:dyDescent="0.3">
      <c r="A18" s="1" t="s">
        <v>22</v>
      </c>
      <c r="B18" s="1">
        <v>258.41000000000003</v>
      </c>
      <c r="C18" s="1">
        <v>59.94</v>
      </c>
      <c r="D18" s="1">
        <v>9.6300000000000008</v>
      </c>
      <c r="E18" s="1">
        <v>242.27</v>
      </c>
      <c r="F18" s="1">
        <v>71.72</v>
      </c>
      <c r="G18" s="1">
        <v>515.37</v>
      </c>
    </row>
    <row r="19" spans="1:7" x14ac:dyDescent="0.3">
      <c r="A19" s="1" t="s">
        <v>23</v>
      </c>
      <c r="B19" s="1">
        <v>0</v>
      </c>
      <c r="C19" s="1">
        <v>0</v>
      </c>
      <c r="D19" s="1">
        <v>0</v>
      </c>
      <c r="E19" s="1">
        <v>2</v>
      </c>
      <c r="F19" s="1">
        <v>0</v>
      </c>
      <c r="G19" s="1">
        <v>1</v>
      </c>
    </row>
    <row r="20" spans="1:7" x14ac:dyDescent="0.3">
      <c r="A20" s="1" t="s">
        <v>24</v>
      </c>
      <c r="B20" s="1">
        <v>0</v>
      </c>
      <c r="C20" s="1">
        <v>0</v>
      </c>
      <c r="D20" s="1">
        <v>0</v>
      </c>
      <c r="E20" s="1">
        <v>2.6</v>
      </c>
      <c r="F20" s="1">
        <v>0</v>
      </c>
      <c r="G20" s="1">
        <v>2.5</v>
      </c>
    </row>
    <row r="21" spans="1:7" x14ac:dyDescent="0.3">
      <c r="A21" s="1" t="s">
        <v>25</v>
      </c>
      <c r="B21" s="1">
        <v>10.1</v>
      </c>
      <c r="C21" s="1">
        <v>10</v>
      </c>
      <c r="D21" s="1">
        <v>10</v>
      </c>
      <c r="E21" s="1">
        <v>7.4</v>
      </c>
      <c r="F21" s="1">
        <v>10</v>
      </c>
      <c r="G21" s="1">
        <v>7.4</v>
      </c>
    </row>
    <row r="22" spans="1:7" x14ac:dyDescent="0.3">
      <c r="A22" s="1" t="s">
        <v>26</v>
      </c>
      <c r="B22" s="1">
        <v>0</v>
      </c>
      <c r="C22" s="1">
        <v>0</v>
      </c>
      <c r="D22" s="1">
        <v>0</v>
      </c>
      <c r="E22" s="1">
        <v>1</v>
      </c>
      <c r="F22" s="1">
        <v>0</v>
      </c>
      <c r="G22" s="1">
        <v>0</v>
      </c>
    </row>
    <row r="23" spans="1:7" x14ac:dyDescent="0.3">
      <c r="A23" s="1" t="s">
        <v>27</v>
      </c>
      <c r="B23" s="1">
        <v>0</v>
      </c>
      <c r="C23" s="1">
        <v>0</v>
      </c>
      <c r="D23" s="1">
        <v>0</v>
      </c>
      <c r="E23" s="1">
        <v>2.4</v>
      </c>
      <c r="F23" s="1">
        <v>0</v>
      </c>
      <c r="G23" s="1">
        <v>0</v>
      </c>
    </row>
    <row r="24" spans="1:7" x14ac:dyDescent="0.3">
      <c r="A24" s="1" t="s">
        <v>28</v>
      </c>
      <c r="B24" s="1">
        <v>1</v>
      </c>
      <c r="C24" s="1">
        <v>0</v>
      </c>
      <c r="D24" s="1">
        <v>0</v>
      </c>
      <c r="E24" s="1">
        <v>2.6</v>
      </c>
      <c r="F24" s="1">
        <v>0</v>
      </c>
      <c r="G24" s="1">
        <v>2.2999999999999998</v>
      </c>
    </row>
    <row r="25" spans="1:7" x14ac:dyDescent="0.3">
      <c r="A25" s="1" t="s">
        <v>29</v>
      </c>
      <c r="B25" s="1">
        <v>5.4</v>
      </c>
      <c r="C25" s="1">
        <v>0</v>
      </c>
      <c r="D25" s="1">
        <v>0</v>
      </c>
      <c r="E25" s="1">
        <v>1</v>
      </c>
      <c r="F25" s="1">
        <v>1.2</v>
      </c>
      <c r="G25" s="1">
        <v>4.3</v>
      </c>
    </row>
    <row r="26" spans="1:7" x14ac:dyDescent="0.3">
      <c r="A26" s="1" t="s">
        <v>30</v>
      </c>
      <c r="B26" s="1">
        <v>3.7</v>
      </c>
      <c r="C26" s="1">
        <v>10</v>
      </c>
      <c r="D26" s="1">
        <v>10</v>
      </c>
      <c r="E26" s="1">
        <v>6.4</v>
      </c>
      <c r="F26" s="1">
        <v>8.8000000000000007</v>
      </c>
      <c r="G26" s="1">
        <v>3.3</v>
      </c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 t="s">
        <v>31</v>
      </c>
      <c r="B28" s="1">
        <f>SUM(B24:B26)</f>
        <v>10.100000000000001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9.8999999999999986</v>
      </c>
    </row>
    <row r="29" spans="1:7" x14ac:dyDescent="0.3">
      <c r="A29" s="3" t="s">
        <v>32</v>
      </c>
      <c r="B29" s="3">
        <f>B24/B28*100</f>
        <v>9.9009900990099009</v>
      </c>
      <c r="C29" s="3">
        <f t="shared" ref="C29:G29" si="1">C24/C28*100</f>
        <v>0</v>
      </c>
      <c r="D29" s="3">
        <f t="shared" si="1"/>
        <v>0</v>
      </c>
      <c r="E29" s="3">
        <f t="shared" si="1"/>
        <v>26</v>
      </c>
      <c r="F29" s="3">
        <f t="shared" si="1"/>
        <v>0</v>
      </c>
      <c r="G29" s="3">
        <f t="shared" si="1"/>
        <v>23.232323232323235</v>
      </c>
    </row>
    <row r="30" spans="1:7" x14ac:dyDescent="0.3">
      <c r="A30" s="3" t="s">
        <v>33</v>
      </c>
      <c r="B30" s="3">
        <f>B25/B28*100</f>
        <v>53.465346534653456</v>
      </c>
      <c r="C30" s="3">
        <f t="shared" ref="C30:G30" si="2">C25/C28*100</f>
        <v>0</v>
      </c>
      <c r="D30" s="3">
        <f t="shared" si="2"/>
        <v>0</v>
      </c>
      <c r="E30" s="3">
        <f t="shared" si="2"/>
        <v>10</v>
      </c>
      <c r="F30" s="3">
        <f t="shared" si="2"/>
        <v>12</v>
      </c>
      <c r="G30" s="3">
        <f t="shared" si="2"/>
        <v>43.43434343434344</v>
      </c>
    </row>
    <row r="31" spans="1:7" x14ac:dyDescent="0.3">
      <c r="A31" s="3" t="s">
        <v>34</v>
      </c>
      <c r="B31" s="3">
        <f>B26/B28*100</f>
        <v>36.633663366336634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64</v>
      </c>
      <c r="F31" s="3">
        <f t="shared" si="3"/>
        <v>88.000000000000014</v>
      </c>
      <c r="G31" s="3">
        <f t="shared" si="3"/>
        <v>33.333333333333336</v>
      </c>
    </row>
    <row r="32" spans="1:7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3" t="s">
        <v>35</v>
      </c>
      <c r="B33" s="3">
        <v>69.45</v>
      </c>
      <c r="C33" s="3">
        <v>158.46</v>
      </c>
      <c r="D33" s="3">
        <v>177.57</v>
      </c>
      <c r="E33" s="3">
        <v>35.89</v>
      </c>
      <c r="F33" s="3">
        <v>78.87</v>
      </c>
      <c r="G33" s="3">
        <v>1.29</v>
      </c>
    </row>
    <row r="35" spans="1:7" x14ac:dyDescent="0.3">
      <c r="A35" s="3" t="s">
        <v>36</v>
      </c>
      <c r="B35" s="3"/>
      <c r="C35" s="3"/>
      <c r="D35" s="3">
        <f>D33-C33</f>
        <v>19.109999999999985</v>
      </c>
      <c r="E35" s="3"/>
      <c r="F35" s="3">
        <f>F33-E33</f>
        <v>42.980000000000004</v>
      </c>
      <c r="G35" s="3"/>
    </row>
    <row r="37" spans="1:7" x14ac:dyDescent="0.3">
      <c r="A37" s="3" t="s">
        <v>36</v>
      </c>
      <c r="B37" s="3"/>
      <c r="C37" s="3" t="e">
        <f>C33-#REF!</f>
        <v>#REF!</v>
      </c>
      <c r="D37" s="3"/>
      <c r="E37" s="3">
        <f>E33-D33</f>
        <v>-141.68</v>
      </c>
      <c r="F37" s="3"/>
      <c r="G37" s="3">
        <f>G33-F33</f>
        <v>-77.58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97444-4B07-4672-93DA-C6E2B3C6F134}">
  <dimension ref="A1:G37"/>
  <sheetViews>
    <sheetView zoomScale="70" zoomScaleNormal="70" workbookViewId="0">
      <selection activeCell="M12" sqref="M12"/>
    </sheetView>
  </sheetViews>
  <sheetFormatPr defaultRowHeight="14.4" x14ac:dyDescent="0.3"/>
  <cols>
    <col min="1" max="1" width="58.88671875" customWidth="1"/>
    <col min="2" max="7" width="12.6640625" customWidth="1"/>
  </cols>
  <sheetData>
    <row r="1" spans="1:7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1" t="s">
        <v>6</v>
      </c>
      <c r="B2" s="1">
        <v>519.07000000000005</v>
      </c>
      <c r="C2" s="1">
        <v>515.94000000000005</v>
      </c>
      <c r="D2" s="1">
        <v>542.47</v>
      </c>
      <c r="E2" s="1">
        <v>484.07</v>
      </c>
      <c r="F2" s="1">
        <v>512.22</v>
      </c>
      <c r="G2" s="1">
        <v>406.82</v>
      </c>
    </row>
    <row r="3" spans="1:7" x14ac:dyDescent="0.3">
      <c r="A3" s="1" t="s">
        <v>7</v>
      </c>
      <c r="B3" s="1">
        <v>53.93</v>
      </c>
      <c r="C3" s="1">
        <v>57.53</v>
      </c>
      <c r="D3" s="1">
        <v>64.650000000000006</v>
      </c>
      <c r="E3" s="1">
        <v>49.73</v>
      </c>
      <c r="F3" s="1">
        <v>52.97</v>
      </c>
      <c r="G3" s="1">
        <v>47.28</v>
      </c>
    </row>
    <row r="4" spans="1:7" x14ac:dyDescent="0.3">
      <c r="A4" s="1" t="s">
        <v>8</v>
      </c>
      <c r="B4" s="1">
        <v>28478.83</v>
      </c>
      <c r="C4" s="1">
        <v>30201.5</v>
      </c>
      <c r="D4" s="1">
        <v>35670.07</v>
      </c>
      <c r="E4" s="1">
        <v>24667.86</v>
      </c>
      <c r="F4" s="1">
        <v>27598.67</v>
      </c>
      <c r="G4" s="1">
        <v>19594.11</v>
      </c>
    </row>
    <row r="5" spans="1:7" x14ac:dyDescent="0.3">
      <c r="A5" s="1" t="s">
        <v>9</v>
      </c>
      <c r="B5" s="1">
        <v>2746.63</v>
      </c>
      <c r="C5" s="1">
        <v>2527.4699999999998</v>
      </c>
      <c r="D5" s="1">
        <v>2247.81</v>
      </c>
      <c r="E5" s="1">
        <v>1857.63</v>
      </c>
      <c r="F5" s="1">
        <v>1210.49</v>
      </c>
      <c r="G5" s="1">
        <v>1054.6500000000001</v>
      </c>
    </row>
    <row r="6" spans="1:7" x14ac:dyDescent="0.3">
      <c r="A6" s="3" t="s">
        <v>10</v>
      </c>
      <c r="B6" s="3">
        <v>274.66000000000003</v>
      </c>
      <c r="C6" s="3">
        <v>255.3</v>
      </c>
      <c r="D6" s="3">
        <v>227.05</v>
      </c>
      <c r="E6" s="3">
        <v>187.64</v>
      </c>
      <c r="F6" s="3">
        <v>122.27</v>
      </c>
      <c r="G6" s="3">
        <v>107.62</v>
      </c>
    </row>
    <row r="7" spans="1:7" x14ac:dyDescent="0.3">
      <c r="A7" s="1" t="s">
        <v>11</v>
      </c>
      <c r="B7" s="1">
        <v>2477.06</v>
      </c>
      <c r="C7" s="1">
        <v>2357.44</v>
      </c>
      <c r="D7" s="1">
        <v>2115.29</v>
      </c>
      <c r="E7" s="1">
        <v>1666.66</v>
      </c>
      <c r="F7" s="1">
        <v>1126.47</v>
      </c>
      <c r="G7" s="1">
        <v>848.12</v>
      </c>
    </row>
    <row r="8" spans="1:7" x14ac:dyDescent="0.3">
      <c r="A8" s="1" t="s">
        <v>12</v>
      </c>
      <c r="B8" s="1">
        <v>247.71</v>
      </c>
      <c r="C8" s="1">
        <v>238.13</v>
      </c>
      <c r="D8" s="1">
        <v>213.67</v>
      </c>
      <c r="E8" s="1">
        <v>168.35</v>
      </c>
      <c r="F8" s="1">
        <v>113.78</v>
      </c>
      <c r="G8" s="1">
        <v>86.54</v>
      </c>
    </row>
    <row r="9" spans="1:7" x14ac:dyDescent="0.3">
      <c r="A9" s="1" t="s">
        <v>13</v>
      </c>
      <c r="B9" s="1">
        <v>2477.06</v>
      </c>
      <c r="C9" s="1">
        <v>2357.44</v>
      </c>
      <c r="D9" s="1">
        <v>2115.29</v>
      </c>
      <c r="E9" s="1">
        <v>1666.66</v>
      </c>
      <c r="F9" s="1">
        <v>-645.54</v>
      </c>
      <c r="G9" s="1">
        <v>494.19</v>
      </c>
    </row>
    <row r="10" spans="1:7" x14ac:dyDescent="0.3">
      <c r="A10" s="1" t="s">
        <v>14</v>
      </c>
      <c r="B10" s="1">
        <v>247.71</v>
      </c>
      <c r="C10" s="1">
        <v>238.13</v>
      </c>
      <c r="D10" s="1">
        <v>213.67</v>
      </c>
      <c r="E10" s="1">
        <v>168.35</v>
      </c>
      <c r="F10" s="1">
        <v>-65.209999999999994</v>
      </c>
      <c r="G10" s="1">
        <v>50.43</v>
      </c>
    </row>
    <row r="11" spans="1:7" x14ac:dyDescent="0.3">
      <c r="A11" s="1" t="s">
        <v>15</v>
      </c>
      <c r="B11" s="1">
        <v>2100.6</v>
      </c>
      <c r="C11" s="1">
        <v>1928.65</v>
      </c>
      <c r="D11" s="1">
        <v>1303.45</v>
      </c>
      <c r="E11" s="1">
        <v>1399.39</v>
      </c>
      <c r="F11" s="1">
        <v>241.13</v>
      </c>
      <c r="G11" s="1">
        <v>354.49</v>
      </c>
    </row>
    <row r="12" spans="1:7" x14ac:dyDescent="0.3">
      <c r="A12" s="1" t="s">
        <v>16</v>
      </c>
      <c r="B12" s="1">
        <v>262.7</v>
      </c>
      <c r="C12" s="1">
        <v>257.20999999999998</v>
      </c>
      <c r="D12" s="1">
        <v>261.91000000000003</v>
      </c>
      <c r="E12" s="1">
        <v>235.88</v>
      </c>
      <c r="F12" s="1">
        <v>217.9</v>
      </c>
      <c r="G12" s="1">
        <v>169.7</v>
      </c>
    </row>
    <row r="13" spans="1:7" x14ac:dyDescent="0.3">
      <c r="A13" s="1" t="s">
        <v>17</v>
      </c>
      <c r="B13" s="1">
        <v>32.39</v>
      </c>
      <c r="C13" s="1">
        <v>31.02</v>
      </c>
      <c r="D13" s="1">
        <v>32.049999999999997</v>
      </c>
      <c r="E13" s="1">
        <v>29.36</v>
      </c>
      <c r="F13" s="1">
        <v>45.57</v>
      </c>
      <c r="G13" s="1">
        <v>38.24</v>
      </c>
    </row>
    <row r="14" spans="1:7" x14ac:dyDescent="0.3">
      <c r="A14" s="1" t="s">
        <v>18</v>
      </c>
      <c r="B14" s="1">
        <v>65.98</v>
      </c>
      <c r="C14" s="1">
        <v>78.19</v>
      </c>
      <c r="D14" s="1">
        <v>86.53</v>
      </c>
      <c r="E14" s="1">
        <v>74.099999999999994</v>
      </c>
      <c r="F14" s="1">
        <v>92.66</v>
      </c>
      <c r="G14" s="1">
        <v>82.1</v>
      </c>
    </row>
    <row r="15" spans="1:7" x14ac:dyDescent="0.3">
      <c r="A15" s="1" t="s">
        <v>19</v>
      </c>
      <c r="B15" s="1">
        <v>9</v>
      </c>
      <c r="C15" s="1">
        <v>6</v>
      </c>
      <c r="D15" s="1">
        <v>5</v>
      </c>
      <c r="E15" s="1">
        <v>8</v>
      </c>
      <c r="F15" s="1">
        <v>5</v>
      </c>
      <c r="G15" s="1">
        <v>6</v>
      </c>
    </row>
    <row r="16" spans="1:7" x14ac:dyDescent="0.3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3">
      <c r="A17" s="1" t="s">
        <v>21</v>
      </c>
      <c r="B17" s="1">
        <v>2477.06</v>
      </c>
      <c r="C17" s="1">
        <v>2357.44</v>
      </c>
      <c r="D17" s="1">
        <v>2115.29</v>
      </c>
      <c r="E17" s="1">
        <v>1666.66</v>
      </c>
      <c r="F17" s="1">
        <v>240.46</v>
      </c>
      <c r="G17" s="1">
        <v>671.15</v>
      </c>
    </row>
    <row r="18" spans="1:7" x14ac:dyDescent="0.3">
      <c r="A18" s="1" t="s">
        <v>22</v>
      </c>
      <c r="B18" s="1">
        <v>0</v>
      </c>
      <c r="C18" s="1">
        <v>0</v>
      </c>
      <c r="D18" s="1">
        <v>0</v>
      </c>
      <c r="E18" s="1">
        <v>0</v>
      </c>
      <c r="F18" s="1">
        <v>886</v>
      </c>
      <c r="G18" s="1">
        <v>176.97</v>
      </c>
    </row>
    <row r="19" spans="1:7" x14ac:dyDescent="0.3">
      <c r="A19" s="1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1</v>
      </c>
      <c r="G19" s="1">
        <v>2</v>
      </c>
    </row>
    <row r="20" spans="1:7" x14ac:dyDescent="0.3">
      <c r="A20" s="1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3.5</v>
      </c>
      <c r="G20" s="1">
        <v>2.4</v>
      </c>
    </row>
    <row r="21" spans="1:7" x14ac:dyDescent="0.3">
      <c r="A21" s="1" t="s">
        <v>25</v>
      </c>
      <c r="B21" s="1">
        <v>10.1</v>
      </c>
      <c r="C21" s="1">
        <v>10</v>
      </c>
      <c r="D21" s="1">
        <v>10</v>
      </c>
      <c r="E21" s="1">
        <v>10</v>
      </c>
      <c r="F21" s="1">
        <v>6.5</v>
      </c>
      <c r="G21" s="1">
        <v>7.5</v>
      </c>
    </row>
    <row r="22" spans="1:7" x14ac:dyDescent="0.3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1</v>
      </c>
      <c r="G22" s="1">
        <v>1</v>
      </c>
    </row>
    <row r="23" spans="1:7" x14ac:dyDescent="0.3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1.5</v>
      </c>
      <c r="G23" s="1">
        <v>2.2000000000000002</v>
      </c>
    </row>
    <row r="24" spans="1:7" x14ac:dyDescent="0.3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5</v>
      </c>
      <c r="G24" s="1">
        <v>2.2999999999999998</v>
      </c>
    </row>
    <row r="25" spans="1:7" x14ac:dyDescent="0.3">
      <c r="A25" s="1" t="s">
        <v>29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</row>
    <row r="26" spans="1:7" x14ac:dyDescent="0.3">
      <c r="A26" s="1" t="s">
        <v>30</v>
      </c>
      <c r="B26" s="1">
        <v>10.1</v>
      </c>
      <c r="C26" s="1">
        <v>10</v>
      </c>
      <c r="D26" s="1">
        <v>10</v>
      </c>
      <c r="E26" s="1">
        <v>10</v>
      </c>
      <c r="F26" s="1">
        <v>5</v>
      </c>
      <c r="G26" s="1">
        <v>7.6</v>
      </c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9.8999999999999986</v>
      </c>
    </row>
    <row r="29" spans="1:7" x14ac:dyDescent="0.3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50</v>
      </c>
      <c r="G29" s="3">
        <f t="shared" si="1"/>
        <v>23.232323232323235</v>
      </c>
    </row>
    <row r="30" spans="1:7" x14ac:dyDescent="0.3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0</v>
      </c>
      <c r="F30" s="3">
        <f t="shared" si="2"/>
        <v>0</v>
      </c>
      <c r="G30" s="3">
        <f t="shared" si="2"/>
        <v>0</v>
      </c>
    </row>
    <row r="31" spans="1:7" x14ac:dyDescent="0.3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100</v>
      </c>
      <c r="F31" s="3">
        <f t="shared" si="3"/>
        <v>50</v>
      </c>
      <c r="G31" s="3">
        <f t="shared" si="3"/>
        <v>76.767676767676775</v>
      </c>
    </row>
    <row r="32" spans="1:7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3" t="s">
        <v>35</v>
      </c>
      <c r="B33" s="3">
        <v>267.85000000000002</v>
      </c>
      <c r="C33" s="3">
        <v>254.17</v>
      </c>
      <c r="D33" s="3">
        <v>222.29</v>
      </c>
      <c r="E33" s="3">
        <v>183.46</v>
      </c>
      <c r="F33" s="3">
        <v>-27.11</v>
      </c>
      <c r="G33" s="3">
        <v>33.36</v>
      </c>
    </row>
    <row r="35" spans="1:7" x14ac:dyDescent="0.3">
      <c r="A35" s="3" t="s">
        <v>36</v>
      </c>
      <c r="B35" s="3"/>
      <c r="C35" s="3"/>
      <c r="D35" s="3">
        <f>D33-C33</f>
        <v>-31.879999999999995</v>
      </c>
      <c r="E35" s="3"/>
      <c r="F35" s="3">
        <f>F33-E33</f>
        <v>-210.57</v>
      </c>
      <c r="G35" s="3"/>
    </row>
    <row r="37" spans="1:7" x14ac:dyDescent="0.3">
      <c r="A37" s="3" t="s">
        <v>36</v>
      </c>
      <c r="B37" s="3"/>
      <c r="C37" s="3" t="e">
        <f>C33-#REF!</f>
        <v>#REF!</v>
      </c>
      <c r="D37" s="3"/>
      <c r="E37" s="3">
        <f>E33-D33</f>
        <v>-38.829999999999984</v>
      </c>
      <c r="F37" s="3"/>
      <c r="G37" s="3">
        <f>G33-F33</f>
        <v>60.47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E0EF9-7A50-4535-BD2F-3515550B6DA4}">
  <dimension ref="A1:G37"/>
  <sheetViews>
    <sheetView tabSelected="1" zoomScale="70" zoomScaleNormal="70" workbookViewId="0">
      <selection activeCell="M26" sqref="M26"/>
    </sheetView>
  </sheetViews>
  <sheetFormatPr defaultRowHeight="14.4" x14ac:dyDescent="0.3"/>
  <cols>
    <col min="1" max="1" width="58.88671875" customWidth="1"/>
    <col min="2" max="7" width="12.6640625" customWidth="1"/>
  </cols>
  <sheetData>
    <row r="1" spans="1:7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1" t="s">
        <v>6</v>
      </c>
      <c r="B2" s="1"/>
      <c r="C2" s="1"/>
      <c r="D2" s="1"/>
      <c r="E2" s="1"/>
      <c r="F2" s="1"/>
      <c r="G2" s="1"/>
    </row>
    <row r="3" spans="1:7" x14ac:dyDescent="0.3">
      <c r="A3" s="1" t="s">
        <v>7</v>
      </c>
      <c r="B3" s="1"/>
      <c r="C3" s="1"/>
      <c r="D3" s="1"/>
      <c r="E3" s="1"/>
      <c r="F3" s="1"/>
      <c r="G3" s="1"/>
    </row>
    <row r="4" spans="1:7" x14ac:dyDescent="0.3">
      <c r="A4" s="1" t="s">
        <v>8</v>
      </c>
      <c r="B4" s="1"/>
      <c r="C4" s="1"/>
      <c r="D4" s="1"/>
      <c r="E4" s="1"/>
      <c r="F4" s="1"/>
      <c r="G4" s="1"/>
    </row>
    <row r="5" spans="1:7" x14ac:dyDescent="0.3">
      <c r="A5" s="1" t="s">
        <v>9</v>
      </c>
      <c r="B5" s="1"/>
      <c r="C5" s="1"/>
      <c r="D5" s="1"/>
      <c r="E5" s="1"/>
      <c r="F5" s="1"/>
      <c r="G5" s="1"/>
    </row>
    <row r="6" spans="1:7" x14ac:dyDescent="0.3">
      <c r="A6" s="3" t="s">
        <v>10</v>
      </c>
      <c r="B6" s="3"/>
      <c r="C6" s="3"/>
      <c r="D6" s="3"/>
      <c r="E6" s="3"/>
      <c r="F6" s="3"/>
      <c r="G6" s="3"/>
    </row>
    <row r="7" spans="1:7" x14ac:dyDescent="0.3">
      <c r="A7" s="1" t="s">
        <v>11</v>
      </c>
      <c r="B7" s="1"/>
      <c r="C7" s="1"/>
      <c r="D7" s="1"/>
      <c r="E7" s="1"/>
      <c r="F7" s="1"/>
      <c r="G7" s="1"/>
    </row>
    <row r="8" spans="1:7" x14ac:dyDescent="0.3">
      <c r="A8" s="1" t="s">
        <v>12</v>
      </c>
      <c r="B8" s="1"/>
      <c r="C8" s="1"/>
      <c r="D8" s="1"/>
      <c r="E8" s="1"/>
      <c r="F8" s="1"/>
      <c r="G8" s="1"/>
    </row>
    <row r="9" spans="1:7" x14ac:dyDescent="0.3">
      <c r="A9" s="1" t="s">
        <v>13</v>
      </c>
      <c r="B9" s="1"/>
      <c r="C9" s="1"/>
      <c r="D9" s="1"/>
      <c r="E9" s="1"/>
      <c r="F9" s="1"/>
      <c r="G9" s="1"/>
    </row>
    <row r="10" spans="1:7" x14ac:dyDescent="0.3">
      <c r="A10" s="1" t="s">
        <v>14</v>
      </c>
      <c r="B10" s="1"/>
      <c r="C10" s="1"/>
      <c r="D10" s="1"/>
      <c r="E10" s="1"/>
      <c r="F10" s="1"/>
      <c r="G10" s="1"/>
    </row>
    <row r="11" spans="1:7" x14ac:dyDescent="0.3">
      <c r="A11" s="1" t="s">
        <v>15</v>
      </c>
      <c r="B11" s="1"/>
      <c r="C11" s="1"/>
      <c r="D11" s="1"/>
      <c r="E11" s="1"/>
      <c r="F11" s="1"/>
      <c r="G11" s="1"/>
    </row>
    <row r="12" spans="1:7" x14ac:dyDescent="0.3">
      <c r="A12" s="1" t="s">
        <v>16</v>
      </c>
      <c r="B12" s="1"/>
      <c r="C12" s="1"/>
      <c r="D12" s="1"/>
      <c r="E12" s="1"/>
      <c r="F12" s="1"/>
      <c r="G12" s="1"/>
    </row>
    <row r="13" spans="1:7" x14ac:dyDescent="0.3">
      <c r="A13" s="1" t="s">
        <v>17</v>
      </c>
      <c r="B13" s="1"/>
      <c r="C13" s="1"/>
      <c r="D13" s="1"/>
      <c r="E13" s="1"/>
      <c r="F13" s="1"/>
      <c r="G13" s="1"/>
    </row>
    <row r="14" spans="1:7" x14ac:dyDescent="0.3">
      <c r="A14" s="1" t="s">
        <v>18</v>
      </c>
      <c r="B14" s="1"/>
      <c r="C14" s="1"/>
      <c r="D14" s="1"/>
      <c r="E14" s="1"/>
      <c r="F14" s="1"/>
      <c r="G14" s="1"/>
    </row>
    <row r="15" spans="1:7" x14ac:dyDescent="0.3">
      <c r="A15" s="1" t="s">
        <v>19</v>
      </c>
      <c r="B15" s="1"/>
      <c r="C15" s="1"/>
      <c r="D15" s="1"/>
      <c r="E15" s="1"/>
      <c r="F15" s="1"/>
      <c r="G15" s="1"/>
    </row>
    <row r="16" spans="1:7" x14ac:dyDescent="0.3">
      <c r="A16" s="1" t="s">
        <v>20</v>
      </c>
      <c r="B16" s="1"/>
      <c r="C16" s="1"/>
      <c r="D16" s="1"/>
      <c r="E16" s="1"/>
      <c r="F16" s="1"/>
      <c r="G16" s="1"/>
    </row>
    <row r="17" spans="1:7" x14ac:dyDescent="0.3">
      <c r="A17" s="1" t="s">
        <v>21</v>
      </c>
      <c r="B17" s="1"/>
      <c r="C17" s="1"/>
      <c r="D17" s="1"/>
      <c r="E17" s="1"/>
      <c r="F17" s="1"/>
      <c r="G17" s="1"/>
    </row>
    <row r="18" spans="1:7" x14ac:dyDescent="0.3">
      <c r="A18" s="1" t="s">
        <v>22</v>
      </c>
      <c r="B18" s="1"/>
      <c r="C18" s="1"/>
      <c r="D18" s="1"/>
      <c r="E18" s="1"/>
      <c r="F18" s="1"/>
      <c r="G18" s="1"/>
    </row>
    <row r="19" spans="1:7" x14ac:dyDescent="0.3">
      <c r="A19" s="1" t="s">
        <v>23</v>
      </c>
      <c r="B19" s="1"/>
      <c r="C19" s="1"/>
      <c r="D19" s="1"/>
      <c r="E19" s="1"/>
      <c r="F19" s="1"/>
      <c r="G19" s="1"/>
    </row>
    <row r="20" spans="1:7" x14ac:dyDescent="0.3">
      <c r="A20" s="1" t="s">
        <v>24</v>
      </c>
      <c r="B20" s="1"/>
      <c r="C20" s="1"/>
      <c r="D20" s="1"/>
      <c r="E20" s="1"/>
      <c r="F20" s="1"/>
      <c r="G20" s="1"/>
    </row>
    <row r="21" spans="1:7" x14ac:dyDescent="0.3">
      <c r="A21" s="1" t="s">
        <v>25</v>
      </c>
      <c r="B21" s="1"/>
      <c r="C21" s="1"/>
      <c r="D21" s="1"/>
      <c r="E21" s="1"/>
      <c r="F21" s="1"/>
      <c r="G21" s="1"/>
    </row>
    <row r="22" spans="1:7" x14ac:dyDescent="0.3">
      <c r="A22" s="1" t="s">
        <v>26</v>
      </c>
      <c r="B22" s="1"/>
      <c r="C22" s="1"/>
      <c r="D22" s="1"/>
      <c r="E22" s="1"/>
      <c r="F22" s="1"/>
      <c r="G22" s="1"/>
    </row>
    <row r="23" spans="1:7" x14ac:dyDescent="0.3">
      <c r="A23" s="1" t="s">
        <v>27</v>
      </c>
      <c r="B23" s="1"/>
      <c r="C23" s="1"/>
      <c r="D23" s="1"/>
      <c r="E23" s="1"/>
      <c r="F23" s="1"/>
      <c r="G23" s="1"/>
    </row>
    <row r="24" spans="1:7" x14ac:dyDescent="0.3">
      <c r="A24" s="1" t="s">
        <v>28</v>
      </c>
      <c r="B24" s="1"/>
      <c r="C24" s="1"/>
      <c r="D24" s="1"/>
      <c r="E24" s="1"/>
      <c r="F24" s="1"/>
      <c r="G24" s="1"/>
    </row>
    <row r="25" spans="1:7" x14ac:dyDescent="0.3">
      <c r="A25" s="1" t="s">
        <v>29</v>
      </c>
      <c r="B25" s="1"/>
      <c r="C25" s="1"/>
      <c r="D25" s="1"/>
      <c r="E25" s="1"/>
      <c r="F25" s="1"/>
      <c r="G25" s="1"/>
    </row>
    <row r="26" spans="1:7" x14ac:dyDescent="0.3">
      <c r="A26" s="1" t="s">
        <v>30</v>
      </c>
      <c r="B26" s="1"/>
      <c r="C26" s="1"/>
      <c r="D26" s="1"/>
      <c r="E26" s="1"/>
      <c r="F26" s="1"/>
      <c r="G26" s="1"/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 t="s">
        <v>31</v>
      </c>
      <c r="B28" s="1">
        <f>SUM(B24:B26)</f>
        <v>0</v>
      </c>
      <c r="C28" s="1">
        <f t="shared" ref="C28:G28" si="0">SUM(C24:C26)</f>
        <v>0</v>
      </c>
      <c r="D28" s="1">
        <f t="shared" si="0"/>
        <v>0</v>
      </c>
      <c r="E28" s="1">
        <f t="shared" si="0"/>
        <v>0</v>
      </c>
      <c r="F28" s="1">
        <f t="shared" si="0"/>
        <v>0</v>
      </c>
      <c r="G28" s="1">
        <f t="shared" si="0"/>
        <v>0</v>
      </c>
    </row>
    <row r="29" spans="1:7" x14ac:dyDescent="0.3">
      <c r="A29" s="3" t="s">
        <v>32</v>
      </c>
      <c r="B29" s="3" t="e">
        <f>B24/B28*100</f>
        <v>#DIV/0!</v>
      </c>
      <c r="C29" s="3" t="e">
        <f t="shared" ref="C29:G29" si="1">C24/C28*100</f>
        <v>#DIV/0!</v>
      </c>
      <c r="D29" s="3" t="e">
        <f t="shared" si="1"/>
        <v>#DIV/0!</v>
      </c>
      <c r="E29" s="3" t="e">
        <f t="shared" si="1"/>
        <v>#DIV/0!</v>
      </c>
      <c r="F29" s="3" t="e">
        <f t="shared" si="1"/>
        <v>#DIV/0!</v>
      </c>
      <c r="G29" s="3" t="e">
        <f t="shared" si="1"/>
        <v>#DIV/0!</v>
      </c>
    </row>
    <row r="30" spans="1:7" x14ac:dyDescent="0.3">
      <c r="A30" s="3" t="s">
        <v>33</v>
      </c>
      <c r="B30" s="3" t="e">
        <f>B25/B28*100</f>
        <v>#DIV/0!</v>
      </c>
      <c r="C30" s="3" t="e">
        <f t="shared" ref="C30:G30" si="2">C25/C28*100</f>
        <v>#DIV/0!</v>
      </c>
      <c r="D30" s="3" t="e">
        <f t="shared" si="2"/>
        <v>#DIV/0!</v>
      </c>
      <c r="E30" s="3" t="e">
        <f t="shared" si="2"/>
        <v>#DIV/0!</v>
      </c>
      <c r="F30" s="3" t="e">
        <f t="shared" si="2"/>
        <v>#DIV/0!</v>
      </c>
      <c r="G30" s="3" t="e">
        <f t="shared" si="2"/>
        <v>#DIV/0!</v>
      </c>
    </row>
    <row r="31" spans="1:7" x14ac:dyDescent="0.3">
      <c r="A31" s="3" t="s">
        <v>34</v>
      </c>
      <c r="B31" s="3" t="e">
        <f>B26/B28*100</f>
        <v>#DIV/0!</v>
      </c>
      <c r="C31" s="3" t="e">
        <f t="shared" ref="C31:G31" si="3">C26/C28*100</f>
        <v>#DIV/0!</v>
      </c>
      <c r="D31" s="3" t="e">
        <f t="shared" si="3"/>
        <v>#DIV/0!</v>
      </c>
      <c r="E31" s="3" t="e">
        <f t="shared" si="3"/>
        <v>#DIV/0!</v>
      </c>
      <c r="F31" s="3" t="e">
        <f t="shared" si="3"/>
        <v>#DIV/0!</v>
      </c>
      <c r="G31" s="3" t="e">
        <f t="shared" si="3"/>
        <v>#DIV/0!</v>
      </c>
    </row>
    <row r="32" spans="1:7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3" t="s">
        <v>35</v>
      </c>
      <c r="C33" s="3"/>
      <c r="D33" s="3"/>
      <c r="E33" s="3"/>
      <c r="F33" s="3"/>
      <c r="G33" s="3"/>
    </row>
    <row r="35" spans="1:7" x14ac:dyDescent="0.3">
      <c r="A35" s="3" t="s">
        <v>36</v>
      </c>
      <c r="B35" s="3"/>
      <c r="C35" s="3"/>
      <c r="D35" s="3">
        <f>D33-C33</f>
        <v>0</v>
      </c>
      <c r="E35" s="3"/>
      <c r="F35" s="3">
        <f>F33-E33</f>
        <v>0</v>
      </c>
      <c r="G35" s="3"/>
    </row>
    <row r="37" spans="1:7" x14ac:dyDescent="0.3">
      <c r="A37" s="3" t="s">
        <v>36</v>
      </c>
      <c r="B37" s="3"/>
      <c r="C37" s="3" t="e">
        <f>C33-#REF!</f>
        <v>#REF!</v>
      </c>
      <c r="D37" s="3"/>
      <c r="E37" s="3">
        <f>E33-D33</f>
        <v>0</v>
      </c>
      <c r="F37" s="3"/>
      <c r="G37" s="3">
        <f>G33-F33</f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23FD4-9332-4B82-A551-10D8BF9C4561}">
  <dimension ref="A1:G37"/>
  <sheetViews>
    <sheetView zoomScale="70" zoomScaleNormal="70" workbookViewId="0">
      <selection activeCell="M26" sqref="M26"/>
    </sheetView>
  </sheetViews>
  <sheetFormatPr defaultRowHeight="14.4" x14ac:dyDescent="0.3"/>
  <cols>
    <col min="1" max="1" width="58.88671875" customWidth="1"/>
    <col min="2" max="7" width="12.6640625" customWidth="1"/>
  </cols>
  <sheetData>
    <row r="1" spans="1:7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1" t="s">
        <v>6</v>
      </c>
      <c r="B2" s="1"/>
      <c r="C2" s="1"/>
      <c r="D2" s="1"/>
      <c r="E2" s="1"/>
      <c r="F2" s="1"/>
      <c r="G2" s="1"/>
    </row>
    <row r="3" spans="1:7" x14ac:dyDescent="0.3">
      <c r="A3" s="1" t="s">
        <v>7</v>
      </c>
      <c r="B3" s="1"/>
      <c r="C3" s="1"/>
      <c r="D3" s="1"/>
      <c r="E3" s="1"/>
      <c r="F3" s="1"/>
      <c r="G3" s="1"/>
    </row>
    <row r="4" spans="1:7" x14ac:dyDescent="0.3">
      <c r="A4" s="1" t="s">
        <v>8</v>
      </c>
      <c r="B4" s="1"/>
      <c r="C4" s="1"/>
      <c r="D4" s="1"/>
      <c r="E4" s="1"/>
      <c r="F4" s="1"/>
      <c r="G4" s="1"/>
    </row>
    <row r="5" spans="1:7" x14ac:dyDescent="0.3">
      <c r="A5" s="1" t="s">
        <v>9</v>
      </c>
      <c r="B5" s="1"/>
      <c r="C5" s="1"/>
      <c r="D5" s="1"/>
      <c r="E5" s="1"/>
      <c r="F5" s="1"/>
      <c r="G5" s="1"/>
    </row>
    <row r="6" spans="1:7" x14ac:dyDescent="0.3">
      <c r="A6" s="3" t="s">
        <v>10</v>
      </c>
      <c r="B6" s="3"/>
      <c r="C6" s="3"/>
      <c r="D6" s="3"/>
      <c r="E6" s="3"/>
      <c r="F6" s="3"/>
      <c r="G6" s="3"/>
    </row>
    <row r="7" spans="1:7" x14ac:dyDescent="0.3">
      <c r="A7" s="1" t="s">
        <v>11</v>
      </c>
      <c r="B7" s="1"/>
      <c r="C7" s="1"/>
      <c r="D7" s="1"/>
      <c r="E7" s="1"/>
      <c r="F7" s="1"/>
      <c r="G7" s="1"/>
    </row>
    <row r="8" spans="1:7" x14ac:dyDescent="0.3">
      <c r="A8" s="1" t="s">
        <v>12</v>
      </c>
      <c r="B8" s="1"/>
      <c r="C8" s="1"/>
      <c r="D8" s="1"/>
      <c r="E8" s="1"/>
      <c r="F8" s="1"/>
      <c r="G8" s="1"/>
    </row>
    <row r="9" spans="1:7" x14ac:dyDescent="0.3">
      <c r="A9" s="1" t="s">
        <v>13</v>
      </c>
      <c r="B9" s="1"/>
      <c r="C9" s="1"/>
      <c r="D9" s="1"/>
      <c r="E9" s="1"/>
      <c r="F9" s="1"/>
      <c r="G9" s="1"/>
    </row>
    <row r="10" spans="1:7" x14ac:dyDescent="0.3">
      <c r="A10" s="1" t="s">
        <v>14</v>
      </c>
      <c r="B10" s="1"/>
      <c r="C10" s="1"/>
      <c r="D10" s="1"/>
      <c r="E10" s="1"/>
      <c r="F10" s="1"/>
      <c r="G10" s="1"/>
    </row>
    <row r="11" spans="1:7" x14ac:dyDescent="0.3">
      <c r="A11" s="1" t="s">
        <v>15</v>
      </c>
      <c r="B11" s="1"/>
      <c r="C11" s="1"/>
      <c r="D11" s="1"/>
      <c r="E11" s="1"/>
      <c r="F11" s="1"/>
      <c r="G11" s="1"/>
    </row>
    <row r="12" spans="1:7" x14ac:dyDescent="0.3">
      <c r="A12" s="1" t="s">
        <v>16</v>
      </c>
      <c r="B12" s="1"/>
      <c r="C12" s="1"/>
      <c r="D12" s="1"/>
      <c r="E12" s="1"/>
      <c r="F12" s="1"/>
      <c r="G12" s="1"/>
    </row>
    <row r="13" spans="1:7" x14ac:dyDescent="0.3">
      <c r="A13" s="1" t="s">
        <v>17</v>
      </c>
      <c r="B13" s="1"/>
      <c r="C13" s="1"/>
      <c r="D13" s="1"/>
      <c r="E13" s="1"/>
      <c r="F13" s="1"/>
      <c r="G13" s="1"/>
    </row>
    <row r="14" spans="1:7" x14ac:dyDescent="0.3">
      <c r="A14" s="1" t="s">
        <v>18</v>
      </c>
      <c r="B14" s="1"/>
      <c r="C14" s="1"/>
      <c r="D14" s="1"/>
      <c r="E14" s="1"/>
      <c r="F14" s="1"/>
      <c r="G14" s="1"/>
    </row>
    <row r="15" spans="1:7" x14ac:dyDescent="0.3">
      <c r="A15" s="1" t="s">
        <v>19</v>
      </c>
      <c r="B15" s="1"/>
      <c r="C15" s="1"/>
      <c r="D15" s="1"/>
      <c r="E15" s="1"/>
      <c r="F15" s="1"/>
      <c r="G15" s="1"/>
    </row>
    <row r="16" spans="1:7" x14ac:dyDescent="0.3">
      <c r="A16" s="1" t="s">
        <v>20</v>
      </c>
      <c r="B16" s="1"/>
      <c r="C16" s="1"/>
      <c r="D16" s="1"/>
      <c r="E16" s="1"/>
      <c r="F16" s="1"/>
      <c r="G16" s="1"/>
    </row>
    <row r="17" spans="1:7" x14ac:dyDescent="0.3">
      <c r="A17" s="1" t="s">
        <v>21</v>
      </c>
      <c r="B17" s="1"/>
      <c r="C17" s="1"/>
      <c r="D17" s="1"/>
      <c r="E17" s="1"/>
      <c r="F17" s="1"/>
      <c r="G17" s="1"/>
    </row>
    <row r="18" spans="1:7" x14ac:dyDescent="0.3">
      <c r="A18" s="1" t="s">
        <v>22</v>
      </c>
      <c r="B18" s="1"/>
      <c r="C18" s="1"/>
      <c r="D18" s="1"/>
      <c r="E18" s="1"/>
      <c r="F18" s="1"/>
      <c r="G18" s="1"/>
    </row>
    <row r="19" spans="1:7" x14ac:dyDescent="0.3">
      <c r="A19" s="1" t="s">
        <v>23</v>
      </c>
      <c r="B19" s="1"/>
      <c r="C19" s="1"/>
      <c r="D19" s="1"/>
      <c r="E19" s="1"/>
      <c r="F19" s="1"/>
      <c r="G19" s="1"/>
    </row>
    <row r="20" spans="1:7" x14ac:dyDescent="0.3">
      <c r="A20" s="1" t="s">
        <v>24</v>
      </c>
      <c r="B20" s="1"/>
      <c r="C20" s="1"/>
      <c r="D20" s="1"/>
      <c r="E20" s="1"/>
      <c r="F20" s="1"/>
      <c r="G20" s="1"/>
    </row>
    <row r="21" spans="1:7" x14ac:dyDescent="0.3">
      <c r="A21" s="1" t="s">
        <v>25</v>
      </c>
      <c r="B21" s="1"/>
      <c r="C21" s="1"/>
      <c r="D21" s="1"/>
      <c r="E21" s="1"/>
      <c r="F21" s="1"/>
      <c r="G21" s="1"/>
    </row>
    <row r="22" spans="1:7" x14ac:dyDescent="0.3">
      <c r="A22" s="1" t="s">
        <v>26</v>
      </c>
      <c r="B22" s="1"/>
      <c r="C22" s="1"/>
      <c r="D22" s="1"/>
      <c r="E22" s="1"/>
      <c r="F22" s="1"/>
      <c r="G22" s="1"/>
    </row>
    <row r="23" spans="1:7" x14ac:dyDescent="0.3">
      <c r="A23" s="1" t="s">
        <v>27</v>
      </c>
      <c r="B23" s="1"/>
      <c r="C23" s="1"/>
      <c r="D23" s="1"/>
      <c r="E23" s="1"/>
      <c r="F23" s="1"/>
      <c r="G23" s="1"/>
    </row>
    <row r="24" spans="1:7" x14ac:dyDescent="0.3">
      <c r="A24" s="1" t="s">
        <v>28</v>
      </c>
      <c r="B24" s="1"/>
      <c r="C24" s="1"/>
      <c r="D24" s="1"/>
      <c r="E24" s="1"/>
      <c r="F24" s="1"/>
      <c r="G24" s="1"/>
    </row>
    <row r="25" spans="1:7" x14ac:dyDescent="0.3">
      <c r="A25" s="1" t="s">
        <v>29</v>
      </c>
      <c r="B25" s="1"/>
      <c r="C25" s="1"/>
      <c r="D25" s="1"/>
      <c r="E25" s="1"/>
      <c r="F25" s="1"/>
      <c r="G25" s="1"/>
    </row>
    <row r="26" spans="1:7" x14ac:dyDescent="0.3">
      <c r="A26" s="1" t="s">
        <v>30</v>
      </c>
      <c r="B26" s="1"/>
      <c r="C26" s="1"/>
      <c r="D26" s="1"/>
      <c r="E26" s="1"/>
      <c r="F26" s="1"/>
      <c r="G26" s="1"/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 t="s">
        <v>31</v>
      </c>
      <c r="B28" s="1">
        <f>SUM(B24:B26)</f>
        <v>0</v>
      </c>
      <c r="C28" s="1">
        <f t="shared" ref="C28:G28" si="0">SUM(C24:C26)</f>
        <v>0</v>
      </c>
      <c r="D28" s="1">
        <f t="shared" si="0"/>
        <v>0</v>
      </c>
      <c r="E28" s="1">
        <f t="shared" si="0"/>
        <v>0</v>
      </c>
      <c r="F28" s="1">
        <f t="shared" si="0"/>
        <v>0</v>
      </c>
      <c r="G28" s="1">
        <f t="shared" si="0"/>
        <v>0</v>
      </c>
    </row>
    <row r="29" spans="1:7" x14ac:dyDescent="0.3">
      <c r="A29" s="3" t="s">
        <v>32</v>
      </c>
      <c r="B29" s="3" t="e">
        <f>B24/B28*100</f>
        <v>#DIV/0!</v>
      </c>
      <c r="C29" s="3" t="e">
        <f t="shared" ref="C29:G29" si="1">C24/C28*100</f>
        <v>#DIV/0!</v>
      </c>
      <c r="D29" s="3" t="e">
        <f t="shared" si="1"/>
        <v>#DIV/0!</v>
      </c>
      <c r="E29" s="3" t="e">
        <f t="shared" si="1"/>
        <v>#DIV/0!</v>
      </c>
      <c r="F29" s="3" t="e">
        <f t="shared" si="1"/>
        <v>#DIV/0!</v>
      </c>
      <c r="G29" s="3" t="e">
        <f t="shared" si="1"/>
        <v>#DIV/0!</v>
      </c>
    </row>
    <row r="30" spans="1:7" x14ac:dyDescent="0.3">
      <c r="A30" s="3" t="s">
        <v>33</v>
      </c>
      <c r="B30" s="3" t="e">
        <f>B25/B28*100</f>
        <v>#DIV/0!</v>
      </c>
      <c r="C30" s="3" t="e">
        <f t="shared" ref="C30:G30" si="2">C25/C28*100</f>
        <v>#DIV/0!</v>
      </c>
      <c r="D30" s="3" t="e">
        <f t="shared" si="2"/>
        <v>#DIV/0!</v>
      </c>
      <c r="E30" s="3" t="e">
        <f t="shared" si="2"/>
        <v>#DIV/0!</v>
      </c>
      <c r="F30" s="3" t="e">
        <f t="shared" si="2"/>
        <v>#DIV/0!</v>
      </c>
      <c r="G30" s="3" t="e">
        <f t="shared" si="2"/>
        <v>#DIV/0!</v>
      </c>
    </row>
    <row r="31" spans="1:7" x14ac:dyDescent="0.3">
      <c r="A31" s="3" t="s">
        <v>34</v>
      </c>
      <c r="B31" s="3" t="e">
        <f>B26/B28*100</f>
        <v>#DIV/0!</v>
      </c>
      <c r="C31" s="3" t="e">
        <f t="shared" ref="C31:G31" si="3">C26/C28*100</f>
        <v>#DIV/0!</v>
      </c>
      <c r="D31" s="3" t="e">
        <f t="shared" si="3"/>
        <v>#DIV/0!</v>
      </c>
      <c r="E31" s="3" t="e">
        <f t="shared" si="3"/>
        <v>#DIV/0!</v>
      </c>
      <c r="F31" s="3" t="e">
        <f t="shared" si="3"/>
        <v>#DIV/0!</v>
      </c>
      <c r="G31" s="3" t="e">
        <f t="shared" si="3"/>
        <v>#DIV/0!</v>
      </c>
    </row>
    <row r="32" spans="1:7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3" t="s">
        <v>35</v>
      </c>
      <c r="C33" s="3"/>
      <c r="D33" s="3"/>
      <c r="E33" s="3"/>
      <c r="F33" s="3"/>
      <c r="G33" s="3"/>
    </row>
    <row r="35" spans="1:7" x14ac:dyDescent="0.3">
      <c r="A35" s="3" t="s">
        <v>36</v>
      </c>
      <c r="B35" s="3"/>
      <c r="C35" s="3"/>
      <c r="D35" s="3">
        <f>D33-C33</f>
        <v>0</v>
      </c>
      <c r="E35" s="3"/>
      <c r="F35" s="3">
        <f>F33-E33</f>
        <v>0</v>
      </c>
      <c r="G35" s="3"/>
    </row>
    <row r="37" spans="1:7" x14ac:dyDescent="0.3">
      <c r="A37" s="3" t="s">
        <v>36</v>
      </c>
      <c r="B37" s="3"/>
      <c r="C37" s="3" t="e">
        <f>C33-#REF!</f>
        <v>#REF!</v>
      </c>
      <c r="D37" s="3"/>
      <c r="E37" s="3">
        <f>E33-D33</f>
        <v>0</v>
      </c>
      <c r="F37" s="3"/>
      <c r="G37" s="3">
        <f>G33-F33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240424Bnts1.3</vt:lpstr>
      <vt:lpstr>240424Bnts2.1</vt:lpstr>
      <vt:lpstr>240424Bnts2.2</vt:lpstr>
      <vt:lpstr>240424Bnts2.3</vt:lpstr>
      <vt:lpstr>240424Bnts3.1</vt:lpstr>
      <vt:lpstr>240424Bnts3.2</vt:lpstr>
      <vt:lpstr>240424Bnts4.1</vt:lpstr>
      <vt:lpstr>240424Bnts4.2</vt:lpstr>
      <vt:lpstr>template (2)</vt:lpstr>
      <vt:lpstr>template</vt:lpstr>
    </vt:vector>
  </TitlesOfParts>
  <Company>UCLA Health Sciences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Walsh, Breanna M. (Medical Student)</dc:creator>
  <cp:lastModifiedBy>Walsh, Breanna M. (Medical Student)</cp:lastModifiedBy>
  <dcterms:created xsi:type="dcterms:W3CDTF">2024-05-27T19:23:36Z</dcterms:created>
  <dcterms:modified xsi:type="dcterms:W3CDTF">2024-06-15T21:48:53Z</dcterms:modified>
</cp:coreProperties>
</file>