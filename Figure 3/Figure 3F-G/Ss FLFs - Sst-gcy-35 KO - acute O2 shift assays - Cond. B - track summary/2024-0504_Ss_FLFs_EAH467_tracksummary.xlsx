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FLFs\EAH467\2024-0504\WormLab Data\"/>
    </mc:Choice>
  </mc:AlternateContent>
  <xr:revisionPtr revIDLastSave="0" documentId="13_ncr:1_{9CA8AFE5-9981-4D97-AC93-75D7CF61CE31}" xr6:coauthVersionLast="36" xr6:coauthVersionMax="36" xr10:uidLastSave="{00000000-0000-0000-0000-000000000000}"/>
  <bookViews>
    <workbookView xWindow="0" yWindow="0" windowWidth="15300" windowHeight="7485" firstSheet="1" activeTab="6" xr2:uid="{0FEF4E15-4F6D-4A33-970A-BBD6C528AC17}"/>
  </bookViews>
  <sheets>
    <sheet name="240504Bhz001.1" sheetId="2" r:id="rId1"/>
    <sheet name="240504Bhz001.2" sheetId="3" r:id="rId2"/>
    <sheet name="240504Bhz001.3" sheetId="4" r:id="rId3"/>
    <sheet name="240504Bhz002.1" sheetId="5" r:id="rId4"/>
    <sheet name="240504Bhz002.3" sheetId="6" r:id="rId5"/>
    <sheet name="240504Bhz003.1" sheetId="7" r:id="rId6"/>
    <sheet name="240504Bhz003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E31" i="8"/>
  <c r="B31" i="8"/>
  <c r="G28" i="8"/>
  <c r="G30" i="8" s="1"/>
  <c r="F28" i="8"/>
  <c r="F30" i="8" s="1"/>
  <c r="E28" i="8"/>
  <c r="E30" i="8" s="1"/>
  <c r="D28" i="8"/>
  <c r="D31" i="8" s="1"/>
  <c r="C28" i="8"/>
  <c r="C31" i="8" s="1"/>
  <c r="B28" i="8"/>
  <c r="B29" i="8" s="1"/>
  <c r="G37" i="7"/>
  <c r="E37" i="7"/>
  <c r="C37" i="7"/>
  <c r="F35" i="7"/>
  <c r="D35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G31" i="7" s="1"/>
  <c r="F28" i="7"/>
  <c r="F31" i="7" s="1"/>
  <c r="E28" i="7"/>
  <c r="D28" i="7"/>
  <c r="D29" i="7" s="1"/>
  <c r="C28" i="7"/>
  <c r="C29" i="7" s="1"/>
  <c r="B28" i="7"/>
  <c r="B29" i="7" s="1"/>
  <c r="B30" i="8" l="1"/>
  <c r="F31" i="8"/>
  <c r="G31" i="8"/>
  <c r="C29" i="8"/>
  <c r="D29" i="8"/>
  <c r="E29" i="8"/>
  <c r="F29" i="8"/>
  <c r="G29" i="8"/>
  <c r="C30" i="8"/>
  <c r="D30" i="8"/>
  <c r="G37" i="6"/>
  <c r="E37" i="6"/>
  <c r="C37" i="6"/>
  <c r="F35" i="6"/>
  <c r="D35" i="6"/>
  <c r="D30" i="6"/>
  <c r="C30" i="6"/>
  <c r="G29" i="6"/>
  <c r="E29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C31" i="5"/>
  <c r="B31" i="5"/>
  <c r="E30" i="5"/>
  <c r="D30" i="5"/>
  <c r="C30" i="5"/>
  <c r="B30" i="5"/>
  <c r="E29" i="5"/>
  <c r="D29" i="5"/>
  <c r="G28" i="5"/>
  <c r="G31" i="5" s="1"/>
  <c r="F28" i="5"/>
  <c r="F31" i="5" s="1"/>
  <c r="E28" i="5"/>
  <c r="E31" i="5" s="1"/>
  <c r="D28" i="5"/>
  <c r="D31" i="5" s="1"/>
  <c r="C28" i="5"/>
  <c r="C29" i="5" s="1"/>
  <c r="B28" i="5"/>
  <c r="B29" i="5" s="1"/>
  <c r="G37" i="4"/>
  <c r="E37" i="4"/>
  <c r="C37" i="4"/>
  <c r="F35" i="4"/>
  <c r="D35" i="4"/>
  <c r="C31" i="4"/>
  <c r="B31" i="4"/>
  <c r="E30" i="4"/>
  <c r="D30" i="4"/>
  <c r="C30" i="4"/>
  <c r="B30" i="4"/>
  <c r="E29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D31" i="3"/>
  <c r="C31" i="3"/>
  <c r="B31" i="3"/>
  <c r="F30" i="3"/>
  <c r="D30" i="3"/>
  <c r="C30" i="3"/>
  <c r="B30" i="3"/>
  <c r="G29" i="3"/>
  <c r="F29" i="3"/>
  <c r="D29" i="3"/>
  <c r="G28" i="3"/>
  <c r="G30" i="3" s="1"/>
  <c r="F28" i="3"/>
  <c r="E28" i="3"/>
  <c r="E30" i="3" s="1"/>
  <c r="D28" i="3"/>
  <c r="C28" i="3"/>
  <c r="C29" i="3" s="1"/>
  <c r="B28" i="3"/>
  <c r="B29" i="3" s="1"/>
  <c r="G37" i="2"/>
  <c r="E37" i="2"/>
  <c r="C37" i="2"/>
  <c r="F35" i="2"/>
  <c r="D35" i="2"/>
  <c r="C31" i="2"/>
  <c r="D30" i="2"/>
  <c r="C30" i="2"/>
  <c r="G28" i="2"/>
  <c r="G29" i="2" s="1"/>
  <c r="F28" i="2"/>
  <c r="F29" i="2" s="1"/>
  <c r="E28" i="2"/>
  <c r="E29" i="2" s="1"/>
  <c r="D28" i="2"/>
  <c r="D29" i="2" s="1"/>
  <c r="C28" i="2"/>
  <c r="C29" i="2" s="1"/>
  <c r="B28" i="2"/>
  <c r="B30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B30" i="6" l="1"/>
  <c r="E30" i="6"/>
  <c r="F30" i="6"/>
  <c r="F29" i="6"/>
  <c r="G30" i="6"/>
  <c r="B31" i="6"/>
  <c r="C31" i="6"/>
  <c r="D31" i="6"/>
  <c r="G29" i="5"/>
  <c r="F30" i="5"/>
  <c r="F29" i="5"/>
  <c r="G30" i="5"/>
  <c r="F30" i="4"/>
  <c r="G30" i="4"/>
  <c r="F29" i="4"/>
  <c r="G29" i="4"/>
  <c r="D31" i="4"/>
  <c r="E29" i="3"/>
  <c r="E31" i="3"/>
  <c r="E31" i="2"/>
  <c r="E30" i="2"/>
  <c r="F30" i="2"/>
  <c r="G30" i="2"/>
  <c r="D31" i="2"/>
  <c r="G31" i="2"/>
  <c r="F31" i="2"/>
  <c r="B31" i="2"/>
  <c r="B29" i="2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<sst xmlns="http://schemas.openxmlformats.org/spreadsheetml/2006/main" count="304" uniqueCount="37">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</sst>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357C-AA5D-4144-BBE9-0162DD551F8F}">
  <dimension ref="A1:G37"/>
  <sheetViews>
    <sheetView topLeftCell="A10" workbookViewId="0">
      <selection activeCell="A42" sqref="A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841.95</v>
      </c>
      <c r="C2" s="1">
        <v>810.62</v>
      </c>
      <c r="D2" s="1">
        <v>640.91</v>
      </c>
      <c r="E2" s="1">
        <v>831.2</v>
      </c>
      <c r="F2" s="1">
        <v>810.12</v>
      </c>
      <c r="G2" s="1">
        <v>661.53</v>
      </c>
    </row>
    <row r="3" spans="1:7" x14ac:dyDescent="0.25">
      <c r="A3" s="1" t="s">
        <v>7</v>
      </c>
      <c r="B3" s="1">
        <v>60.03</v>
      </c>
      <c r="C3" s="1">
        <v>57.36</v>
      </c>
      <c r="D3" s="1">
        <v>65.150000000000006</v>
      </c>
      <c r="E3" s="1">
        <v>65.41</v>
      </c>
      <c r="F3" s="1">
        <v>63.07</v>
      </c>
      <c r="G3" s="1">
        <v>62.25</v>
      </c>
    </row>
    <row r="4" spans="1:7" x14ac:dyDescent="0.25">
      <c r="A4" s="1" t="s">
        <v>8</v>
      </c>
      <c r="B4" s="1">
        <v>51396.89</v>
      </c>
      <c r="C4" s="1">
        <v>47257</v>
      </c>
      <c r="D4" s="1">
        <v>42335.35</v>
      </c>
      <c r="E4" s="1">
        <v>55256.86</v>
      </c>
      <c r="F4" s="1">
        <v>51922.26</v>
      </c>
      <c r="G4" s="1">
        <v>41521.46</v>
      </c>
    </row>
    <row r="5" spans="1:7" x14ac:dyDescent="0.25">
      <c r="A5" s="1" t="s">
        <v>9</v>
      </c>
      <c r="B5" s="1">
        <v>919.52</v>
      </c>
      <c r="C5" s="1">
        <v>830.6</v>
      </c>
      <c r="D5" s="1">
        <v>934.37</v>
      </c>
      <c r="E5" s="1">
        <v>832.21</v>
      </c>
      <c r="F5" s="1">
        <v>845.95</v>
      </c>
      <c r="G5" s="1">
        <v>788.66</v>
      </c>
    </row>
    <row r="6" spans="1:7" x14ac:dyDescent="0.25">
      <c r="A6" s="3" t="s">
        <v>10</v>
      </c>
      <c r="B6" s="3">
        <v>91.95</v>
      </c>
      <c r="C6" s="3">
        <v>83.9</v>
      </c>
      <c r="D6" s="3">
        <v>94.38</v>
      </c>
      <c r="E6" s="3">
        <v>84.06</v>
      </c>
      <c r="F6" s="3">
        <v>85.45</v>
      </c>
      <c r="G6" s="3">
        <v>80.48</v>
      </c>
    </row>
    <row r="7" spans="1:7" x14ac:dyDescent="0.25">
      <c r="A7" s="1" t="s">
        <v>11</v>
      </c>
      <c r="B7" s="1">
        <v>842.1</v>
      </c>
      <c r="C7" s="1">
        <v>768.95</v>
      </c>
      <c r="D7" s="1">
        <v>737.92</v>
      </c>
      <c r="E7" s="1">
        <v>797.33</v>
      </c>
      <c r="F7" s="1">
        <v>830.18</v>
      </c>
      <c r="G7" s="1">
        <v>663.28</v>
      </c>
    </row>
    <row r="8" spans="1:7" x14ac:dyDescent="0.25">
      <c r="A8" s="1" t="s">
        <v>12</v>
      </c>
      <c r="B8" s="1">
        <v>84.21</v>
      </c>
      <c r="C8" s="1">
        <v>77.67</v>
      </c>
      <c r="D8" s="1">
        <v>74.540000000000006</v>
      </c>
      <c r="E8" s="1">
        <v>80.540000000000006</v>
      </c>
      <c r="F8" s="1">
        <v>83.86</v>
      </c>
      <c r="G8" s="1">
        <v>67.680000000000007</v>
      </c>
    </row>
    <row r="9" spans="1:7" x14ac:dyDescent="0.25">
      <c r="A9" s="1" t="s">
        <v>13</v>
      </c>
      <c r="B9" s="1">
        <v>791.58</v>
      </c>
      <c r="C9" s="1">
        <v>704.42</v>
      </c>
      <c r="D9" s="1">
        <v>429.35</v>
      </c>
      <c r="E9" s="1">
        <v>791.76</v>
      </c>
      <c r="F9" s="1">
        <v>728.01</v>
      </c>
      <c r="G9" s="1">
        <v>522.53</v>
      </c>
    </row>
    <row r="10" spans="1:7" x14ac:dyDescent="0.25">
      <c r="A10" s="1" t="s">
        <v>14</v>
      </c>
      <c r="B10" s="1">
        <v>79.16</v>
      </c>
      <c r="C10" s="1">
        <v>71.150000000000006</v>
      </c>
      <c r="D10" s="1">
        <v>43.37</v>
      </c>
      <c r="E10" s="1">
        <v>79.98</v>
      </c>
      <c r="F10" s="1">
        <v>73.540000000000006</v>
      </c>
      <c r="G10" s="1">
        <v>53.32</v>
      </c>
    </row>
    <row r="11" spans="1:7" x14ac:dyDescent="0.25">
      <c r="A11" s="1" t="s">
        <v>15</v>
      </c>
      <c r="B11" s="1">
        <v>573.35</v>
      </c>
      <c r="C11" s="1">
        <v>476.02</v>
      </c>
      <c r="D11" s="1">
        <v>205.51</v>
      </c>
      <c r="E11" s="1">
        <v>667.37</v>
      </c>
      <c r="F11" s="1">
        <v>532.16</v>
      </c>
      <c r="G11" s="1">
        <v>160.02000000000001</v>
      </c>
    </row>
    <row r="12" spans="1:7" x14ac:dyDescent="0.25">
      <c r="A12" s="1" t="s">
        <v>16</v>
      </c>
      <c r="B12" s="1">
        <v>441.37</v>
      </c>
      <c r="C12" s="1">
        <v>411.89</v>
      </c>
      <c r="D12" s="1">
        <v>266.77</v>
      </c>
      <c r="E12" s="1">
        <v>433.13</v>
      </c>
      <c r="F12" s="1">
        <v>421.22</v>
      </c>
      <c r="G12" s="1">
        <v>272.08999999999997</v>
      </c>
    </row>
    <row r="13" spans="1:7" x14ac:dyDescent="0.25">
      <c r="A13" s="1" t="s">
        <v>17</v>
      </c>
      <c r="B13" s="1">
        <v>54.39</v>
      </c>
      <c r="C13" s="1">
        <v>62.33</v>
      </c>
      <c r="D13" s="1">
        <v>91.88</v>
      </c>
      <c r="E13" s="1">
        <v>38.15</v>
      </c>
      <c r="F13" s="1">
        <v>55.5</v>
      </c>
      <c r="G13" s="1">
        <v>49.66</v>
      </c>
    </row>
    <row r="14" spans="1:7" x14ac:dyDescent="0.25">
      <c r="A14" s="1" t="s">
        <v>18</v>
      </c>
      <c r="B14" s="1">
        <v>143.34</v>
      </c>
      <c r="C14" s="1">
        <v>156.63</v>
      </c>
      <c r="D14" s="1">
        <v>162.69999999999999</v>
      </c>
      <c r="E14" s="1">
        <v>77.53</v>
      </c>
      <c r="F14" s="1">
        <v>118.68</v>
      </c>
      <c r="G14" s="1">
        <v>109.79</v>
      </c>
    </row>
    <row r="15" spans="1:7" x14ac:dyDescent="0.25">
      <c r="A15" s="1" t="s">
        <v>19</v>
      </c>
      <c r="B15" s="1">
        <v>3</v>
      </c>
      <c r="C15" s="1">
        <v>2</v>
      </c>
      <c r="D15" s="1">
        <v>5</v>
      </c>
      <c r="E15" s="1">
        <v>4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816.84</v>
      </c>
      <c r="C17" s="1">
        <v>736.69</v>
      </c>
      <c r="D17" s="1">
        <v>583.63</v>
      </c>
      <c r="E17" s="1">
        <v>794.55</v>
      </c>
      <c r="F17" s="1">
        <v>779.09</v>
      </c>
      <c r="G17" s="1">
        <v>592.9</v>
      </c>
    </row>
    <row r="18" spans="1:7" x14ac:dyDescent="0.25">
      <c r="A18" s="1" t="s">
        <v>22</v>
      </c>
      <c r="B18" s="1">
        <v>25.26</v>
      </c>
      <c r="C18" s="1">
        <v>32.270000000000003</v>
      </c>
      <c r="D18" s="1">
        <v>154.28</v>
      </c>
      <c r="E18" s="1">
        <v>2.79</v>
      </c>
      <c r="F18" s="1">
        <v>51.08</v>
      </c>
      <c r="G18" s="1">
        <v>70.37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2.5</v>
      </c>
      <c r="E25" s="1">
        <v>0</v>
      </c>
      <c r="F25" s="1">
        <v>1.5</v>
      </c>
      <c r="G25" s="1">
        <v>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7.5</v>
      </c>
      <c r="E26" s="1">
        <v>10</v>
      </c>
      <c r="F26" s="1">
        <v>8.5</v>
      </c>
      <c r="G26" s="1">
        <v>8.9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25</v>
      </c>
      <c r="E30" s="3">
        <f t="shared" si="2"/>
        <v>0</v>
      </c>
      <c r="F30" s="3">
        <f t="shared" si="2"/>
        <v>15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75</v>
      </c>
      <c r="E31" s="3">
        <f t="shared" si="3"/>
        <v>100</v>
      </c>
      <c r="F31" s="3">
        <f t="shared" si="3"/>
        <v>85</v>
      </c>
      <c r="G31" s="3">
        <f t="shared" si="3"/>
        <v>89.898989898989896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85.05</v>
      </c>
      <c r="C33" s="3">
        <v>75.72</v>
      </c>
      <c r="D33" s="3">
        <v>68.41</v>
      </c>
      <c r="E33" s="3">
        <v>81.88</v>
      </c>
      <c r="F33" s="3">
        <v>73</v>
      </c>
      <c r="G33" s="3">
        <v>52.92</v>
      </c>
    </row>
    <row r="35" spans="1:7" x14ac:dyDescent="0.25">
      <c r="A35" s="3" t="s">
        <v>36</v>
      </c>
      <c r="B35" s="3"/>
      <c r="C35" s="3"/>
      <c r="D35" s="3">
        <f>D33-C33</f>
        <v>-7.3100000000000023</v>
      </c>
      <c r="E35" s="3"/>
      <c r="F35" s="3">
        <f>F33-E33</f>
        <v>-8.8799999999999955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13.469999999999999</v>
      </c>
      <c r="F37" s="3"/>
      <c r="G37" s="3">
        <f>G33-F33</f>
        <v>-20.079999999999998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BE08-43C2-4791-B351-61FD3715C890}">
  <dimension ref="A1:G37"/>
  <sheetViews>
    <sheetView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845.23</v>
      </c>
      <c r="C2" s="1">
        <v>859.42</v>
      </c>
      <c r="D2" s="1">
        <v>874.86</v>
      </c>
      <c r="E2" s="1">
        <v>857.03</v>
      </c>
      <c r="F2" s="1">
        <v>861.89</v>
      </c>
      <c r="G2" s="1">
        <v>854.68</v>
      </c>
    </row>
    <row r="3" spans="1:7" x14ac:dyDescent="0.25">
      <c r="A3" s="1" t="s">
        <v>7</v>
      </c>
      <c r="B3" s="1">
        <v>69.78</v>
      </c>
      <c r="C3" s="1">
        <v>74.209999999999994</v>
      </c>
      <c r="D3" s="1">
        <v>78.77</v>
      </c>
      <c r="E3" s="1">
        <v>78.61</v>
      </c>
      <c r="F3" s="1">
        <v>78.33</v>
      </c>
      <c r="G3" s="1">
        <v>74.44</v>
      </c>
    </row>
    <row r="4" spans="1:7" x14ac:dyDescent="0.25">
      <c r="A4" s="1" t="s">
        <v>8</v>
      </c>
      <c r="B4" s="1">
        <v>59985.7</v>
      </c>
      <c r="C4" s="1">
        <v>64871.839999999997</v>
      </c>
      <c r="D4" s="1">
        <v>70096.600000000006</v>
      </c>
      <c r="E4" s="1">
        <v>68499.649999999994</v>
      </c>
      <c r="F4" s="1">
        <v>68647.09</v>
      </c>
      <c r="G4" s="1">
        <v>64672.84</v>
      </c>
    </row>
    <row r="5" spans="1:7" x14ac:dyDescent="0.25">
      <c r="A5" s="1" t="s">
        <v>9</v>
      </c>
      <c r="B5" s="1">
        <v>1371.32</v>
      </c>
      <c r="C5" s="1">
        <v>1683.85</v>
      </c>
      <c r="D5" s="1">
        <v>1625.54</v>
      </c>
      <c r="E5" s="1">
        <v>1604.92</v>
      </c>
      <c r="F5" s="1">
        <v>2006.12</v>
      </c>
      <c r="G5" s="1">
        <v>1295.22</v>
      </c>
    </row>
    <row r="6" spans="1:7" x14ac:dyDescent="0.25">
      <c r="A6" s="3" t="s">
        <v>10</v>
      </c>
      <c r="B6" s="3">
        <v>137.13</v>
      </c>
      <c r="C6" s="3">
        <v>170.09</v>
      </c>
      <c r="D6" s="3">
        <v>164.2</v>
      </c>
      <c r="E6" s="3">
        <v>162.11000000000001</v>
      </c>
      <c r="F6" s="3">
        <v>202.64</v>
      </c>
      <c r="G6" s="3">
        <v>132.16999999999999</v>
      </c>
    </row>
    <row r="7" spans="1:7" x14ac:dyDescent="0.25">
      <c r="A7" s="1" t="s">
        <v>11</v>
      </c>
      <c r="B7" s="1">
        <v>1350.7</v>
      </c>
      <c r="C7" s="1">
        <v>1646.02</v>
      </c>
      <c r="D7" s="1">
        <v>1593.34</v>
      </c>
      <c r="E7" s="1">
        <v>1575.47</v>
      </c>
      <c r="F7" s="1">
        <v>1963.74</v>
      </c>
      <c r="G7" s="1">
        <v>1255.58</v>
      </c>
    </row>
    <row r="8" spans="1:7" x14ac:dyDescent="0.25">
      <c r="A8" s="1" t="s">
        <v>12</v>
      </c>
      <c r="B8" s="1">
        <v>135.07</v>
      </c>
      <c r="C8" s="1">
        <v>166.26</v>
      </c>
      <c r="D8" s="1">
        <v>160.94</v>
      </c>
      <c r="E8" s="1">
        <v>159.13999999999999</v>
      </c>
      <c r="F8" s="1">
        <v>198.36</v>
      </c>
      <c r="G8" s="1">
        <v>128.12</v>
      </c>
    </row>
    <row r="9" spans="1:7" x14ac:dyDescent="0.25">
      <c r="A9" s="1" t="s">
        <v>13</v>
      </c>
      <c r="B9" s="1">
        <v>1143.27</v>
      </c>
      <c r="C9" s="1">
        <v>1646.02</v>
      </c>
      <c r="D9" s="1">
        <v>1593.34</v>
      </c>
      <c r="E9" s="1">
        <v>1304.6300000000001</v>
      </c>
      <c r="F9" s="1">
        <v>1963.74</v>
      </c>
      <c r="G9" s="1">
        <v>1132.3599999999999</v>
      </c>
    </row>
    <row r="10" spans="1:7" x14ac:dyDescent="0.25">
      <c r="A10" s="1" t="s">
        <v>14</v>
      </c>
      <c r="B10" s="1">
        <v>114.33</v>
      </c>
      <c r="C10" s="1">
        <v>166.26</v>
      </c>
      <c r="D10" s="1">
        <v>160.94</v>
      </c>
      <c r="E10" s="1">
        <v>131.78</v>
      </c>
      <c r="F10" s="1">
        <v>198.36</v>
      </c>
      <c r="G10" s="1">
        <v>115.55</v>
      </c>
    </row>
    <row r="11" spans="1:7" x14ac:dyDescent="0.25">
      <c r="A11" s="1" t="s">
        <v>15</v>
      </c>
      <c r="B11" s="1">
        <v>823.94</v>
      </c>
      <c r="C11" s="1">
        <v>1464.91</v>
      </c>
      <c r="D11" s="1">
        <v>1424.21</v>
      </c>
      <c r="E11" s="1">
        <v>923.86</v>
      </c>
      <c r="F11" s="1">
        <v>1623.45</v>
      </c>
      <c r="G11" s="1">
        <v>1024.57</v>
      </c>
    </row>
    <row r="12" spans="1:7" x14ac:dyDescent="0.25">
      <c r="A12" s="1" t="s">
        <v>16</v>
      </c>
      <c r="B12" s="1">
        <v>453.46</v>
      </c>
      <c r="C12" s="1">
        <v>468.17</v>
      </c>
      <c r="D12" s="1">
        <v>461.07</v>
      </c>
      <c r="E12" s="1">
        <v>462.65</v>
      </c>
      <c r="F12" s="1">
        <v>505.29</v>
      </c>
      <c r="G12" s="1">
        <v>463.26</v>
      </c>
    </row>
    <row r="13" spans="1:7" x14ac:dyDescent="0.25">
      <c r="A13" s="1" t="s">
        <v>17</v>
      </c>
      <c r="B13" s="1">
        <v>44.47</v>
      </c>
      <c r="C13" s="1">
        <v>45.22</v>
      </c>
      <c r="D13" s="1">
        <v>38.159999999999997</v>
      </c>
      <c r="E13" s="1">
        <v>58.31</v>
      </c>
      <c r="F13" s="1">
        <v>48.74</v>
      </c>
      <c r="G13" s="1">
        <v>38.729999999999997</v>
      </c>
    </row>
    <row r="14" spans="1:7" x14ac:dyDescent="0.25">
      <c r="A14" s="1" t="s">
        <v>18</v>
      </c>
      <c r="B14" s="1">
        <v>121.78</v>
      </c>
      <c r="C14" s="1">
        <v>98.79</v>
      </c>
      <c r="D14" s="1">
        <v>127.12</v>
      </c>
      <c r="E14" s="1">
        <v>143.06</v>
      </c>
      <c r="F14" s="1">
        <v>134.72999999999999</v>
      </c>
      <c r="G14" s="1">
        <v>122.67</v>
      </c>
    </row>
    <row r="15" spans="1:7" x14ac:dyDescent="0.25">
      <c r="A15" s="1" t="s">
        <v>19</v>
      </c>
      <c r="B15" s="1">
        <v>3</v>
      </c>
      <c r="C15" s="1">
        <v>4</v>
      </c>
      <c r="D15" s="1">
        <v>2</v>
      </c>
      <c r="E15" s="1">
        <v>3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1246.99</v>
      </c>
      <c r="C17" s="1">
        <v>1646.02</v>
      </c>
      <c r="D17" s="1">
        <v>1593.34</v>
      </c>
      <c r="E17" s="1">
        <v>1440.05</v>
      </c>
      <c r="F17" s="1">
        <v>1963.74</v>
      </c>
      <c r="G17" s="1">
        <v>1193.97</v>
      </c>
    </row>
    <row r="18" spans="1:7" x14ac:dyDescent="0.25">
      <c r="A18" s="1" t="s">
        <v>22</v>
      </c>
      <c r="B18" s="1">
        <v>103.71</v>
      </c>
      <c r="C18" s="1">
        <v>0</v>
      </c>
      <c r="D18" s="1">
        <v>0</v>
      </c>
      <c r="E18" s="1">
        <v>135.41999999999999</v>
      </c>
      <c r="F18" s="1">
        <v>0</v>
      </c>
      <c r="G18" s="1">
        <v>61.61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1.3</v>
      </c>
      <c r="C20" s="1">
        <v>0</v>
      </c>
      <c r="D20" s="1">
        <v>0</v>
      </c>
      <c r="E20" s="1">
        <v>1.9</v>
      </c>
      <c r="F20" s="1">
        <v>0</v>
      </c>
      <c r="G20" s="1">
        <v>0</v>
      </c>
    </row>
    <row r="21" spans="1:7" x14ac:dyDescent="0.25">
      <c r="A21" s="1" t="s">
        <v>25</v>
      </c>
      <c r="B21" s="1">
        <v>8.8000000000000007</v>
      </c>
      <c r="C21" s="1">
        <v>10</v>
      </c>
      <c r="D21" s="1">
        <v>10</v>
      </c>
      <c r="E21" s="1">
        <v>8.1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1.7</v>
      </c>
      <c r="C24" s="1">
        <v>0</v>
      </c>
      <c r="D24" s="1">
        <v>0</v>
      </c>
      <c r="E24" s="1">
        <v>2.4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</row>
    <row r="26" spans="1:7" x14ac:dyDescent="0.25">
      <c r="A26" s="1" t="s">
        <v>30</v>
      </c>
      <c r="B26" s="1">
        <v>8.4</v>
      </c>
      <c r="C26" s="1">
        <v>10</v>
      </c>
      <c r="D26" s="1">
        <v>10</v>
      </c>
      <c r="E26" s="1">
        <v>7.6</v>
      </c>
      <c r="F26" s="1">
        <v>10</v>
      </c>
      <c r="G26" s="1">
        <v>8.9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16.831683168316832</v>
      </c>
      <c r="C29" s="3">
        <f t="shared" ref="C29:G29" si="1">C24/C28*100</f>
        <v>0</v>
      </c>
      <c r="D29" s="3">
        <f t="shared" si="1"/>
        <v>0</v>
      </c>
      <c r="E29" s="3">
        <f t="shared" si="1"/>
        <v>24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83.168316831683171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76</v>
      </c>
      <c r="F31" s="3">
        <f t="shared" si="3"/>
        <v>100</v>
      </c>
      <c r="G31" s="3">
        <f t="shared" si="3"/>
        <v>89.898989898989896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93.82</v>
      </c>
      <c r="C33" s="3">
        <v>170.97</v>
      </c>
      <c r="D33" s="3">
        <v>161.81</v>
      </c>
      <c r="E33" s="3">
        <v>104.92</v>
      </c>
      <c r="F33" s="3">
        <v>200.49</v>
      </c>
      <c r="G33" s="3">
        <v>120.6</v>
      </c>
    </row>
    <row r="35" spans="1:7" x14ac:dyDescent="0.25">
      <c r="A35" s="3" t="s">
        <v>36</v>
      </c>
      <c r="B35" s="3"/>
      <c r="C35" s="3"/>
      <c r="D35" s="3">
        <f>D33-C33</f>
        <v>-9.1599999999999966</v>
      </c>
      <c r="E35" s="3"/>
      <c r="F35" s="3">
        <f>F33-E33</f>
        <v>95.570000000000007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-56.89</v>
      </c>
      <c r="F37" s="3"/>
      <c r="G37" s="3">
        <f>G33-F33</f>
        <v>-79.890000000000015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7A5D-E0F7-403A-9B51-F5C80734BA81}">
  <dimension ref="A1:G37"/>
  <sheetViews>
    <sheetView topLeftCell="A4" workbookViewId="0">
      <selection activeCell="K24" sqref="K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843.47</v>
      </c>
      <c r="C2" s="1">
        <v>879.01</v>
      </c>
      <c r="D2" s="1">
        <v>862.21</v>
      </c>
      <c r="E2" s="1">
        <v>855.68</v>
      </c>
      <c r="F2" s="1">
        <v>885.2</v>
      </c>
      <c r="G2" s="1">
        <v>834.16</v>
      </c>
    </row>
    <row r="3" spans="1:7" x14ac:dyDescent="0.25">
      <c r="A3" s="1" t="s">
        <v>7</v>
      </c>
      <c r="B3" s="1">
        <v>78.95</v>
      </c>
      <c r="C3" s="1">
        <v>82.24</v>
      </c>
      <c r="D3" s="1">
        <v>76.27</v>
      </c>
      <c r="E3" s="1">
        <v>83.57</v>
      </c>
      <c r="F3" s="1">
        <v>93.01</v>
      </c>
      <c r="G3" s="1">
        <v>92.9</v>
      </c>
    </row>
    <row r="4" spans="1:7" x14ac:dyDescent="0.25">
      <c r="A4" s="1" t="s">
        <v>8</v>
      </c>
      <c r="B4" s="1">
        <v>67711.38</v>
      </c>
      <c r="C4" s="1">
        <v>73514.64</v>
      </c>
      <c r="D4" s="1">
        <v>66929.48</v>
      </c>
      <c r="E4" s="1">
        <v>72703.360000000001</v>
      </c>
      <c r="F4" s="1">
        <v>83721.06</v>
      </c>
      <c r="G4" s="1">
        <v>78733.600000000006</v>
      </c>
    </row>
    <row r="5" spans="1:7" x14ac:dyDescent="0.25">
      <c r="A5" s="1" t="s">
        <v>9</v>
      </c>
      <c r="B5" s="1">
        <v>1182.96</v>
      </c>
      <c r="C5" s="1">
        <v>1357.37</v>
      </c>
      <c r="D5" s="1">
        <v>1224.52</v>
      </c>
      <c r="E5" s="1">
        <v>1593.98</v>
      </c>
      <c r="F5" s="1">
        <v>1395.11</v>
      </c>
      <c r="G5" s="1">
        <v>1246.99</v>
      </c>
    </row>
    <row r="6" spans="1:7" x14ac:dyDescent="0.25">
      <c r="A6" s="3" t="s">
        <v>10</v>
      </c>
      <c r="B6" s="3">
        <v>118.3</v>
      </c>
      <c r="C6" s="3">
        <v>137.11000000000001</v>
      </c>
      <c r="D6" s="3">
        <v>123.69</v>
      </c>
      <c r="E6" s="3">
        <v>161.01</v>
      </c>
      <c r="F6" s="3">
        <v>140.91999999999999</v>
      </c>
      <c r="G6" s="3">
        <v>127.24</v>
      </c>
    </row>
    <row r="7" spans="1:7" x14ac:dyDescent="0.25">
      <c r="A7" s="1" t="s">
        <v>11</v>
      </c>
      <c r="B7" s="1">
        <v>1150.46</v>
      </c>
      <c r="C7" s="1">
        <v>1326.87</v>
      </c>
      <c r="D7" s="1">
        <v>1198.96</v>
      </c>
      <c r="E7" s="1">
        <v>1561.66</v>
      </c>
      <c r="F7" s="1">
        <v>1362.25</v>
      </c>
      <c r="G7" s="1">
        <v>1104.78</v>
      </c>
    </row>
    <row r="8" spans="1:7" x14ac:dyDescent="0.25">
      <c r="A8" s="1" t="s">
        <v>12</v>
      </c>
      <c r="B8" s="1">
        <v>115.05</v>
      </c>
      <c r="C8" s="1">
        <v>134.03</v>
      </c>
      <c r="D8" s="1">
        <v>121.11</v>
      </c>
      <c r="E8" s="1">
        <v>157.74</v>
      </c>
      <c r="F8" s="1">
        <v>137.6</v>
      </c>
      <c r="G8" s="1">
        <v>112.73</v>
      </c>
    </row>
    <row r="9" spans="1:7" x14ac:dyDescent="0.25">
      <c r="A9" s="1" t="s">
        <v>13</v>
      </c>
      <c r="B9" s="1">
        <v>1150.46</v>
      </c>
      <c r="C9" s="1">
        <v>1326.87</v>
      </c>
      <c r="D9" s="1">
        <v>1198.96</v>
      </c>
      <c r="E9" s="1">
        <v>1561.66</v>
      </c>
      <c r="F9" s="1">
        <v>1362.25</v>
      </c>
      <c r="G9" s="1">
        <v>861.73</v>
      </c>
    </row>
    <row r="10" spans="1:7" x14ac:dyDescent="0.25">
      <c r="A10" s="1" t="s">
        <v>14</v>
      </c>
      <c r="B10" s="1">
        <v>115.05</v>
      </c>
      <c r="C10" s="1">
        <v>134.03</v>
      </c>
      <c r="D10" s="1">
        <v>121.11</v>
      </c>
      <c r="E10" s="1">
        <v>157.74</v>
      </c>
      <c r="F10" s="1">
        <v>137.6</v>
      </c>
      <c r="G10" s="1">
        <v>87.93</v>
      </c>
    </row>
    <row r="11" spans="1:7" x14ac:dyDescent="0.25">
      <c r="A11" s="1" t="s">
        <v>15</v>
      </c>
      <c r="B11" s="1">
        <v>1023.78</v>
      </c>
      <c r="C11" s="1">
        <v>1177.53</v>
      </c>
      <c r="D11" s="1">
        <v>1046.57</v>
      </c>
      <c r="E11" s="1">
        <v>1103.29</v>
      </c>
      <c r="F11" s="1">
        <v>1225.8900000000001</v>
      </c>
      <c r="G11" s="1">
        <v>752.77</v>
      </c>
    </row>
    <row r="12" spans="1:7" x14ac:dyDescent="0.25">
      <c r="A12" s="1" t="s">
        <v>16</v>
      </c>
      <c r="B12" s="1">
        <v>432.46</v>
      </c>
      <c r="C12" s="1">
        <v>474.05</v>
      </c>
      <c r="D12" s="1">
        <v>426.69</v>
      </c>
      <c r="E12" s="1">
        <v>464.39</v>
      </c>
      <c r="F12" s="1">
        <v>466.46</v>
      </c>
      <c r="G12" s="1">
        <v>376.6</v>
      </c>
    </row>
    <row r="13" spans="1:7" x14ac:dyDescent="0.25">
      <c r="A13" s="1" t="s">
        <v>17</v>
      </c>
      <c r="B13" s="1">
        <v>30.3</v>
      </c>
      <c r="C13" s="1">
        <v>29.84</v>
      </c>
      <c r="D13" s="1">
        <v>31.63</v>
      </c>
      <c r="E13" s="1">
        <v>52.34</v>
      </c>
      <c r="F13" s="1">
        <v>44.72</v>
      </c>
      <c r="G13" s="1">
        <v>39.36</v>
      </c>
    </row>
    <row r="14" spans="1:7" x14ac:dyDescent="0.25">
      <c r="A14" s="1" t="s">
        <v>18</v>
      </c>
      <c r="B14" s="1">
        <v>66.8</v>
      </c>
      <c r="C14" s="1">
        <v>79.69</v>
      </c>
      <c r="D14" s="1">
        <v>107.13</v>
      </c>
      <c r="E14" s="1">
        <v>145.37</v>
      </c>
      <c r="F14" s="1">
        <v>132.24</v>
      </c>
      <c r="G14" s="1">
        <v>125.23</v>
      </c>
    </row>
    <row r="15" spans="1:7" x14ac:dyDescent="0.25">
      <c r="A15" s="1" t="s">
        <v>19</v>
      </c>
      <c r="B15" s="1">
        <v>3</v>
      </c>
      <c r="C15" s="1">
        <v>2</v>
      </c>
      <c r="D15" s="1">
        <v>1</v>
      </c>
      <c r="E15" s="1">
        <v>3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1150.46</v>
      </c>
      <c r="C17" s="1">
        <v>1326.87</v>
      </c>
      <c r="D17" s="1">
        <v>1198.96</v>
      </c>
      <c r="E17" s="1">
        <v>1561.66</v>
      </c>
      <c r="F17" s="1">
        <v>1362.25</v>
      </c>
      <c r="G17" s="1">
        <v>983.25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121.52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2.2999999999999998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7.6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23.232323232323235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76.767676767676775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116.74</v>
      </c>
      <c r="C33" s="3">
        <v>137.59</v>
      </c>
      <c r="D33" s="3">
        <v>123.81</v>
      </c>
      <c r="E33" s="3">
        <v>160.38999999999999</v>
      </c>
      <c r="F33" s="3">
        <v>140.11000000000001</v>
      </c>
      <c r="G33" s="3">
        <v>92.35</v>
      </c>
    </row>
    <row r="35" spans="1:7" x14ac:dyDescent="0.25">
      <c r="A35" s="3" t="s">
        <v>36</v>
      </c>
      <c r="B35" s="3"/>
      <c r="C35" s="3"/>
      <c r="D35" s="3">
        <f>D33-C33</f>
        <v>-13.780000000000001</v>
      </c>
      <c r="E35" s="3"/>
      <c r="F35" s="3">
        <f>F33-E33</f>
        <v>-20.279999999999973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36.579999999999984</v>
      </c>
      <c r="F37" s="3"/>
      <c r="G37" s="3">
        <f>G33-F33</f>
        <v>-47.760000000000019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6CDC-520F-4672-B243-612A9A04E13D}">
  <dimension ref="A1:G37"/>
  <sheetViews>
    <sheetView topLeftCell="A7" workbookViewId="0">
      <selection activeCell="M19" sqref="M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865.66</v>
      </c>
      <c r="C2" s="1">
        <v>889.51</v>
      </c>
      <c r="D2" s="1">
        <v>896.37</v>
      </c>
      <c r="E2" s="1">
        <v>896.23</v>
      </c>
      <c r="F2" s="1">
        <v>883.76</v>
      </c>
      <c r="G2" s="1">
        <v>889.58</v>
      </c>
    </row>
    <row r="3" spans="1:7" x14ac:dyDescent="0.25">
      <c r="A3" s="1" t="s">
        <v>7</v>
      </c>
      <c r="B3" s="1">
        <v>75.63</v>
      </c>
      <c r="C3" s="1">
        <v>77.94</v>
      </c>
      <c r="D3" s="1">
        <v>80.790000000000006</v>
      </c>
      <c r="E3" s="1">
        <v>81.62</v>
      </c>
      <c r="F3" s="1">
        <v>80.36</v>
      </c>
      <c r="G3" s="1">
        <v>82.08</v>
      </c>
    </row>
    <row r="4" spans="1:7" x14ac:dyDescent="0.25">
      <c r="A4" s="1" t="s">
        <v>8</v>
      </c>
      <c r="B4" s="1">
        <v>66588.81</v>
      </c>
      <c r="C4" s="1">
        <v>70518.8</v>
      </c>
      <c r="D4" s="1">
        <v>73662.97</v>
      </c>
      <c r="E4" s="1">
        <v>74398.11</v>
      </c>
      <c r="F4" s="1">
        <v>72226.009999999995</v>
      </c>
      <c r="G4" s="1">
        <v>74278.539999999994</v>
      </c>
    </row>
    <row r="5" spans="1:7" x14ac:dyDescent="0.25">
      <c r="A5" s="1" t="s">
        <v>9</v>
      </c>
      <c r="B5" s="1">
        <v>1115.1500000000001</v>
      </c>
      <c r="C5" s="1">
        <v>1310.91</v>
      </c>
      <c r="D5" s="1">
        <v>1044.97</v>
      </c>
      <c r="E5" s="1">
        <v>1320.97</v>
      </c>
      <c r="F5" s="1">
        <v>1219.21</v>
      </c>
      <c r="G5" s="1">
        <v>1318.08</v>
      </c>
    </row>
    <row r="6" spans="1:7" x14ac:dyDescent="0.25">
      <c r="A6" s="3" t="s">
        <v>10</v>
      </c>
      <c r="B6" s="3">
        <v>111.51</v>
      </c>
      <c r="C6" s="3">
        <v>132.41999999999999</v>
      </c>
      <c r="D6" s="3">
        <v>105.55</v>
      </c>
      <c r="E6" s="3">
        <v>133.43</v>
      </c>
      <c r="F6" s="3">
        <v>123.15</v>
      </c>
      <c r="G6" s="3">
        <v>134.5</v>
      </c>
    </row>
    <row r="7" spans="1:7" x14ac:dyDescent="0.25">
      <c r="A7" s="1" t="s">
        <v>11</v>
      </c>
      <c r="B7" s="1">
        <v>1109.3</v>
      </c>
      <c r="C7" s="1">
        <v>1304.94</v>
      </c>
      <c r="D7" s="1">
        <v>1037.18</v>
      </c>
      <c r="E7" s="1">
        <v>1318.11</v>
      </c>
      <c r="F7" s="1">
        <v>1213.27</v>
      </c>
      <c r="G7" s="1">
        <v>1312.51</v>
      </c>
    </row>
    <row r="8" spans="1:7" x14ac:dyDescent="0.25">
      <c r="A8" s="1" t="s">
        <v>12</v>
      </c>
      <c r="B8" s="1">
        <v>110.93</v>
      </c>
      <c r="C8" s="1">
        <v>131.81</v>
      </c>
      <c r="D8" s="1">
        <v>104.77</v>
      </c>
      <c r="E8" s="1">
        <v>133.13999999999999</v>
      </c>
      <c r="F8" s="1">
        <v>122.55</v>
      </c>
      <c r="G8" s="1">
        <v>133.93</v>
      </c>
    </row>
    <row r="9" spans="1:7" x14ac:dyDescent="0.25">
      <c r="A9" s="1" t="s">
        <v>13</v>
      </c>
      <c r="B9" s="1">
        <v>1107.8</v>
      </c>
      <c r="C9" s="1">
        <v>1304.94</v>
      </c>
      <c r="D9" s="1">
        <v>1037.18</v>
      </c>
      <c r="E9" s="1">
        <v>1318.11</v>
      </c>
      <c r="F9" s="1">
        <v>825.23</v>
      </c>
      <c r="G9" s="1">
        <v>1312.51</v>
      </c>
    </row>
    <row r="10" spans="1:7" x14ac:dyDescent="0.25">
      <c r="A10" s="1" t="s">
        <v>14</v>
      </c>
      <c r="B10" s="1">
        <v>110.78</v>
      </c>
      <c r="C10" s="1">
        <v>131.81</v>
      </c>
      <c r="D10" s="1">
        <v>104.77</v>
      </c>
      <c r="E10" s="1">
        <v>133.13999999999999</v>
      </c>
      <c r="F10" s="1">
        <v>83.36</v>
      </c>
      <c r="G10" s="1">
        <v>133.93</v>
      </c>
    </row>
    <row r="11" spans="1:7" x14ac:dyDescent="0.25">
      <c r="A11" s="1" t="s">
        <v>15</v>
      </c>
      <c r="B11" s="1">
        <v>967.64</v>
      </c>
      <c r="C11" s="1">
        <v>1190.1500000000001</v>
      </c>
      <c r="D11" s="1">
        <v>951.09</v>
      </c>
      <c r="E11" s="1">
        <v>1179.08</v>
      </c>
      <c r="F11" s="1">
        <v>607.75</v>
      </c>
      <c r="G11" s="1">
        <v>1145.24</v>
      </c>
    </row>
    <row r="12" spans="1:7" x14ac:dyDescent="0.25">
      <c r="A12" s="1" t="s">
        <v>16</v>
      </c>
      <c r="B12" s="1">
        <v>448.98</v>
      </c>
      <c r="C12" s="1">
        <v>466.85</v>
      </c>
      <c r="D12" s="1">
        <v>433.17</v>
      </c>
      <c r="E12" s="1">
        <v>461.23</v>
      </c>
      <c r="F12" s="1">
        <v>460.26</v>
      </c>
      <c r="G12" s="1">
        <v>461.3</v>
      </c>
    </row>
    <row r="13" spans="1:7" x14ac:dyDescent="0.25">
      <c r="A13" s="1" t="s">
        <v>17</v>
      </c>
      <c r="B13" s="1">
        <v>44.53</v>
      </c>
      <c r="C13" s="1">
        <v>33.15</v>
      </c>
      <c r="D13" s="1">
        <v>22.33</v>
      </c>
      <c r="E13" s="1">
        <v>34.44</v>
      </c>
      <c r="F13" s="1">
        <v>41.51</v>
      </c>
      <c r="G13" s="1">
        <v>40.700000000000003</v>
      </c>
    </row>
    <row r="14" spans="1:7" x14ac:dyDescent="0.25">
      <c r="A14" s="1" t="s">
        <v>18</v>
      </c>
      <c r="B14" s="1">
        <v>103.49</v>
      </c>
      <c r="C14" s="1">
        <v>80.02</v>
      </c>
      <c r="D14" s="1">
        <v>63.67</v>
      </c>
      <c r="E14" s="1">
        <v>88.96</v>
      </c>
      <c r="F14" s="1">
        <v>144.15</v>
      </c>
      <c r="G14" s="1">
        <v>90.43</v>
      </c>
    </row>
    <row r="15" spans="1:7" x14ac:dyDescent="0.25">
      <c r="A15" s="1" t="s">
        <v>19</v>
      </c>
      <c r="B15" s="1">
        <v>3</v>
      </c>
      <c r="C15" s="1">
        <v>2</v>
      </c>
      <c r="D15" s="1">
        <v>0</v>
      </c>
      <c r="E15" s="1">
        <v>2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1108.55</v>
      </c>
      <c r="C17" s="1">
        <v>1304.94</v>
      </c>
      <c r="D17" s="1">
        <v>1037.18</v>
      </c>
      <c r="E17" s="1">
        <v>1318.11</v>
      </c>
      <c r="F17" s="1">
        <v>1019.25</v>
      </c>
      <c r="G17" s="1">
        <v>1312.51</v>
      </c>
    </row>
    <row r="18" spans="1:7" x14ac:dyDescent="0.25">
      <c r="A18" s="1" t="s">
        <v>22</v>
      </c>
      <c r="B18" s="1">
        <v>0.75</v>
      </c>
      <c r="C18" s="1">
        <v>0</v>
      </c>
      <c r="D18" s="1">
        <v>0</v>
      </c>
      <c r="E18" s="1">
        <v>0</v>
      </c>
      <c r="F18" s="1">
        <v>194.02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2.2000000000000002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22.000000000000004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110.01</v>
      </c>
      <c r="C33" s="3">
        <v>132.97</v>
      </c>
      <c r="D33" s="3">
        <v>105.33</v>
      </c>
      <c r="E33" s="3">
        <v>132.94999999999999</v>
      </c>
      <c r="F33" s="3">
        <v>82.81</v>
      </c>
      <c r="G33" s="3">
        <v>134.29</v>
      </c>
    </row>
    <row r="35" spans="1:7" x14ac:dyDescent="0.25">
      <c r="A35" s="3" t="s">
        <v>36</v>
      </c>
      <c r="B35" s="3"/>
      <c r="C35" s="3"/>
      <c r="D35" s="3">
        <f>D33-C33</f>
        <v>-27.64</v>
      </c>
      <c r="E35" s="3"/>
      <c r="F35" s="3">
        <f>F33-E33</f>
        <v>-50.139999999999986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27.61999999999999</v>
      </c>
      <c r="F37" s="3"/>
      <c r="G37" s="3">
        <f>G33-F33</f>
        <v>51.47999999999999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FF25-8D56-4CA5-818B-EC426396DAF7}">
  <dimension ref="A1:G37"/>
  <sheetViews>
    <sheetView topLeftCell="A13" workbookViewId="0">
      <selection activeCell="O29" sqref="O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708.19</v>
      </c>
      <c r="C2" s="1">
        <v>766.75</v>
      </c>
      <c r="D2" s="1">
        <v>754.3</v>
      </c>
      <c r="E2" s="1">
        <v>778.51</v>
      </c>
      <c r="F2" s="1">
        <v>769.88</v>
      </c>
      <c r="G2" s="1">
        <v>786.62</v>
      </c>
    </row>
    <row r="3" spans="1:7" x14ac:dyDescent="0.25">
      <c r="A3" s="1" t="s">
        <v>7</v>
      </c>
      <c r="B3" s="1">
        <v>61.28</v>
      </c>
      <c r="C3" s="1">
        <v>56.29</v>
      </c>
      <c r="D3" s="1">
        <v>49.74</v>
      </c>
      <c r="E3" s="1">
        <v>63.49</v>
      </c>
      <c r="F3" s="1">
        <v>59.18</v>
      </c>
      <c r="G3" s="1">
        <v>58.56</v>
      </c>
    </row>
    <row r="4" spans="1:7" x14ac:dyDescent="0.25">
      <c r="A4" s="1" t="s">
        <v>8</v>
      </c>
      <c r="B4" s="1">
        <v>44000.36</v>
      </c>
      <c r="C4" s="1">
        <v>43881.93</v>
      </c>
      <c r="D4" s="1">
        <v>38153.050000000003</v>
      </c>
      <c r="E4" s="1">
        <v>50293.93</v>
      </c>
      <c r="F4" s="1">
        <v>46310.44</v>
      </c>
      <c r="G4" s="1">
        <v>46848.31</v>
      </c>
    </row>
    <row r="5" spans="1:7" x14ac:dyDescent="0.25">
      <c r="A5" s="1" t="s">
        <v>9</v>
      </c>
      <c r="B5" s="1">
        <v>893.22</v>
      </c>
      <c r="C5" s="1">
        <v>1072.19</v>
      </c>
      <c r="D5" s="1">
        <v>703.08</v>
      </c>
      <c r="E5" s="1">
        <v>1084.83</v>
      </c>
      <c r="F5" s="1">
        <v>1352.45</v>
      </c>
      <c r="G5" s="1">
        <v>1039.3599999999999</v>
      </c>
    </row>
    <row r="6" spans="1:7" x14ac:dyDescent="0.25">
      <c r="A6" s="3" t="s">
        <v>10</v>
      </c>
      <c r="B6" s="3">
        <v>89.32</v>
      </c>
      <c r="C6" s="3">
        <v>108.3</v>
      </c>
      <c r="D6" s="3">
        <v>71.02</v>
      </c>
      <c r="E6" s="3">
        <v>109.58</v>
      </c>
      <c r="F6" s="3">
        <v>136.61000000000001</v>
      </c>
      <c r="G6" s="3">
        <v>106.06</v>
      </c>
    </row>
    <row r="7" spans="1:7" x14ac:dyDescent="0.25">
      <c r="A7" s="1" t="s">
        <v>11</v>
      </c>
      <c r="B7" s="1">
        <v>786.33</v>
      </c>
      <c r="C7" s="1">
        <v>1060.8900000000001</v>
      </c>
      <c r="D7" s="1">
        <v>686.63</v>
      </c>
      <c r="E7" s="1">
        <v>1077.68</v>
      </c>
      <c r="F7" s="1">
        <v>1339.27</v>
      </c>
      <c r="G7" s="1">
        <v>1023.6</v>
      </c>
    </row>
    <row r="8" spans="1:7" x14ac:dyDescent="0.25">
      <c r="A8" s="1" t="s">
        <v>12</v>
      </c>
      <c r="B8" s="1">
        <v>78.63</v>
      </c>
      <c r="C8" s="1">
        <v>107.16</v>
      </c>
      <c r="D8" s="1">
        <v>69.36</v>
      </c>
      <c r="E8" s="1">
        <v>108.86</v>
      </c>
      <c r="F8" s="1">
        <v>135.28</v>
      </c>
      <c r="G8" s="1">
        <v>104.45</v>
      </c>
    </row>
    <row r="9" spans="1:7" x14ac:dyDescent="0.25">
      <c r="A9" s="1" t="s">
        <v>13</v>
      </c>
      <c r="B9" s="1">
        <v>-404.69</v>
      </c>
      <c r="C9" s="1">
        <v>1060.8900000000001</v>
      </c>
      <c r="D9" s="1">
        <v>686.63</v>
      </c>
      <c r="E9" s="1">
        <v>1077.68</v>
      </c>
      <c r="F9" s="1">
        <v>1339.27</v>
      </c>
      <c r="G9" s="1">
        <v>1023.6</v>
      </c>
    </row>
    <row r="10" spans="1:7" x14ac:dyDescent="0.25">
      <c r="A10" s="1" t="s">
        <v>14</v>
      </c>
      <c r="B10" s="1">
        <v>-40.47</v>
      </c>
      <c r="C10" s="1">
        <v>107.16</v>
      </c>
      <c r="D10" s="1">
        <v>69.36</v>
      </c>
      <c r="E10" s="1">
        <v>108.86</v>
      </c>
      <c r="F10" s="1">
        <v>135.28</v>
      </c>
      <c r="G10" s="1">
        <v>104.45</v>
      </c>
    </row>
    <row r="11" spans="1:7" x14ac:dyDescent="0.25">
      <c r="A11" s="1" t="s">
        <v>15</v>
      </c>
      <c r="B11" s="1">
        <v>124.11</v>
      </c>
      <c r="C11" s="1">
        <v>910.8</v>
      </c>
      <c r="D11" s="1">
        <v>579.13</v>
      </c>
      <c r="E11" s="1">
        <v>951.14</v>
      </c>
      <c r="F11" s="1">
        <v>1168.5999999999999</v>
      </c>
      <c r="G11" s="1">
        <v>915.38</v>
      </c>
    </row>
    <row r="12" spans="1:7" x14ac:dyDescent="0.25">
      <c r="A12" s="1" t="s">
        <v>16</v>
      </c>
      <c r="B12" s="1">
        <v>312.04000000000002</v>
      </c>
      <c r="C12" s="1">
        <v>416.59</v>
      </c>
      <c r="D12" s="1">
        <v>377.12</v>
      </c>
      <c r="E12" s="1">
        <v>424.9</v>
      </c>
      <c r="F12" s="1">
        <v>403</v>
      </c>
      <c r="G12" s="1">
        <v>419.75</v>
      </c>
    </row>
    <row r="13" spans="1:7" x14ac:dyDescent="0.25">
      <c r="A13" s="1" t="s">
        <v>17</v>
      </c>
      <c r="B13" s="1">
        <v>62.6</v>
      </c>
      <c r="C13" s="1">
        <v>36.19</v>
      </c>
      <c r="D13" s="1">
        <v>27.47</v>
      </c>
      <c r="E13" s="1">
        <v>37.159999999999997</v>
      </c>
      <c r="F13" s="1">
        <v>39.5</v>
      </c>
      <c r="G13" s="1">
        <v>25.18</v>
      </c>
    </row>
    <row r="14" spans="1:7" x14ac:dyDescent="0.25">
      <c r="A14" s="1" t="s">
        <v>18</v>
      </c>
      <c r="B14" s="1">
        <v>111.91</v>
      </c>
      <c r="C14" s="1">
        <v>80.709999999999994</v>
      </c>
      <c r="D14" s="1">
        <v>83.24</v>
      </c>
      <c r="E14" s="1">
        <v>67.52</v>
      </c>
      <c r="F14" s="1">
        <v>96.01</v>
      </c>
      <c r="G14" s="1">
        <v>71.59</v>
      </c>
    </row>
    <row r="15" spans="1:7" x14ac:dyDescent="0.25">
      <c r="A15" s="1" t="s">
        <v>19</v>
      </c>
      <c r="B15" s="1">
        <v>3</v>
      </c>
      <c r="C15" s="1">
        <v>1</v>
      </c>
      <c r="D15" s="1">
        <v>1</v>
      </c>
      <c r="E15" s="1">
        <v>2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190.82</v>
      </c>
      <c r="C17" s="1">
        <v>1060.8900000000001</v>
      </c>
      <c r="D17" s="1">
        <v>686.63</v>
      </c>
      <c r="E17" s="1">
        <v>1077.68</v>
      </c>
      <c r="F17" s="1">
        <v>1339.27</v>
      </c>
      <c r="G17" s="1">
        <v>1023.6</v>
      </c>
    </row>
    <row r="18" spans="1:7" x14ac:dyDescent="0.25">
      <c r="A18" s="1" t="s">
        <v>22</v>
      </c>
      <c r="B18" s="1">
        <v>595.51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4.7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5.4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2.1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4.5999999999999996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33.663366336633665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20.792079207920793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45.544554455445542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-13.84</v>
      </c>
      <c r="C33" s="3">
        <v>109.26</v>
      </c>
      <c r="D33" s="3">
        <v>70.989999999999995</v>
      </c>
      <c r="E33" s="3">
        <v>109.88</v>
      </c>
      <c r="F33" s="3">
        <v>136.51</v>
      </c>
      <c r="G33" s="3">
        <v>105.5</v>
      </c>
    </row>
    <row r="35" spans="1:7" x14ac:dyDescent="0.25">
      <c r="A35" s="3" t="s">
        <v>36</v>
      </c>
      <c r="B35" s="3"/>
      <c r="C35" s="3"/>
      <c r="D35" s="3">
        <f>D33-C33</f>
        <v>-38.27000000000001</v>
      </c>
      <c r="E35" s="3"/>
      <c r="F35" s="3">
        <f>F33-E33</f>
        <v>26.629999999999995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38.89</v>
      </c>
      <c r="F37" s="3"/>
      <c r="G37" s="3">
        <f>G33-F33</f>
        <v>-31.009999999999991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0BF-75CF-4DDF-AAD1-24D74D17DDAA}">
  <dimension ref="A1:G37"/>
  <sheetViews>
    <sheetView topLeftCell="A13" workbookViewId="0">
      <selection activeCell="G40" sqref="G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876.16</v>
      </c>
      <c r="C2" s="1">
        <v>841.44</v>
      </c>
      <c r="D2" s="1">
        <v>876.96</v>
      </c>
      <c r="E2" s="1">
        <v>848.7</v>
      </c>
      <c r="F2" s="1">
        <v>833.19</v>
      </c>
      <c r="G2" s="1">
        <v>824.83</v>
      </c>
    </row>
    <row r="3" spans="1:7" x14ac:dyDescent="0.25">
      <c r="A3" s="1" t="s">
        <v>7</v>
      </c>
      <c r="B3" s="1">
        <v>60.67</v>
      </c>
      <c r="C3" s="1">
        <v>64.180000000000007</v>
      </c>
      <c r="D3" s="1">
        <v>62.41</v>
      </c>
      <c r="E3" s="1">
        <v>59.66</v>
      </c>
      <c r="F3" s="1">
        <v>60.93</v>
      </c>
      <c r="G3" s="1">
        <v>56.67</v>
      </c>
    </row>
    <row r="4" spans="1:7" x14ac:dyDescent="0.25">
      <c r="A4" s="1" t="s">
        <v>8</v>
      </c>
      <c r="B4" s="1">
        <v>54070.33</v>
      </c>
      <c r="C4" s="1">
        <v>54917.06</v>
      </c>
      <c r="D4" s="1">
        <v>55673.42</v>
      </c>
      <c r="E4" s="1">
        <v>51486.9</v>
      </c>
      <c r="F4" s="1">
        <v>51648.61</v>
      </c>
      <c r="G4" s="1">
        <v>47546.29</v>
      </c>
    </row>
    <row r="5" spans="1:7" x14ac:dyDescent="0.25">
      <c r="A5" s="1" t="s">
        <v>9</v>
      </c>
      <c r="B5" s="1">
        <v>1277.72</v>
      </c>
      <c r="C5" s="1">
        <v>602.03</v>
      </c>
      <c r="D5" s="1">
        <v>1265.1500000000001</v>
      </c>
      <c r="E5" s="1">
        <v>1200.2</v>
      </c>
      <c r="F5" s="1">
        <v>951.53</v>
      </c>
      <c r="G5" s="1">
        <v>1115.04</v>
      </c>
    </row>
    <row r="6" spans="1:7" x14ac:dyDescent="0.25">
      <c r="A6" s="3" t="s">
        <v>10</v>
      </c>
      <c r="B6" s="3">
        <v>127.77</v>
      </c>
      <c r="C6" s="3">
        <v>60.81</v>
      </c>
      <c r="D6" s="3">
        <v>127.79</v>
      </c>
      <c r="E6" s="3">
        <v>121.23</v>
      </c>
      <c r="F6" s="3">
        <v>96.11</v>
      </c>
      <c r="G6" s="3">
        <v>113.78</v>
      </c>
    </row>
    <row r="7" spans="1:7" x14ac:dyDescent="0.25">
      <c r="A7" s="1" t="s">
        <v>11</v>
      </c>
      <c r="B7" s="1">
        <v>1177.3</v>
      </c>
      <c r="C7" s="1">
        <v>537.96</v>
      </c>
      <c r="D7" s="1">
        <v>1187.2</v>
      </c>
      <c r="E7" s="1">
        <v>1130.99</v>
      </c>
      <c r="F7" s="1">
        <v>920.42</v>
      </c>
      <c r="G7" s="1">
        <v>1014.91</v>
      </c>
    </row>
    <row r="8" spans="1:7" x14ac:dyDescent="0.25">
      <c r="A8" s="1" t="s">
        <v>12</v>
      </c>
      <c r="B8" s="1">
        <v>117.73</v>
      </c>
      <c r="C8" s="1">
        <v>54.34</v>
      </c>
      <c r="D8" s="1">
        <v>119.92</v>
      </c>
      <c r="E8" s="1">
        <v>114.24</v>
      </c>
      <c r="F8" s="1">
        <v>92.97</v>
      </c>
      <c r="G8" s="1">
        <v>103.56</v>
      </c>
    </row>
    <row r="9" spans="1:7" x14ac:dyDescent="0.25">
      <c r="A9" s="1" t="s">
        <v>13</v>
      </c>
      <c r="B9" s="1">
        <v>1177.3</v>
      </c>
      <c r="C9" s="1">
        <v>461.29</v>
      </c>
      <c r="D9" s="1">
        <v>1187.2</v>
      </c>
      <c r="E9" s="1">
        <v>1130.68</v>
      </c>
      <c r="F9" s="1">
        <v>920.42</v>
      </c>
      <c r="G9" s="1">
        <v>1014.91</v>
      </c>
    </row>
    <row r="10" spans="1:7" x14ac:dyDescent="0.25">
      <c r="A10" s="1" t="s">
        <v>14</v>
      </c>
      <c r="B10" s="1">
        <v>117.73</v>
      </c>
      <c r="C10" s="1">
        <v>46.6</v>
      </c>
      <c r="D10" s="1">
        <v>119.92</v>
      </c>
      <c r="E10" s="1">
        <v>114.21</v>
      </c>
      <c r="F10" s="1">
        <v>92.97</v>
      </c>
      <c r="G10" s="1">
        <v>103.56</v>
      </c>
    </row>
    <row r="11" spans="1:7" x14ac:dyDescent="0.25">
      <c r="A11" s="1" t="s">
        <v>15</v>
      </c>
      <c r="B11" s="1">
        <v>986.5</v>
      </c>
      <c r="C11" s="1">
        <v>395.41</v>
      </c>
      <c r="D11" s="1">
        <v>962.64</v>
      </c>
      <c r="E11" s="1">
        <v>914.29</v>
      </c>
      <c r="F11" s="1">
        <v>502.86</v>
      </c>
      <c r="G11" s="1">
        <v>836.91</v>
      </c>
    </row>
    <row r="12" spans="1:7" x14ac:dyDescent="0.25">
      <c r="A12" s="1" t="s">
        <v>16</v>
      </c>
      <c r="B12" s="1">
        <v>464.01</v>
      </c>
      <c r="C12" s="1">
        <v>444.91</v>
      </c>
      <c r="D12" s="1">
        <v>456.05</v>
      </c>
      <c r="E12" s="1">
        <v>442.75</v>
      </c>
      <c r="F12" s="1">
        <v>411.26</v>
      </c>
      <c r="G12" s="1">
        <v>432.98</v>
      </c>
    </row>
    <row r="13" spans="1:7" x14ac:dyDescent="0.25">
      <c r="A13" s="1" t="s">
        <v>17</v>
      </c>
      <c r="B13" s="1">
        <v>30.47</v>
      </c>
      <c r="C13" s="1">
        <v>25.03</v>
      </c>
      <c r="D13" s="1">
        <v>37.1</v>
      </c>
      <c r="E13" s="1">
        <v>45.92</v>
      </c>
      <c r="F13" s="1">
        <v>65.27</v>
      </c>
      <c r="G13" s="1">
        <v>29.5</v>
      </c>
    </row>
    <row r="14" spans="1:7" x14ac:dyDescent="0.25">
      <c r="A14" s="1" t="s">
        <v>18</v>
      </c>
      <c r="B14" s="1">
        <v>77.37</v>
      </c>
      <c r="C14" s="1">
        <v>88.71</v>
      </c>
      <c r="D14" s="1">
        <v>82.74</v>
      </c>
      <c r="E14" s="1">
        <v>109.31</v>
      </c>
      <c r="F14" s="1">
        <v>161.1</v>
      </c>
      <c r="G14" s="1">
        <v>66.97</v>
      </c>
    </row>
    <row r="15" spans="1:7" x14ac:dyDescent="0.25">
      <c r="A15" s="1" t="s">
        <v>19</v>
      </c>
      <c r="B15" s="1">
        <v>1</v>
      </c>
      <c r="C15" s="1">
        <v>2</v>
      </c>
      <c r="D15" s="1">
        <v>1</v>
      </c>
      <c r="E15" s="1">
        <v>2</v>
      </c>
      <c r="F15" s="1">
        <v>2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1177.3</v>
      </c>
      <c r="C17" s="1">
        <v>499.63</v>
      </c>
      <c r="D17" s="1">
        <v>1187.2</v>
      </c>
      <c r="E17" s="1">
        <v>1130.8399999999999</v>
      </c>
      <c r="F17" s="1">
        <v>920.42</v>
      </c>
      <c r="G17" s="1">
        <v>1014.91</v>
      </c>
    </row>
    <row r="18" spans="1:7" x14ac:dyDescent="0.25">
      <c r="A18" s="1" t="s">
        <v>22</v>
      </c>
      <c r="B18" s="1">
        <v>0</v>
      </c>
      <c r="C18" s="1">
        <v>38.340000000000003</v>
      </c>
      <c r="D18" s="1">
        <v>0</v>
      </c>
      <c r="E18" s="1">
        <v>0.16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4.9000000000000004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5.0999999999999996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49.000000000000007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51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124.41</v>
      </c>
      <c r="C33" s="3">
        <v>50.53</v>
      </c>
      <c r="D33" s="3">
        <v>126.41</v>
      </c>
      <c r="E33" s="3">
        <v>121.33</v>
      </c>
      <c r="F33" s="3">
        <v>94.28</v>
      </c>
      <c r="G33" s="3">
        <v>111.28</v>
      </c>
    </row>
    <row r="35" spans="1:7" x14ac:dyDescent="0.25">
      <c r="A35" s="3" t="s">
        <v>36</v>
      </c>
      <c r="B35" s="3"/>
      <c r="C35" s="3"/>
      <c r="D35" s="3">
        <f>D33-C33</f>
        <v>75.88</v>
      </c>
      <c r="E35" s="3"/>
      <c r="F35" s="3">
        <f>F33-E33</f>
        <v>-27.049999999999997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-5.0799999999999983</v>
      </c>
      <c r="F37" s="3"/>
      <c r="G37" s="3">
        <f>G33-F33</f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57C-013C-430B-BF72-12BDAB5C3248}">
  <dimension ref="A1:G37"/>
  <sheetViews>
    <sheetView tabSelected="1" topLeftCell="A10" workbookViewId="0">
      <selection activeCell="J21" sqref="J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813.46</v>
      </c>
      <c r="C2" s="1">
        <v>761.46</v>
      </c>
      <c r="D2" s="1">
        <v>783.8</v>
      </c>
      <c r="E2" s="1">
        <v>818.69</v>
      </c>
      <c r="F2" s="1">
        <v>805.3</v>
      </c>
      <c r="G2" s="1">
        <v>780.09</v>
      </c>
    </row>
    <row r="3" spans="1:7" x14ac:dyDescent="0.25">
      <c r="A3" s="1" t="s">
        <v>7</v>
      </c>
      <c r="B3" s="1">
        <v>59.55</v>
      </c>
      <c r="C3" s="1">
        <v>56.82</v>
      </c>
      <c r="D3" s="1">
        <v>57.38</v>
      </c>
      <c r="E3" s="1">
        <v>57.02</v>
      </c>
      <c r="F3" s="1">
        <v>57.51</v>
      </c>
      <c r="G3" s="1">
        <v>61.61</v>
      </c>
    </row>
    <row r="4" spans="1:7" x14ac:dyDescent="0.25">
      <c r="A4" s="1" t="s">
        <v>8</v>
      </c>
      <c r="B4" s="1">
        <v>49236.41</v>
      </c>
      <c r="C4" s="1">
        <v>43926.79</v>
      </c>
      <c r="D4" s="1">
        <v>45724.72</v>
      </c>
      <c r="E4" s="1">
        <v>47475.4</v>
      </c>
      <c r="F4" s="1">
        <v>47092.53</v>
      </c>
      <c r="G4" s="1">
        <v>48843.5</v>
      </c>
    </row>
    <row r="5" spans="1:7" x14ac:dyDescent="0.25">
      <c r="A5" s="1" t="s">
        <v>9</v>
      </c>
      <c r="B5" s="1">
        <v>1563.69</v>
      </c>
      <c r="C5" s="1">
        <v>970.27</v>
      </c>
      <c r="D5" s="1">
        <v>1336.99</v>
      </c>
      <c r="E5" s="1">
        <v>1180.1199999999999</v>
      </c>
      <c r="F5" s="1">
        <v>1181.1600000000001</v>
      </c>
      <c r="G5" s="1">
        <v>969.33</v>
      </c>
    </row>
    <row r="6" spans="1:7" x14ac:dyDescent="0.25">
      <c r="A6" s="3" t="s">
        <v>10</v>
      </c>
      <c r="B6" s="3">
        <v>156.37</v>
      </c>
      <c r="C6" s="3">
        <v>98.01</v>
      </c>
      <c r="D6" s="3">
        <v>135.05000000000001</v>
      </c>
      <c r="E6" s="3">
        <v>119.2</v>
      </c>
      <c r="F6" s="3">
        <v>119.31</v>
      </c>
      <c r="G6" s="3">
        <v>98.91</v>
      </c>
    </row>
    <row r="7" spans="1:7" x14ac:dyDescent="0.25">
      <c r="A7" s="1" t="s">
        <v>11</v>
      </c>
      <c r="B7" s="1">
        <v>1488.29</v>
      </c>
      <c r="C7" s="1">
        <v>870.12</v>
      </c>
      <c r="D7" s="1">
        <v>1297.05</v>
      </c>
      <c r="E7" s="1">
        <v>1099.94</v>
      </c>
      <c r="F7" s="1">
        <v>1092.02</v>
      </c>
      <c r="G7" s="1">
        <v>928.16</v>
      </c>
    </row>
    <row r="8" spans="1:7" x14ac:dyDescent="0.25">
      <c r="A8" s="1" t="s">
        <v>12</v>
      </c>
      <c r="B8" s="1">
        <v>148.83000000000001</v>
      </c>
      <c r="C8" s="1">
        <v>87.89</v>
      </c>
      <c r="D8" s="1">
        <v>131.02000000000001</v>
      </c>
      <c r="E8" s="1">
        <v>111.11</v>
      </c>
      <c r="F8" s="1">
        <v>110.3</v>
      </c>
      <c r="G8" s="1">
        <v>94.71</v>
      </c>
    </row>
    <row r="9" spans="1:7" x14ac:dyDescent="0.25">
      <c r="A9" s="1" t="s">
        <v>13</v>
      </c>
      <c r="B9" s="1">
        <v>1420.06</v>
      </c>
      <c r="C9" s="1">
        <v>655.78</v>
      </c>
      <c r="D9" s="1">
        <v>1297.05</v>
      </c>
      <c r="E9" s="1">
        <v>1099.94</v>
      </c>
      <c r="F9" s="1">
        <v>1092.02</v>
      </c>
      <c r="G9" s="1">
        <v>923.98</v>
      </c>
    </row>
    <row r="10" spans="1:7" x14ac:dyDescent="0.25">
      <c r="A10" s="1" t="s">
        <v>14</v>
      </c>
      <c r="B10" s="1">
        <v>142.01</v>
      </c>
      <c r="C10" s="1">
        <v>66.239999999999995</v>
      </c>
      <c r="D10" s="1">
        <v>131.02000000000001</v>
      </c>
      <c r="E10" s="1">
        <v>111.11</v>
      </c>
      <c r="F10" s="1">
        <v>110.3</v>
      </c>
      <c r="G10" s="1">
        <v>94.28</v>
      </c>
    </row>
    <row r="11" spans="1:7" x14ac:dyDescent="0.25">
      <c r="A11" s="1" t="s">
        <v>15</v>
      </c>
      <c r="B11" s="1">
        <v>1024.82</v>
      </c>
      <c r="C11" s="1">
        <v>456.77</v>
      </c>
      <c r="D11" s="1">
        <v>853.26</v>
      </c>
      <c r="E11" s="1">
        <v>870.19</v>
      </c>
      <c r="F11" s="1">
        <v>800.12</v>
      </c>
      <c r="G11" s="1">
        <v>556.55999999999995</v>
      </c>
    </row>
    <row r="12" spans="1:7" x14ac:dyDescent="0.25">
      <c r="A12" s="1" t="s">
        <v>16</v>
      </c>
      <c r="B12" s="1">
        <v>436.6</v>
      </c>
      <c r="C12" s="1">
        <v>365.51</v>
      </c>
      <c r="D12" s="1">
        <v>398.47</v>
      </c>
      <c r="E12" s="1">
        <v>436.55</v>
      </c>
      <c r="F12" s="1">
        <v>446.54</v>
      </c>
      <c r="G12" s="1">
        <v>381.73</v>
      </c>
    </row>
    <row r="13" spans="1:7" x14ac:dyDescent="0.25">
      <c r="A13" s="1" t="s">
        <v>17</v>
      </c>
      <c r="B13" s="1">
        <v>70.73</v>
      </c>
      <c r="C13" s="1">
        <v>50.94</v>
      </c>
      <c r="D13" s="1">
        <v>79.150000000000006</v>
      </c>
      <c r="E13" s="1">
        <v>34.76</v>
      </c>
      <c r="F13" s="1">
        <v>58.09</v>
      </c>
      <c r="G13" s="1">
        <v>79.2</v>
      </c>
    </row>
    <row r="14" spans="1:7" x14ac:dyDescent="0.25">
      <c r="A14" s="1" t="s">
        <v>18</v>
      </c>
      <c r="B14" s="1">
        <v>151.13</v>
      </c>
      <c r="C14" s="1">
        <v>125.05</v>
      </c>
      <c r="D14" s="1">
        <v>146.15</v>
      </c>
      <c r="E14" s="1">
        <v>82.34</v>
      </c>
      <c r="F14" s="1">
        <v>122.17</v>
      </c>
      <c r="G14" s="1">
        <v>147.53</v>
      </c>
    </row>
    <row r="15" spans="1:7" x14ac:dyDescent="0.25">
      <c r="A15" s="1" t="s">
        <v>19</v>
      </c>
      <c r="B15" s="1">
        <v>4</v>
      </c>
      <c r="C15" s="1">
        <v>4</v>
      </c>
      <c r="D15" s="1">
        <v>3</v>
      </c>
      <c r="E15" s="1">
        <v>2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1454.18</v>
      </c>
      <c r="C17" s="1">
        <v>762.95</v>
      </c>
      <c r="D17" s="1">
        <v>1297.05</v>
      </c>
      <c r="E17" s="1">
        <v>1099.94</v>
      </c>
      <c r="F17" s="1">
        <v>1092.02</v>
      </c>
      <c r="G17" s="1">
        <v>926.07</v>
      </c>
    </row>
    <row r="18" spans="1:7" x14ac:dyDescent="0.25">
      <c r="A18" s="1" t="s">
        <v>22</v>
      </c>
      <c r="B18" s="1">
        <v>34.119999999999997</v>
      </c>
      <c r="C18" s="1">
        <v>107.17</v>
      </c>
      <c r="D18" s="1">
        <v>0</v>
      </c>
      <c r="E18" s="1">
        <v>0</v>
      </c>
      <c r="F18" s="1">
        <v>0</v>
      </c>
      <c r="G18" s="1">
        <v>2.09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2.2999999999999998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7.7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23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77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147.94</v>
      </c>
      <c r="C33" s="3">
        <v>71.599999999999994</v>
      </c>
      <c r="D33" s="3">
        <v>134.03</v>
      </c>
      <c r="E33" s="3">
        <v>118.56</v>
      </c>
      <c r="F33" s="3">
        <v>117.63</v>
      </c>
      <c r="G33" s="3">
        <v>98.61</v>
      </c>
    </row>
    <row r="35" spans="1:7" x14ac:dyDescent="0.25">
      <c r="A35" s="3" t="s">
        <v>36</v>
      </c>
      <c r="B35" s="3"/>
      <c r="C35" s="3"/>
      <c r="D35" s="3">
        <f>D33-C33</f>
        <v>62.430000000000007</v>
      </c>
      <c r="E35" s="3"/>
      <c r="F35" s="3">
        <f>F33-E33</f>
        <v>-0.93000000000000682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-15.469999999999999</v>
      </c>
      <c r="F37" s="3"/>
      <c r="G37" s="3">
        <f>G33-F33</f>
        <v>-19.019999999999996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1863-B6F5-4E73-BC56-781B3AA3065F}">
  <dimension ref="A1:G37"/>
  <sheetViews>
    <sheetView workbookViewId="0">
      <selection activeCell="J22" sqref="J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240504Bhz001.1</vt:lpstr>
      <vt:lpstr>240504Bhz001.2</vt:lpstr>
      <vt:lpstr>240504Bhz001.3</vt:lpstr>
      <vt:lpstr>240504Bhz002.1</vt:lpstr>
      <vt:lpstr>240504Bhz002.3</vt:lpstr>
      <vt:lpstr>240504Bhz003.1</vt:lpstr>
      <vt:lpstr>240504Bhz003.3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2024-05-06T16:53:15Z</dcterms:created>
  <dcterms:modified xsi:type="dcterms:W3CDTF">2024-05-13T18:34:56Z</dcterms:modified>
</cp:coreProperties>
</file>