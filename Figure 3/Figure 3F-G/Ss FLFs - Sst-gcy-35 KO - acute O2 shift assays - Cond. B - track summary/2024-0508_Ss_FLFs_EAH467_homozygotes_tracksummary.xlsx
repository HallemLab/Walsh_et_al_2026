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508\WormLab Data\"/>
    </mc:Choice>
  </mc:AlternateContent>
  <xr:revisionPtr revIDLastSave="0" documentId="13_ncr:1_{127FE4E5-F052-471A-BD9A-9E1F62300AD3}" xr6:coauthVersionLast="47" xr6:coauthVersionMax="47" xr10:uidLastSave="{00000000-0000-0000-0000-000000000000}"/>
  <bookViews>
    <workbookView xWindow="840" yWindow="1896" windowWidth="21036" windowHeight="11256" firstSheet="1" activeTab="5" xr2:uid="{A0BBEF44-FF81-47B8-ADD2-DB84624FE0B9}"/>
  </bookViews>
  <sheets>
    <sheet name="240508Bhz001.2" sheetId="2" r:id="rId1"/>
    <sheet name="240508Bhz001.3" sheetId="3" r:id="rId2"/>
    <sheet name="240508Bhz002.2" sheetId="4" r:id="rId3"/>
    <sheet name="240508Bhz002.3" sheetId="5" r:id="rId4"/>
    <sheet name="240508Bhz003.1" sheetId="6" r:id="rId5"/>
    <sheet name="240508Bhz003.2" sheetId="7" r:id="rId6"/>
    <sheet name="template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7" l="1"/>
  <c r="E37" i="7"/>
  <c r="C37" i="7"/>
  <c r="F35" i="7"/>
  <c r="D35" i="7"/>
  <c r="F31" i="7"/>
  <c r="D31" i="7"/>
  <c r="C31" i="7"/>
  <c r="B31" i="7"/>
  <c r="F30" i="7"/>
  <c r="E30" i="7"/>
  <c r="D30" i="7"/>
  <c r="C30" i="7"/>
  <c r="B30" i="7"/>
  <c r="G29" i="7"/>
  <c r="F29" i="7"/>
  <c r="E29" i="7"/>
  <c r="D29" i="7"/>
  <c r="C29" i="7"/>
  <c r="G28" i="7"/>
  <c r="G31" i="7" s="1"/>
  <c r="F28" i="7"/>
  <c r="E28" i="7"/>
  <c r="E31" i="7" s="1"/>
  <c r="D28" i="7"/>
  <c r="C28" i="7"/>
  <c r="B28" i="7"/>
  <c r="B29" i="7" s="1"/>
  <c r="G37" i="6"/>
  <c r="E37" i="6"/>
  <c r="C37" i="6"/>
  <c r="F35" i="6"/>
  <c r="D35" i="6"/>
  <c r="G31" i="6"/>
  <c r="G28" i="6"/>
  <c r="G30" i="6" s="1"/>
  <c r="F28" i="6"/>
  <c r="F31" i="6" s="1"/>
  <c r="E28" i="6"/>
  <c r="E31" i="6" s="1"/>
  <c r="D28" i="6"/>
  <c r="D31" i="6" s="1"/>
  <c r="C28" i="6"/>
  <c r="C31" i="6" s="1"/>
  <c r="B28" i="6"/>
  <c r="B31" i="6" s="1"/>
  <c r="G37" i="5"/>
  <c r="E37" i="5"/>
  <c r="C37" i="5"/>
  <c r="F35" i="5"/>
  <c r="D35" i="5"/>
  <c r="B31" i="5"/>
  <c r="C30" i="5"/>
  <c r="B30" i="5"/>
  <c r="C29" i="5"/>
  <c r="B29" i="5"/>
  <c r="G28" i="5"/>
  <c r="G31" i="5" s="1"/>
  <c r="F28" i="5"/>
  <c r="F31" i="5" s="1"/>
  <c r="E28" i="5"/>
  <c r="E31" i="5" s="1"/>
  <c r="D28" i="5"/>
  <c r="D31" i="5" s="1"/>
  <c r="C28" i="5"/>
  <c r="C31" i="5" s="1"/>
  <c r="B28" i="5"/>
  <c r="G37" i="4"/>
  <c r="E37" i="4"/>
  <c r="C37" i="4"/>
  <c r="F35" i="4"/>
  <c r="D35" i="4"/>
  <c r="G28" i="4"/>
  <c r="G30" i="4" s="1"/>
  <c r="F28" i="4"/>
  <c r="F30" i="4" s="1"/>
  <c r="E28" i="4"/>
  <c r="E31" i="4" s="1"/>
  <c r="D28" i="4"/>
  <c r="D31" i="4" s="1"/>
  <c r="C28" i="4"/>
  <c r="C31" i="4" s="1"/>
  <c r="B28" i="4"/>
  <c r="B31" i="4" s="1"/>
  <c r="G37" i="3"/>
  <c r="E37" i="3"/>
  <c r="C37" i="3"/>
  <c r="F35" i="3"/>
  <c r="D35" i="3"/>
  <c r="G28" i="3"/>
  <c r="G29" i="3" s="1"/>
  <c r="F28" i="3"/>
  <c r="F31" i="3" s="1"/>
  <c r="E28" i="3"/>
  <c r="E31" i="3" s="1"/>
  <c r="D28" i="3"/>
  <c r="D30" i="3" s="1"/>
  <c r="C28" i="3"/>
  <c r="C31" i="3" s="1"/>
  <c r="B28" i="3"/>
  <c r="B31" i="3" s="1"/>
  <c r="G37" i="2"/>
  <c r="E37" i="2"/>
  <c r="C37" i="2"/>
  <c r="F35" i="2"/>
  <c r="D35" i="2"/>
  <c r="G31" i="2"/>
  <c r="G28" i="2"/>
  <c r="G30" i="2" s="1"/>
  <c r="F28" i="2"/>
  <c r="F31" i="2" s="1"/>
  <c r="E28" i="2"/>
  <c r="E31" i="2" s="1"/>
  <c r="D28" i="2"/>
  <c r="D29" i="2" s="1"/>
  <c r="C28" i="2"/>
  <c r="C29" i="2" s="1"/>
  <c r="B28" i="2"/>
  <c r="B29" i="2" s="1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G28" i="1"/>
  <c r="F28" i="1"/>
  <c r="E28" i="1"/>
  <c r="D28" i="1"/>
  <c r="C28" i="1"/>
  <c r="B28" i="1"/>
  <c r="B29" i="1" s="1"/>
  <c r="G30" i="7" l="1"/>
  <c r="B29" i="6"/>
  <c r="C29" i="6"/>
  <c r="D29" i="6"/>
  <c r="B30" i="6"/>
  <c r="C30" i="6"/>
  <c r="D30" i="6"/>
  <c r="E29" i="6"/>
  <c r="F29" i="6"/>
  <c r="G29" i="6"/>
  <c r="E30" i="6"/>
  <c r="F30" i="6"/>
  <c r="D30" i="5"/>
  <c r="D29" i="5"/>
  <c r="E29" i="5"/>
  <c r="F29" i="5"/>
  <c r="E30" i="5"/>
  <c r="F30" i="5"/>
  <c r="G29" i="5"/>
  <c r="G30" i="5"/>
  <c r="B29" i="4"/>
  <c r="C29" i="4"/>
  <c r="B30" i="4"/>
  <c r="C30" i="4"/>
  <c r="F31" i="4"/>
  <c r="G31" i="4"/>
  <c r="D29" i="4"/>
  <c r="E29" i="4"/>
  <c r="F29" i="4"/>
  <c r="G29" i="4"/>
  <c r="D30" i="4"/>
  <c r="E30" i="4"/>
  <c r="B29" i="3"/>
  <c r="B30" i="3"/>
  <c r="C29" i="3"/>
  <c r="D29" i="3"/>
  <c r="C30" i="3"/>
  <c r="D31" i="3"/>
  <c r="G31" i="3"/>
  <c r="E30" i="3"/>
  <c r="F30" i="3"/>
  <c r="G30" i="3"/>
  <c r="E29" i="3"/>
  <c r="F29" i="3"/>
  <c r="E29" i="2"/>
  <c r="F29" i="2"/>
  <c r="G29" i="2"/>
  <c r="B30" i="2"/>
  <c r="C30" i="2"/>
  <c r="D30" i="2"/>
  <c r="E30" i="2"/>
  <c r="F30" i="2"/>
  <c r="C31" i="2"/>
  <c r="D31" i="2"/>
  <c r="B31" i="2"/>
</calcChain>
</file>

<file path=xl/sharedStrings.xml><?xml version="1.0" encoding="utf-8"?>
<sst xmlns="http://schemas.openxmlformats.org/spreadsheetml/2006/main" count="266" uniqueCount="37">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</sst>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2DE0-1EC5-4254-BFD2-C8BC245132D3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819.96</v>
      </c>
      <c r="C2" s="1">
        <v>816.22</v>
      </c>
      <c r="D2" s="1">
        <v>809.91</v>
      </c>
      <c r="E2" s="1">
        <v>796.89</v>
      </c>
      <c r="F2" s="1">
        <v>796.54</v>
      </c>
      <c r="G2" s="1">
        <v>801.39</v>
      </c>
    </row>
    <row r="3" spans="1:7" x14ac:dyDescent="0.3">
      <c r="A3" s="1" t="s">
        <v>7</v>
      </c>
      <c r="B3" s="1">
        <v>78.930000000000007</v>
      </c>
      <c r="C3" s="1">
        <v>76.8</v>
      </c>
      <c r="D3" s="1">
        <v>73.13</v>
      </c>
      <c r="E3" s="1">
        <v>75.040000000000006</v>
      </c>
      <c r="F3" s="1">
        <v>75.41</v>
      </c>
      <c r="G3" s="1">
        <v>85.54</v>
      </c>
    </row>
    <row r="4" spans="1:7" x14ac:dyDescent="0.3">
      <c r="A4" s="1" t="s">
        <v>8</v>
      </c>
      <c r="B4" s="1">
        <v>65829.81</v>
      </c>
      <c r="C4" s="1">
        <v>63758.66</v>
      </c>
      <c r="D4" s="1">
        <v>60225.58</v>
      </c>
      <c r="E4" s="1">
        <v>60839.83</v>
      </c>
      <c r="F4" s="1">
        <v>61103.99</v>
      </c>
      <c r="G4" s="1">
        <v>69730.52</v>
      </c>
    </row>
    <row r="5" spans="1:7" x14ac:dyDescent="0.3">
      <c r="A5" s="1" t="s">
        <v>9</v>
      </c>
      <c r="B5" s="1">
        <v>1150.1199999999999</v>
      </c>
      <c r="C5" s="1">
        <v>1324.81</v>
      </c>
      <c r="D5" s="1">
        <v>1392.48</v>
      </c>
      <c r="E5" s="1">
        <v>1298.42</v>
      </c>
      <c r="F5" s="1">
        <v>1069.8399999999999</v>
      </c>
      <c r="G5" s="1">
        <v>1404.76</v>
      </c>
    </row>
    <row r="6" spans="1:7" x14ac:dyDescent="0.3">
      <c r="A6" s="3" t="s">
        <v>10</v>
      </c>
      <c r="B6" s="3">
        <v>115.01</v>
      </c>
      <c r="C6" s="3">
        <v>133.82</v>
      </c>
      <c r="D6" s="3">
        <v>140.65</v>
      </c>
      <c r="E6" s="3">
        <v>131.15</v>
      </c>
      <c r="F6" s="3">
        <v>108.06</v>
      </c>
      <c r="G6" s="3">
        <v>143.34</v>
      </c>
    </row>
    <row r="7" spans="1:7" x14ac:dyDescent="0.3">
      <c r="A7" s="1" t="s">
        <v>11</v>
      </c>
      <c r="B7" s="1">
        <v>1141.77</v>
      </c>
      <c r="C7" s="1">
        <v>1308.58</v>
      </c>
      <c r="D7" s="1">
        <v>1372.95</v>
      </c>
      <c r="E7" s="1">
        <v>1279.81</v>
      </c>
      <c r="F7" s="1">
        <v>1051.55</v>
      </c>
      <c r="G7" s="1">
        <v>1391.86</v>
      </c>
    </row>
    <row r="8" spans="1:7" x14ac:dyDescent="0.3">
      <c r="A8" s="1" t="s">
        <v>12</v>
      </c>
      <c r="B8" s="1">
        <v>114.18</v>
      </c>
      <c r="C8" s="1">
        <v>132.18</v>
      </c>
      <c r="D8" s="1">
        <v>138.68</v>
      </c>
      <c r="E8" s="1">
        <v>129.27000000000001</v>
      </c>
      <c r="F8" s="1">
        <v>106.22</v>
      </c>
      <c r="G8" s="1">
        <v>142.03</v>
      </c>
    </row>
    <row r="9" spans="1:7" x14ac:dyDescent="0.3">
      <c r="A9" s="1" t="s">
        <v>13</v>
      </c>
      <c r="B9" s="1">
        <v>1119.5</v>
      </c>
      <c r="C9" s="1">
        <v>1308.58</v>
      </c>
      <c r="D9" s="1">
        <v>1372.95</v>
      </c>
      <c r="E9" s="1">
        <v>1279.81</v>
      </c>
      <c r="F9" s="1">
        <v>1030.92</v>
      </c>
      <c r="G9" s="1">
        <v>1391.86</v>
      </c>
    </row>
    <row r="10" spans="1:7" x14ac:dyDescent="0.3">
      <c r="A10" s="1" t="s">
        <v>14</v>
      </c>
      <c r="B10" s="1">
        <v>111.95</v>
      </c>
      <c r="C10" s="1">
        <v>132.18</v>
      </c>
      <c r="D10" s="1">
        <v>138.68</v>
      </c>
      <c r="E10" s="1">
        <v>129.27000000000001</v>
      </c>
      <c r="F10" s="1">
        <v>104.13</v>
      </c>
      <c r="G10" s="1">
        <v>142.03</v>
      </c>
    </row>
    <row r="11" spans="1:7" x14ac:dyDescent="0.3">
      <c r="A11" s="1" t="s">
        <v>15</v>
      </c>
      <c r="B11" s="1">
        <v>930.23</v>
      </c>
      <c r="C11" s="1">
        <v>1051.3699999999999</v>
      </c>
      <c r="D11" s="1">
        <v>1189.93</v>
      </c>
      <c r="E11" s="1">
        <v>1113.79</v>
      </c>
      <c r="F11" s="1">
        <v>830.43</v>
      </c>
      <c r="G11" s="1">
        <v>943.05</v>
      </c>
    </row>
    <row r="12" spans="1:7" x14ac:dyDescent="0.3">
      <c r="A12" s="1" t="s">
        <v>16</v>
      </c>
      <c r="B12" s="1">
        <v>436.87</v>
      </c>
      <c r="C12" s="1">
        <v>442.69</v>
      </c>
      <c r="D12" s="1">
        <v>427.84</v>
      </c>
      <c r="E12" s="1">
        <v>420.83</v>
      </c>
      <c r="F12" s="1">
        <v>408.48</v>
      </c>
      <c r="G12" s="1">
        <v>422.78</v>
      </c>
    </row>
    <row r="13" spans="1:7" x14ac:dyDescent="0.3">
      <c r="A13" s="1" t="s">
        <v>17</v>
      </c>
      <c r="B13" s="1">
        <v>45.48</v>
      </c>
      <c r="C13" s="1">
        <v>45.55</v>
      </c>
      <c r="D13" s="1">
        <v>32.44</v>
      </c>
      <c r="E13" s="1">
        <v>30.71</v>
      </c>
      <c r="F13" s="1">
        <v>35.020000000000003</v>
      </c>
      <c r="G13" s="1">
        <v>55.62</v>
      </c>
    </row>
    <row r="14" spans="1:7" x14ac:dyDescent="0.3">
      <c r="A14" s="1" t="s">
        <v>18</v>
      </c>
      <c r="B14" s="1">
        <v>122.57</v>
      </c>
      <c r="C14" s="1">
        <v>113.62</v>
      </c>
      <c r="D14" s="1">
        <v>67.87</v>
      </c>
      <c r="E14" s="1">
        <v>69.92</v>
      </c>
      <c r="F14" s="1">
        <v>94.1</v>
      </c>
      <c r="G14" s="1">
        <v>125.93</v>
      </c>
    </row>
    <row r="15" spans="1:7" x14ac:dyDescent="0.3">
      <c r="A15" s="1" t="s">
        <v>19</v>
      </c>
      <c r="B15" s="1">
        <v>3</v>
      </c>
      <c r="C15" s="1">
        <v>2</v>
      </c>
      <c r="D15" s="1">
        <v>2</v>
      </c>
      <c r="E15" s="1">
        <v>1</v>
      </c>
      <c r="F15" s="1">
        <v>1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1130.6400000000001</v>
      </c>
      <c r="C17" s="1">
        <v>1308.58</v>
      </c>
      <c r="D17" s="1">
        <v>1372.95</v>
      </c>
      <c r="E17" s="1">
        <v>1279.81</v>
      </c>
      <c r="F17" s="1">
        <v>1041.24</v>
      </c>
      <c r="G17" s="1">
        <v>1391.86</v>
      </c>
    </row>
    <row r="18" spans="1:7" x14ac:dyDescent="0.3">
      <c r="A18" s="1" t="s">
        <v>22</v>
      </c>
      <c r="B18" s="1">
        <v>11.14</v>
      </c>
      <c r="C18" s="1">
        <v>0</v>
      </c>
      <c r="D18" s="1">
        <v>0</v>
      </c>
      <c r="E18" s="1">
        <v>0</v>
      </c>
      <c r="F18" s="1">
        <v>10.32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110.49</v>
      </c>
      <c r="C33" s="3">
        <v>133.07</v>
      </c>
      <c r="D33" s="3">
        <v>139.35</v>
      </c>
      <c r="E33" s="3">
        <v>129.74</v>
      </c>
      <c r="F33" s="3">
        <v>105.7</v>
      </c>
      <c r="G33" s="3">
        <v>142.49</v>
      </c>
    </row>
    <row r="35" spans="1:7" x14ac:dyDescent="0.3">
      <c r="A35" s="3" t="s">
        <v>36</v>
      </c>
      <c r="B35" s="3"/>
      <c r="C35" s="3"/>
      <c r="D35" s="3">
        <f>D33-C33</f>
        <v>6.2800000000000011</v>
      </c>
      <c r="E35" s="3"/>
      <c r="F35" s="3">
        <f>F33-E33</f>
        <v>-24.040000000000006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-9.6099999999999852</v>
      </c>
      <c r="F37" s="3"/>
      <c r="G37" s="3">
        <f>G33-F33</f>
        <v>36.790000000000006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4168-68B0-4BE7-8542-5BE6FA3592FD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665.27</v>
      </c>
      <c r="C2" s="1">
        <v>781.15</v>
      </c>
      <c r="D2" s="1">
        <v>764.02</v>
      </c>
      <c r="E2" s="1">
        <v>761.63</v>
      </c>
      <c r="F2" s="1">
        <v>702.78</v>
      </c>
      <c r="G2" s="1">
        <v>754.67</v>
      </c>
    </row>
    <row r="3" spans="1:7" x14ac:dyDescent="0.3">
      <c r="A3" s="1" t="s">
        <v>7</v>
      </c>
      <c r="B3" s="1">
        <v>66.17</v>
      </c>
      <c r="C3" s="1">
        <v>55.1</v>
      </c>
      <c r="D3" s="1">
        <v>61.46</v>
      </c>
      <c r="E3" s="1">
        <v>59.75</v>
      </c>
      <c r="F3" s="1">
        <v>63.32</v>
      </c>
      <c r="G3" s="1">
        <v>59.09</v>
      </c>
    </row>
    <row r="4" spans="1:7" x14ac:dyDescent="0.3">
      <c r="A4" s="1" t="s">
        <v>8</v>
      </c>
      <c r="B4" s="1">
        <v>44714.44</v>
      </c>
      <c r="C4" s="1">
        <v>43737.19</v>
      </c>
      <c r="D4" s="1">
        <v>47736.3</v>
      </c>
      <c r="E4" s="1">
        <v>46269.74</v>
      </c>
      <c r="F4" s="1">
        <v>44610.86</v>
      </c>
      <c r="G4" s="1">
        <v>45344.88</v>
      </c>
    </row>
    <row r="5" spans="1:7" x14ac:dyDescent="0.3">
      <c r="A5" s="1" t="s">
        <v>9</v>
      </c>
      <c r="B5" s="1">
        <v>1143.54</v>
      </c>
      <c r="C5" s="1">
        <v>776.62</v>
      </c>
      <c r="D5" s="1">
        <v>1110.99</v>
      </c>
      <c r="E5" s="1">
        <v>1196.24</v>
      </c>
      <c r="F5" s="1">
        <v>1039.4000000000001</v>
      </c>
      <c r="G5" s="1">
        <v>1242.03</v>
      </c>
    </row>
    <row r="6" spans="1:7" x14ac:dyDescent="0.3">
      <c r="A6" s="3" t="s">
        <v>10</v>
      </c>
      <c r="B6" s="3">
        <v>114.35</v>
      </c>
      <c r="C6" s="3">
        <v>78.45</v>
      </c>
      <c r="D6" s="3">
        <v>112.22</v>
      </c>
      <c r="E6" s="3">
        <v>120.83</v>
      </c>
      <c r="F6" s="3">
        <v>104.99</v>
      </c>
      <c r="G6" s="3">
        <v>126.74</v>
      </c>
    </row>
    <row r="7" spans="1:7" x14ac:dyDescent="0.3">
      <c r="A7" s="1" t="s">
        <v>11</v>
      </c>
      <c r="B7" s="1">
        <v>1011.44</v>
      </c>
      <c r="C7" s="1">
        <v>712.16</v>
      </c>
      <c r="D7" s="1">
        <v>1078.58</v>
      </c>
      <c r="E7" s="1">
        <v>1135.8900000000001</v>
      </c>
      <c r="F7" s="1">
        <v>999.2</v>
      </c>
      <c r="G7" s="1">
        <v>1180.6099999999999</v>
      </c>
    </row>
    <row r="8" spans="1:7" x14ac:dyDescent="0.3">
      <c r="A8" s="1" t="s">
        <v>12</v>
      </c>
      <c r="B8" s="1">
        <v>101.14</v>
      </c>
      <c r="C8" s="1">
        <v>71.930000000000007</v>
      </c>
      <c r="D8" s="1">
        <v>108.95</v>
      </c>
      <c r="E8" s="1">
        <v>114.74</v>
      </c>
      <c r="F8" s="1">
        <v>100.93</v>
      </c>
      <c r="G8" s="1">
        <v>120.47</v>
      </c>
    </row>
    <row r="9" spans="1:7" x14ac:dyDescent="0.3">
      <c r="A9" s="1" t="s">
        <v>13</v>
      </c>
      <c r="B9" s="1">
        <v>-529.94000000000005</v>
      </c>
      <c r="C9" s="1">
        <v>629.70000000000005</v>
      </c>
      <c r="D9" s="1">
        <v>1067.8699999999999</v>
      </c>
      <c r="E9" s="1">
        <v>648.73</v>
      </c>
      <c r="F9" s="1">
        <v>-634.64</v>
      </c>
      <c r="G9" s="1">
        <v>1180.6099999999999</v>
      </c>
    </row>
    <row r="10" spans="1:7" x14ac:dyDescent="0.3">
      <c r="A10" s="1" t="s">
        <v>14</v>
      </c>
      <c r="B10" s="1">
        <v>-52.99</v>
      </c>
      <c r="C10" s="1">
        <v>63.61</v>
      </c>
      <c r="D10" s="1">
        <v>107.87</v>
      </c>
      <c r="E10" s="1">
        <v>65.53</v>
      </c>
      <c r="F10" s="1">
        <v>-64.11</v>
      </c>
      <c r="G10" s="1">
        <v>120.47</v>
      </c>
    </row>
    <row r="11" spans="1:7" x14ac:dyDescent="0.3">
      <c r="A11" s="1" t="s">
        <v>15</v>
      </c>
      <c r="B11" s="1">
        <v>136.6</v>
      </c>
      <c r="C11" s="1">
        <v>498.68</v>
      </c>
      <c r="D11" s="1">
        <v>798.43</v>
      </c>
      <c r="E11" s="1">
        <v>496.82</v>
      </c>
      <c r="F11" s="1">
        <v>197.18</v>
      </c>
      <c r="G11" s="1">
        <v>916.08</v>
      </c>
    </row>
    <row r="12" spans="1:7" x14ac:dyDescent="0.3">
      <c r="A12" s="1" t="s">
        <v>16</v>
      </c>
      <c r="B12" s="1">
        <v>339.78</v>
      </c>
      <c r="C12" s="1">
        <v>424.34</v>
      </c>
      <c r="D12" s="1">
        <v>416.8</v>
      </c>
      <c r="E12" s="1">
        <v>448.09</v>
      </c>
      <c r="F12" s="1">
        <v>393.39</v>
      </c>
      <c r="G12" s="1">
        <v>415.79</v>
      </c>
    </row>
    <row r="13" spans="1:7" x14ac:dyDescent="0.3">
      <c r="A13" s="1" t="s">
        <v>17</v>
      </c>
      <c r="B13" s="1">
        <v>69.78</v>
      </c>
      <c r="C13" s="1">
        <v>46.46</v>
      </c>
      <c r="D13" s="1">
        <v>51.98</v>
      </c>
      <c r="E13" s="1">
        <v>53.29</v>
      </c>
      <c r="F13" s="1">
        <v>50.49</v>
      </c>
      <c r="G13" s="1">
        <v>46.45</v>
      </c>
    </row>
    <row r="14" spans="1:7" x14ac:dyDescent="0.3">
      <c r="A14" s="1" t="s">
        <v>18</v>
      </c>
      <c r="B14" s="1">
        <v>153.44</v>
      </c>
      <c r="C14" s="1">
        <v>137.22</v>
      </c>
      <c r="D14" s="1">
        <v>113.85</v>
      </c>
      <c r="E14" s="1">
        <v>114.96</v>
      </c>
      <c r="F14" s="1">
        <v>122.18</v>
      </c>
      <c r="G14" s="1">
        <v>119.77</v>
      </c>
    </row>
    <row r="15" spans="1:7" x14ac:dyDescent="0.3">
      <c r="A15" s="1" t="s">
        <v>19</v>
      </c>
      <c r="B15" s="1">
        <v>3</v>
      </c>
      <c r="C15" s="1">
        <v>4</v>
      </c>
      <c r="D15" s="1">
        <v>5</v>
      </c>
      <c r="E15" s="1">
        <v>4</v>
      </c>
      <c r="F15" s="1">
        <v>4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240.75</v>
      </c>
      <c r="C17" s="1">
        <v>670.93</v>
      </c>
      <c r="D17" s="1">
        <v>1073.23</v>
      </c>
      <c r="E17" s="1">
        <v>892.31</v>
      </c>
      <c r="F17" s="1">
        <v>182.28</v>
      </c>
      <c r="G17" s="1">
        <v>1180.6099999999999</v>
      </c>
    </row>
    <row r="18" spans="1:7" x14ac:dyDescent="0.3">
      <c r="A18" s="1" t="s">
        <v>22</v>
      </c>
      <c r="B18" s="1">
        <v>770.69</v>
      </c>
      <c r="C18" s="1">
        <v>41.23</v>
      </c>
      <c r="D18" s="1">
        <v>5.35</v>
      </c>
      <c r="E18" s="1">
        <v>243.58</v>
      </c>
      <c r="F18" s="1">
        <v>816.92</v>
      </c>
      <c r="G18" s="1">
        <v>0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</row>
    <row r="20" spans="1:7" x14ac:dyDescent="0.3">
      <c r="A20" s="1" t="s">
        <v>24</v>
      </c>
      <c r="B20" s="1">
        <v>5.0999999999999996</v>
      </c>
      <c r="C20" s="1">
        <v>0</v>
      </c>
      <c r="D20" s="1">
        <v>0</v>
      </c>
      <c r="E20" s="1">
        <v>1.6</v>
      </c>
      <c r="F20" s="1">
        <v>6.6</v>
      </c>
      <c r="G20" s="1">
        <v>0</v>
      </c>
    </row>
    <row r="21" spans="1:7" x14ac:dyDescent="0.3">
      <c r="A21" s="1" t="s">
        <v>25</v>
      </c>
      <c r="B21" s="1">
        <v>5</v>
      </c>
      <c r="C21" s="1">
        <v>10</v>
      </c>
      <c r="D21" s="1">
        <v>10</v>
      </c>
      <c r="E21" s="1">
        <v>8.4</v>
      </c>
      <c r="F21" s="1">
        <v>3.4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4.5</v>
      </c>
      <c r="C24" s="1">
        <v>0</v>
      </c>
      <c r="D24" s="1">
        <v>0</v>
      </c>
      <c r="E24" s="1">
        <v>1.5</v>
      </c>
      <c r="F24" s="1">
        <v>5.5</v>
      </c>
      <c r="G24" s="1">
        <v>0</v>
      </c>
    </row>
    <row r="25" spans="1:7" x14ac:dyDescent="0.3">
      <c r="A25" s="1" t="s">
        <v>29</v>
      </c>
      <c r="B25" s="1">
        <v>2</v>
      </c>
      <c r="C25" s="1">
        <v>0</v>
      </c>
      <c r="D25" s="1">
        <v>0</v>
      </c>
      <c r="E25" s="1">
        <v>0</v>
      </c>
      <c r="F25" s="1">
        <v>1.4</v>
      </c>
      <c r="G25" s="1">
        <v>0</v>
      </c>
    </row>
    <row r="26" spans="1:7" x14ac:dyDescent="0.3">
      <c r="A26" s="1" t="s">
        <v>30</v>
      </c>
      <c r="B26" s="1">
        <v>3.6</v>
      </c>
      <c r="C26" s="1">
        <v>10</v>
      </c>
      <c r="D26" s="1">
        <v>10</v>
      </c>
      <c r="E26" s="1">
        <v>8.5</v>
      </c>
      <c r="F26" s="1">
        <v>3.1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44.554455445544555</v>
      </c>
      <c r="C29" s="3">
        <f t="shared" ref="C29:G29" si="1">C24/C28*100</f>
        <v>0</v>
      </c>
      <c r="D29" s="3">
        <f t="shared" si="1"/>
        <v>0</v>
      </c>
      <c r="E29" s="3">
        <f t="shared" si="1"/>
        <v>15</v>
      </c>
      <c r="F29" s="3">
        <f t="shared" si="1"/>
        <v>55.000000000000007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19.801980198019802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13.999999999999998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35.643564356435647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85</v>
      </c>
      <c r="F31" s="3">
        <f t="shared" si="3"/>
        <v>31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-1.71</v>
      </c>
      <c r="C33" s="3">
        <v>63.44</v>
      </c>
      <c r="D33" s="3">
        <v>110.86</v>
      </c>
      <c r="E33" s="3">
        <v>69.81</v>
      </c>
      <c r="F33" s="3">
        <v>-35.07</v>
      </c>
      <c r="G33" s="3">
        <v>125.16</v>
      </c>
    </row>
    <row r="35" spans="1:7" x14ac:dyDescent="0.3">
      <c r="A35" s="3" t="s">
        <v>36</v>
      </c>
      <c r="B35" s="3"/>
      <c r="C35" s="3"/>
      <c r="D35" s="3">
        <f>D33-C33</f>
        <v>47.42</v>
      </c>
      <c r="E35" s="3"/>
      <c r="F35" s="3">
        <f>F33-E33</f>
        <v>-104.88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-41.05</v>
      </c>
      <c r="F37" s="3"/>
      <c r="G37" s="3">
        <f>G33-F33</f>
        <v>160.22999999999999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1AB4-FF9E-4CDC-902B-700DD0FC7A82}">
  <dimension ref="A1:G37"/>
  <sheetViews>
    <sheetView zoomScale="70" zoomScaleNormal="70" workbookViewId="0">
      <selection activeCell="N9" sqref="N9:O18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825.82</v>
      </c>
      <c r="C2" s="1">
        <v>822.6</v>
      </c>
      <c r="D2" s="1">
        <v>803.46</v>
      </c>
      <c r="E2" s="1">
        <v>812.92</v>
      </c>
      <c r="F2" s="1">
        <v>806.64</v>
      </c>
      <c r="G2" s="1">
        <v>793.1</v>
      </c>
    </row>
    <row r="3" spans="1:7" x14ac:dyDescent="0.3">
      <c r="A3" s="1" t="s">
        <v>7</v>
      </c>
      <c r="B3" s="1">
        <v>70.03</v>
      </c>
      <c r="C3" s="1">
        <v>76.34</v>
      </c>
      <c r="D3" s="1">
        <v>78.89</v>
      </c>
      <c r="E3" s="1">
        <v>69.569999999999993</v>
      </c>
      <c r="F3" s="1">
        <v>70.760000000000005</v>
      </c>
      <c r="G3" s="1">
        <v>75.89</v>
      </c>
    </row>
    <row r="4" spans="1:7" x14ac:dyDescent="0.3">
      <c r="A4" s="1" t="s">
        <v>8</v>
      </c>
      <c r="B4" s="1">
        <v>58808.95</v>
      </c>
      <c r="C4" s="1">
        <v>63871.16</v>
      </c>
      <c r="D4" s="1">
        <v>64477.8</v>
      </c>
      <c r="E4" s="1">
        <v>57503.71</v>
      </c>
      <c r="F4" s="1">
        <v>58049.51</v>
      </c>
      <c r="G4" s="1">
        <v>61217.58</v>
      </c>
    </row>
    <row r="5" spans="1:7" x14ac:dyDescent="0.3">
      <c r="A5" s="1" t="s">
        <v>9</v>
      </c>
      <c r="B5" s="1">
        <v>386.58</v>
      </c>
      <c r="C5" s="1">
        <v>340.8</v>
      </c>
      <c r="D5" s="1">
        <v>505.08</v>
      </c>
      <c r="E5" s="1">
        <v>377.12</v>
      </c>
      <c r="F5" s="1">
        <v>610.67999999999995</v>
      </c>
      <c r="G5" s="1">
        <v>1030.4100000000001</v>
      </c>
    </row>
    <row r="6" spans="1:7" x14ac:dyDescent="0.3">
      <c r="A6" s="3" t="s">
        <v>10</v>
      </c>
      <c r="B6" s="3">
        <v>38.659999999999997</v>
      </c>
      <c r="C6" s="3">
        <v>34.42</v>
      </c>
      <c r="D6" s="3">
        <v>51.02</v>
      </c>
      <c r="E6" s="3">
        <v>38.090000000000003</v>
      </c>
      <c r="F6" s="3">
        <v>61.69</v>
      </c>
      <c r="G6" s="3">
        <v>105.14</v>
      </c>
    </row>
    <row r="7" spans="1:7" x14ac:dyDescent="0.3">
      <c r="A7" s="1" t="s">
        <v>11</v>
      </c>
      <c r="B7" s="1">
        <v>370.81</v>
      </c>
      <c r="C7" s="1">
        <v>329.14</v>
      </c>
      <c r="D7" s="1">
        <v>436.5</v>
      </c>
      <c r="E7" s="1">
        <v>371.71</v>
      </c>
      <c r="F7" s="1">
        <v>574.39</v>
      </c>
      <c r="G7" s="1">
        <v>894.2</v>
      </c>
    </row>
    <row r="8" spans="1:7" x14ac:dyDescent="0.3">
      <c r="A8" s="1" t="s">
        <v>12</v>
      </c>
      <c r="B8" s="1">
        <v>37.08</v>
      </c>
      <c r="C8" s="1">
        <v>33.25</v>
      </c>
      <c r="D8" s="1">
        <v>44.09</v>
      </c>
      <c r="E8" s="1">
        <v>37.549999999999997</v>
      </c>
      <c r="F8" s="1">
        <v>58.02</v>
      </c>
      <c r="G8" s="1">
        <v>91.24</v>
      </c>
    </row>
    <row r="9" spans="1:7" x14ac:dyDescent="0.3">
      <c r="A9" s="1" t="s">
        <v>13</v>
      </c>
      <c r="B9" s="1">
        <v>343.82</v>
      </c>
      <c r="C9" s="1">
        <v>-110.02</v>
      </c>
      <c r="D9" s="1">
        <v>259.18</v>
      </c>
      <c r="E9" s="1">
        <v>141.9</v>
      </c>
      <c r="F9" s="1">
        <v>507.7</v>
      </c>
      <c r="G9" s="1">
        <v>-517.19000000000005</v>
      </c>
    </row>
    <row r="10" spans="1:7" x14ac:dyDescent="0.3">
      <c r="A10" s="1" t="s">
        <v>14</v>
      </c>
      <c r="B10" s="1">
        <v>34.380000000000003</v>
      </c>
      <c r="C10" s="1">
        <v>-11.11</v>
      </c>
      <c r="D10" s="1">
        <v>26.18</v>
      </c>
      <c r="E10" s="1">
        <v>14.33</v>
      </c>
      <c r="F10" s="1">
        <v>51.28</v>
      </c>
      <c r="G10" s="1">
        <v>-52.77</v>
      </c>
    </row>
    <row r="11" spans="1:7" x14ac:dyDescent="0.3">
      <c r="A11" s="1" t="s">
        <v>15</v>
      </c>
      <c r="B11" s="1">
        <v>310.07</v>
      </c>
      <c r="C11" s="1">
        <v>72.989999999999995</v>
      </c>
      <c r="D11" s="1">
        <v>121.1</v>
      </c>
      <c r="E11" s="1">
        <v>15.74</v>
      </c>
      <c r="F11" s="1">
        <v>401.97</v>
      </c>
      <c r="G11" s="1">
        <v>261.69</v>
      </c>
    </row>
    <row r="12" spans="1:7" x14ac:dyDescent="0.3">
      <c r="A12" s="1" t="s">
        <v>16</v>
      </c>
      <c r="B12" s="1">
        <v>417.93</v>
      </c>
      <c r="C12" s="1">
        <v>440.82</v>
      </c>
      <c r="D12" s="1">
        <v>286.57</v>
      </c>
      <c r="E12" s="1">
        <v>411.92</v>
      </c>
      <c r="F12" s="1">
        <v>387.38</v>
      </c>
      <c r="G12" s="1">
        <v>355.1</v>
      </c>
    </row>
    <row r="13" spans="1:7" x14ac:dyDescent="0.3">
      <c r="A13" s="1" t="s">
        <v>17</v>
      </c>
      <c r="B13" s="1">
        <v>32.56</v>
      </c>
      <c r="C13" s="1">
        <v>19.97</v>
      </c>
      <c r="D13" s="1">
        <v>59.43</v>
      </c>
      <c r="E13" s="1">
        <v>18.579999999999998</v>
      </c>
      <c r="F13" s="1">
        <v>48.84</v>
      </c>
      <c r="G13" s="1">
        <v>90.06</v>
      </c>
    </row>
    <row r="14" spans="1:7" x14ac:dyDescent="0.3">
      <c r="A14" s="1" t="s">
        <v>18</v>
      </c>
      <c r="B14" s="1">
        <v>81.17</v>
      </c>
      <c r="C14" s="1">
        <v>37.5</v>
      </c>
      <c r="D14" s="1">
        <v>140.82</v>
      </c>
      <c r="E14" s="1">
        <v>42.15</v>
      </c>
      <c r="F14" s="1">
        <v>103.97</v>
      </c>
      <c r="G14" s="1">
        <v>155.6</v>
      </c>
    </row>
    <row r="15" spans="1:7" x14ac:dyDescent="0.3">
      <c r="A15" s="1" t="s">
        <v>19</v>
      </c>
      <c r="B15" s="1">
        <v>2</v>
      </c>
      <c r="C15" s="1">
        <v>1</v>
      </c>
      <c r="D15" s="1">
        <v>2</v>
      </c>
      <c r="E15" s="1">
        <v>1</v>
      </c>
      <c r="F15" s="1">
        <v>1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357.32</v>
      </c>
      <c r="C17" s="1">
        <v>109.56</v>
      </c>
      <c r="D17" s="1">
        <v>347.84</v>
      </c>
      <c r="E17" s="1">
        <v>256.8</v>
      </c>
      <c r="F17" s="1">
        <v>541.04</v>
      </c>
      <c r="G17" s="1">
        <v>188.5</v>
      </c>
    </row>
    <row r="18" spans="1:7" x14ac:dyDescent="0.3">
      <c r="A18" s="1" t="s">
        <v>22</v>
      </c>
      <c r="B18" s="1">
        <v>13.49</v>
      </c>
      <c r="C18" s="1">
        <v>219.58</v>
      </c>
      <c r="D18" s="1">
        <v>88.66</v>
      </c>
      <c r="E18" s="1">
        <v>114.91</v>
      </c>
      <c r="F18" s="1">
        <v>33.35</v>
      </c>
      <c r="G18" s="1">
        <v>705.69</v>
      </c>
    </row>
    <row r="19" spans="1:7" x14ac:dyDescent="0.3">
      <c r="A19" s="1" t="s">
        <v>23</v>
      </c>
      <c r="B19" s="1">
        <v>0</v>
      </c>
      <c r="C19" s="1">
        <v>2</v>
      </c>
      <c r="D19" s="1">
        <v>1</v>
      </c>
      <c r="E19" s="1">
        <v>2</v>
      </c>
      <c r="F19" s="1">
        <v>0</v>
      </c>
      <c r="G19" s="1">
        <v>2</v>
      </c>
    </row>
    <row r="20" spans="1:7" x14ac:dyDescent="0.3">
      <c r="A20" s="1" t="s">
        <v>24</v>
      </c>
      <c r="B20" s="1">
        <v>0</v>
      </c>
      <c r="C20" s="1">
        <v>3.5</v>
      </c>
      <c r="D20" s="1">
        <v>2.1</v>
      </c>
      <c r="E20" s="1">
        <v>3.6</v>
      </c>
      <c r="F20" s="1">
        <v>0</v>
      </c>
      <c r="G20" s="1">
        <v>6.9</v>
      </c>
    </row>
    <row r="21" spans="1:7" x14ac:dyDescent="0.3">
      <c r="A21" s="1" t="s">
        <v>25</v>
      </c>
      <c r="B21" s="1">
        <v>10.1</v>
      </c>
      <c r="C21" s="1">
        <v>6.5</v>
      </c>
      <c r="D21" s="1">
        <v>7.9</v>
      </c>
      <c r="E21" s="1">
        <v>6.4</v>
      </c>
      <c r="F21" s="1">
        <v>10</v>
      </c>
      <c r="G21" s="1">
        <v>3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2.2000000000000002</v>
      </c>
      <c r="D24" s="1">
        <v>2.2999999999999998</v>
      </c>
      <c r="E24" s="1">
        <v>1.7</v>
      </c>
      <c r="F24" s="1">
        <v>0</v>
      </c>
      <c r="G24" s="1">
        <v>5.6</v>
      </c>
    </row>
    <row r="25" spans="1:7" x14ac:dyDescent="0.3">
      <c r="A25" s="1" t="s">
        <v>29</v>
      </c>
      <c r="B25" s="1">
        <v>2.6</v>
      </c>
      <c r="C25" s="1">
        <v>7.8</v>
      </c>
      <c r="D25" s="1">
        <v>4</v>
      </c>
      <c r="E25" s="1">
        <v>6.2</v>
      </c>
      <c r="F25" s="1">
        <v>1.3</v>
      </c>
      <c r="G25" s="1">
        <v>1.5</v>
      </c>
    </row>
    <row r="26" spans="1:7" x14ac:dyDescent="0.3">
      <c r="A26" s="1" t="s">
        <v>30</v>
      </c>
      <c r="B26" s="1">
        <v>7.5</v>
      </c>
      <c r="C26" s="1">
        <v>0</v>
      </c>
      <c r="D26" s="1">
        <v>3.7</v>
      </c>
      <c r="E26" s="1">
        <v>2.1</v>
      </c>
      <c r="F26" s="1">
        <v>8.6999999999999993</v>
      </c>
      <c r="G26" s="1">
        <v>2.8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22.000000000000004</v>
      </c>
      <c r="D29" s="3">
        <f t="shared" si="1"/>
        <v>23</v>
      </c>
      <c r="E29" s="3">
        <f t="shared" si="1"/>
        <v>17</v>
      </c>
      <c r="F29" s="3">
        <f t="shared" si="1"/>
        <v>0</v>
      </c>
      <c r="G29" s="3">
        <f t="shared" si="1"/>
        <v>56.565656565656575</v>
      </c>
    </row>
    <row r="30" spans="1:7" x14ac:dyDescent="0.3">
      <c r="A30" s="3" t="s">
        <v>33</v>
      </c>
      <c r="B30" s="3">
        <f>B25/B28*100</f>
        <v>25.742574257425744</v>
      </c>
      <c r="C30" s="3">
        <f t="shared" ref="C30:G30" si="2">C25/C28*100</f>
        <v>78</v>
      </c>
      <c r="D30" s="3">
        <f t="shared" si="2"/>
        <v>40</v>
      </c>
      <c r="E30" s="3">
        <f t="shared" si="2"/>
        <v>62</v>
      </c>
      <c r="F30" s="3">
        <f t="shared" si="2"/>
        <v>13</v>
      </c>
      <c r="G30" s="3">
        <f t="shared" si="2"/>
        <v>15.151515151515154</v>
      </c>
    </row>
    <row r="31" spans="1:7" x14ac:dyDescent="0.3">
      <c r="A31" s="3" t="s">
        <v>34</v>
      </c>
      <c r="B31" s="3">
        <f>B26/B28*100</f>
        <v>74.257425742574256</v>
      </c>
      <c r="C31" s="3">
        <f t="shared" ref="C31:G31" si="3">C26/C28*100</f>
        <v>0</v>
      </c>
      <c r="D31" s="3">
        <f t="shared" si="3"/>
        <v>37</v>
      </c>
      <c r="E31" s="3">
        <f t="shared" si="3"/>
        <v>21.000000000000004</v>
      </c>
      <c r="F31" s="3">
        <f t="shared" si="3"/>
        <v>86.999999999999986</v>
      </c>
      <c r="G31" s="3">
        <f t="shared" si="3"/>
        <v>28.282828282828287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35.19</v>
      </c>
      <c r="C33" s="3">
        <v>-9.2899999999999991</v>
      </c>
      <c r="D33" s="3">
        <v>14.35</v>
      </c>
      <c r="E33" s="3">
        <v>1.54</v>
      </c>
      <c r="F33" s="3">
        <v>51.26</v>
      </c>
      <c r="G33" s="3">
        <v>-29.76</v>
      </c>
    </row>
    <row r="35" spans="1:7" x14ac:dyDescent="0.3">
      <c r="A35" s="3" t="s">
        <v>36</v>
      </c>
      <c r="B35" s="3"/>
      <c r="C35" s="3"/>
      <c r="D35" s="3">
        <f>D33-C33</f>
        <v>23.64</v>
      </c>
      <c r="E35" s="3"/>
      <c r="F35" s="3">
        <f>F33-E33</f>
        <v>49.72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-12.809999999999999</v>
      </c>
      <c r="F37" s="3"/>
      <c r="G37" s="3">
        <f>G33-F33</f>
        <v>-81.02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8795-826C-460D-8245-708CA630DFA9}">
  <dimension ref="A1:G37"/>
  <sheetViews>
    <sheetView zoomScale="70" zoomScaleNormal="70" workbookViewId="0">
      <selection activeCell="M15" sqref="M15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714.87</v>
      </c>
      <c r="C2" s="1">
        <v>766.53</v>
      </c>
      <c r="D2" s="1">
        <v>744.57</v>
      </c>
      <c r="E2" s="1">
        <v>731.13</v>
      </c>
      <c r="F2" s="1">
        <v>739.53</v>
      </c>
      <c r="G2" s="1">
        <v>740.48</v>
      </c>
    </row>
    <row r="3" spans="1:7" x14ac:dyDescent="0.3">
      <c r="A3" s="1" t="s">
        <v>7</v>
      </c>
      <c r="B3" s="1">
        <v>53.86</v>
      </c>
      <c r="C3" s="1">
        <v>58.32</v>
      </c>
      <c r="D3" s="1">
        <v>57.78</v>
      </c>
      <c r="E3" s="1">
        <v>57.15</v>
      </c>
      <c r="F3" s="1">
        <v>55.43</v>
      </c>
      <c r="G3" s="1">
        <v>60.59</v>
      </c>
    </row>
    <row r="4" spans="1:7" x14ac:dyDescent="0.3">
      <c r="A4" s="1" t="s">
        <v>8</v>
      </c>
      <c r="B4" s="1">
        <v>39132.67</v>
      </c>
      <c r="C4" s="1">
        <v>45462.46</v>
      </c>
      <c r="D4" s="1">
        <v>43759.94</v>
      </c>
      <c r="E4" s="1">
        <v>42453.34</v>
      </c>
      <c r="F4" s="1">
        <v>41673.46</v>
      </c>
      <c r="G4" s="1">
        <v>45644.4</v>
      </c>
    </row>
    <row r="5" spans="1:7" x14ac:dyDescent="0.3">
      <c r="A5" s="1" t="s">
        <v>9</v>
      </c>
      <c r="B5" s="1">
        <v>1073.8399999999999</v>
      </c>
      <c r="C5" s="1">
        <v>1188.49</v>
      </c>
      <c r="D5" s="1">
        <v>1037.8399999999999</v>
      </c>
      <c r="E5" s="1">
        <v>839.13</v>
      </c>
      <c r="F5" s="1">
        <v>1171.93</v>
      </c>
      <c r="G5" s="1">
        <v>633.47</v>
      </c>
    </row>
    <row r="6" spans="1:7" x14ac:dyDescent="0.3">
      <c r="A6" s="3" t="s">
        <v>10</v>
      </c>
      <c r="B6" s="3">
        <v>107.38</v>
      </c>
      <c r="C6" s="3">
        <v>120.05</v>
      </c>
      <c r="D6" s="3">
        <v>104.83</v>
      </c>
      <c r="E6" s="3">
        <v>84.76</v>
      </c>
      <c r="F6" s="3">
        <v>118.38</v>
      </c>
      <c r="G6" s="3">
        <v>64.64</v>
      </c>
    </row>
    <row r="7" spans="1:7" x14ac:dyDescent="0.3">
      <c r="A7" s="1" t="s">
        <v>11</v>
      </c>
      <c r="B7" s="1">
        <v>1027.51</v>
      </c>
      <c r="C7" s="1">
        <v>1148.5</v>
      </c>
      <c r="D7" s="1">
        <v>1019.07</v>
      </c>
      <c r="E7" s="1">
        <v>802.27</v>
      </c>
      <c r="F7" s="1">
        <v>1119.82</v>
      </c>
      <c r="G7" s="1">
        <v>614.79999999999995</v>
      </c>
    </row>
    <row r="8" spans="1:7" x14ac:dyDescent="0.3">
      <c r="A8" s="1" t="s">
        <v>12</v>
      </c>
      <c r="B8" s="1">
        <v>102.75</v>
      </c>
      <c r="C8" s="1">
        <v>116.01</v>
      </c>
      <c r="D8" s="1">
        <v>102.94</v>
      </c>
      <c r="E8" s="1">
        <v>81.040000000000006</v>
      </c>
      <c r="F8" s="1">
        <v>113.11</v>
      </c>
      <c r="G8" s="1">
        <v>62.73</v>
      </c>
    </row>
    <row r="9" spans="1:7" x14ac:dyDescent="0.3">
      <c r="A9" s="1" t="s">
        <v>13</v>
      </c>
      <c r="B9" s="1">
        <v>1024.96</v>
      </c>
      <c r="C9" s="1">
        <v>1148.5</v>
      </c>
      <c r="D9" s="1">
        <v>1019.07</v>
      </c>
      <c r="E9" s="1">
        <v>773.13</v>
      </c>
      <c r="F9" s="1">
        <v>1106.3</v>
      </c>
      <c r="G9" s="1">
        <v>496.97</v>
      </c>
    </row>
    <row r="10" spans="1:7" x14ac:dyDescent="0.3">
      <c r="A10" s="1" t="s">
        <v>14</v>
      </c>
      <c r="B10" s="1">
        <v>102.5</v>
      </c>
      <c r="C10" s="1">
        <v>116.01</v>
      </c>
      <c r="D10" s="1">
        <v>102.94</v>
      </c>
      <c r="E10" s="1">
        <v>78.09</v>
      </c>
      <c r="F10" s="1">
        <v>111.75</v>
      </c>
      <c r="G10" s="1">
        <v>50.71</v>
      </c>
    </row>
    <row r="11" spans="1:7" x14ac:dyDescent="0.3">
      <c r="A11" s="1" t="s">
        <v>15</v>
      </c>
      <c r="B11" s="1">
        <v>884.83</v>
      </c>
      <c r="C11" s="1">
        <v>781.84</v>
      </c>
      <c r="D11" s="1">
        <v>829.58</v>
      </c>
      <c r="E11" s="1">
        <v>625.94000000000005</v>
      </c>
      <c r="F11" s="1">
        <v>842.3</v>
      </c>
      <c r="G11" s="1">
        <v>323.41000000000003</v>
      </c>
    </row>
    <row r="12" spans="1:7" x14ac:dyDescent="0.3">
      <c r="A12" s="1" t="s">
        <v>16</v>
      </c>
      <c r="B12" s="1">
        <v>369.78</v>
      </c>
      <c r="C12" s="1">
        <v>389.88</v>
      </c>
      <c r="D12" s="1">
        <v>399.62</v>
      </c>
      <c r="E12" s="1">
        <v>363.52</v>
      </c>
      <c r="F12" s="1">
        <v>400.35</v>
      </c>
      <c r="G12" s="1">
        <v>405.3</v>
      </c>
    </row>
    <row r="13" spans="1:7" x14ac:dyDescent="0.3">
      <c r="A13" s="1" t="s">
        <v>17</v>
      </c>
      <c r="B13" s="1">
        <v>34.44</v>
      </c>
      <c r="C13" s="1">
        <v>57.1</v>
      </c>
      <c r="D13" s="1">
        <v>41.28</v>
      </c>
      <c r="E13" s="1">
        <v>29.27</v>
      </c>
      <c r="F13" s="1">
        <v>36.56</v>
      </c>
      <c r="G13" s="1">
        <v>91.11</v>
      </c>
    </row>
    <row r="14" spans="1:7" x14ac:dyDescent="0.3">
      <c r="A14" s="1" t="s">
        <v>18</v>
      </c>
      <c r="B14" s="1">
        <v>71.260000000000005</v>
      </c>
      <c r="C14" s="1">
        <v>123.41</v>
      </c>
      <c r="D14" s="1">
        <v>92.88</v>
      </c>
      <c r="E14" s="1">
        <v>88.98</v>
      </c>
      <c r="F14" s="1">
        <v>123.15</v>
      </c>
      <c r="G14" s="1">
        <v>113.2</v>
      </c>
    </row>
    <row r="15" spans="1:7" x14ac:dyDescent="0.3">
      <c r="A15" s="1" t="s">
        <v>19</v>
      </c>
      <c r="B15" s="1">
        <v>3</v>
      </c>
      <c r="C15" s="1">
        <v>3</v>
      </c>
      <c r="D15" s="1">
        <v>3</v>
      </c>
      <c r="E15" s="1">
        <v>2</v>
      </c>
      <c r="F15" s="1">
        <v>2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1026.23</v>
      </c>
      <c r="C17" s="1">
        <v>1148.5</v>
      </c>
      <c r="D17" s="1">
        <v>1019.07</v>
      </c>
      <c r="E17" s="1">
        <v>787.7</v>
      </c>
      <c r="F17" s="1">
        <v>1113.06</v>
      </c>
      <c r="G17" s="1">
        <v>555.88</v>
      </c>
    </row>
    <row r="18" spans="1:7" x14ac:dyDescent="0.3">
      <c r="A18" s="1" t="s">
        <v>22</v>
      </c>
      <c r="B18" s="1">
        <v>1.27</v>
      </c>
      <c r="C18" s="1">
        <v>0</v>
      </c>
      <c r="D18" s="1">
        <v>0</v>
      </c>
      <c r="E18" s="1">
        <v>14.57</v>
      </c>
      <c r="F18" s="1">
        <v>6.76</v>
      </c>
      <c r="G18" s="1">
        <v>58.92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1.6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8.3000000000000007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1.6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2.8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5.5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16.161616161616163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28.28282828282828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55.555555555555557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102.24</v>
      </c>
      <c r="C33" s="3">
        <v>120.42</v>
      </c>
      <c r="D33" s="3">
        <v>104.24</v>
      </c>
      <c r="E33" s="3">
        <v>82.36</v>
      </c>
      <c r="F33" s="3">
        <v>115.38</v>
      </c>
      <c r="G33" s="3">
        <v>38.24</v>
      </c>
    </row>
    <row r="35" spans="1:7" x14ac:dyDescent="0.3">
      <c r="A35" s="3" t="s">
        <v>36</v>
      </c>
      <c r="B35" s="3"/>
      <c r="C35" s="3"/>
      <c r="D35" s="3">
        <f>D33-C33</f>
        <v>-16.180000000000007</v>
      </c>
      <c r="E35" s="3"/>
      <c r="F35" s="3">
        <f>F33-E33</f>
        <v>33.019999999999996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-21.879999999999995</v>
      </c>
      <c r="F37" s="3"/>
      <c r="G37" s="3">
        <f>G33-F33</f>
        <v>-77.139999999999986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2531A-9349-4CE4-80D6-6EC1CEEC0FD2}">
  <dimension ref="A1:G37"/>
  <sheetViews>
    <sheetView zoomScale="70" zoomScaleNormal="70" workbookViewId="0">
      <selection activeCell="H29" sqref="H29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779.32</v>
      </c>
      <c r="C2" s="1">
        <v>741.18</v>
      </c>
      <c r="D2" s="1">
        <v>759.92</v>
      </c>
      <c r="E2" s="1">
        <v>745.97</v>
      </c>
      <c r="F2" s="1">
        <v>672.85</v>
      </c>
      <c r="G2" s="1">
        <v>645.5</v>
      </c>
    </row>
    <row r="3" spans="1:7" x14ac:dyDescent="0.3">
      <c r="A3" s="1" t="s">
        <v>7</v>
      </c>
      <c r="B3" s="1">
        <v>59.49</v>
      </c>
      <c r="C3" s="1">
        <v>56.3</v>
      </c>
      <c r="D3" s="1">
        <v>54.14</v>
      </c>
      <c r="E3" s="1">
        <v>59.03</v>
      </c>
      <c r="F3" s="1">
        <v>61.27</v>
      </c>
      <c r="G3" s="1">
        <v>54.93</v>
      </c>
    </row>
    <row r="4" spans="1:7" x14ac:dyDescent="0.3">
      <c r="A4" s="1" t="s">
        <v>8</v>
      </c>
      <c r="B4" s="1">
        <v>47145.3</v>
      </c>
      <c r="C4" s="1">
        <v>42384.160000000003</v>
      </c>
      <c r="D4" s="1">
        <v>41808.25</v>
      </c>
      <c r="E4" s="1">
        <v>44772.59</v>
      </c>
      <c r="F4" s="1">
        <v>41888.36</v>
      </c>
      <c r="G4" s="1">
        <v>35945.71</v>
      </c>
    </row>
    <row r="5" spans="1:7" x14ac:dyDescent="0.3">
      <c r="A5" s="1" t="s">
        <v>9</v>
      </c>
      <c r="B5" s="1">
        <v>497.95</v>
      </c>
      <c r="C5" s="1">
        <v>534.71</v>
      </c>
      <c r="D5" s="1">
        <v>395.56</v>
      </c>
      <c r="E5" s="1">
        <v>634.89</v>
      </c>
      <c r="F5" s="1">
        <v>956.96</v>
      </c>
      <c r="G5" s="1">
        <v>787.21</v>
      </c>
    </row>
    <row r="6" spans="1:7" x14ac:dyDescent="0.3">
      <c r="A6" s="3" t="s">
        <v>10</v>
      </c>
      <c r="B6" s="3">
        <v>49.79</v>
      </c>
      <c r="C6" s="3">
        <v>54.01</v>
      </c>
      <c r="D6" s="3">
        <v>39.96</v>
      </c>
      <c r="E6" s="3">
        <v>64.13</v>
      </c>
      <c r="F6" s="3">
        <v>96.66</v>
      </c>
      <c r="G6" s="3">
        <v>80.33</v>
      </c>
    </row>
    <row r="7" spans="1:7" x14ac:dyDescent="0.3">
      <c r="A7" s="1" t="s">
        <v>11</v>
      </c>
      <c r="B7" s="1">
        <v>466.95</v>
      </c>
      <c r="C7" s="1">
        <v>507.18</v>
      </c>
      <c r="D7" s="1">
        <v>375.99</v>
      </c>
      <c r="E7" s="1">
        <v>588.79</v>
      </c>
      <c r="F7" s="1">
        <v>836.77</v>
      </c>
      <c r="G7" s="1">
        <v>749.6</v>
      </c>
    </row>
    <row r="8" spans="1:7" x14ac:dyDescent="0.3">
      <c r="A8" s="1" t="s">
        <v>12</v>
      </c>
      <c r="B8" s="1">
        <v>46.69</v>
      </c>
      <c r="C8" s="1">
        <v>51.23</v>
      </c>
      <c r="D8" s="1">
        <v>37.979999999999997</v>
      </c>
      <c r="E8" s="1">
        <v>59.47</v>
      </c>
      <c r="F8" s="1">
        <v>84.52</v>
      </c>
      <c r="G8" s="1">
        <v>76.489999999999995</v>
      </c>
    </row>
    <row r="9" spans="1:7" x14ac:dyDescent="0.3">
      <c r="A9" s="1" t="s">
        <v>13</v>
      </c>
      <c r="B9" s="1">
        <v>458.87</v>
      </c>
      <c r="C9" s="1">
        <v>499.17</v>
      </c>
      <c r="D9" s="1">
        <v>319.44</v>
      </c>
      <c r="E9" s="1">
        <v>-562.20000000000005</v>
      </c>
      <c r="F9" s="1">
        <v>478.49</v>
      </c>
      <c r="G9" s="1">
        <v>-403.59</v>
      </c>
    </row>
    <row r="10" spans="1:7" x14ac:dyDescent="0.3">
      <c r="A10" s="1" t="s">
        <v>14</v>
      </c>
      <c r="B10" s="1">
        <v>45.89</v>
      </c>
      <c r="C10" s="1">
        <v>50.42</v>
      </c>
      <c r="D10" s="1">
        <v>32.270000000000003</v>
      </c>
      <c r="E10" s="1">
        <v>-56.79</v>
      </c>
      <c r="F10" s="1">
        <v>48.33</v>
      </c>
      <c r="G10" s="1">
        <v>-41.18</v>
      </c>
    </row>
    <row r="11" spans="1:7" x14ac:dyDescent="0.3">
      <c r="A11" s="1" t="s">
        <v>15</v>
      </c>
      <c r="B11" s="1">
        <v>422.23</v>
      </c>
      <c r="C11" s="1">
        <v>448.57</v>
      </c>
      <c r="D11" s="1">
        <v>277.5</v>
      </c>
      <c r="E11" s="1">
        <v>376.49</v>
      </c>
      <c r="F11" s="1">
        <v>232.65</v>
      </c>
      <c r="G11" s="1">
        <v>275.52999999999997</v>
      </c>
    </row>
    <row r="12" spans="1:7" x14ac:dyDescent="0.3">
      <c r="A12" s="1" t="s">
        <v>16</v>
      </c>
      <c r="B12" s="1">
        <v>372.56</v>
      </c>
      <c r="C12" s="1">
        <v>381</v>
      </c>
      <c r="D12" s="1">
        <v>367.04</v>
      </c>
      <c r="E12" s="1">
        <v>338.42</v>
      </c>
      <c r="F12" s="1">
        <v>252.62</v>
      </c>
      <c r="G12" s="1">
        <v>352.58</v>
      </c>
    </row>
    <row r="13" spans="1:7" x14ac:dyDescent="0.3">
      <c r="A13" s="1" t="s">
        <v>17</v>
      </c>
      <c r="B13" s="1">
        <v>31.96</v>
      </c>
      <c r="C13" s="1">
        <v>26.05</v>
      </c>
      <c r="D13" s="1">
        <v>47.3</v>
      </c>
      <c r="E13" s="1">
        <v>47.9</v>
      </c>
      <c r="F13" s="1">
        <v>95.29</v>
      </c>
      <c r="G13" s="1">
        <v>45.34</v>
      </c>
    </row>
    <row r="14" spans="1:7" x14ac:dyDescent="0.3">
      <c r="A14" s="1" t="s">
        <v>18</v>
      </c>
      <c r="B14" s="1">
        <v>85.51</v>
      </c>
      <c r="C14" s="1">
        <v>80.349999999999994</v>
      </c>
      <c r="D14" s="1">
        <v>77.290000000000006</v>
      </c>
      <c r="E14" s="1">
        <v>134.13</v>
      </c>
      <c r="F14" s="1">
        <v>131.96</v>
      </c>
      <c r="G14" s="1">
        <v>110.09</v>
      </c>
    </row>
    <row r="15" spans="1:7" x14ac:dyDescent="0.3">
      <c r="A15" s="1" t="s">
        <v>19</v>
      </c>
      <c r="B15" s="1">
        <v>1</v>
      </c>
      <c r="C15" s="1">
        <v>2</v>
      </c>
      <c r="D15" s="1">
        <v>2</v>
      </c>
      <c r="E15" s="1">
        <v>1</v>
      </c>
      <c r="F15" s="1">
        <v>3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462.91</v>
      </c>
      <c r="C17" s="1">
        <v>503.18</v>
      </c>
      <c r="D17" s="1">
        <v>347.72</v>
      </c>
      <c r="E17" s="1">
        <v>13.29</v>
      </c>
      <c r="F17" s="1">
        <v>657.63</v>
      </c>
      <c r="G17" s="1">
        <v>173</v>
      </c>
    </row>
    <row r="18" spans="1:7" x14ac:dyDescent="0.3">
      <c r="A18" s="1" t="s">
        <v>22</v>
      </c>
      <c r="B18" s="1">
        <v>4.04</v>
      </c>
      <c r="C18" s="1">
        <v>4</v>
      </c>
      <c r="D18" s="1">
        <v>28.27</v>
      </c>
      <c r="E18" s="1">
        <v>575.49</v>
      </c>
      <c r="F18" s="1">
        <v>179.14</v>
      </c>
      <c r="G18" s="1">
        <v>576.6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1</v>
      </c>
      <c r="G19" s="1">
        <v>3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9.1</v>
      </c>
      <c r="F20" s="1">
        <v>2.7</v>
      </c>
      <c r="G20" s="1">
        <v>4.8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0.9</v>
      </c>
      <c r="F21" s="1">
        <v>7.3</v>
      </c>
      <c r="G21" s="1">
        <v>5.0999999999999996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8.6</v>
      </c>
      <c r="F24" s="1">
        <v>3.4</v>
      </c>
      <c r="G24" s="1">
        <v>4.5</v>
      </c>
    </row>
    <row r="25" spans="1:7" x14ac:dyDescent="0.3">
      <c r="A25" s="1" t="s">
        <v>29</v>
      </c>
      <c r="B25" s="1">
        <v>0</v>
      </c>
      <c r="C25" s="1">
        <v>1.2</v>
      </c>
      <c r="D25" s="1">
        <v>6.9</v>
      </c>
      <c r="E25" s="1">
        <v>1.4</v>
      </c>
      <c r="F25" s="1">
        <v>1.9</v>
      </c>
      <c r="G25" s="1">
        <v>2.7</v>
      </c>
    </row>
    <row r="26" spans="1:7" x14ac:dyDescent="0.3">
      <c r="A26" s="1" t="s">
        <v>30</v>
      </c>
      <c r="B26" s="1">
        <v>10.1</v>
      </c>
      <c r="C26" s="1">
        <v>8.8000000000000007</v>
      </c>
      <c r="D26" s="1">
        <v>3.1</v>
      </c>
      <c r="E26" s="1">
        <v>0</v>
      </c>
      <c r="F26" s="1">
        <v>4.7</v>
      </c>
      <c r="G26" s="1">
        <v>2.7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86</v>
      </c>
      <c r="F29" s="3">
        <f t="shared" si="1"/>
        <v>34</v>
      </c>
      <c r="G29" s="3">
        <f t="shared" si="1"/>
        <v>45.454545454545453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12</v>
      </c>
      <c r="D30" s="3">
        <f t="shared" si="2"/>
        <v>69</v>
      </c>
      <c r="E30" s="3">
        <f t="shared" si="2"/>
        <v>13.999999999999998</v>
      </c>
      <c r="F30" s="3">
        <f t="shared" si="2"/>
        <v>19</v>
      </c>
      <c r="G30" s="3">
        <f t="shared" si="2"/>
        <v>27.272727272727277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88.000000000000014</v>
      </c>
      <c r="D31" s="3">
        <f t="shared" si="3"/>
        <v>31</v>
      </c>
      <c r="E31" s="3">
        <f t="shared" si="3"/>
        <v>0</v>
      </c>
      <c r="F31" s="3">
        <f t="shared" si="3"/>
        <v>47</v>
      </c>
      <c r="G31" s="3">
        <f t="shared" si="3"/>
        <v>27.272727272727277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47.2</v>
      </c>
      <c r="C33" s="3">
        <v>53.17</v>
      </c>
      <c r="D33" s="3">
        <v>32.07</v>
      </c>
      <c r="E33" s="3">
        <v>-56.24</v>
      </c>
      <c r="F33" s="3">
        <v>38.47</v>
      </c>
      <c r="G33" s="3">
        <v>-28.15</v>
      </c>
    </row>
    <row r="35" spans="1:7" x14ac:dyDescent="0.3">
      <c r="A35" s="3" t="s">
        <v>36</v>
      </c>
      <c r="B35" s="3"/>
      <c r="C35" s="3"/>
      <c r="D35" s="3">
        <f>D33-C33</f>
        <v>-21.1</v>
      </c>
      <c r="E35" s="3"/>
      <c r="F35" s="3">
        <f>F33-E33</f>
        <v>94.710000000000008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-88.31</v>
      </c>
      <c r="F37" s="3"/>
      <c r="G37" s="3">
        <f>G33-F33</f>
        <v>-66.62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25872-B9DE-488B-8271-1EB6EA063AA4}">
  <dimension ref="A1:G37"/>
  <sheetViews>
    <sheetView tabSelected="1" zoomScale="70" zoomScaleNormal="70" workbookViewId="0">
      <selection activeCell="J25" sqref="J25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764.81</v>
      </c>
      <c r="C2" s="1">
        <v>793.96</v>
      </c>
      <c r="D2" s="1">
        <v>779.59</v>
      </c>
      <c r="E2" s="1">
        <v>801.58</v>
      </c>
      <c r="F2" s="1">
        <v>779.06</v>
      </c>
      <c r="G2" s="1">
        <v>785.06</v>
      </c>
    </row>
    <row r="3" spans="1:7" x14ac:dyDescent="0.3">
      <c r="A3" s="1" t="s">
        <v>7</v>
      </c>
      <c r="B3" s="1">
        <v>66.16</v>
      </c>
      <c r="C3" s="1">
        <v>70.23</v>
      </c>
      <c r="D3" s="1">
        <v>66.87</v>
      </c>
      <c r="E3" s="1">
        <v>75.63</v>
      </c>
      <c r="F3" s="1">
        <v>78.37</v>
      </c>
      <c r="G3" s="1">
        <v>74.48</v>
      </c>
    </row>
    <row r="4" spans="1:7" x14ac:dyDescent="0.3">
      <c r="A4" s="1" t="s">
        <v>8</v>
      </c>
      <c r="B4" s="1">
        <v>51428.65</v>
      </c>
      <c r="C4" s="1">
        <v>56696.02</v>
      </c>
      <c r="D4" s="1">
        <v>53002.86</v>
      </c>
      <c r="E4" s="1">
        <v>61653.29</v>
      </c>
      <c r="F4" s="1">
        <v>61994.32</v>
      </c>
      <c r="G4" s="1">
        <v>59446.27</v>
      </c>
    </row>
    <row r="5" spans="1:7" x14ac:dyDescent="0.3">
      <c r="A5" s="1" t="s">
        <v>9</v>
      </c>
      <c r="B5" s="1">
        <v>1016.18</v>
      </c>
      <c r="C5" s="1">
        <v>1029.3499999999999</v>
      </c>
      <c r="D5" s="1">
        <v>1054.55</v>
      </c>
      <c r="E5" s="1">
        <v>887.67</v>
      </c>
      <c r="F5" s="1">
        <v>919.93</v>
      </c>
      <c r="G5" s="1">
        <v>1020.1</v>
      </c>
    </row>
    <row r="6" spans="1:7" x14ac:dyDescent="0.3">
      <c r="A6" s="3" t="s">
        <v>10</v>
      </c>
      <c r="B6" s="3">
        <v>101.62</v>
      </c>
      <c r="C6" s="3">
        <v>103.97</v>
      </c>
      <c r="D6" s="3">
        <v>106.52</v>
      </c>
      <c r="E6" s="3">
        <v>89.66</v>
      </c>
      <c r="F6" s="3">
        <v>92.92</v>
      </c>
      <c r="G6" s="3">
        <v>104.09</v>
      </c>
    </row>
    <row r="7" spans="1:7" x14ac:dyDescent="0.3">
      <c r="A7" s="1" t="s">
        <v>11</v>
      </c>
      <c r="B7" s="1">
        <v>985.68</v>
      </c>
      <c r="C7" s="1">
        <v>1003.47</v>
      </c>
      <c r="D7" s="1">
        <v>1027.52</v>
      </c>
      <c r="E7" s="1">
        <v>875.53</v>
      </c>
      <c r="F7" s="1">
        <v>841.73</v>
      </c>
      <c r="G7" s="1">
        <v>995.62</v>
      </c>
    </row>
    <row r="8" spans="1:7" x14ac:dyDescent="0.3">
      <c r="A8" s="1" t="s">
        <v>12</v>
      </c>
      <c r="B8" s="1">
        <v>98.57</v>
      </c>
      <c r="C8" s="1">
        <v>101.36</v>
      </c>
      <c r="D8" s="1">
        <v>103.79</v>
      </c>
      <c r="E8" s="1">
        <v>88.44</v>
      </c>
      <c r="F8" s="1">
        <v>85.02</v>
      </c>
      <c r="G8" s="1">
        <v>101.59</v>
      </c>
    </row>
    <row r="9" spans="1:7" x14ac:dyDescent="0.3">
      <c r="A9" s="1" t="s">
        <v>13</v>
      </c>
      <c r="B9" s="1">
        <v>980.93</v>
      </c>
      <c r="C9" s="1">
        <v>1003.47</v>
      </c>
      <c r="D9" s="1">
        <v>1027.52</v>
      </c>
      <c r="E9" s="1">
        <v>875.53</v>
      </c>
      <c r="F9" s="1">
        <v>825.95</v>
      </c>
      <c r="G9" s="1">
        <v>995.62</v>
      </c>
    </row>
    <row r="10" spans="1:7" x14ac:dyDescent="0.3">
      <c r="A10" s="1" t="s">
        <v>14</v>
      </c>
      <c r="B10" s="1">
        <v>98.09</v>
      </c>
      <c r="C10" s="1">
        <v>101.36</v>
      </c>
      <c r="D10" s="1">
        <v>103.79</v>
      </c>
      <c r="E10" s="1">
        <v>88.44</v>
      </c>
      <c r="F10" s="1">
        <v>83.43</v>
      </c>
      <c r="G10" s="1">
        <v>101.59</v>
      </c>
    </row>
    <row r="11" spans="1:7" x14ac:dyDescent="0.3">
      <c r="A11" s="1" t="s">
        <v>15</v>
      </c>
      <c r="B11" s="1">
        <v>767.67</v>
      </c>
      <c r="C11" s="1">
        <v>770.43</v>
      </c>
      <c r="D11" s="1">
        <v>851.88</v>
      </c>
      <c r="E11" s="1">
        <v>739.18</v>
      </c>
      <c r="F11" s="1">
        <v>385.12</v>
      </c>
      <c r="G11" s="1">
        <v>620.51</v>
      </c>
    </row>
    <row r="12" spans="1:7" x14ac:dyDescent="0.3">
      <c r="A12" s="1" t="s">
        <v>16</v>
      </c>
      <c r="B12" s="1">
        <v>371.83</v>
      </c>
      <c r="C12" s="1">
        <v>416.43</v>
      </c>
      <c r="D12" s="1">
        <v>410.27</v>
      </c>
      <c r="E12" s="1">
        <v>367.34</v>
      </c>
      <c r="F12" s="1">
        <v>290.92</v>
      </c>
      <c r="G12" s="1">
        <v>344.49</v>
      </c>
    </row>
    <row r="13" spans="1:7" x14ac:dyDescent="0.3">
      <c r="A13" s="1" t="s">
        <v>17</v>
      </c>
      <c r="B13" s="1">
        <v>39.979999999999997</v>
      </c>
      <c r="C13" s="1">
        <v>44.21</v>
      </c>
      <c r="D13" s="1">
        <v>47.78</v>
      </c>
      <c r="E13" s="1">
        <v>44.45</v>
      </c>
      <c r="F13" s="1">
        <v>81.05</v>
      </c>
      <c r="G13" s="1">
        <v>82.42</v>
      </c>
    </row>
    <row r="14" spans="1:7" x14ac:dyDescent="0.3">
      <c r="A14" s="1" t="s">
        <v>18</v>
      </c>
      <c r="B14" s="1">
        <v>113.37</v>
      </c>
      <c r="C14" s="1">
        <v>116.22</v>
      </c>
      <c r="D14" s="1">
        <v>139.38999999999999</v>
      </c>
      <c r="E14" s="1">
        <v>93.96</v>
      </c>
      <c r="F14" s="1">
        <v>156.13</v>
      </c>
      <c r="G14" s="1">
        <v>155.41999999999999</v>
      </c>
    </row>
    <row r="15" spans="1:7" x14ac:dyDescent="0.3">
      <c r="A15" s="1" t="s">
        <v>19</v>
      </c>
      <c r="B15" s="1">
        <v>2</v>
      </c>
      <c r="C15" s="1">
        <v>1</v>
      </c>
      <c r="D15" s="1">
        <v>2</v>
      </c>
      <c r="E15" s="1">
        <v>3</v>
      </c>
      <c r="F15" s="1">
        <v>3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983.31</v>
      </c>
      <c r="C17" s="1">
        <v>1003.47</v>
      </c>
      <c r="D17" s="1">
        <v>1027.52</v>
      </c>
      <c r="E17" s="1">
        <v>875.53</v>
      </c>
      <c r="F17" s="1">
        <v>833.84</v>
      </c>
      <c r="G17" s="1">
        <v>995.62</v>
      </c>
    </row>
    <row r="18" spans="1:7" x14ac:dyDescent="0.3">
      <c r="A18" s="1" t="s">
        <v>22</v>
      </c>
      <c r="B18" s="1">
        <v>2.38</v>
      </c>
      <c r="C18" s="1">
        <v>0</v>
      </c>
      <c r="D18" s="1">
        <v>0</v>
      </c>
      <c r="E18" s="1">
        <v>0</v>
      </c>
      <c r="F18" s="1">
        <v>7.89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99.73</v>
      </c>
      <c r="C33" s="3">
        <v>102.8</v>
      </c>
      <c r="D33" s="3">
        <v>106.5</v>
      </c>
      <c r="E33" s="3">
        <v>88.02</v>
      </c>
      <c r="F33" s="3">
        <v>91.21</v>
      </c>
      <c r="G33" s="3">
        <v>103.73</v>
      </c>
    </row>
    <row r="35" spans="1:7" x14ac:dyDescent="0.3">
      <c r="A35" s="3" t="s">
        <v>36</v>
      </c>
      <c r="B35" s="3"/>
      <c r="C35" s="3"/>
      <c r="D35" s="3">
        <f>D33-C33</f>
        <v>3.7000000000000028</v>
      </c>
      <c r="E35" s="3"/>
      <c r="F35" s="3">
        <f>F33-E33</f>
        <v>3.1899999999999977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-18.480000000000004</v>
      </c>
      <c r="F37" s="3"/>
      <c r="G37" s="3">
        <f>G33-F33</f>
        <v>12.52000000000001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50F4-FD18-46CF-BE94-8F18C98783E7}">
  <dimension ref="A1:G37"/>
  <sheetViews>
    <sheetView zoomScale="70" zoomScaleNormal="70" workbookViewId="0">
      <selection activeCell="N12" sqref="N12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240508Bhz001.2</vt:lpstr>
      <vt:lpstr>240508Bhz001.3</vt:lpstr>
      <vt:lpstr>240508Bhz002.2</vt:lpstr>
      <vt:lpstr>240508Bhz002.3</vt:lpstr>
      <vt:lpstr>240508Bhz003.1</vt:lpstr>
      <vt:lpstr>240508Bhz003.2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2024-06-18T16:10:29Z</dcterms:created>
  <dcterms:modified xsi:type="dcterms:W3CDTF">2024-06-18T18:02:31Z</dcterms:modified>
</cp:coreProperties>
</file>