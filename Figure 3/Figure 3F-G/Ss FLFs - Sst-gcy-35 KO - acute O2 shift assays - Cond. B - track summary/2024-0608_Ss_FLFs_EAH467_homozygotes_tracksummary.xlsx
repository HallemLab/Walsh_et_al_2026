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608\WormLab Data\"/>
    </mc:Choice>
  </mc:AlternateContent>
  <xr:revisionPtr revIDLastSave="0" documentId="13_ncr:1_{738A06C9-B5B4-4293-9483-7AE9F808E070}" xr6:coauthVersionLast="47" xr6:coauthVersionMax="47" xr10:uidLastSave="{00000000-0000-0000-0000-000000000000}"/>
  <bookViews>
    <workbookView xWindow="2004" yWindow="2304" windowWidth="21036" windowHeight="11256" firstSheet="1" activeTab="5" xr2:uid="{0EC94A37-41F0-4A52-920C-B452C5C89CA2}"/>
  </bookViews>
  <sheets>
    <sheet name="240608Bhz001.2" sheetId="2" r:id="rId1"/>
    <sheet name="240608Bhz001.3" sheetId="3" r:id="rId2"/>
    <sheet name="240608Bhz002.1" sheetId="4" r:id="rId3"/>
    <sheet name="240608Bhz003.1" sheetId="5" r:id="rId4"/>
    <sheet name="240608Bhz003.2" sheetId="6" r:id="rId5"/>
    <sheet name="240608Bhz003.3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G28" i="7"/>
  <c r="F28" i="7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G28" i="6"/>
  <c r="F28" i="6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B31" i="3"/>
  <c r="G28" i="3"/>
  <c r="G30" i="3" s="1"/>
  <c r="F28" i="3"/>
  <c r="F29" i="3" s="1"/>
  <c r="E28" i="3"/>
  <c r="E29" i="3" s="1"/>
  <c r="D28" i="3"/>
  <c r="D29" i="3" s="1"/>
  <c r="C28" i="3"/>
  <c r="C29" i="3" s="1"/>
  <c r="B28" i="3"/>
  <c r="B30" i="3" s="1"/>
  <c r="G37" i="2"/>
  <c r="E37" i="2"/>
  <c r="C37" i="2"/>
  <c r="F35" i="2"/>
  <c r="D35" i="2"/>
  <c r="G28" i="2"/>
  <c r="G31" i="2" s="1"/>
  <c r="F28" i="2"/>
  <c r="F31" i="2" s="1"/>
  <c r="E28" i="2"/>
  <c r="E31" i="2" s="1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D30" i="1"/>
  <c r="B30" i="1"/>
  <c r="B29" i="1"/>
  <c r="G28" i="1"/>
  <c r="G30" i="1" s="1"/>
  <c r="F28" i="1"/>
  <c r="F30" i="1" s="1"/>
  <c r="E28" i="1"/>
  <c r="E30" i="1" s="1"/>
  <c r="D28" i="1"/>
  <c r="D29" i="1" s="1"/>
  <c r="C28" i="1"/>
  <c r="C29" i="1" s="1"/>
  <c r="B28" i="1"/>
  <c r="B31" i="1" s="1"/>
  <c r="C30" i="3" l="1"/>
  <c r="D30" i="3"/>
  <c r="E30" i="3"/>
  <c r="F30" i="3"/>
  <c r="C31" i="3"/>
  <c r="D31" i="3"/>
  <c r="E31" i="3"/>
  <c r="F31" i="3"/>
  <c r="G31" i="3"/>
  <c r="B29" i="3"/>
  <c r="G29" i="3"/>
  <c r="E29" i="2"/>
  <c r="F29" i="2"/>
  <c r="G29" i="2"/>
  <c r="B30" i="2"/>
  <c r="C30" i="2"/>
  <c r="D30" i="2"/>
  <c r="E30" i="2"/>
  <c r="F30" i="2"/>
  <c r="G30" i="2"/>
  <c r="B31" i="2"/>
  <c r="C31" i="2"/>
  <c r="D31" i="2"/>
  <c r="E29" i="1"/>
  <c r="F29" i="1"/>
  <c r="G29" i="1"/>
  <c r="C30" i="1"/>
  <c r="C31" i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<sst xmlns="http://schemas.openxmlformats.org/spreadsheetml/2006/main" count="266" uniqueCount="37">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</sst>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A2ED-CCD2-4274-88C4-18C7BE31B555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899.04</v>
      </c>
      <c r="C2" s="1">
        <v>881.15</v>
      </c>
      <c r="D2" s="1">
        <v>895.05</v>
      </c>
      <c r="E2" s="1">
        <v>907.46</v>
      </c>
      <c r="F2" s="1">
        <v>911.42</v>
      </c>
      <c r="G2" s="1">
        <v>857.65</v>
      </c>
    </row>
    <row r="3" spans="1:7" x14ac:dyDescent="0.3">
      <c r="A3" s="1" t="s">
        <v>7</v>
      </c>
      <c r="B3" s="1">
        <v>69.55</v>
      </c>
      <c r="C3" s="1">
        <v>73.61</v>
      </c>
      <c r="D3" s="1">
        <v>77.06</v>
      </c>
      <c r="E3" s="1">
        <v>78.23</v>
      </c>
      <c r="F3" s="1">
        <v>77.13</v>
      </c>
      <c r="G3" s="1">
        <v>77.67</v>
      </c>
    </row>
    <row r="4" spans="1:7" x14ac:dyDescent="0.3">
      <c r="A4" s="1" t="s">
        <v>8</v>
      </c>
      <c r="B4" s="1">
        <v>63530.19</v>
      </c>
      <c r="C4" s="1">
        <v>65887.289999999994</v>
      </c>
      <c r="D4" s="1">
        <v>70160.679999999993</v>
      </c>
      <c r="E4" s="1">
        <v>72026.81</v>
      </c>
      <c r="F4" s="1">
        <v>71511.67</v>
      </c>
      <c r="G4" s="1">
        <v>67356.91</v>
      </c>
    </row>
    <row r="5" spans="1:7" x14ac:dyDescent="0.3">
      <c r="A5" s="1" t="s">
        <v>9</v>
      </c>
      <c r="B5" s="1">
        <v>605.28</v>
      </c>
      <c r="C5" s="1">
        <v>892.27</v>
      </c>
      <c r="D5" s="1">
        <v>658.19</v>
      </c>
      <c r="E5" s="1">
        <v>345.07</v>
      </c>
      <c r="F5" s="1">
        <v>559.67999999999995</v>
      </c>
      <c r="G5" s="1">
        <v>689.43</v>
      </c>
    </row>
    <row r="6" spans="1:7" x14ac:dyDescent="0.3">
      <c r="A6" s="3" t="s">
        <v>10</v>
      </c>
      <c r="B6" s="3">
        <v>60.53</v>
      </c>
      <c r="C6" s="3">
        <v>90.13</v>
      </c>
      <c r="D6" s="3">
        <v>66.48</v>
      </c>
      <c r="E6" s="3">
        <v>34.86</v>
      </c>
      <c r="F6" s="3">
        <v>56.53</v>
      </c>
      <c r="G6" s="3">
        <v>70.349999999999994</v>
      </c>
    </row>
    <row r="7" spans="1:7" x14ac:dyDescent="0.3">
      <c r="A7" s="1" t="s">
        <v>11</v>
      </c>
      <c r="B7" s="1">
        <v>574</v>
      </c>
      <c r="C7" s="1">
        <v>797.37</v>
      </c>
      <c r="D7" s="1">
        <v>636.9</v>
      </c>
      <c r="E7" s="1">
        <v>333.03</v>
      </c>
      <c r="F7" s="1">
        <v>470.84</v>
      </c>
      <c r="G7" s="1">
        <v>637.16999999999996</v>
      </c>
    </row>
    <row r="8" spans="1:7" x14ac:dyDescent="0.3">
      <c r="A8" s="1" t="s">
        <v>12</v>
      </c>
      <c r="B8" s="1">
        <v>57.4</v>
      </c>
      <c r="C8" s="1">
        <v>80.540000000000006</v>
      </c>
      <c r="D8" s="1">
        <v>64.33</v>
      </c>
      <c r="E8" s="1">
        <v>33.64</v>
      </c>
      <c r="F8" s="1">
        <v>47.56</v>
      </c>
      <c r="G8" s="1">
        <v>65.02</v>
      </c>
    </row>
    <row r="9" spans="1:7" x14ac:dyDescent="0.3">
      <c r="A9" s="1" t="s">
        <v>13</v>
      </c>
      <c r="B9" s="1">
        <v>493.51</v>
      </c>
      <c r="C9" s="1">
        <v>790.56</v>
      </c>
      <c r="D9" s="1">
        <v>-505.95</v>
      </c>
      <c r="E9" s="1">
        <v>102.07</v>
      </c>
      <c r="F9" s="1">
        <v>414.73</v>
      </c>
      <c r="G9" s="1">
        <v>232.86</v>
      </c>
    </row>
    <row r="10" spans="1:7" x14ac:dyDescent="0.3">
      <c r="A10" s="1" t="s">
        <v>14</v>
      </c>
      <c r="B10" s="1">
        <v>49.35</v>
      </c>
      <c r="C10" s="1">
        <v>79.849999999999994</v>
      </c>
      <c r="D10" s="1">
        <v>-51.11</v>
      </c>
      <c r="E10" s="1">
        <v>10.31</v>
      </c>
      <c r="F10" s="1">
        <v>41.89</v>
      </c>
      <c r="G10" s="1">
        <v>23.76</v>
      </c>
    </row>
    <row r="11" spans="1:7" x14ac:dyDescent="0.3">
      <c r="A11" s="1" t="s">
        <v>15</v>
      </c>
      <c r="B11" s="1">
        <v>420.38</v>
      </c>
      <c r="C11" s="1">
        <v>561.5</v>
      </c>
      <c r="D11" s="1">
        <v>348.73</v>
      </c>
      <c r="E11" s="1">
        <v>70.98</v>
      </c>
      <c r="F11" s="1">
        <v>241.4</v>
      </c>
      <c r="G11" s="1">
        <v>131.19999999999999</v>
      </c>
    </row>
    <row r="12" spans="1:7" x14ac:dyDescent="0.3">
      <c r="A12" s="1" t="s">
        <v>16</v>
      </c>
      <c r="B12" s="1">
        <v>414.82</v>
      </c>
      <c r="C12" s="1">
        <v>618.28</v>
      </c>
      <c r="D12" s="1">
        <v>635.76</v>
      </c>
      <c r="E12" s="1">
        <v>487.7</v>
      </c>
      <c r="F12" s="1">
        <v>543.51</v>
      </c>
      <c r="G12" s="1">
        <v>501.75</v>
      </c>
    </row>
    <row r="13" spans="1:7" x14ac:dyDescent="0.3">
      <c r="A13" s="1" t="s">
        <v>17</v>
      </c>
      <c r="B13" s="1">
        <v>66.84</v>
      </c>
      <c r="C13" s="1">
        <v>63.76</v>
      </c>
      <c r="D13" s="1">
        <v>49.35</v>
      </c>
      <c r="E13" s="1">
        <v>62.06</v>
      </c>
      <c r="F13" s="1">
        <v>56.57</v>
      </c>
      <c r="G13" s="1">
        <v>30.08</v>
      </c>
    </row>
    <row r="14" spans="1:7" x14ac:dyDescent="0.3">
      <c r="A14" s="1" t="s">
        <v>18</v>
      </c>
      <c r="B14" s="1">
        <v>153.19</v>
      </c>
      <c r="C14" s="1">
        <v>145.56</v>
      </c>
      <c r="D14" s="1">
        <v>97.65</v>
      </c>
      <c r="E14" s="1">
        <v>93.01</v>
      </c>
      <c r="F14" s="1">
        <v>129.85</v>
      </c>
      <c r="G14" s="1">
        <v>79.150000000000006</v>
      </c>
    </row>
    <row r="15" spans="1:7" x14ac:dyDescent="0.3">
      <c r="A15" s="1" t="s">
        <v>19</v>
      </c>
      <c r="B15" s="1">
        <v>2</v>
      </c>
      <c r="C15" s="1">
        <v>4</v>
      </c>
      <c r="D15" s="1">
        <v>4</v>
      </c>
      <c r="E15" s="1">
        <v>1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533.75</v>
      </c>
      <c r="C17" s="1">
        <v>793.96</v>
      </c>
      <c r="D17" s="1">
        <v>65.48</v>
      </c>
      <c r="E17" s="1">
        <v>217.55</v>
      </c>
      <c r="F17" s="1">
        <v>442.78</v>
      </c>
      <c r="G17" s="1">
        <v>435.02</v>
      </c>
    </row>
    <row r="18" spans="1:7" x14ac:dyDescent="0.3">
      <c r="A18" s="1" t="s">
        <v>22</v>
      </c>
      <c r="B18" s="1">
        <v>40.24</v>
      </c>
      <c r="C18" s="1">
        <v>3.41</v>
      </c>
      <c r="D18" s="1">
        <v>571.41999999999996</v>
      </c>
      <c r="E18" s="1">
        <v>115.48</v>
      </c>
      <c r="F18" s="1">
        <v>28.05</v>
      </c>
      <c r="G18" s="1">
        <v>202.15</v>
      </c>
    </row>
    <row r="19" spans="1:7" x14ac:dyDescent="0.3">
      <c r="A19" s="1" t="s">
        <v>23</v>
      </c>
      <c r="B19" s="1">
        <v>0</v>
      </c>
      <c r="C19" s="1">
        <v>0</v>
      </c>
      <c r="D19" s="1">
        <v>3</v>
      </c>
      <c r="E19" s="1">
        <v>3</v>
      </c>
      <c r="F19" s="1">
        <v>1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7</v>
      </c>
      <c r="E20" s="1">
        <v>3.6</v>
      </c>
      <c r="F20" s="1">
        <v>1.3</v>
      </c>
      <c r="G20" s="1">
        <v>3.6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3</v>
      </c>
      <c r="E21" s="1">
        <v>6.4</v>
      </c>
      <c r="F21" s="1">
        <v>8.6999999999999993</v>
      </c>
      <c r="G21" s="1">
        <v>6.3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7</v>
      </c>
      <c r="E24" s="1">
        <v>0</v>
      </c>
      <c r="F24" s="1">
        <v>0</v>
      </c>
      <c r="G24" s="1">
        <v>3</v>
      </c>
    </row>
    <row r="25" spans="1:7" x14ac:dyDescent="0.3">
      <c r="A25" s="1" t="s">
        <v>29</v>
      </c>
      <c r="B25" s="1">
        <v>2.4</v>
      </c>
      <c r="C25" s="1">
        <v>0</v>
      </c>
      <c r="D25" s="1">
        <v>1.9</v>
      </c>
      <c r="E25" s="1">
        <v>8.9</v>
      </c>
      <c r="F25" s="1">
        <v>3.1</v>
      </c>
      <c r="G25" s="1">
        <v>0</v>
      </c>
    </row>
    <row r="26" spans="1:7" x14ac:dyDescent="0.3">
      <c r="A26" s="1" t="s">
        <v>30</v>
      </c>
      <c r="B26" s="1">
        <v>7.7</v>
      </c>
      <c r="C26" s="1">
        <v>10</v>
      </c>
      <c r="D26" s="1">
        <v>1.1000000000000001</v>
      </c>
      <c r="E26" s="1">
        <v>1.1000000000000001</v>
      </c>
      <c r="F26" s="1">
        <v>6.9</v>
      </c>
      <c r="G26" s="1">
        <v>6.9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70</v>
      </c>
      <c r="E29" s="3">
        <f t="shared" si="1"/>
        <v>0</v>
      </c>
      <c r="F29" s="3">
        <f t="shared" si="1"/>
        <v>0</v>
      </c>
      <c r="G29" s="3">
        <f t="shared" si="1"/>
        <v>30.303030303030305</v>
      </c>
    </row>
    <row r="30" spans="1:7" x14ac:dyDescent="0.3">
      <c r="A30" s="3" t="s">
        <v>33</v>
      </c>
      <c r="B30" s="3">
        <f>B25/B28*100</f>
        <v>23.762376237623762</v>
      </c>
      <c r="C30" s="3">
        <f t="shared" ref="C30:G30" si="2">C25/C28*100</f>
        <v>0</v>
      </c>
      <c r="D30" s="3">
        <f t="shared" si="2"/>
        <v>19</v>
      </c>
      <c r="E30" s="3">
        <f t="shared" si="2"/>
        <v>89</v>
      </c>
      <c r="F30" s="3">
        <f t="shared" si="2"/>
        <v>31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76.237623762376245</v>
      </c>
      <c r="C31" s="3">
        <f t="shared" ref="C31:G31" si="3">C26/C28*100</f>
        <v>100</v>
      </c>
      <c r="D31" s="3">
        <f t="shared" si="3"/>
        <v>11.000000000000002</v>
      </c>
      <c r="E31" s="3">
        <f t="shared" si="3"/>
        <v>11.000000000000002</v>
      </c>
      <c r="F31" s="3">
        <f t="shared" si="3"/>
        <v>69</v>
      </c>
      <c r="G31" s="3">
        <f t="shared" si="3"/>
        <v>69.696969696969703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50.26</v>
      </c>
      <c r="C33" s="3">
        <v>89.56</v>
      </c>
      <c r="D33" s="3">
        <v>-44.94</v>
      </c>
      <c r="E33" s="3">
        <v>6.88</v>
      </c>
      <c r="F33" s="3">
        <v>43.86</v>
      </c>
      <c r="G33" s="3">
        <v>11.77</v>
      </c>
    </row>
    <row r="35" spans="1:7" x14ac:dyDescent="0.3">
      <c r="A35" s="3" t="s">
        <v>36</v>
      </c>
      <c r="B35" s="3"/>
      <c r="C35" s="3"/>
      <c r="D35" s="3">
        <f>D33-C33</f>
        <v>-134.5</v>
      </c>
      <c r="E35" s="3"/>
      <c r="F35" s="3">
        <f>F33-E33</f>
        <v>36.979999999999997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51.82</v>
      </c>
      <c r="F37" s="3"/>
      <c r="G37" s="3">
        <f>G33-F33</f>
        <v>-32.090000000000003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3B30-EC30-48F2-9996-3865CE7A2155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873.59</v>
      </c>
      <c r="C2" s="1">
        <v>819.9</v>
      </c>
      <c r="D2" s="1">
        <v>909.39</v>
      </c>
      <c r="E2" s="1">
        <v>933.05</v>
      </c>
      <c r="F2" s="1">
        <v>916.18</v>
      </c>
      <c r="G2" s="1">
        <v>848.71</v>
      </c>
    </row>
    <row r="3" spans="1:7" x14ac:dyDescent="0.3">
      <c r="A3" s="1" t="s">
        <v>7</v>
      </c>
      <c r="B3" s="1">
        <v>86.81</v>
      </c>
      <c r="C3" s="1">
        <v>85.07</v>
      </c>
      <c r="D3" s="1">
        <v>83.21</v>
      </c>
      <c r="E3" s="1">
        <v>81.23</v>
      </c>
      <c r="F3" s="1">
        <v>82.08</v>
      </c>
      <c r="G3" s="1">
        <v>83.16</v>
      </c>
    </row>
    <row r="4" spans="1:7" x14ac:dyDescent="0.3">
      <c r="A4" s="1" t="s">
        <v>8</v>
      </c>
      <c r="B4" s="1">
        <v>77220.52</v>
      </c>
      <c r="C4" s="1">
        <v>70825.42</v>
      </c>
      <c r="D4" s="1">
        <v>76965.42</v>
      </c>
      <c r="E4" s="1">
        <v>77091.89</v>
      </c>
      <c r="F4" s="1">
        <v>76498.62</v>
      </c>
      <c r="G4" s="1">
        <v>71690.27</v>
      </c>
    </row>
    <row r="5" spans="1:7" x14ac:dyDescent="0.3">
      <c r="A5" s="1" t="s">
        <v>9</v>
      </c>
      <c r="B5" s="1">
        <v>846.42</v>
      </c>
      <c r="C5" s="1">
        <v>698</v>
      </c>
      <c r="D5" s="1">
        <v>725.7</v>
      </c>
      <c r="E5" s="1">
        <v>888.48</v>
      </c>
      <c r="F5" s="1">
        <v>799.85</v>
      </c>
      <c r="G5" s="1">
        <v>771.92</v>
      </c>
    </row>
    <row r="6" spans="1:7" x14ac:dyDescent="0.3">
      <c r="A6" s="3" t="s">
        <v>10</v>
      </c>
      <c r="B6" s="3">
        <v>84.64</v>
      </c>
      <c r="C6" s="3">
        <v>70.5</v>
      </c>
      <c r="D6" s="3">
        <v>73.3</v>
      </c>
      <c r="E6" s="3">
        <v>89.75</v>
      </c>
      <c r="F6" s="3">
        <v>80.790000000000006</v>
      </c>
      <c r="G6" s="3">
        <v>78.77</v>
      </c>
    </row>
    <row r="7" spans="1:7" x14ac:dyDescent="0.3">
      <c r="A7" s="1" t="s">
        <v>11</v>
      </c>
      <c r="B7" s="1">
        <v>717.52</v>
      </c>
      <c r="C7" s="1">
        <v>519.63</v>
      </c>
      <c r="D7" s="1">
        <v>673.43</v>
      </c>
      <c r="E7" s="1">
        <v>816.3</v>
      </c>
      <c r="F7" s="1">
        <v>694.87</v>
      </c>
      <c r="G7" s="1">
        <v>598.36</v>
      </c>
    </row>
    <row r="8" spans="1:7" x14ac:dyDescent="0.3">
      <c r="A8" s="1" t="s">
        <v>12</v>
      </c>
      <c r="B8" s="1">
        <v>71.75</v>
      </c>
      <c r="C8" s="1">
        <v>52.49</v>
      </c>
      <c r="D8" s="1">
        <v>68.02</v>
      </c>
      <c r="E8" s="1">
        <v>82.45</v>
      </c>
      <c r="F8" s="1">
        <v>70.19</v>
      </c>
      <c r="G8" s="1">
        <v>61.06</v>
      </c>
    </row>
    <row r="9" spans="1:7" x14ac:dyDescent="0.3">
      <c r="A9" s="1" t="s">
        <v>13</v>
      </c>
      <c r="B9" s="1">
        <v>453.92</v>
      </c>
      <c r="C9" s="1">
        <v>355.13</v>
      </c>
      <c r="D9" s="1">
        <v>483.83</v>
      </c>
      <c r="E9" s="1">
        <v>649.04999999999995</v>
      </c>
      <c r="F9" s="1">
        <v>693.54</v>
      </c>
      <c r="G9" s="1">
        <v>478.73</v>
      </c>
    </row>
    <row r="10" spans="1:7" x14ac:dyDescent="0.3">
      <c r="A10" s="1" t="s">
        <v>14</v>
      </c>
      <c r="B10" s="1">
        <v>45.39</v>
      </c>
      <c r="C10" s="1">
        <v>35.869999999999997</v>
      </c>
      <c r="D10" s="1">
        <v>48.87</v>
      </c>
      <c r="E10" s="1">
        <v>65.56</v>
      </c>
      <c r="F10" s="1">
        <v>70.06</v>
      </c>
      <c r="G10" s="1">
        <v>48.85</v>
      </c>
    </row>
    <row r="11" spans="1:7" x14ac:dyDescent="0.3">
      <c r="A11" s="1" t="s">
        <v>15</v>
      </c>
      <c r="B11" s="1">
        <v>223.18</v>
      </c>
      <c r="C11" s="1">
        <v>192.19</v>
      </c>
      <c r="D11" s="1">
        <v>274.88</v>
      </c>
      <c r="E11" s="1">
        <v>359.34</v>
      </c>
      <c r="F11" s="1">
        <v>337.61</v>
      </c>
      <c r="G11" s="1">
        <v>330.22</v>
      </c>
    </row>
    <row r="12" spans="1:7" x14ac:dyDescent="0.3">
      <c r="A12" s="1" t="s">
        <v>16</v>
      </c>
      <c r="B12" s="1">
        <v>263.43</v>
      </c>
      <c r="C12" s="1">
        <v>474.78</v>
      </c>
      <c r="D12" s="1">
        <v>446.83</v>
      </c>
      <c r="E12" s="1">
        <v>511.66</v>
      </c>
      <c r="F12" s="1">
        <v>430.47</v>
      </c>
      <c r="G12" s="1">
        <v>295.45999999999998</v>
      </c>
    </row>
    <row r="13" spans="1:7" x14ac:dyDescent="0.3">
      <c r="A13" s="1" t="s">
        <v>17</v>
      </c>
      <c r="B13" s="1">
        <v>73.27</v>
      </c>
      <c r="C13" s="1">
        <v>36.47</v>
      </c>
      <c r="D13" s="1">
        <v>67.28</v>
      </c>
      <c r="E13" s="1">
        <v>58.19</v>
      </c>
      <c r="F13" s="1">
        <v>79.08</v>
      </c>
      <c r="G13" s="1">
        <v>58.61</v>
      </c>
    </row>
    <row r="14" spans="1:7" x14ac:dyDescent="0.3">
      <c r="A14" s="1" t="s">
        <v>18</v>
      </c>
      <c r="B14" s="1">
        <v>148.87</v>
      </c>
      <c r="C14" s="1">
        <v>91.19</v>
      </c>
      <c r="D14" s="1">
        <v>124.34</v>
      </c>
      <c r="E14" s="1">
        <v>140.49</v>
      </c>
      <c r="F14" s="1">
        <v>174.2</v>
      </c>
      <c r="G14" s="1">
        <v>163.88</v>
      </c>
    </row>
    <row r="15" spans="1:7" x14ac:dyDescent="0.3">
      <c r="A15" s="1" t="s">
        <v>19</v>
      </c>
      <c r="B15" s="1">
        <v>5</v>
      </c>
      <c r="C15" s="1">
        <v>6</v>
      </c>
      <c r="D15" s="1">
        <v>3</v>
      </c>
      <c r="E15" s="1">
        <v>3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585.72</v>
      </c>
      <c r="C17" s="1">
        <v>437.38</v>
      </c>
      <c r="D17" s="1">
        <v>578.63</v>
      </c>
      <c r="E17" s="1">
        <v>732.68</v>
      </c>
      <c r="F17" s="1">
        <v>694.21</v>
      </c>
      <c r="G17" s="1">
        <v>538.54</v>
      </c>
    </row>
    <row r="18" spans="1:7" x14ac:dyDescent="0.3">
      <c r="A18" s="1" t="s">
        <v>22</v>
      </c>
      <c r="B18" s="1">
        <v>131.80000000000001</v>
      </c>
      <c r="C18" s="1">
        <v>82.25</v>
      </c>
      <c r="D18" s="1">
        <v>94.8</v>
      </c>
      <c r="E18" s="1">
        <v>83.62</v>
      </c>
      <c r="F18" s="1">
        <v>0.66</v>
      </c>
      <c r="G18" s="1">
        <v>59.81</v>
      </c>
    </row>
    <row r="19" spans="1:7" x14ac:dyDescent="0.3">
      <c r="A19" s="1" t="s">
        <v>23</v>
      </c>
      <c r="B19" s="1">
        <v>1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1.5</v>
      </c>
      <c r="C20" s="1">
        <v>1.7</v>
      </c>
      <c r="D20" s="1">
        <v>2.1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8.6</v>
      </c>
      <c r="C21" s="1">
        <v>8.3000000000000007</v>
      </c>
      <c r="D21" s="1">
        <v>7.9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1.8</v>
      </c>
      <c r="C24" s="1">
        <v>0</v>
      </c>
      <c r="D24" s="1">
        <v>2.6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4</v>
      </c>
      <c r="D25" s="1">
        <v>2.2000000000000002</v>
      </c>
      <c r="E25" s="1">
        <v>2.5</v>
      </c>
      <c r="F25" s="1">
        <v>1.1000000000000001</v>
      </c>
      <c r="G25" s="1">
        <v>2.6</v>
      </c>
    </row>
    <row r="26" spans="1:7" x14ac:dyDescent="0.3">
      <c r="A26" s="1" t="s">
        <v>30</v>
      </c>
      <c r="B26" s="1">
        <v>8.3000000000000007</v>
      </c>
      <c r="C26" s="1">
        <v>6</v>
      </c>
      <c r="D26" s="1">
        <v>5.2</v>
      </c>
      <c r="E26" s="1">
        <v>7.5</v>
      </c>
      <c r="F26" s="1">
        <v>8.9</v>
      </c>
      <c r="G26" s="1">
        <v>7.3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17.82178217821782</v>
      </c>
      <c r="C29" s="3">
        <f t="shared" ref="C29:G29" si="1">C24/C28*100</f>
        <v>0</v>
      </c>
      <c r="D29" s="3">
        <f t="shared" si="1"/>
        <v>26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40</v>
      </c>
      <c r="D30" s="3">
        <f t="shared" si="2"/>
        <v>22.000000000000004</v>
      </c>
      <c r="E30" s="3">
        <f t="shared" si="2"/>
        <v>25</v>
      </c>
      <c r="F30" s="3">
        <f t="shared" si="2"/>
        <v>11.000000000000002</v>
      </c>
      <c r="G30" s="3">
        <f t="shared" si="2"/>
        <v>26.262626262626267</v>
      </c>
    </row>
    <row r="31" spans="1:7" x14ac:dyDescent="0.3">
      <c r="A31" s="3" t="s">
        <v>34</v>
      </c>
      <c r="B31" s="3">
        <f>B26/B28*100</f>
        <v>82.178217821782169</v>
      </c>
      <c r="C31" s="3">
        <f t="shared" ref="C31:G31" si="3">C26/C28*100</f>
        <v>60</v>
      </c>
      <c r="D31" s="3">
        <f t="shared" si="3"/>
        <v>52</v>
      </c>
      <c r="E31" s="3">
        <f t="shared" si="3"/>
        <v>75</v>
      </c>
      <c r="F31" s="3">
        <f t="shared" si="3"/>
        <v>89</v>
      </c>
      <c r="G31" s="3">
        <f t="shared" si="3"/>
        <v>73.73737373737373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38.42</v>
      </c>
      <c r="C33" s="3">
        <v>44.32</v>
      </c>
      <c r="D33" s="3">
        <v>31.99</v>
      </c>
      <c r="E33" s="3">
        <v>68.56</v>
      </c>
      <c r="F33" s="3">
        <v>77.66</v>
      </c>
      <c r="G33" s="3">
        <v>59.42</v>
      </c>
    </row>
    <row r="35" spans="1:7" x14ac:dyDescent="0.3">
      <c r="A35" s="3" t="s">
        <v>36</v>
      </c>
      <c r="B35" s="3"/>
      <c r="C35" s="3"/>
      <c r="D35" s="3">
        <f>D33-C33</f>
        <v>-12.330000000000002</v>
      </c>
      <c r="E35" s="3"/>
      <c r="F35" s="3">
        <f>F33-E33</f>
        <v>9.0999999999999943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36.570000000000007</v>
      </c>
      <c r="F37" s="3"/>
      <c r="G37" s="3">
        <f>G33-F33</f>
        <v>-18.239999999999995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9E5F-DBE5-40D0-A860-56FFFD46117F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838.77</v>
      </c>
      <c r="C2" s="1">
        <v>885.97</v>
      </c>
      <c r="D2" s="1">
        <v>867.8</v>
      </c>
      <c r="E2" s="1">
        <v>885.04</v>
      </c>
      <c r="F2" s="1">
        <v>858.84</v>
      </c>
      <c r="G2" s="1">
        <v>777.25</v>
      </c>
    </row>
    <row r="3" spans="1:7" x14ac:dyDescent="0.3">
      <c r="A3" s="1" t="s">
        <v>7</v>
      </c>
      <c r="B3" s="1">
        <v>64.400000000000006</v>
      </c>
      <c r="C3" s="1">
        <v>69.98</v>
      </c>
      <c r="D3" s="1">
        <v>66.989999999999995</v>
      </c>
      <c r="E3" s="1">
        <v>67.75</v>
      </c>
      <c r="F3" s="1">
        <v>67.19</v>
      </c>
      <c r="G3" s="1">
        <v>72.03</v>
      </c>
    </row>
    <row r="4" spans="1:7" x14ac:dyDescent="0.3">
      <c r="A4" s="1" t="s">
        <v>8</v>
      </c>
      <c r="B4" s="1">
        <v>54944.4</v>
      </c>
      <c r="C4" s="1">
        <v>63058.58</v>
      </c>
      <c r="D4" s="1">
        <v>59116.59</v>
      </c>
      <c r="E4" s="1">
        <v>60987.06</v>
      </c>
      <c r="F4" s="1">
        <v>58654.48</v>
      </c>
      <c r="G4" s="1">
        <v>56645.52</v>
      </c>
    </row>
    <row r="5" spans="1:7" x14ac:dyDescent="0.3">
      <c r="A5" s="1" t="s">
        <v>9</v>
      </c>
      <c r="B5" s="1">
        <v>599.28</v>
      </c>
      <c r="C5" s="1">
        <v>479.95</v>
      </c>
      <c r="D5" s="1">
        <v>475.06</v>
      </c>
      <c r="E5" s="1">
        <v>150.34</v>
      </c>
      <c r="F5" s="1">
        <v>273.70999999999998</v>
      </c>
      <c r="G5" s="1">
        <v>475.37</v>
      </c>
    </row>
    <row r="6" spans="1:7" x14ac:dyDescent="0.3">
      <c r="A6" s="3" t="s">
        <v>10</v>
      </c>
      <c r="B6" s="3">
        <v>59.93</v>
      </c>
      <c r="C6" s="3">
        <v>48.48</v>
      </c>
      <c r="D6" s="3">
        <v>47.99</v>
      </c>
      <c r="E6" s="3">
        <v>15.19</v>
      </c>
      <c r="F6" s="3">
        <v>27.65</v>
      </c>
      <c r="G6" s="3">
        <v>48.51</v>
      </c>
    </row>
    <row r="7" spans="1:7" x14ac:dyDescent="0.3">
      <c r="A7" s="1" t="s">
        <v>11</v>
      </c>
      <c r="B7" s="1">
        <v>585.66</v>
      </c>
      <c r="C7" s="1">
        <v>471.77</v>
      </c>
      <c r="D7" s="1">
        <v>470.15</v>
      </c>
      <c r="E7" s="1">
        <v>142.18</v>
      </c>
      <c r="F7" s="1">
        <v>266.85000000000002</v>
      </c>
      <c r="G7" s="1">
        <v>466.43</v>
      </c>
    </row>
    <row r="8" spans="1:7" x14ac:dyDescent="0.3">
      <c r="A8" s="1" t="s">
        <v>12</v>
      </c>
      <c r="B8" s="1">
        <v>58.57</v>
      </c>
      <c r="C8" s="1">
        <v>47.65</v>
      </c>
      <c r="D8" s="1">
        <v>47.49</v>
      </c>
      <c r="E8" s="1">
        <v>14.36</v>
      </c>
      <c r="F8" s="1">
        <v>26.95</v>
      </c>
      <c r="G8" s="1">
        <v>47.6</v>
      </c>
    </row>
    <row r="9" spans="1:7" x14ac:dyDescent="0.3">
      <c r="A9" s="1" t="s">
        <v>13</v>
      </c>
      <c r="B9" s="1">
        <v>531.91</v>
      </c>
      <c r="C9" s="1">
        <v>457.98</v>
      </c>
      <c r="D9" s="1">
        <v>454.48</v>
      </c>
      <c r="E9" s="1">
        <v>45.22</v>
      </c>
      <c r="F9" s="1">
        <v>173.96</v>
      </c>
      <c r="G9" s="1">
        <v>-222.5</v>
      </c>
    </row>
    <row r="10" spans="1:7" x14ac:dyDescent="0.3">
      <c r="A10" s="1" t="s">
        <v>14</v>
      </c>
      <c r="B10" s="1">
        <v>53.19</v>
      </c>
      <c r="C10" s="1">
        <v>46.26</v>
      </c>
      <c r="D10" s="1">
        <v>45.91</v>
      </c>
      <c r="E10" s="1">
        <v>4.57</v>
      </c>
      <c r="F10" s="1">
        <v>17.57</v>
      </c>
      <c r="G10" s="1">
        <v>-22.7</v>
      </c>
    </row>
    <row r="11" spans="1:7" x14ac:dyDescent="0.3">
      <c r="A11" s="1" t="s">
        <v>15</v>
      </c>
      <c r="B11" s="1">
        <v>268.02</v>
      </c>
      <c r="C11" s="1">
        <v>409.5</v>
      </c>
      <c r="D11" s="1">
        <v>312.58</v>
      </c>
      <c r="E11" s="1">
        <v>21.15</v>
      </c>
      <c r="F11" s="1">
        <v>145.97999999999999</v>
      </c>
      <c r="G11" s="1">
        <v>199.7</v>
      </c>
    </row>
    <row r="12" spans="1:7" x14ac:dyDescent="0.3">
      <c r="A12" s="1" t="s">
        <v>16</v>
      </c>
      <c r="B12" s="1">
        <v>392.38</v>
      </c>
      <c r="C12" s="1">
        <v>448.5</v>
      </c>
      <c r="D12" s="1">
        <v>497.45</v>
      </c>
      <c r="E12" s="1">
        <v>547.49</v>
      </c>
      <c r="F12" s="1">
        <v>482.29</v>
      </c>
      <c r="G12" s="1">
        <v>433.56</v>
      </c>
    </row>
    <row r="13" spans="1:7" x14ac:dyDescent="0.3">
      <c r="A13" s="1" t="s">
        <v>17</v>
      </c>
      <c r="B13" s="1">
        <v>90.67</v>
      </c>
      <c r="C13" s="1">
        <v>34.28</v>
      </c>
      <c r="D13" s="1">
        <v>68.44</v>
      </c>
      <c r="E13" s="1">
        <v>75.069999999999993</v>
      </c>
      <c r="F13" s="1">
        <v>57.02</v>
      </c>
      <c r="G13" s="1">
        <v>42.07</v>
      </c>
    </row>
    <row r="14" spans="1:7" x14ac:dyDescent="0.3">
      <c r="A14" s="1" t="s">
        <v>18</v>
      </c>
      <c r="B14" s="1">
        <v>169.65</v>
      </c>
      <c r="C14" s="1">
        <v>79.62</v>
      </c>
      <c r="D14" s="1">
        <v>146.27000000000001</v>
      </c>
      <c r="E14" s="1">
        <v>85.18</v>
      </c>
      <c r="F14" s="1">
        <v>77.73</v>
      </c>
      <c r="G14" s="1">
        <v>62.34</v>
      </c>
    </row>
    <row r="15" spans="1:7" x14ac:dyDescent="0.3">
      <c r="A15" s="1" t="s">
        <v>19</v>
      </c>
      <c r="B15" s="1">
        <v>2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558.79</v>
      </c>
      <c r="C17" s="1">
        <v>464.88</v>
      </c>
      <c r="D17" s="1">
        <v>462.32</v>
      </c>
      <c r="E17" s="1">
        <v>93.7</v>
      </c>
      <c r="F17" s="1">
        <v>220.4</v>
      </c>
      <c r="G17" s="1">
        <v>121.97</v>
      </c>
    </row>
    <row r="18" spans="1:7" x14ac:dyDescent="0.3">
      <c r="A18" s="1" t="s">
        <v>22</v>
      </c>
      <c r="B18" s="1">
        <v>26.87</v>
      </c>
      <c r="C18" s="1">
        <v>6.89</v>
      </c>
      <c r="D18" s="1">
        <v>7.83</v>
      </c>
      <c r="E18" s="1">
        <v>48.48</v>
      </c>
      <c r="F18" s="1">
        <v>46.44</v>
      </c>
      <c r="G18" s="1">
        <v>344.47</v>
      </c>
    </row>
    <row r="19" spans="1:7" x14ac:dyDescent="0.3">
      <c r="A19" s="1" t="s">
        <v>23</v>
      </c>
      <c r="B19" s="1">
        <v>1</v>
      </c>
      <c r="C19" s="1">
        <v>0</v>
      </c>
      <c r="D19" s="1">
        <v>1</v>
      </c>
      <c r="E19" s="1">
        <v>2</v>
      </c>
      <c r="F19" s="1">
        <v>1</v>
      </c>
      <c r="G19" s="1">
        <v>3</v>
      </c>
    </row>
    <row r="20" spans="1:7" x14ac:dyDescent="0.3">
      <c r="A20" s="1" t="s">
        <v>24</v>
      </c>
      <c r="B20" s="1">
        <v>1</v>
      </c>
      <c r="C20" s="1">
        <v>0</v>
      </c>
      <c r="D20" s="1">
        <v>1.3</v>
      </c>
      <c r="E20" s="1">
        <v>3.6</v>
      </c>
      <c r="F20" s="1">
        <v>2.9</v>
      </c>
      <c r="G20" s="1">
        <v>6</v>
      </c>
    </row>
    <row r="21" spans="1:7" x14ac:dyDescent="0.3">
      <c r="A21" s="1" t="s">
        <v>25</v>
      </c>
      <c r="B21" s="1">
        <v>9.1</v>
      </c>
      <c r="C21" s="1">
        <v>10</v>
      </c>
      <c r="D21" s="1">
        <v>8.6999999999999993</v>
      </c>
      <c r="E21" s="1">
        <v>6.4</v>
      </c>
      <c r="F21" s="1">
        <v>7.1</v>
      </c>
      <c r="G21" s="1">
        <v>3.9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2.9</v>
      </c>
    </row>
    <row r="25" spans="1:7" x14ac:dyDescent="0.3">
      <c r="A25" s="1" t="s">
        <v>29</v>
      </c>
      <c r="B25" s="1">
        <v>1.6</v>
      </c>
      <c r="C25" s="1">
        <v>2.9</v>
      </c>
      <c r="D25" s="1">
        <v>5.0999999999999996</v>
      </c>
      <c r="E25" s="1">
        <v>8.4</v>
      </c>
      <c r="F25" s="1">
        <v>7</v>
      </c>
      <c r="G25" s="1">
        <v>7</v>
      </c>
    </row>
    <row r="26" spans="1:7" x14ac:dyDescent="0.3">
      <c r="A26" s="1" t="s">
        <v>30</v>
      </c>
      <c r="B26" s="1">
        <v>8.5</v>
      </c>
      <c r="C26" s="1">
        <v>7.1</v>
      </c>
      <c r="D26" s="1">
        <v>4.9000000000000004</v>
      </c>
      <c r="E26" s="1">
        <v>1.6</v>
      </c>
      <c r="F26" s="1">
        <v>3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29.292929292929294</v>
      </c>
    </row>
    <row r="30" spans="1:7" x14ac:dyDescent="0.3">
      <c r="A30" s="3" t="s">
        <v>33</v>
      </c>
      <c r="B30" s="3">
        <f>B25/B28*100</f>
        <v>15.841584158415841</v>
      </c>
      <c r="C30" s="3">
        <f t="shared" ref="C30:G30" si="2">C25/C28*100</f>
        <v>28.999999999999996</v>
      </c>
      <c r="D30" s="3">
        <f t="shared" si="2"/>
        <v>51</v>
      </c>
      <c r="E30" s="3">
        <f t="shared" si="2"/>
        <v>84.000000000000014</v>
      </c>
      <c r="F30" s="3">
        <f t="shared" si="2"/>
        <v>70</v>
      </c>
      <c r="G30" s="3">
        <f t="shared" si="2"/>
        <v>70.707070707070713</v>
      </c>
    </row>
    <row r="31" spans="1:7" x14ac:dyDescent="0.3">
      <c r="A31" s="3" t="s">
        <v>34</v>
      </c>
      <c r="B31" s="3">
        <f>B26/B28*100</f>
        <v>84.158415841584173</v>
      </c>
      <c r="C31" s="3">
        <f t="shared" ref="C31:G31" si="3">C26/C28*100</f>
        <v>71</v>
      </c>
      <c r="D31" s="3">
        <f t="shared" si="3"/>
        <v>49.000000000000007</v>
      </c>
      <c r="E31" s="3">
        <f t="shared" si="3"/>
        <v>16</v>
      </c>
      <c r="F31" s="3">
        <f t="shared" si="3"/>
        <v>30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50.67</v>
      </c>
      <c r="C33" s="3">
        <v>47.59</v>
      </c>
      <c r="D33" s="3">
        <v>45.44</v>
      </c>
      <c r="E33" s="3">
        <v>3.19</v>
      </c>
      <c r="F33" s="3">
        <v>15.02</v>
      </c>
      <c r="G33" s="3">
        <v>-21.83</v>
      </c>
    </row>
    <row r="35" spans="1:7" x14ac:dyDescent="0.3">
      <c r="A35" s="3" t="s">
        <v>36</v>
      </c>
      <c r="B35" s="3"/>
      <c r="C35" s="3"/>
      <c r="D35" s="3">
        <f>D33-C33</f>
        <v>-2.1500000000000057</v>
      </c>
      <c r="E35" s="3"/>
      <c r="F35" s="3">
        <f>F33-E33</f>
        <v>11.83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-42.25</v>
      </c>
      <c r="F37" s="3"/>
      <c r="G37" s="3">
        <f>G33-F33</f>
        <v>-36.849999999999994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EDB0-B5CD-4DD7-8A1F-DD467D39F768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689.7</v>
      </c>
      <c r="C2" s="1">
        <v>793.68</v>
      </c>
      <c r="D2" s="1">
        <v>775.36</v>
      </c>
      <c r="E2" s="1">
        <v>545.72</v>
      </c>
      <c r="F2" s="1">
        <v>725.71</v>
      </c>
      <c r="G2" s="1">
        <v>803.16</v>
      </c>
    </row>
    <row r="3" spans="1:7" x14ac:dyDescent="0.3">
      <c r="A3" s="1" t="s">
        <v>7</v>
      </c>
      <c r="B3" s="1">
        <v>76.849999999999994</v>
      </c>
      <c r="C3" s="1">
        <v>67.959999999999994</v>
      </c>
      <c r="D3" s="1">
        <v>66.319999999999993</v>
      </c>
      <c r="E3" s="1">
        <v>96.48</v>
      </c>
      <c r="F3" s="1">
        <v>74.69</v>
      </c>
      <c r="G3" s="1">
        <v>67.2</v>
      </c>
    </row>
    <row r="4" spans="1:7" x14ac:dyDescent="0.3">
      <c r="A4" s="1" t="s">
        <v>8</v>
      </c>
      <c r="B4" s="1">
        <v>53710.84</v>
      </c>
      <c r="C4" s="1">
        <v>54819.02</v>
      </c>
      <c r="D4" s="1">
        <v>52297.54</v>
      </c>
      <c r="E4" s="1">
        <v>53662.97</v>
      </c>
      <c r="F4" s="1">
        <v>54848.09</v>
      </c>
      <c r="G4" s="1">
        <v>54923.21</v>
      </c>
    </row>
    <row r="5" spans="1:7" x14ac:dyDescent="0.3">
      <c r="A5" s="1" t="s">
        <v>9</v>
      </c>
      <c r="B5" s="1">
        <v>293.7</v>
      </c>
      <c r="C5" s="1">
        <v>673.67</v>
      </c>
      <c r="D5" s="1">
        <v>503.73</v>
      </c>
      <c r="E5" s="1">
        <v>575.64</v>
      </c>
      <c r="F5" s="1">
        <v>586.84</v>
      </c>
      <c r="G5" s="1">
        <v>736.11</v>
      </c>
    </row>
    <row r="6" spans="1:7" x14ac:dyDescent="0.3">
      <c r="A6" s="3" t="s">
        <v>10</v>
      </c>
      <c r="B6" s="3">
        <v>29.37</v>
      </c>
      <c r="C6" s="3">
        <v>68.05</v>
      </c>
      <c r="D6" s="3">
        <v>50.88</v>
      </c>
      <c r="E6" s="3">
        <v>58.15</v>
      </c>
      <c r="F6" s="3">
        <v>59.28</v>
      </c>
      <c r="G6" s="3">
        <v>75.11</v>
      </c>
    </row>
    <row r="7" spans="1:7" x14ac:dyDescent="0.3">
      <c r="A7" s="1" t="s">
        <v>11</v>
      </c>
      <c r="B7" s="1">
        <v>275.35000000000002</v>
      </c>
      <c r="C7" s="1">
        <v>657.94</v>
      </c>
      <c r="D7" s="1">
        <v>489.54</v>
      </c>
      <c r="E7" s="1">
        <v>480.32</v>
      </c>
      <c r="F7" s="1">
        <v>555.76</v>
      </c>
      <c r="G7" s="1">
        <v>705.88</v>
      </c>
    </row>
    <row r="8" spans="1:7" x14ac:dyDescent="0.3">
      <c r="A8" s="1" t="s">
        <v>12</v>
      </c>
      <c r="B8" s="1">
        <v>27.54</v>
      </c>
      <c r="C8" s="1">
        <v>66.459999999999994</v>
      </c>
      <c r="D8" s="1">
        <v>49.45</v>
      </c>
      <c r="E8" s="1">
        <v>48.52</v>
      </c>
      <c r="F8" s="1">
        <v>56.14</v>
      </c>
      <c r="G8" s="1">
        <v>72.03</v>
      </c>
    </row>
    <row r="9" spans="1:7" x14ac:dyDescent="0.3">
      <c r="A9" s="1" t="s">
        <v>13</v>
      </c>
      <c r="B9" s="1">
        <v>184.05</v>
      </c>
      <c r="C9" s="1">
        <v>631.04999999999995</v>
      </c>
      <c r="D9" s="1">
        <v>417.19</v>
      </c>
      <c r="E9" s="1">
        <v>214.5</v>
      </c>
      <c r="F9" s="1">
        <v>258.55</v>
      </c>
      <c r="G9" s="1">
        <v>561.21</v>
      </c>
    </row>
    <row r="10" spans="1:7" x14ac:dyDescent="0.3">
      <c r="A10" s="1" t="s">
        <v>14</v>
      </c>
      <c r="B10" s="1">
        <v>18.41</v>
      </c>
      <c r="C10" s="1">
        <v>63.74</v>
      </c>
      <c r="D10" s="1">
        <v>42.14</v>
      </c>
      <c r="E10" s="1">
        <v>21.67</v>
      </c>
      <c r="F10" s="1">
        <v>26.12</v>
      </c>
      <c r="G10" s="1">
        <v>57.27</v>
      </c>
    </row>
    <row r="11" spans="1:7" x14ac:dyDescent="0.3">
      <c r="A11" s="1" t="s">
        <v>15</v>
      </c>
      <c r="B11" s="1">
        <v>122.27</v>
      </c>
      <c r="C11" s="1">
        <v>445.56</v>
      </c>
      <c r="D11" s="1">
        <v>381.86</v>
      </c>
      <c r="E11" s="1">
        <v>138.47</v>
      </c>
      <c r="F11" s="1">
        <v>231.01</v>
      </c>
      <c r="G11" s="1">
        <v>461.92</v>
      </c>
    </row>
    <row r="12" spans="1:7" x14ac:dyDescent="0.3">
      <c r="A12" s="1" t="s">
        <v>16</v>
      </c>
      <c r="B12" s="1">
        <v>340.72</v>
      </c>
      <c r="C12" s="1">
        <v>440.63</v>
      </c>
      <c r="D12" s="1">
        <v>415.52</v>
      </c>
      <c r="E12" s="1">
        <v>195.91</v>
      </c>
      <c r="F12" s="1">
        <v>386.42</v>
      </c>
      <c r="G12" s="1">
        <v>466.52</v>
      </c>
    </row>
    <row r="13" spans="1:7" x14ac:dyDescent="0.3">
      <c r="A13" s="1" t="s">
        <v>17</v>
      </c>
      <c r="B13" s="1">
        <v>54.79</v>
      </c>
      <c r="C13" s="1">
        <v>68.94</v>
      </c>
      <c r="D13" s="1">
        <v>45.76</v>
      </c>
      <c r="E13" s="1">
        <v>64.73</v>
      </c>
      <c r="F13" s="1">
        <v>73.83</v>
      </c>
      <c r="G13" s="1">
        <v>59.87</v>
      </c>
    </row>
    <row r="14" spans="1:7" x14ac:dyDescent="0.3">
      <c r="A14" s="1" t="s">
        <v>18</v>
      </c>
      <c r="B14" s="1">
        <v>75.23</v>
      </c>
      <c r="C14" s="1">
        <v>117.55</v>
      </c>
      <c r="D14" s="1">
        <v>89.97</v>
      </c>
      <c r="E14" s="1">
        <v>92.21</v>
      </c>
      <c r="F14" s="1">
        <v>125.19</v>
      </c>
      <c r="G14" s="1">
        <v>93.69</v>
      </c>
    </row>
    <row r="15" spans="1:7" x14ac:dyDescent="0.3">
      <c r="A15" s="1" t="s">
        <v>19</v>
      </c>
      <c r="B15" s="1">
        <v>2</v>
      </c>
      <c r="C15" s="1">
        <v>3</v>
      </c>
      <c r="D15" s="1">
        <v>1</v>
      </c>
      <c r="E15" s="1">
        <v>3</v>
      </c>
      <c r="F15" s="1">
        <v>1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229.7</v>
      </c>
      <c r="C17" s="1">
        <v>644.49</v>
      </c>
      <c r="D17" s="1">
        <v>453.36</v>
      </c>
      <c r="E17" s="1">
        <v>347.41</v>
      </c>
      <c r="F17" s="1">
        <v>407.16</v>
      </c>
      <c r="G17" s="1">
        <v>633.54999999999995</v>
      </c>
    </row>
    <row r="18" spans="1:7" x14ac:dyDescent="0.3">
      <c r="A18" s="1" t="s">
        <v>22</v>
      </c>
      <c r="B18" s="1">
        <v>45.65</v>
      </c>
      <c r="C18" s="1">
        <v>13.45</v>
      </c>
      <c r="D18" s="1">
        <v>36.17</v>
      </c>
      <c r="E18" s="1">
        <v>132.91</v>
      </c>
      <c r="F18" s="1">
        <v>148.61000000000001</v>
      </c>
      <c r="G18" s="1">
        <v>72.34</v>
      </c>
    </row>
    <row r="19" spans="1:7" x14ac:dyDescent="0.3">
      <c r="A19" s="1" t="s">
        <v>23</v>
      </c>
      <c r="B19" s="1">
        <v>2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2.2999999999999998</v>
      </c>
      <c r="C20" s="1">
        <v>0</v>
      </c>
      <c r="D20" s="1">
        <v>0</v>
      </c>
      <c r="E20" s="1">
        <v>1</v>
      </c>
      <c r="F20" s="1">
        <v>1.4</v>
      </c>
      <c r="G20" s="1">
        <v>0</v>
      </c>
    </row>
    <row r="21" spans="1:7" x14ac:dyDescent="0.3">
      <c r="A21" s="1" t="s">
        <v>25</v>
      </c>
      <c r="B21" s="1">
        <v>7.8</v>
      </c>
      <c r="C21" s="1">
        <v>10</v>
      </c>
      <c r="D21" s="1">
        <v>10</v>
      </c>
      <c r="E21" s="1">
        <v>9</v>
      </c>
      <c r="F21" s="1">
        <v>8.6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7</v>
      </c>
      <c r="C25" s="1">
        <v>0</v>
      </c>
      <c r="D25" s="1">
        <v>3.3</v>
      </c>
      <c r="E25" s="1">
        <v>7.1</v>
      </c>
      <c r="F25" s="1">
        <v>4.5</v>
      </c>
      <c r="G25" s="1">
        <v>0</v>
      </c>
    </row>
    <row r="26" spans="1:7" x14ac:dyDescent="0.3">
      <c r="A26" s="1" t="s">
        <v>30</v>
      </c>
      <c r="B26" s="1">
        <v>3.1</v>
      </c>
      <c r="C26" s="1">
        <v>10</v>
      </c>
      <c r="D26" s="1">
        <v>6.7</v>
      </c>
      <c r="E26" s="1">
        <v>2.9</v>
      </c>
      <c r="F26" s="1">
        <v>5.5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69.306930693069319</v>
      </c>
      <c r="C30" s="3">
        <f t="shared" ref="C30:G30" si="2">C25/C28*100</f>
        <v>0</v>
      </c>
      <c r="D30" s="3">
        <f t="shared" si="2"/>
        <v>32.999999999999993</v>
      </c>
      <c r="E30" s="3">
        <f t="shared" si="2"/>
        <v>71</v>
      </c>
      <c r="F30" s="3">
        <f t="shared" si="2"/>
        <v>45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30.693069306930692</v>
      </c>
      <c r="C31" s="3">
        <f t="shared" ref="C31:G31" si="3">C26/C28*100</f>
        <v>100</v>
      </c>
      <c r="D31" s="3">
        <f t="shared" si="3"/>
        <v>67</v>
      </c>
      <c r="E31" s="3">
        <f t="shared" si="3"/>
        <v>28.999999999999996</v>
      </c>
      <c r="F31" s="3">
        <f t="shared" si="3"/>
        <v>55.000000000000007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15.85</v>
      </c>
      <c r="C33" s="3">
        <v>65.069999999999993</v>
      </c>
      <c r="D33" s="3">
        <v>39.85</v>
      </c>
      <c r="E33" s="3">
        <v>23.39</v>
      </c>
      <c r="F33" s="3">
        <v>26.44</v>
      </c>
      <c r="G33" s="3">
        <v>59.22</v>
      </c>
    </row>
    <row r="35" spans="1:7" x14ac:dyDescent="0.3">
      <c r="A35" s="3" t="s">
        <v>36</v>
      </c>
      <c r="B35" s="3"/>
      <c r="C35" s="3"/>
      <c r="D35" s="3">
        <f>D33-C33</f>
        <v>-25.219999999999992</v>
      </c>
      <c r="E35" s="3"/>
      <c r="F35" s="3">
        <f>F33-E33</f>
        <v>3.0500000000000007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-16.46</v>
      </c>
      <c r="F37" s="3"/>
      <c r="G37" s="3">
        <f>G33-F33</f>
        <v>32.78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78FC-A892-44E0-9E38-7A9DCD499DDC}">
  <dimension ref="A1:G37"/>
  <sheetViews>
    <sheetView zoomScale="70" zoomScaleNormal="70" workbookViewId="0">
      <selection activeCell="L23" sqref="L2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843.48</v>
      </c>
      <c r="C2" s="1">
        <v>838.2</v>
      </c>
      <c r="D2" s="1">
        <v>823.66</v>
      </c>
      <c r="E2" s="1">
        <v>841.33</v>
      </c>
      <c r="F2" s="1">
        <v>836.22</v>
      </c>
      <c r="G2" s="1">
        <v>838.68</v>
      </c>
    </row>
    <row r="3" spans="1:7" x14ac:dyDescent="0.3">
      <c r="A3" s="1" t="s">
        <v>7</v>
      </c>
      <c r="B3" s="1">
        <v>72.31</v>
      </c>
      <c r="C3" s="1">
        <v>63.87</v>
      </c>
      <c r="D3" s="1">
        <v>59.78</v>
      </c>
      <c r="E3" s="1">
        <v>65.91</v>
      </c>
      <c r="F3" s="1">
        <v>63</v>
      </c>
      <c r="G3" s="1">
        <v>62.46</v>
      </c>
    </row>
    <row r="4" spans="1:7" x14ac:dyDescent="0.3">
      <c r="A4" s="1" t="s">
        <v>8</v>
      </c>
      <c r="B4" s="1">
        <v>62054.2</v>
      </c>
      <c r="C4" s="1">
        <v>54419.01</v>
      </c>
      <c r="D4" s="1">
        <v>50010.13</v>
      </c>
      <c r="E4" s="1">
        <v>56388.21</v>
      </c>
      <c r="F4" s="1">
        <v>53551.11</v>
      </c>
      <c r="G4" s="1">
        <v>53257.14</v>
      </c>
    </row>
    <row r="5" spans="1:7" x14ac:dyDescent="0.3">
      <c r="A5" s="1" t="s">
        <v>9</v>
      </c>
      <c r="B5" s="1">
        <v>784.17</v>
      </c>
      <c r="C5" s="1">
        <v>721.85</v>
      </c>
      <c r="D5" s="1">
        <v>780.99</v>
      </c>
      <c r="E5" s="1">
        <v>700.99</v>
      </c>
      <c r="F5" s="1">
        <v>840.72</v>
      </c>
      <c r="G5" s="1">
        <v>784.73</v>
      </c>
    </row>
    <row r="6" spans="1:7" x14ac:dyDescent="0.3">
      <c r="A6" s="3" t="s">
        <v>10</v>
      </c>
      <c r="B6" s="3">
        <v>78.42</v>
      </c>
      <c r="C6" s="3">
        <v>72.91</v>
      </c>
      <c r="D6" s="3">
        <v>78.89</v>
      </c>
      <c r="E6" s="3">
        <v>70.81</v>
      </c>
      <c r="F6" s="3">
        <v>84.92</v>
      </c>
      <c r="G6" s="3">
        <v>80.069999999999993</v>
      </c>
    </row>
    <row r="7" spans="1:7" x14ac:dyDescent="0.3">
      <c r="A7" s="1" t="s">
        <v>11</v>
      </c>
      <c r="B7" s="1">
        <v>769.9</v>
      </c>
      <c r="C7" s="1">
        <v>708.83</v>
      </c>
      <c r="D7" s="1">
        <v>763.14</v>
      </c>
      <c r="E7" s="1">
        <v>689.64</v>
      </c>
      <c r="F7" s="1">
        <v>836.06</v>
      </c>
      <c r="G7" s="1">
        <v>773.27</v>
      </c>
    </row>
    <row r="8" spans="1:7" x14ac:dyDescent="0.3">
      <c r="A8" s="1" t="s">
        <v>12</v>
      </c>
      <c r="B8" s="1">
        <v>76.989999999999995</v>
      </c>
      <c r="C8" s="1">
        <v>71.599999999999994</v>
      </c>
      <c r="D8" s="1">
        <v>77.08</v>
      </c>
      <c r="E8" s="1">
        <v>69.66</v>
      </c>
      <c r="F8" s="1">
        <v>84.45</v>
      </c>
      <c r="G8" s="1">
        <v>78.900000000000006</v>
      </c>
    </row>
    <row r="9" spans="1:7" x14ac:dyDescent="0.3">
      <c r="A9" s="1" t="s">
        <v>13</v>
      </c>
      <c r="B9" s="1">
        <v>709.83</v>
      </c>
      <c r="C9" s="1">
        <v>431.56</v>
      </c>
      <c r="D9" s="1">
        <v>713.99</v>
      </c>
      <c r="E9" s="1">
        <v>689.64</v>
      </c>
      <c r="F9" s="1">
        <v>550.94000000000005</v>
      </c>
      <c r="G9" s="1">
        <v>772.94</v>
      </c>
    </row>
    <row r="10" spans="1:7" x14ac:dyDescent="0.3">
      <c r="A10" s="1" t="s">
        <v>14</v>
      </c>
      <c r="B10" s="1">
        <v>70.98</v>
      </c>
      <c r="C10" s="1">
        <v>43.59</v>
      </c>
      <c r="D10" s="1">
        <v>72.12</v>
      </c>
      <c r="E10" s="1">
        <v>69.66</v>
      </c>
      <c r="F10" s="1">
        <v>55.65</v>
      </c>
      <c r="G10" s="1">
        <v>78.87</v>
      </c>
    </row>
    <row r="11" spans="1:7" x14ac:dyDescent="0.3">
      <c r="A11" s="1" t="s">
        <v>15</v>
      </c>
      <c r="B11" s="1">
        <v>551.54999999999995</v>
      </c>
      <c r="C11" s="1">
        <v>146.26</v>
      </c>
      <c r="D11" s="1">
        <v>623.4</v>
      </c>
      <c r="E11" s="1">
        <v>646.88</v>
      </c>
      <c r="F11" s="1">
        <v>459.65</v>
      </c>
      <c r="G11" s="1">
        <v>693.94</v>
      </c>
    </row>
    <row r="12" spans="1:7" x14ac:dyDescent="0.3">
      <c r="A12" s="1" t="s">
        <v>16</v>
      </c>
      <c r="B12" s="1">
        <v>429.59</v>
      </c>
      <c r="C12" s="1">
        <v>417.26</v>
      </c>
      <c r="D12" s="1">
        <v>390.33</v>
      </c>
      <c r="E12" s="1">
        <v>403.9</v>
      </c>
      <c r="F12" s="1">
        <v>420.83</v>
      </c>
      <c r="G12" s="1">
        <v>402.72</v>
      </c>
    </row>
    <row r="13" spans="1:7" x14ac:dyDescent="0.3">
      <c r="A13" s="1" t="s">
        <v>17</v>
      </c>
      <c r="B13" s="1">
        <v>45.28</v>
      </c>
      <c r="C13" s="1">
        <v>38.94</v>
      </c>
      <c r="D13" s="1">
        <v>42.72</v>
      </c>
      <c r="E13" s="1">
        <v>35.81</v>
      </c>
      <c r="F13" s="1">
        <v>46.84</v>
      </c>
      <c r="G13" s="1">
        <v>34.64</v>
      </c>
    </row>
    <row r="14" spans="1:7" x14ac:dyDescent="0.3">
      <c r="A14" s="1" t="s">
        <v>18</v>
      </c>
      <c r="B14" s="1">
        <v>82.53</v>
      </c>
      <c r="C14" s="1">
        <v>103.38</v>
      </c>
      <c r="D14" s="1">
        <v>101.72</v>
      </c>
      <c r="E14" s="1">
        <v>96.63</v>
      </c>
      <c r="F14" s="1">
        <v>85.94</v>
      </c>
      <c r="G14" s="1">
        <v>95.83</v>
      </c>
    </row>
    <row r="15" spans="1:7" x14ac:dyDescent="0.3">
      <c r="A15" s="1" t="s">
        <v>19</v>
      </c>
      <c r="B15" s="1">
        <v>2</v>
      </c>
      <c r="C15" s="1">
        <v>3</v>
      </c>
      <c r="D15" s="1">
        <v>1</v>
      </c>
      <c r="E15" s="1">
        <v>2</v>
      </c>
      <c r="F15" s="1">
        <v>2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739.87</v>
      </c>
      <c r="C17" s="1">
        <v>570.20000000000005</v>
      </c>
      <c r="D17" s="1">
        <v>738.57</v>
      </c>
      <c r="E17" s="1">
        <v>689.64</v>
      </c>
      <c r="F17" s="1">
        <v>693.5</v>
      </c>
      <c r="G17" s="1">
        <v>773.1</v>
      </c>
    </row>
    <row r="18" spans="1:7" x14ac:dyDescent="0.3">
      <c r="A18" s="1" t="s">
        <v>22</v>
      </c>
      <c r="B18" s="1">
        <v>30.04</v>
      </c>
      <c r="C18" s="1">
        <v>138.63999999999999</v>
      </c>
      <c r="D18" s="1">
        <v>24.57</v>
      </c>
      <c r="E18" s="1">
        <v>0</v>
      </c>
      <c r="F18" s="1">
        <v>142.56</v>
      </c>
      <c r="G18" s="1">
        <v>0.17</v>
      </c>
    </row>
    <row r="19" spans="1:7" x14ac:dyDescent="0.3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3.6</v>
      </c>
      <c r="D20" s="1">
        <v>0</v>
      </c>
      <c r="E20" s="1">
        <v>0</v>
      </c>
      <c r="F20" s="1">
        <v>1.1000000000000001</v>
      </c>
      <c r="G20" s="1">
        <v>0</v>
      </c>
    </row>
    <row r="21" spans="1:7" x14ac:dyDescent="0.3">
      <c r="A21" s="1" t="s">
        <v>25</v>
      </c>
      <c r="B21" s="1">
        <v>10.1</v>
      </c>
      <c r="C21" s="1">
        <v>6.4</v>
      </c>
      <c r="D21" s="1">
        <v>10</v>
      </c>
      <c r="E21" s="1">
        <v>10</v>
      </c>
      <c r="F21" s="1">
        <v>8.9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3.6</v>
      </c>
      <c r="D24" s="1">
        <v>0</v>
      </c>
      <c r="E24" s="1">
        <v>0</v>
      </c>
      <c r="F24" s="1">
        <v>1.2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1.5</v>
      </c>
      <c r="G25" s="1">
        <v>0</v>
      </c>
    </row>
    <row r="26" spans="1:7" x14ac:dyDescent="0.3">
      <c r="A26" s="1" t="s">
        <v>30</v>
      </c>
      <c r="B26" s="1">
        <v>10.1</v>
      </c>
      <c r="C26" s="1">
        <v>6.4</v>
      </c>
      <c r="D26" s="1">
        <v>10</v>
      </c>
      <c r="E26" s="1">
        <v>10</v>
      </c>
      <c r="F26" s="1">
        <v>7.3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36</v>
      </c>
      <c r="D29" s="3">
        <f t="shared" si="1"/>
        <v>0</v>
      </c>
      <c r="E29" s="3">
        <f t="shared" si="1"/>
        <v>0</v>
      </c>
      <c r="F29" s="3">
        <f t="shared" si="1"/>
        <v>12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15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64</v>
      </c>
      <c r="D31" s="3">
        <f t="shared" si="3"/>
        <v>100</v>
      </c>
      <c r="E31" s="3">
        <f t="shared" si="3"/>
        <v>100</v>
      </c>
      <c r="F31" s="3">
        <f t="shared" si="3"/>
        <v>73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66.180000000000007</v>
      </c>
      <c r="C33" s="3">
        <v>21.44</v>
      </c>
      <c r="D33" s="3">
        <v>68.989999999999995</v>
      </c>
      <c r="E33" s="3">
        <v>71.91</v>
      </c>
      <c r="F33" s="3">
        <v>55.44</v>
      </c>
      <c r="G33" s="3">
        <v>78.66</v>
      </c>
    </row>
    <row r="35" spans="1:7" x14ac:dyDescent="0.3">
      <c r="A35" s="3" t="s">
        <v>36</v>
      </c>
      <c r="B35" s="3"/>
      <c r="C35" s="3"/>
      <c r="D35" s="3">
        <f>D33-C33</f>
        <v>47.55</v>
      </c>
      <c r="E35" s="3"/>
      <c r="F35" s="3">
        <f>F33-E33</f>
        <v>-16.47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2.9200000000000017</v>
      </c>
      <c r="F37" s="3"/>
      <c r="G37" s="3">
        <f>G33-F33</f>
        <v>23.22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1BEB-1267-4C5D-91DE-626A909F0AC3}">
  <dimension ref="A1:G37"/>
  <sheetViews>
    <sheetView tabSelected="1" zoomScale="70" zoomScaleNormal="70" workbookViewId="0">
      <selection activeCell="J26" sqref="J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796.29</v>
      </c>
      <c r="C2" s="1">
        <v>743.39</v>
      </c>
      <c r="D2" s="1">
        <v>777.43</v>
      </c>
      <c r="E2" s="1">
        <v>821.6</v>
      </c>
      <c r="F2" s="1">
        <v>817.31</v>
      </c>
      <c r="G2" s="1">
        <v>697.69</v>
      </c>
    </row>
    <row r="3" spans="1:7" x14ac:dyDescent="0.3">
      <c r="A3" s="1" t="s">
        <v>7</v>
      </c>
      <c r="B3" s="1">
        <v>62.32</v>
      </c>
      <c r="C3" s="1">
        <v>62.74</v>
      </c>
      <c r="D3" s="1">
        <v>61.44</v>
      </c>
      <c r="E3" s="1">
        <v>63.74</v>
      </c>
      <c r="F3" s="1">
        <v>62.76</v>
      </c>
      <c r="G3" s="1">
        <v>63.63</v>
      </c>
    </row>
    <row r="4" spans="1:7" x14ac:dyDescent="0.3">
      <c r="A4" s="1" t="s">
        <v>8</v>
      </c>
      <c r="B4" s="1">
        <v>50461.51</v>
      </c>
      <c r="C4" s="1">
        <v>47388.22</v>
      </c>
      <c r="D4" s="1">
        <v>48555.360000000001</v>
      </c>
      <c r="E4" s="1">
        <v>53253.21</v>
      </c>
      <c r="F4" s="1">
        <v>52156.03</v>
      </c>
      <c r="G4" s="1">
        <v>44549.95</v>
      </c>
    </row>
    <row r="5" spans="1:7" x14ac:dyDescent="0.3">
      <c r="A5" s="1" t="s">
        <v>9</v>
      </c>
      <c r="B5" s="1">
        <v>605.29999999999995</v>
      </c>
      <c r="C5" s="1">
        <v>302.60000000000002</v>
      </c>
      <c r="D5" s="1">
        <v>514.01</v>
      </c>
      <c r="E5" s="1">
        <v>312.39999999999998</v>
      </c>
      <c r="F5" s="1">
        <v>490.18</v>
      </c>
      <c r="G5" s="1">
        <v>688.15</v>
      </c>
    </row>
    <row r="6" spans="1:7" x14ac:dyDescent="0.3">
      <c r="A6" s="3" t="s">
        <v>10</v>
      </c>
      <c r="B6" s="3">
        <v>60.53</v>
      </c>
      <c r="C6" s="3">
        <v>30.57</v>
      </c>
      <c r="D6" s="3">
        <v>51.92</v>
      </c>
      <c r="E6" s="3">
        <v>31.56</v>
      </c>
      <c r="F6" s="3">
        <v>49.51</v>
      </c>
      <c r="G6" s="3">
        <v>70.22</v>
      </c>
    </row>
    <row r="7" spans="1:7" x14ac:dyDescent="0.3">
      <c r="A7" s="1" t="s">
        <v>11</v>
      </c>
      <c r="B7" s="1">
        <v>588.92999999999995</v>
      </c>
      <c r="C7" s="1">
        <v>288.77999999999997</v>
      </c>
      <c r="D7" s="1">
        <v>500.94</v>
      </c>
      <c r="E7" s="1">
        <v>304.10000000000002</v>
      </c>
      <c r="F7" s="1">
        <v>460.03</v>
      </c>
      <c r="G7" s="1">
        <v>637.89</v>
      </c>
    </row>
    <row r="8" spans="1:7" x14ac:dyDescent="0.3">
      <c r="A8" s="1" t="s">
        <v>12</v>
      </c>
      <c r="B8" s="1">
        <v>58.89</v>
      </c>
      <c r="C8" s="1">
        <v>29.17</v>
      </c>
      <c r="D8" s="1">
        <v>50.6</v>
      </c>
      <c r="E8" s="1">
        <v>30.72</v>
      </c>
      <c r="F8" s="1">
        <v>46.47</v>
      </c>
      <c r="G8" s="1">
        <v>65.09</v>
      </c>
    </row>
    <row r="9" spans="1:7" x14ac:dyDescent="0.3">
      <c r="A9" s="1" t="s">
        <v>13</v>
      </c>
      <c r="B9" s="1">
        <v>-391.76</v>
      </c>
      <c r="C9" s="1">
        <v>215.17</v>
      </c>
      <c r="D9" s="1">
        <v>-329.19</v>
      </c>
      <c r="E9" s="1">
        <v>283.17</v>
      </c>
      <c r="F9" s="1">
        <v>375.83</v>
      </c>
      <c r="G9" s="1">
        <v>483.67</v>
      </c>
    </row>
    <row r="10" spans="1:7" x14ac:dyDescent="0.3">
      <c r="A10" s="1" t="s">
        <v>14</v>
      </c>
      <c r="B10" s="1">
        <v>-39.18</v>
      </c>
      <c r="C10" s="1">
        <v>21.73</v>
      </c>
      <c r="D10" s="1">
        <v>-33.25</v>
      </c>
      <c r="E10" s="1">
        <v>28.6</v>
      </c>
      <c r="F10" s="1">
        <v>37.96</v>
      </c>
      <c r="G10" s="1">
        <v>49.35</v>
      </c>
    </row>
    <row r="11" spans="1:7" x14ac:dyDescent="0.3">
      <c r="A11" s="1" t="s">
        <v>15</v>
      </c>
      <c r="B11" s="1">
        <v>226.05</v>
      </c>
      <c r="C11" s="1">
        <v>176.49</v>
      </c>
      <c r="D11" s="1">
        <v>211.9</v>
      </c>
      <c r="E11" s="1">
        <v>265.61</v>
      </c>
      <c r="F11" s="1">
        <v>269.95999999999998</v>
      </c>
      <c r="G11" s="1">
        <v>317.99</v>
      </c>
    </row>
    <row r="12" spans="1:7" x14ac:dyDescent="0.3">
      <c r="A12" s="1" t="s">
        <v>16</v>
      </c>
      <c r="B12" s="1">
        <v>382.02</v>
      </c>
      <c r="C12" s="1">
        <v>392.74</v>
      </c>
      <c r="D12" s="1">
        <v>326.52</v>
      </c>
      <c r="E12" s="1">
        <v>396.05</v>
      </c>
      <c r="F12" s="1">
        <v>452.19</v>
      </c>
      <c r="G12" s="1">
        <v>353.57</v>
      </c>
    </row>
    <row r="13" spans="1:7" x14ac:dyDescent="0.3">
      <c r="A13" s="1" t="s">
        <v>17</v>
      </c>
      <c r="B13" s="1">
        <v>74.489999999999995</v>
      </c>
      <c r="C13" s="1">
        <v>41.52</v>
      </c>
      <c r="D13" s="1">
        <v>94.6</v>
      </c>
      <c r="E13" s="1">
        <v>29.86</v>
      </c>
      <c r="F13" s="1">
        <v>47.82</v>
      </c>
      <c r="G13" s="1">
        <v>63.08</v>
      </c>
    </row>
    <row r="14" spans="1:7" x14ac:dyDescent="0.3">
      <c r="A14" s="1" t="s">
        <v>18</v>
      </c>
      <c r="B14" s="1">
        <v>136.1</v>
      </c>
      <c r="C14" s="1">
        <v>71.400000000000006</v>
      </c>
      <c r="D14" s="1">
        <v>132.79</v>
      </c>
      <c r="E14" s="1">
        <v>67.540000000000006</v>
      </c>
      <c r="F14" s="1">
        <v>129.55000000000001</v>
      </c>
      <c r="G14" s="1">
        <v>136.34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98.59</v>
      </c>
      <c r="C17" s="1">
        <v>251.97</v>
      </c>
      <c r="D17" s="1">
        <v>85.88</v>
      </c>
      <c r="E17" s="1">
        <v>293.64</v>
      </c>
      <c r="F17" s="1">
        <v>417.93</v>
      </c>
      <c r="G17" s="1">
        <v>560.78</v>
      </c>
    </row>
    <row r="18" spans="1:7" x14ac:dyDescent="0.3">
      <c r="A18" s="1" t="s">
        <v>22</v>
      </c>
      <c r="B18" s="1">
        <v>490.34</v>
      </c>
      <c r="C18" s="1">
        <v>36.799999999999997</v>
      </c>
      <c r="D18" s="1">
        <v>415.07</v>
      </c>
      <c r="E18" s="1">
        <v>10.47</v>
      </c>
      <c r="F18" s="1">
        <v>42.1</v>
      </c>
      <c r="G18" s="1">
        <v>77.11</v>
      </c>
    </row>
    <row r="19" spans="1:7" x14ac:dyDescent="0.3">
      <c r="A19" s="1" t="s">
        <v>23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4.9000000000000004</v>
      </c>
      <c r="C20" s="1">
        <v>1.2</v>
      </c>
      <c r="D20" s="1">
        <v>5.2</v>
      </c>
      <c r="E20" s="1">
        <v>1.2</v>
      </c>
      <c r="F20" s="1">
        <v>2.5</v>
      </c>
      <c r="G20" s="1">
        <v>0</v>
      </c>
    </row>
    <row r="21" spans="1:7" x14ac:dyDescent="0.3">
      <c r="A21" s="1" t="s">
        <v>25</v>
      </c>
      <c r="B21" s="1">
        <v>5.2</v>
      </c>
      <c r="C21" s="1">
        <v>8.8000000000000007</v>
      </c>
      <c r="D21" s="1">
        <v>4.8</v>
      </c>
      <c r="E21" s="1">
        <v>8.8000000000000007</v>
      </c>
      <c r="F21" s="1">
        <v>7.5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2.5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4.4000000000000004</v>
      </c>
      <c r="C24" s="1">
        <v>0</v>
      </c>
      <c r="D24" s="1">
        <v>5.7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1.8</v>
      </c>
      <c r="C25" s="1">
        <v>7.6</v>
      </c>
      <c r="D25" s="1">
        <v>1.2</v>
      </c>
      <c r="E25" s="1">
        <v>6.1</v>
      </c>
      <c r="F25" s="1">
        <v>4.3</v>
      </c>
      <c r="G25" s="1">
        <v>1.2</v>
      </c>
    </row>
    <row r="26" spans="1:7" x14ac:dyDescent="0.3">
      <c r="A26" s="1" t="s">
        <v>30</v>
      </c>
      <c r="B26" s="1">
        <v>3.9</v>
      </c>
      <c r="C26" s="1">
        <v>2.4</v>
      </c>
      <c r="D26" s="1">
        <v>3.1</v>
      </c>
      <c r="E26" s="1">
        <v>3.9</v>
      </c>
      <c r="F26" s="1">
        <v>5.7</v>
      </c>
      <c r="G26" s="1">
        <v>8.6999999999999993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43.564356435643568</v>
      </c>
      <c r="C29" s="3">
        <f t="shared" ref="C29:G29" si="1">C24/C28*100</f>
        <v>0</v>
      </c>
      <c r="D29" s="3">
        <f t="shared" si="1"/>
        <v>57.000000000000007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17.821782178217823</v>
      </c>
      <c r="C30" s="3">
        <f t="shared" ref="C30:G30" si="2">C25/C28*100</f>
        <v>76</v>
      </c>
      <c r="D30" s="3">
        <f t="shared" si="2"/>
        <v>12</v>
      </c>
      <c r="E30" s="3">
        <f t="shared" si="2"/>
        <v>61</v>
      </c>
      <c r="F30" s="3">
        <f t="shared" si="2"/>
        <v>43</v>
      </c>
      <c r="G30" s="3">
        <f t="shared" si="2"/>
        <v>12.121212121212123</v>
      </c>
    </row>
    <row r="31" spans="1:7" x14ac:dyDescent="0.3">
      <c r="A31" s="3" t="s">
        <v>34</v>
      </c>
      <c r="B31" s="3">
        <f>B26/B28*100</f>
        <v>38.613861386138616</v>
      </c>
      <c r="C31" s="3">
        <f t="shared" ref="C31:G31" si="3">C26/C28*100</f>
        <v>24</v>
      </c>
      <c r="D31" s="3">
        <f t="shared" si="3"/>
        <v>31</v>
      </c>
      <c r="E31" s="3">
        <f t="shared" si="3"/>
        <v>39</v>
      </c>
      <c r="F31" s="3">
        <f t="shared" si="3"/>
        <v>57.000000000000007</v>
      </c>
      <c r="G31" s="3">
        <f t="shared" si="3"/>
        <v>87.87878787878789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-22.56</v>
      </c>
      <c r="C33" s="3">
        <v>20</v>
      </c>
      <c r="D33" s="3">
        <v>-23.32</v>
      </c>
      <c r="E33" s="3">
        <v>28.38</v>
      </c>
      <c r="F33" s="3">
        <v>34.72</v>
      </c>
      <c r="G33" s="3">
        <v>54</v>
      </c>
    </row>
    <row r="35" spans="1:7" x14ac:dyDescent="0.3">
      <c r="A35" s="3" t="s">
        <v>36</v>
      </c>
      <c r="B35" s="3"/>
      <c r="C35" s="3"/>
      <c r="D35" s="3">
        <f>D33-C33</f>
        <v>-43.32</v>
      </c>
      <c r="E35" s="3"/>
      <c r="F35" s="3">
        <f>F33-E33</f>
        <v>6.34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51.7</v>
      </c>
      <c r="F37" s="3"/>
      <c r="G37" s="3">
        <f>G33-F33</f>
        <v>19.28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3211-DF7F-4404-B2C8-25A199408829}">
  <dimension ref="A1:G37"/>
  <sheetViews>
    <sheetView zoomScale="70" zoomScaleNormal="70" workbookViewId="0">
      <selection sqref="A1:XFD104857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240608Bhz001.2</vt:lpstr>
      <vt:lpstr>240608Bhz001.3</vt:lpstr>
      <vt:lpstr>240608Bhz002.1</vt:lpstr>
      <vt:lpstr>240608Bhz003.1</vt:lpstr>
      <vt:lpstr>240608Bhz003.2</vt:lpstr>
      <vt:lpstr>240608Bhz003.3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2024-07-12T22:01:35Z</dcterms:created>
  <dcterms:modified xsi:type="dcterms:W3CDTF">2024-07-14T22:00:10Z</dcterms:modified>
</cp:coreProperties>
</file>