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9\WormLab Data\EAH467\"/>
    </mc:Choice>
  </mc:AlternateContent>
  <xr:revisionPtr revIDLastSave="0" documentId="13_ncr:1_{A3562B43-7277-4E50-9492-B903F0DCC3E8}" xr6:coauthVersionLast="47" xr6:coauthVersionMax="47" xr10:uidLastSave="{00000000-0000-0000-0000-000000000000}"/>
  <bookViews>
    <workbookView xWindow="1812" yWindow="1812" windowWidth="21036" windowHeight="11256" activeTab="4" xr2:uid="{982634B3-83A3-4B12-9802-BE13F898663C}"/>
  </bookViews>
  <sheets>
    <sheet name="240719Bhz001.3" sheetId="2" r:id="rId1"/>
    <sheet name="240719Bhz002.1" sheetId="3" r:id="rId2"/>
    <sheet name="240719Bhz002.2" sheetId="4" r:id="rId3"/>
    <sheet name="240719Bhz003.3" sheetId="5" r:id="rId4"/>
    <sheet name="240719Bhz004.3" sheetId="6" r:id="rId5"/>
    <sheet name="templat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6" l="1"/>
  <c r="E37" i="6"/>
  <c r="C37" i="6"/>
  <c r="F35" i="6"/>
  <c r="D35" i="6"/>
  <c r="G28" i="6"/>
  <c r="G30" i="6" s="1"/>
  <c r="F28" i="6"/>
  <c r="F30" i="6" s="1"/>
  <c r="E28" i="6"/>
  <c r="E31" i="6" s="1"/>
  <c r="D28" i="6"/>
  <c r="D29" i="6" s="1"/>
  <c r="C28" i="6"/>
  <c r="C31" i="6" s="1"/>
  <c r="B28" i="6"/>
  <c r="B31" i="6" s="1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30" i="5" s="1"/>
  <c r="C28" i="5"/>
  <c r="C31" i="5" s="1"/>
  <c r="B28" i="5"/>
  <c r="B31" i="5" s="1"/>
  <c r="G37" i="4"/>
  <c r="E37" i="4"/>
  <c r="C37" i="4"/>
  <c r="F35" i="4"/>
  <c r="D35" i="4"/>
  <c r="G28" i="4"/>
  <c r="G31" i="4" s="1"/>
  <c r="F28" i="4"/>
  <c r="F31" i="4" s="1"/>
  <c r="E28" i="4"/>
  <c r="E31" i="4" s="1"/>
  <c r="D28" i="4"/>
  <c r="D31" i="4" s="1"/>
  <c r="C28" i="4"/>
  <c r="C29" i="4" s="1"/>
  <c r="B28" i="4"/>
  <c r="B31" i="4" s="1"/>
  <c r="G37" i="3"/>
  <c r="E37" i="3"/>
  <c r="C37" i="3"/>
  <c r="F35" i="3"/>
  <c r="D35" i="3"/>
  <c r="G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F31" i="3" s="1"/>
  <c r="E28" i="3"/>
  <c r="E31" i="3" s="1"/>
  <c r="D28" i="3"/>
  <c r="C28" i="3"/>
  <c r="B28" i="3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G28" i="1"/>
  <c r="F28" i="1"/>
  <c r="E28" i="1"/>
  <c r="D28" i="1"/>
  <c r="C28" i="1"/>
  <c r="C29" i="1" s="1"/>
  <c r="B28" i="1"/>
  <c r="B29" i="1" s="1"/>
  <c r="B29" i="6" l="1"/>
  <c r="C29" i="6"/>
  <c r="B30" i="6"/>
  <c r="C30" i="6"/>
  <c r="F31" i="6"/>
  <c r="G31" i="6"/>
  <c r="E29" i="6"/>
  <c r="F29" i="6"/>
  <c r="G29" i="6"/>
  <c r="D30" i="6"/>
  <c r="E30" i="6"/>
  <c r="D31" i="6"/>
  <c r="D31" i="5"/>
  <c r="E31" i="5"/>
  <c r="F31" i="5"/>
  <c r="G31" i="5"/>
  <c r="B29" i="5"/>
  <c r="C29" i="5"/>
  <c r="D29" i="5"/>
  <c r="E29" i="5"/>
  <c r="F29" i="5"/>
  <c r="G29" i="5"/>
  <c r="B30" i="5"/>
  <c r="C30" i="5"/>
  <c r="D29" i="4"/>
  <c r="E29" i="4"/>
  <c r="F29" i="4"/>
  <c r="G29" i="4"/>
  <c r="B30" i="4"/>
  <c r="C30" i="4"/>
  <c r="D30" i="4"/>
  <c r="E30" i="4"/>
  <c r="F30" i="4"/>
  <c r="G30" i="4"/>
  <c r="C31" i="4"/>
  <c r="B29" i="4"/>
</calcChain>
</file>

<file path=xl/sharedStrings.xml><?xml version="1.0" encoding="utf-8"?>
<sst xmlns="http://schemas.openxmlformats.org/spreadsheetml/2006/main" count="228" uniqueCount="37">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</sst>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FA24-D667-4DCD-9B44-9B382984B167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788.69</v>
      </c>
      <c r="C2" s="1">
        <v>774.17</v>
      </c>
      <c r="D2" s="1">
        <v>789.34</v>
      </c>
      <c r="E2" s="1">
        <v>780.87</v>
      </c>
      <c r="F2" s="1">
        <v>758.98</v>
      </c>
      <c r="G2" s="1">
        <v>754</v>
      </c>
    </row>
    <row r="3" spans="1:7" x14ac:dyDescent="0.3">
      <c r="A3" s="1" t="s">
        <v>7</v>
      </c>
      <c r="B3" s="1">
        <v>66.709999999999994</v>
      </c>
      <c r="C3" s="1">
        <v>66.66</v>
      </c>
      <c r="D3" s="1">
        <v>64.22</v>
      </c>
      <c r="E3" s="1">
        <v>65.709999999999994</v>
      </c>
      <c r="F3" s="1">
        <v>68.569999999999993</v>
      </c>
      <c r="G3" s="1">
        <v>74.06</v>
      </c>
    </row>
    <row r="4" spans="1:7" x14ac:dyDescent="0.3">
      <c r="A4" s="1" t="s">
        <v>8</v>
      </c>
      <c r="B4" s="1">
        <v>53499.64</v>
      </c>
      <c r="C4" s="1">
        <v>52478.53</v>
      </c>
      <c r="D4" s="1">
        <v>51543.44</v>
      </c>
      <c r="E4" s="1">
        <v>52175.13</v>
      </c>
      <c r="F4" s="1">
        <v>52894.7</v>
      </c>
      <c r="G4" s="1">
        <v>56783.08</v>
      </c>
    </row>
    <row r="5" spans="1:7" x14ac:dyDescent="0.3">
      <c r="A5" s="1" t="s">
        <v>9</v>
      </c>
      <c r="B5" s="1">
        <v>651.57000000000005</v>
      </c>
      <c r="C5" s="1">
        <v>664.74</v>
      </c>
      <c r="D5" s="1">
        <v>464.28</v>
      </c>
      <c r="E5" s="1">
        <v>825.49</v>
      </c>
      <c r="F5" s="1">
        <v>680.18</v>
      </c>
      <c r="G5" s="1">
        <v>486.47</v>
      </c>
    </row>
    <row r="6" spans="1:7" x14ac:dyDescent="0.3">
      <c r="A6" s="3" t="s">
        <v>10</v>
      </c>
      <c r="B6" s="3">
        <v>65.16</v>
      </c>
      <c r="C6" s="3">
        <v>67.150000000000006</v>
      </c>
      <c r="D6" s="3">
        <v>46.9</v>
      </c>
      <c r="E6" s="3">
        <v>83.38</v>
      </c>
      <c r="F6" s="3">
        <v>68.709999999999994</v>
      </c>
      <c r="G6" s="3">
        <v>49.64</v>
      </c>
    </row>
    <row r="7" spans="1:7" x14ac:dyDescent="0.3">
      <c r="A7" s="1" t="s">
        <v>11</v>
      </c>
      <c r="B7" s="1">
        <v>616.88</v>
      </c>
      <c r="C7" s="1">
        <v>638.70000000000005</v>
      </c>
      <c r="D7" s="1">
        <v>426.83</v>
      </c>
      <c r="E7" s="1">
        <v>798.21</v>
      </c>
      <c r="F7" s="1">
        <v>644.24</v>
      </c>
      <c r="G7" s="1">
        <v>462.5</v>
      </c>
    </row>
    <row r="8" spans="1:7" x14ac:dyDescent="0.3">
      <c r="A8" s="1" t="s">
        <v>12</v>
      </c>
      <c r="B8" s="1">
        <v>61.69</v>
      </c>
      <c r="C8" s="1">
        <v>64.510000000000005</v>
      </c>
      <c r="D8" s="1">
        <v>43.11</v>
      </c>
      <c r="E8" s="1">
        <v>80.63</v>
      </c>
      <c r="F8" s="1">
        <v>65.069999999999993</v>
      </c>
      <c r="G8" s="1">
        <v>47.19</v>
      </c>
    </row>
    <row r="9" spans="1:7" x14ac:dyDescent="0.3">
      <c r="A9" s="1" t="s">
        <v>13</v>
      </c>
      <c r="B9" s="1">
        <v>616.16</v>
      </c>
      <c r="C9" s="1">
        <v>638.70000000000005</v>
      </c>
      <c r="D9" s="1">
        <v>415.37</v>
      </c>
      <c r="E9" s="1">
        <v>797.12</v>
      </c>
      <c r="F9" s="1">
        <v>642.03</v>
      </c>
      <c r="G9" s="1">
        <v>416.49</v>
      </c>
    </row>
    <row r="10" spans="1:7" x14ac:dyDescent="0.3">
      <c r="A10" s="1" t="s">
        <v>14</v>
      </c>
      <c r="B10" s="1">
        <v>61.62</v>
      </c>
      <c r="C10" s="1">
        <v>64.510000000000005</v>
      </c>
      <c r="D10" s="1">
        <v>41.96</v>
      </c>
      <c r="E10" s="1">
        <v>80.52</v>
      </c>
      <c r="F10" s="1">
        <v>64.849999999999994</v>
      </c>
      <c r="G10" s="1">
        <v>42.5</v>
      </c>
    </row>
    <row r="11" spans="1:7" x14ac:dyDescent="0.3">
      <c r="A11" s="1" t="s">
        <v>15</v>
      </c>
      <c r="B11" s="1">
        <v>441.31</v>
      </c>
      <c r="C11" s="1">
        <v>397.5</v>
      </c>
      <c r="D11" s="1">
        <v>357.89</v>
      </c>
      <c r="E11" s="1">
        <v>649.19000000000005</v>
      </c>
      <c r="F11" s="1">
        <v>463.03</v>
      </c>
      <c r="G11" s="1">
        <v>362.63</v>
      </c>
    </row>
    <row r="12" spans="1:7" x14ac:dyDescent="0.3">
      <c r="A12" s="1" t="s">
        <v>16</v>
      </c>
      <c r="B12" s="1">
        <v>430.42</v>
      </c>
      <c r="C12" s="1">
        <v>357.66</v>
      </c>
      <c r="D12" s="1">
        <v>434.33</v>
      </c>
      <c r="E12" s="1">
        <v>417.35</v>
      </c>
      <c r="F12" s="1">
        <v>407.59</v>
      </c>
      <c r="G12" s="1">
        <v>401.01</v>
      </c>
    </row>
    <row r="13" spans="1:7" x14ac:dyDescent="0.3">
      <c r="A13" s="1" t="s">
        <v>17</v>
      </c>
      <c r="B13" s="1">
        <v>42.88</v>
      </c>
      <c r="C13" s="1">
        <v>78.930000000000007</v>
      </c>
      <c r="D13" s="1">
        <v>45.01</v>
      </c>
      <c r="E13" s="1">
        <v>48.38</v>
      </c>
      <c r="F13" s="1">
        <v>53.17</v>
      </c>
      <c r="G13" s="1">
        <v>56.89</v>
      </c>
    </row>
    <row r="14" spans="1:7" x14ac:dyDescent="0.3">
      <c r="A14" s="1" t="s">
        <v>18</v>
      </c>
      <c r="B14" s="1">
        <v>118.65</v>
      </c>
      <c r="C14" s="1">
        <v>139.68</v>
      </c>
      <c r="D14" s="1">
        <v>85.38</v>
      </c>
      <c r="E14" s="1">
        <v>114.77</v>
      </c>
      <c r="F14" s="1">
        <v>131.71</v>
      </c>
      <c r="G14" s="1">
        <v>90.39</v>
      </c>
    </row>
    <row r="15" spans="1:7" x14ac:dyDescent="0.3">
      <c r="A15" s="1" t="s">
        <v>19</v>
      </c>
      <c r="B15" s="1">
        <v>2</v>
      </c>
      <c r="C15" s="1">
        <v>2</v>
      </c>
      <c r="D15" s="1">
        <v>2</v>
      </c>
      <c r="E15" s="1">
        <v>3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616.52</v>
      </c>
      <c r="C17" s="1">
        <v>638.70000000000005</v>
      </c>
      <c r="D17" s="1">
        <v>421.1</v>
      </c>
      <c r="E17" s="1">
        <v>797.66</v>
      </c>
      <c r="F17" s="1">
        <v>643.14</v>
      </c>
      <c r="G17" s="1">
        <v>439.49</v>
      </c>
    </row>
    <row r="18" spans="1:7" x14ac:dyDescent="0.3">
      <c r="A18" s="1" t="s">
        <v>22</v>
      </c>
      <c r="B18" s="1">
        <v>0.36</v>
      </c>
      <c r="C18" s="1">
        <v>0</v>
      </c>
      <c r="D18" s="1">
        <v>5.73</v>
      </c>
      <c r="E18" s="1">
        <v>0.55000000000000004</v>
      </c>
      <c r="F18" s="1">
        <v>1.1000000000000001</v>
      </c>
      <c r="G18" s="1">
        <v>23.01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1.2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8.6999999999999993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4.9000000000000004</v>
      </c>
      <c r="E25" s="1">
        <v>0</v>
      </c>
      <c r="F25" s="1">
        <v>0</v>
      </c>
      <c r="G25" s="1">
        <v>2.5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5.0999999999999996</v>
      </c>
      <c r="E26" s="1">
        <v>10</v>
      </c>
      <c r="F26" s="1">
        <v>10</v>
      </c>
      <c r="G26" s="1">
        <v>7.4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49.000000000000007</v>
      </c>
      <c r="E30" s="3">
        <f t="shared" si="2"/>
        <v>0</v>
      </c>
      <c r="F30" s="3">
        <f t="shared" si="2"/>
        <v>0</v>
      </c>
      <c r="G30" s="3">
        <f t="shared" si="2"/>
        <v>25.252525252525253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51</v>
      </c>
      <c r="E31" s="3">
        <f t="shared" si="3"/>
        <v>100</v>
      </c>
      <c r="F31" s="3">
        <f t="shared" si="3"/>
        <v>100</v>
      </c>
      <c r="G31" s="3">
        <f t="shared" si="3"/>
        <v>74.747474747474755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62.87</v>
      </c>
      <c r="C33" s="3">
        <v>64.94</v>
      </c>
      <c r="D33" s="3">
        <v>43.92</v>
      </c>
      <c r="E33" s="3">
        <v>82.22</v>
      </c>
      <c r="F33" s="3">
        <v>68.09</v>
      </c>
      <c r="G33" s="3">
        <v>44.13</v>
      </c>
    </row>
    <row r="35" spans="1:7" x14ac:dyDescent="0.3">
      <c r="A35" s="3" t="s">
        <v>36</v>
      </c>
      <c r="B35" s="3"/>
      <c r="C35" s="3"/>
      <c r="D35" s="3">
        <f>D33-C33</f>
        <v>-21.019999999999996</v>
      </c>
      <c r="E35" s="3"/>
      <c r="F35" s="3">
        <f>F33-E33</f>
        <v>-14.129999999999995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38.299999999999997</v>
      </c>
      <c r="F37" s="3"/>
      <c r="G37" s="3">
        <f>G33-F33</f>
        <v>-23.96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DB40-6C55-4275-B886-98CA5E552306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523.23</v>
      </c>
      <c r="C2" s="1">
        <v>741.02</v>
      </c>
      <c r="D2" s="1">
        <v>749.38</v>
      </c>
      <c r="E2" s="1">
        <v>789.92</v>
      </c>
      <c r="F2" s="1">
        <v>783.26</v>
      </c>
      <c r="G2" s="1">
        <v>663.77</v>
      </c>
    </row>
    <row r="3" spans="1:7" x14ac:dyDescent="0.3">
      <c r="A3" s="1" t="s">
        <v>7</v>
      </c>
      <c r="B3" s="1">
        <v>67.03</v>
      </c>
      <c r="C3" s="1">
        <v>59.28</v>
      </c>
      <c r="D3" s="1">
        <v>61.05</v>
      </c>
      <c r="E3" s="1">
        <v>63.69</v>
      </c>
      <c r="F3" s="1">
        <v>62.47</v>
      </c>
      <c r="G3" s="1">
        <v>61.67</v>
      </c>
    </row>
    <row r="4" spans="1:7" x14ac:dyDescent="0.3">
      <c r="A4" s="1" t="s">
        <v>8</v>
      </c>
      <c r="B4" s="1">
        <v>35408.699999999997</v>
      </c>
      <c r="C4" s="1">
        <v>44684.24</v>
      </c>
      <c r="D4" s="1">
        <v>46510.01</v>
      </c>
      <c r="E4" s="1">
        <v>51169.06</v>
      </c>
      <c r="F4" s="1">
        <v>49763.99</v>
      </c>
      <c r="G4" s="1">
        <v>41504.49</v>
      </c>
    </row>
    <row r="5" spans="1:7" x14ac:dyDescent="0.3">
      <c r="A5" s="1" t="s">
        <v>9</v>
      </c>
      <c r="B5" s="1">
        <v>596.87</v>
      </c>
      <c r="C5" s="1">
        <v>674.92</v>
      </c>
      <c r="D5" s="1">
        <v>641.39</v>
      </c>
      <c r="E5" s="1">
        <v>1148.8800000000001</v>
      </c>
      <c r="F5" s="1">
        <v>1187.8599999999999</v>
      </c>
      <c r="G5" s="1">
        <v>1031.4100000000001</v>
      </c>
    </row>
    <row r="6" spans="1:7" x14ac:dyDescent="0.3">
      <c r="A6" s="3" t="s">
        <v>10</v>
      </c>
      <c r="B6" s="3">
        <v>59.69</v>
      </c>
      <c r="C6" s="3">
        <v>68.17</v>
      </c>
      <c r="D6" s="3">
        <v>64.790000000000006</v>
      </c>
      <c r="E6" s="3">
        <v>116.05</v>
      </c>
      <c r="F6" s="3">
        <v>119.99</v>
      </c>
      <c r="G6" s="3">
        <v>105.25</v>
      </c>
    </row>
    <row r="7" spans="1:7" x14ac:dyDescent="0.3">
      <c r="A7" s="1" t="s">
        <v>11</v>
      </c>
      <c r="B7" s="1">
        <v>567.79</v>
      </c>
      <c r="C7" s="1">
        <v>665.78</v>
      </c>
      <c r="D7" s="1">
        <v>625.26</v>
      </c>
      <c r="E7" s="1">
        <v>1129.1600000000001</v>
      </c>
      <c r="F7" s="1">
        <v>1165.33</v>
      </c>
      <c r="G7" s="1">
        <v>962.67</v>
      </c>
    </row>
    <row r="8" spans="1:7" x14ac:dyDescent="0.3">
      <c r="A8" s="1" t="s">
        <v>12</v>
      </c>
      <c r="B8" s="1">
        <v>56.78</v>
      </c>
      <c r="C8" s="1">
        <v>67.25</v>
      </c>
      <c r="D8" s="1">
        <v>63.16</v>
      </c>
      <c r="E8" s="1">
        <v>114.06</v>
      </c>
      <c r="F8" s="1">
        <v>117.71</v>
      </c>
      <c r="G8" s="1">
        <v>98.23</v>
      </c>
    </row>
    <row r="9" spans="1:7" x14ac:dyDescent="0.3">
      <c r="A9" s="1" t="s">
        <v>13</v>
      </c>
      <c r="B9" s="1">
        <v>446.08</v>
      </c>
      <c r="C9" s="1">
        <v>377.17</v>
      </c>
      <c r="D9" s="1">
        <v>507.99</v>
      </c>
      <c r="E9" s="1">
        <v>1129.1600000000001</v>
      </c>
      <c r="F9" s="1">
        <v>1165.33</v>
      </c>
      <c r="G9" s="1">
        <v>-822.16</v>
      </c>
    </row>
    <row r="10" spans="1:7" x14ac:dyDescent="0.3">
      <c r="A10" s="1" t="s">
        <v>14</v>
      </c>
      <c r="B10" s="1">
        <v>44.61</v>
      </c>
      <c r="C10" s="1">
        <v>38.1</v>
      </c>
      <c r="D10" s="1">
        <v>51.31</v>
      </c>
      <c r="E10" s="1">
        <v>114.06</v>
      </c>
      <c r="F10" s="1">
        <v>117.71</v>
      </c>
      <c r="G10" s="1">
        <v>-83.89</v>
      </c>
    </row>
    <row r="11" spans="1:7" x14ac:dyDescent="0.3">
      <c r="A11" s="1" t="s">
        <v>15</v>
      </c>
      <c r="B11" s="1">
        <v>315.05</v>
      </c>
      <c r="C11" s="1">
        <v>213.02</v>
      </c>
      <c r="D11" s="1">
        <v>234.12</v>
      </c>
      <c r="E11" s="1">
        <v>1068.08</v>
      </c>
      <c r="F11" s="1">
        <v>1075.3399999999999</v>
      </c>
      <c r="G11" s="1">
        <v>499.18</v>
      </c>
    </row>
    <row r="12" spans="1:7" x14ac:dyDescent="0.3">
      <c r="A12" s="1" t="s">
        <v>16</v>
      </c>
      <c r="B12" s="1">
        <v>270.43</v>
      </c>
      <c r="C12" s="1">
        <v>366.88</v>
      </c>
      <c r="D12" s="1">
        <v>335.08</v>
      </c>
      <c r="E12" s="1">
        <v>404.72</v>
      </c>
      <c r="F12" s="1">
        <v>416.99</v>
      </c>
      <c r="G12" s="1">
        <v>313.58</v>
      </c>
    </row>
    <row r="13" spans="1:7" x14ac:dyDescent="0.3">
      <c r="A13" s="1" t="s">
        <v>17</v>
      </c>
      <c r="B13" s="1">
        <v>43.43</v>
      </c>
      <c r="C13" s="1">
        <v>31.38</v>
      </c>
      <c r="D13" s="1">
        <v>61.82</v>
      </c>
      <c r="E13" s="1">
        <v>17.170000000000002</v>
      </c>
      <c r="F13" s="1">
        <v>25.38</v>
      </c>
      <c r="G13" s="1">
        <v>64.62</v>
      </c>
    </row>
    <row r="14" spans="1:7" x14ac:dyDescent="0.3">
      <c r="A14" s="1" t="s">
        <v>18</v>
      </c>
      <c r="B14" s="1">
        <v>94.94</v>
      </c>
      <c r="C14" s="1">
        <v>53.94</v>
      </c>
      <c r="D14" s="1">
        <v>149.88</v>
      </c>
      <c r="E14" s="1">
        <v>47.38</v>
      </c>
      <c r="F14" s="1">
        <v>82.92</v>
      </c>
      <c r="G14" s="1">
        <v>136.81</v>
      </c>
    </row>
    <row r="15" spans="1:7" x14ac:dyDescent="0.3">
      <c r="A15" s="1" t="s">
        <v>19</v>
      </c>
      <c r="B15" s="1">
        <v>3</v>
      </c>
      <c r="C15" s="1">
        <v>2</v>
      </c>
      <c r="D15" s="1">
        <v>2</v>
      </c>
      <c r="E15" s="1">
        <v>1</v>
      </c>
      <c r="F15" s="1">
        <v>1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506.93</v>
      </c>
      <c r="C17" s="1">
        <v>521.47</v>
      </c>
      <c r="D17" s="1">
        <v>566.62</v>
      </c>
      <c r="E17" s="1">
        <v>1129.1600000000001</v>
      </c>
      <c r="F17" s="1">
        <v>1165.33</v>
      </c>
      <c r="G17" s="1">
        <v>70.25</v>
      </c>
    </row>
    <row r="18" spans="1:7" x14ac:dyDescent="0.3">
      <c r="A18" s="1" t="s">
        <v>22</v>
      </c>
      <c r="B18" s="1">
        <v>60.86</v>
      </c>
      <c r="C18" s="1">
        <v>144.31</v>
      </c>
      <c r="D18" s="1">
        <v>58.64</v>
      </c>
      <c r="E18" s="1">
        <v>0</v>
      </c>
      <c r="F18" s="1">
        <v>0</v>
      </c>
      <c r="G18" s="1">
        <v>892.41</v>
      </c>
    </row>
    <row r="19" spans="1:7" x14ac:dyDescent="0.3">
      <c r="A19" s="1" t="s">
        <v>23</v>
      </c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2</v>
      </c>
    </row>
    <row r="20" spans="1:7" x14ac:dyDescent="0.3">
      <c r="A20" s="1" t="s">
        <v>24</v>
      </c>
      <c r="B20" s="1">
        <v>1.2</v>
      </c>
      <c r="C20" s="1">
        <v>2.1</v>
      </c>
      <c r="D20" s="1">
        <v>1.1000000000000001</v>
      </c>
      <c r="E20" s="1">
        <v>0</v>
      </c>
      <c r="F20" s="1">
        <v>0</v>
      </c>
      <c r="G20" s="1">
        <v>7.7</v>
      </c>
    </row>
    <row r="21" spans="1:7" x14ac:dyDescent="0.3">
      <c r="A21" s="1" t="s">
        <v>25</v>
      </c>
      <c r="B21" s="1">
        <v>8.9</v>
      </c>
      <c r="C21" s="1">
        <v>7.9</v>
      </c>
      <c r="D21" s="1">
        <v>8.9</v>
      </c>
      <c r="E21" s="1">
        <v>10</v>
      </c>
      <c r="F21" s="1">
        <v>10</v>
      </c>
      <c r="G21" s="1">
        <v>2.2000000000000002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2</v>
      </c>
      <c r="D24" s="1">
        <v>1.7</v>
      </c>
      <c r="E24" s="1">
        <v>0</v>
      </c>
      <c r="F24" s="1">
        <v>0</v>
      </c>
      <c r="G24" s="1">
        <v>7</v>
      </c>
    </row>
    <row r="25" spans="1:7" x14ac:dyDescent="0.3">
      <c r="A25" s="1" t="s">
        <v>29</v>
      </c>
      <c r="B25" s="1">
        <v>4.5</v>
      </c>
      <c r="C25" s="1">
        <v>2.7</v>
      </c>
      <c r="D25" s="1">
        <v>1.3</v>
      </c>
      <c r="E25" s="1">
        <v>0</v>
      </c>
      <c r="F25" s="1">
        <v>0</v>
      </c>
      <c r="G25" s="1">
        <v>1</v>
      </c>
    </row>
    <row r="26" spans="1:7" x14ac:dyDescent="0.3">
      <c r="A26" s="1" t="s">
        <v>30</v>
      </c>
      <c r="B26" s="1">
        <v>5.6</v>
      </c>
      <c r="C26" s="1">
        <v>5.3</v>
      </c>
      <c r="D26" s="1">
        <v>7</v>
      </c>
      <c r="E26" s="1">
        <v>10</v>
      </c>
      <c r="F26" s="1">
        <v>10</v>
      </c>
      <c r="G26" s="1">
        <v>1.9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20</v>
      </c>
      <c r="D29" s="3">
        <f t="shared" si="1"/>
        <v>17</v>
      </c>
      <c r="E29" s="3">
        <f t="shared" si="1"/>
        <v>0</v>
      </c>
      <c r="F29" s="3">
        <f t="shared" si="1"/>
        <v>0</v>
      </c>
      <c r="G29" s="3">
        <f t="shared" si="1"/>
        <v>70.707070707070713</v>
      </c>
    </row>
    <row r="30" spans="1:7" x14ac:dyDescent="0.3">
      <c r="A30" s="3" t="s">
        <v>33</v>
      </c>
      <c r="B30" s="3">
        <f t="shared" ref="B30:G30" si="2">B25/B28*100</f>
        <v>44.554455445544555</v>
      </c>
      <c r="C30" s="3">
        <f t="shared" si="2"/>
        <v>27</v>
      </c>
      <c r="D30" s="3">
        <f t="shared" si="2"/>
        <v>13</v>
      </c>
      <c r="E30" s="3">
        <f t="shared" si="2"/>
        <v>0</v>
      </c>
      <c r="F30" s="3">
        <f t="shared" si="2"/>
        <v>0</v>
      </c>
      <c r="G30" s="3">
        <f t="shared" si="2"/>
        <v>10.1010101010101</v>
      </c>
    </row>
    <row r="31" spans="1:7" x14ac:dyDescent="0.3">
      <c r="A31" s="3" t="s">
        <v>34</v>
      </c>
      <c r="B31" s="3">
        <f t="shared" ref="B31:G31" si="3">B26/B28*100</f>
        <v>55.445544554455438</v>
      </c>
      <c r="C31" s="3">
        <f t="shared" si="3"/>
        <v>53</v>
      </c>
      <c r="D31" s="3">
        <f t="shared" si="3"/>
        <v>70</v>
      </c>
      <c r="E31" s="3">
        <f t="shared" si="3"/>
        <v>100</v>
      </c>
      <c r="F31" s="3">
        <f t="shared" si="3"/>
        <v>100</v>
      </c>
      <c r="G31" s="3">
        <f t="shared" si="3"/>
        <v>19.19191919191919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44.24</v>
      </c>
      <c r="C33" s="3">
        <v>24.57</v>
      </c>
      <c r="D33" s="3">
        <v>43.08</v>
      </c>
      <c r="E33" s="3">
        <v>114.89</v>
      </c>
      <c r="F33" s="3">
        <v>119.77</v>
      </c>
      <c r="G33" s="3">
        <v>-80.09</v>
      </c>
    </row>
    <row r="35" spans="1:7" x14ac:dyDescent="0.3">
      <c r="A35" s="3" t="s">
        <v>36</v>
      </c>
      <c r="B35" s="3"/>
      <c r="C35" s="3"/>
      <c r="D35" s="3">
        <f>D33-C33</f>
        <v>18.509999999999998</v>
      </c>
      <c r="E35" s="3"/>
      <c r="F35" s="3">
        <f>F33-E33</f>
        <v>4.8799999999999955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71.81</v>
      </c>
      <c r="F37" s="3"/>
      <c r="G37" s="3">
        <f>G33-F33</f>
        <v>-199.86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94F0-BB7A-44C6-AF75-C34AE01C0AB4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733.56</v>
      </c>
      <c r="C2" s="1">
        <v>602.65</v>
      </c>
      <c r="D2" s="1">
        <v>659.48</v>
      </c>
      <c r="E2" s="1">
        <v>714.29</v>
      </c>
      <c r="F2" s="1">
        <v>702.14</v>
      </c>
      <c r="G2" s="1">
        <v>707.37</v>
      </c>
    </row>
    <row r="3" spans="1:7" x14ac:dyDescent="0.3">
      <c r="A3" s="1" t="s">
        <v>7</v>
      </c>
      <c r="B3" s="1">
        <v>61.35</v>
      </c>
      <c r="C3" s="1">
        <v>67.37</v>
      </c>
      <c r="D3" s="1">
        <v>67.599999999999994</v>
      </c>
      <c r="E3" s="1">
        <v>64.97</v>
      </c>
      <c r="F3" s="1">
        <v>64.73</v>
      </c>
      <c r="G3" s="1">
        <v>67.16</v>
      </c>
    </row>
    <row r="4" spans="1:7" x14ac:dyDescent="0.3">
      <c r="A4" s="1" t="s">
        <v>8</v>
      </c>
      <c r="B4" s="1">
        <v>45772.22</v>
      </c>
      <c r="C4" s="1">
        <v>41308.639999999999</v>
      </c>
      <c r="D4" s="1">
        <v>45091.43</v>
      </c>
      <c r="E4" s="1">
        <v>47178.13</v>
      </c>
      <c r="F4" s="1">
        <v>46177.64</v>
      </c>
      <c r="G4" s="1">
        <v>48316.85</v>
      </c>
    </row>
    <row r="5" spans="1:7" x14ac:dyDescent="0.3">
      <c r="A5" s="1" t="s">
        <v>9</v>
      </c>
      <c r="B5" s="1">
        <v>722.63</v>
      </c>
      <c r="C5" s="1">
        <v>932.89</v>
      </c>
      <c r="D5" s="1">
        <v>544.34</v>
      </c>
      <c r="E5" s="1">
        <v>707.42</v>
      </c>
      <c r="F5" s="1">
        <v>982.71</v>
      </c>
      <c r="G5" s="1">
        <v>838.7</v>
      </c>
    </row>
    <row r="6" spans="1:7" x14ac:dyDescent="0.3">
      <c r="A6" s="3" t="s">
        <v>10</v>
      </c>
      <c r="B6" s="3">
        <v>72.260000000000005</v>
      </c>
      <c r="C6" s="3">
        <v>94.23</v>
      </c>
      <c r="D6" s="3">
        <v>54.98</v>
      </c>
      <c r="E6" s="3">
        <v>71.459999999999994</v>
      </c>
      <c r="F6" s="3">
        <v>99.26</v>
      </c>
      <c r="G6" s="3">
        <v>85.58</v>
      </c>
    </row>
    <row r="7" spans="1:7" x14ac:dyDescent="0.3">
      <c r="A7" s="1" t="s">
        <v>11</v>
      </c>
      <c r="B7" s="1">
        <v>706.84</v>
      </c>
      <c r="C7" s="1">
        <v>852.22</v>
      </c>
      <c r="D7" s="1">
        <v>530.20000000000005</v>
      </c>
      <c r="E7" s="1">
        <v>693.5</v>
      </c>
      <c r="F7" s="1">
        <v>968.6</v>
      </c>
      <c r="G7" s="1">
        <v>828.34</v>
      </c>
    </row>
    <row r="8" spans="1:7" x14ac:dyDescent="0.3">
      <c r="A8" s="1" t="s">
        <v>12</v>
      </c>
      <c r="B8" s="1">
        <v>70.680000000000007</v>
      </c>
      <c r="C8" s="1">
        <v>86.08</v>
      </c>
      <c r="D8" s="1">
        <v>53.56</v>
      </c>
      <c r="E8" s="1">
        <v>70.05</v>
      </c>
      <c r="F8" s="1">
        <v>97.84</v>
      </c>
      <c r="G8" s="1">
        <v>84.52</v>
      </c>
    </row>
    <row r="9" spans="1:7" x14ac:dyDescent="0.3">
      <c r="A9" s="1" t="s">
        <v>13</v>
      </c>
      <c r="B9" s="1">
        <v>576.58000000000004</v>
      </c>
      <c r="C9" s="1">
        <v>-583.21</v>
      </c>
      <c r="D9" s="1">
        <v>286.79000000000002</v>
      </c>
      <c r="E9" s="1">
        <v>683.22</v>
      </c>
      <c r="F9" s="1">
        <v>968.6</v>
      </c>
      <c r="G9" s="1">
        <v>476.54</v>
      </c>
    </row>
    <row r="10" spans="1:7" x14ac:dyDescent="0.3">
      <c r="A10" s="1" t="s">
        <v>14</v>
      </c>
      <c r="B10" s="1">
        <v>57.66</v>
      </c>
      <c r="C10" s="1">
        <v>-58.91</v>
      </c>
      <c r="D10" s="1">
        <v>28.97</v>
      </c>
      <c r="E10" s="1">
        <v>69.010000000000005</v>
      </c>
      <c r="F10" s="1">
        <v>97.84</v>
      </c>
      <c r="G10" s="1">
        <v>48.63</v>
      </c>
    </row>
    <row r="11" spans="1:7" x14ac:dyDescent="0.3">
      <c r="A11" s="1" t="s">
        <v>15</v>
      </c>
      <c r="B11" s="1">
        <v>405.96</v>
      </c>
      <c r="C11" s="1">
        <v>438.09</v>
      </c>
      <c r="D11" s="1">
        <v>204.88</v>
      </c>
      <c r="E11" s="1">
        <v>617.98</v>
      </c>
      <c r="F11" s="1">
        <v>827.47</v>
      </c>
      <c r="G11" s="1">
        <v>113.93</v>
      </c>
    </row>
    <row r="12" spans="1:7" x14ac:dyDescent="0.3">
      <c r="A12" s="1" t="s">
        <v>16</v>
      </c>
      <c r="B12" s="1">
        <v>388.48</v>
      </c>
      <c r="C12" s="1">
        <v>305.74</v>
      </c>
      <c r="D12" s="1">
        <v>359.59</v>
      </c>
      <c r="E12" s="1">
        <v>354</v>
      </c>
      <c r="F12" s="1">
        <v>368.97</v>
      </c>
      <c r="G12" s="1">
        <v>341.05</v>
      </c>
    </row>
    <row r="13" spans="1:7" x14ac:dyDescent="0.3">
      <c r="A13" s="1" t="s">
        <v>17</v>
      </c>
      <c r="B13" s="1">
        <v>30.07</v>
      </c>
      <c r="C13" s="1">
        <v>55.47</v>
      </c>
      <c r="D13" s="1">
        <v>29.46</v>
      </c>
      <c r="E13" s="1">
        <v>31.48</v>
      </c>
      <c r="F13" s="1">
        <v>40.85</v>
      </c>
      <c r="G13" s="1">
        <v>44.34</v>
      </c>
    </row>
    <row r="14" spans="1:7" x14ac:dyDescent="0.3">
      <c r="A14" s="1" t="s">
        <v>18</v>
      </c>
      <c r="B14" s="1">
        <v>63.09</v>
      </c>
      <c r="C14" s="1">
        <v>116.43</v>
      </c>
      <c r="D14" s="1">
        <v>66.819999999999993</v>
      </c>
      <c r="E14" s="1">
        <v>117.29</v>
      </c>
      <c r="F14" s="1">
        <v>127.22</v>
      </c>
      <c r="G14" s="1">
        <v>138.09</v>
      </c>
    </row>
    <row r="15" spans="1:7" x14ac:dyDescent="0.3">
      <c r="A15" s="1" t="s">
        <v>19</v>
      </c>
      <c r="B15" s="1">
        <v>3</v>
      </c>
      <c r="C15" s="1">
        <v>3</v>
      </c>
      <c r="D15" s="1">
        <v>4</v>
      </c>
      <c r="E15" s="1">
        <v>2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641.71</v>
      </c>
      <c r="C17" s="1">
        <v>134.51</v>
      </c>
      <c r="D17" s="1">
        <v>408.49</v>
      </c>
      <c r="E17" s="1">
        <v>688.36</v>
      </c>
      <c r="F17" s="1">
        <v>968.6</v>
      </c>
      <c r="G17" s="1">
        <v>652.44000000000005</v>
      </c>
    </row>
    <row r="18" spans="1:7" x14ac:dyDescent="0.3">
      <c r="A18" s="1" t="s">
        <v>22</v>
      </c>
      <c r="B18" s="1">
        <v>65.13</v>
      </c>
      <c r="C18" s="1">
        <v>717.72</v>
      </c>
      <c r="D18" s="1">
        <v>121.71</v>
      </c>
      <c r="E18" s="1">
        <v>5.14</v>
      </c>
      <c r="F18" s="1">
        <v>0</v>
      </c>
      <c r="G18" s="1">
        <v>175.9</v>
      </c>
    </row>
    <row r="19" spans="1:7" x14ac:dyDescent="0.3">
      <c r="A19" s="1" t="s">
        <v>23</v>
      </c>
      <c r="B19" s="1">
        <v>1</v>
      </c>
      <c r="C19" s="1">
        <v>1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1.9</v>
      </c>
      <c r="C20" s="1">
        <v>6.2</v>
      </c>
      <c r="D20" s="1">
        <v>2.5</v>
      </c>
      <c r="E20" s="1">
        <v>0</v>
      </c>
      <c r="F20" s="1">
        <v>0</v>
      </c>
      <c r="G20" s="1">
        <v>3</v>
      </c>
    </row>
    <row r="21" spans="1:7" x14ac:dyDescent="0.3">
      <c r="A21" s="1" t="s">
        <v>25</v>
      </c>
      <c r="B21" s="1">
        <v>8.1999999999999993</v>
      </c>
      <c r="C21" s="1">
        <v>3.8</v>
      </c>
      <c r="D21" s="1">
        <v>7.5</v>
      </c>
      <c r="E21" s="1">
        <v>10</v>
      </c>
      <c r="F21" s="1">
        <v>10</v>
      </c>
      <c r="G21" s="1">
        <v>6.9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1.7</v>
      </c>
      <c r="C24" s="1">
        <v>5.8</v>
      </c>
      <c r="D24" s="1">
        <v>0</v>
      </c>
      <c r="E24" s="1">
        <v>0</v>
      </c>
      <c r="F24" s="1">
        <v>0</v>
      </c>
      <c r="G24" s="1">
        <v>2.4</v>
      </c>
    </row>
    <row r="25" spans="1:7" x14ac:dyDescent="0.3">
      <c r="A25" s="1" t="s">
        <v>29</v>
      </c>
      <c r="B25" s="1">
        <v>0</v>
      </c>
      <c r="C25" s="1">
        <v>1.3</v>
      </c>
      <c r="D25" s="1">
        <v>5.2</v>
      </c>
      <c r="E25" s="1">
        <v>1.3</v>
      </c>
      <c r="F25" s="1">
        <v>0</v>
      </c>
      <c r="G25" s="1">
        <v>0</v>
      </c>
    </row>
    <row r="26" spans="1:7" x14ac:dyDescent="0.3">
      <c r="A26" s="1" t="s">
        <v>30</v>
      </c>
      <c r="B26" s="1">
        <v>8.4</v>
      </c>
      <c r="C26" s="1">
        <v>2.9</v>
      </c>
      <c r="D26" s="1">
        <v>4.8</v>
      </c>
      <c r="E26" s="1">
        <v>8.6999999999999993</v>
      </c>
      <c r="F26" s="1">
        <v>10</v>
      </c>
      <c r="G26" s="1">
        <v>7.5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16.831683168316832</v>
      </c>
      <c r="C29" s="3">
        <f t="shared" si="1"/>
        <v>57.999999999999993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24.242424242424239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13</v>
      </c>
      <c r="D30" s="3">
        <f t="shared" si="2"/>
        <v>52</v>
      </c>
      <c r="E30" s="3">
        <f t="shared" si="2"/>
        <v>13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83.168316831683171</v>
      </c>
      <c r="C31" s="3">
        <f t="shared" si="3"/>
        <v>28.999999999999996</v>
      </c>
      <c r="D31" s="3">
        <f t="shared" si="3"/>
        <v>48</v>
      </c>
      <c r="E31" s="3">
        <f t="shared" si="3"/>
        <v>86.999999999999986</v>
      </c>
      <c r="F31" s="3">
        <f t="shared" si="3"/>
        <v>100</v>
      </c>
      <c r="G31" s="3">
        <f t="shared" si="3"/>
        <v>75.757575757575751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46.61</v>
      </c>
      <c r="C33" s="3">
        <v>-28.16</v>
      </c>
      <c r="D33" s="3">
        <v>23.87</v>
      </c>
      <c r="E33" s="3">
        <v>67.66</v>
      </c>
      <c r="F33" s="3">
        <v>96.87</v>
      </c>
      <c r="G33" s="3">
        <v>14.29</v>
      </c>
    </row>
    <row r="35" spans="1:7" x14ac:dyDescent="0.3">
      <c r="A35" s="3" t="s">
        <v>36</v>
      </c>
      <c r="B35" s="3"/>
      <c r="C35" s="3"/>
      <c r="D35" s="3">
        <f>D33-C33</f>
        <v>52.03</v>
      </c>
      <c r="E35" s="3"/>
      <c r="F35" s="3">
        <f>F33-E33</f>
        <v>29.210000000000008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43.789999999999992</v>
      </c>
      <c r="F37" s="3"/>
      <c r="G37" s="3">
        <f>G33-F33</f>
        <v>-82.580000000000013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0682-D9CC-40E4-946A-16D10DC508B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808.39</v>
      </c>
      <c r="C2" s="1">
        <v>792.57</v>
      </c>
      <c r="D2" s="1">
        <v>769.86</v>
      </c>
      <c r="E2" s="1">
        <v>777.11</v>
      </c>
      <c r="F2" s="1">
        <v>715.37</v>
      </c>
      <c r="G2" s="1">
        <v>786.45</v>
      </c>
    </row>
    <row r="3" spans="1:7" x14ac:dyDescent="0.3">
      <c r="A3" s="1" t="s">
        <v>7</v>
      </c>
      <c r="B3" s="1">
        <v>70.73</v>
      </c>
      <c r="C3" s="1">
        <v>61.76</v>
      </c>
      <c r="D3" s="1">
        <v>63.52</v>
      </c>
      <c r="E3" s="1">
        <v>67.59</v>
      </c>
      <c r="F3" s="1">
        <v>75.459999999999994</v>
      </c>
      <c r="G3" s="1">
        <v>67.209999999999994</v>
      </c>
    </row>
    <row r="4" spans="1:7" x14ac:dyDescent="0.3">
      <c r="A4" s="1" t="s">
        <v>8</v>
      </c>
      <c r="B4" s="1">
        <v>58155.59</v>
      </c>
      <c r="C4" s="1">
        <v>49749.99</v>
      </c>
      <c r="D4" s="1">
        <v>49733.67</v>
      </c>
      <c r="E4" s="1">
        <v>53438.82</v>
      </c>
      <c r="F4" s="1">
        <v>54785.38</v>
      </c>
      <c r="G4" s="1">
        <v>53748.67</v>
      </c>
    </row>
    <row r="5" spans="1:7" x14ac:dyDescent="0.3">
      <c r="A5" s="1" t="s">
        <v>9</v>
      </c>
      <c r="B5" s="1">
        <v>635.78</v>
      </c>
      <c r="C5" s="1">
        <v>733.91</v>
      </c>
      <c r="D5" s="1">
        <v>641.99</v>
      </c>
      <c r="E5" s="1">
        <v>862.95</v>
      </c>
      <c r="F5" s="1">
        <v>501.79</v>
      </c>
      <c r="G5" s="1">
        <v>879.24</v>
      </c>
    </row>
    <row r="6" spans="1:7" x14ac:dyDescent="0.3">
      <c r="A6" s="3" t="s">
        <v>10</v>
      </c>
      <c r="B6" s="3">
        <v>63.58</v>
      </c>
      <c r="C6" s="3">
        <v>74.13</v>
      </c>
      <c r="D6" s="3">
        <v>64.849999999999994</v>
      </c>
      <c r="E6" s="3">
        <v>87.17</v>
      </c>
      <c r="F6" s="3">
        <v>50.69</v>
      </c>
      <c r="G6" s="3">
        <v>89.72</v>
      </c>
    </row>
    <row r="7" spans="1:7" x14ac:dyDescent="0.3">
      <c r="A7" s="1" t="s">
        <v>11</v>
      </c>
      <c r="B7" s="1">
        <v>386.89</v>
      </c>
      <c r="C7" s="1">
        <v>524.32000000000005</v>
      </c>
      <c r="D7" s="1">
        <v>483.98</v>
      </c>
      <c r="E7" s="1">
        <v>797.69</v>
      </c>
      <c r="F7" s="1">
        <v>344.29</v>
      </c>
      <c r="G7" s="1">
        <v>736.17</v>
      </c>
    </row>
    <row r="8" spans="1:7" x14ac:dyDescent="0.3">
      <c r="A8" s="1" t="s">
        <v>12</v>
      </c>
      <c r="B8" s="1">
        <v>38.69</v>
      </c>
      <c r="C8" s="1">
        <v>52.96</v>
      </c>
      <c r="D8" s="1">
        <v>48.89</v>
      </c>
      <c r="E8" s="1">
        <v>80.569999999999993</v>
      </c>
      <c r="F8" s="1">
        <v>34.78</v>
      </c>
      <c r="G8" s="1">
        <v>75.12</v>
      </c>
    </row>
    <row r="9" spans="1:7" x14ac:dyDescent="0.3">
      <c r="A9" s="1" t="s">
        <v>13</v>
      </c>
      <c r="B9" s="1">
        <v>379.4</v>
      </c>
      <c r="C9" s="1">
        <v>455.99</v>
      </c>
      <c r="D9" s="1">
        <v>217.53</v>
      </c>
      <c r="E9" s="1">
        <v>-499.4</v>
      </c>
      <c r="F9" s="1">
        <v>316.19</v>
      </c>
      <c r="G9" s="1">
        <v>732.29</v>
      </c>
    </row>
    <row r="10" spans="1:7" x14ac:dyDescent="0.3">
      <c r="A10" s="1" t="s">
        <v>14</v>
      </c>
      <c r="B10" s="1">
        <v>37.94</v>
      </c>
      <c r="C10" s="1">
        <v>46.06</v>
      </c>
      <c r="D10" s="1">
        <v>21.97</v>
      </c>
      <c r="E10" s="1">
        <v>-50.44</v>
      </c>
      <c r="F10" s="1">
        <v>31.94</v>
      </c>
      <c r="G10" s="1">
        <v>74.72</v>
      </c>
    </row>
    <row r="11" spans="1:7" x14ac:dyDescent="0.3">
      <c r="A11" s="1" t="s">
        <v>15</v>
      </c>
      <c r="B11" s="1">
        <v>196.38</v>
      </c>
      <c r="C11" s="1">
        <v>251.67</v>
      </c>
      <c r="D11" s="1">
        <v>12.69</v>
      </c>
      <c r="E11" s="1">
        <v>302.52</v>
      </c>
      <c r="F11" s="1">
        <v>255.1</v>
      </c>
      <c r="G11" s="1">
        <v>483.87</v>
      </c>
    </row>
    <row r="12" spans="1:7" x14ac:dyDescent="0.3">
      <c r="A12" s="1" t="s">
        <v>16</v>
      </c>
      <c r="B12" s="1">
        <v>425.83</v>
      </c>
      <c r="C12" s="1">
        <v>398.2</v>
      </c>
      <c r="D12" s="1">
        <v>385.68</v>
      </c>
      <c r="E12" s="1">
        <v>365.04</v>
      </c>
      <c r="F12" s="1">
        <v>325.45999999999998</v>
      </c>
      <c r="G12" s="1">
        <v>455.27</v>
      </c>
    </row>
    <row r="13" spans="1:7" x14ac:dyDescent="0.3">
      <c r="A13" s="1" t="s">
        <v>17</v>
      </c>
      <c r="B13" s="1">
        <v>30.02</v>
      </c>
      <c r="C13" s="1">
        <v>33.700000000000003</v>
      </c>
      <c r="D13" s="1">
        <v>39.659999999999997</v>
      </c>
      <c r="E13" s="1">
        <v>69.47</v>
      </c>
      <c r="F13" s="1">
        <v>29.3</v>
      </c>
      <c r="G13" s="1">
        <v>46.06</v>
      </c>
    </row>
    <row r="14" spans="1:7" x14ac:dyDescent="0.3">
      <c r="A14" s="1" t="s">
        <v>18</v>
      </c>
      <c r="B14" s="1">
        <v>89.21</v>
      </c>
      <c r="C14" s="1">
        <v>90.13</v>
      </c>
      <c r="D14" s="1">
        <v>89.85</v>
      </c>
      <c r="E14" s="1">
        <v>121.95</v>
      </c>
      <c r="F14" s="1">
        <v>84.16</v>
      </c>
      <c r="G14" s="1">
        <v>87.34</v>
      </c>
    </row>
    <row r="15" spans="1:7" x14ac:dyDescent="0.3">
      <c r="A15" s="1" t="s">
        <v>19</v>
      </c>
      <c r="B15" s="1">
        <v>2</v>
      </c>
      <c r="C15" s="1">
        <v>1</v>
      </c>
      <c r="D15" s="1">
        <v>2</v>
      </c>
      <c r="E15" s="1">
        <v>5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383.14</v>
      </c>
      <c r="C17" s="1">
        <v>490.16</v>
      </c>
      <c r="D17" s="1">
        <v>350.76</v>
      </c>
      <c r="E17" s="1">
        <v>149.15</v>
      </c>
      <c r="F17" s="1">
        <v>330.24</v>
      </c>
      <c r="G17" s="1">
        <v>734.23</v>
      </c>
    </row>
    <row r="18" spans="1:7" x14ac:dyDescent="0.3">
      <c r="A18" s="1" t="s">
        <v>22</v>
      </c>
      <c r="B18" s="1">
        <v>3.74</v>
      </c>
      <c r="C18" s="1">
        <v>34.159999999999997</v>
      </c>
      <c r="D18" s="1">
        <v>133.22999999999999</v>
      </c>
      <c r="E18" s="1">
        <v>648.54999999999995</v>
      </c>
      <c r="F18" s="1">
        <v>14.05</v>
      </c>
      <c r="G18" s="1">
        <v>1.94</v>
      </c>
    </row>
    <row r="19" spans="1:7" x14ac:dyDescent="0.3">
      <c r="A19" s="1" t="s">
        <v>23</v>
      </c>
      <c r="B19" s="1">
        <v>0</v>
      </c>
      <c r="C19" s="1">
        <v>0</v>
      </c>
      <c r="D19" s="1">
        <v>1</v>
      </c>
      <c r="E19" s="1">
        <v>2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2.8</v>
      </c>
      <c r="E20" s="1">
        <v>6.2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7.2</v>
      </c>
      <c r="E21" s="1">
        <v>3.8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2.4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3.3</v>
      </c>
      <c r="E24" s="1">
        <v>4.8</v>
      </c>
      <c r="F24" s="1">
        <v>0</v>
      </c>
      <c r="G24" s="1">
        <v>0</v>
      </c>
    </row>
    <row r="25" spans="1:7" x14ac:dyDescent="0.3">
      <c r="A25" s="1" t="s">
        <v>29</v>
      </c>
      <c r="B25" s="1">
        <v>1.6</v>
      </c>
      <c r="C25" s="1">
        <v>3.1</v>
      </c>
      <c r="D25" s="1">
        <v>2.9</v>
      </c>
      <c r="E25" s="1">
        <v>2.1</v>
      </c>
      <c r="F25" s="1">
        <v>6.2</v>
      </c>
      <c r="G25" s="1">
        <v>0</v>
      </c>
    </row>
    <row r="26" spans="1:7" x14ac:dyDescent="0.3">
      <c r="A26" s="1" t="s">
        <v>30</v>
      </c>
      <c r="B26" s="1">
        <v>8.5</v>
      </c>
      <c r="C26" s="1">
        <v>6.9</v>
      </c>
      <c r="D26" s="1">
        <v>3.8</v>
      </c>
      <c r="E26" s="1">
        <v>3.1</v>
      </c>
      <c r="F26" s="1">
        <v>3.8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32.999999999999993</v>
      </c>
      <c r="E29" s="3">
        <f t="shared" si="1"/>
        <v>48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15.841584158415841</v>
      </c>
      <c r="C30" s="3">
        <f t="shared" si="2"/>
        <v>31</v>
      </c>
      <c r="D30" s="3">
        <f t="shared" si="2"/>
        <v>28.999999999999996</v>
      </c>
      <c r="E30" s="3">
        <f t="shared" si="2"/>
        <v>21.000000000000004</v>
      </c>
      <c r="F30" s="3">
        <f t="shared" si="2"/>
        <v>62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84.158415841584173</v>
      </c>
      <c r="C31" s="3">
        <f t="shared" si="3"/>
        <v>69</v>
      </c>
      <c r="D31" s="3">
        <f t="shared" si="3"/>
        <v>38</v>
      </c>
      <c r="E31" s="3">
        <f t="shared" si="3"/>
        <v>31</v>
      </c>
      <c r="F31" s="3">
        <f t="shared" si="3"/>
        <v>38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58.78</v>
      </c>
      <c r="C33" s="3">
        <v>62.87</v>
      </c>
      <c r="D33" s="3">
        <v>9.84</v>
      </c>
      <c r="E33" s="3">
        <v>-29.16</v>
      </c>
      <c r="F33" s="3">
        <v>41.5</v>
      </c>
      <c r="G33" s="3">
        <v>87.63</v>
      </c>
    </row>
    <row r="35" spans="1:7" x14ac:dyDescent="0.3">
      <c r="A35" s="3" t="s">
        <v>36</v>
      </c>
      <c r="B35" s="3"/>
      <c r="C35" s="3"/>
      <c r="D35" s="3">
        <f>D33-C33</f>
        <v>-53.03</v>
      </c>
      <c r="E35" s="3"/>
      <c r="F35" s="3">
        <f>F33-E33</f>
        <v>70.66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-39</v>
      </c>
      <c r="F37" s="3"/>
      <c r="G37" s="3">
        <f>G33-F33</f>
        <v>46.129999999999995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536A-A48D-4D5D-96D5-AA3723F318DD}">
  <dimension ref="A1:G37"/>
  <sheetViews>
    <sheetView tabSelected="1" zoomScale="70" zoomScaleNormal="70" workbookViewId="0">
      <selection activeCell="I26" sqref="I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797.66</v>
      </c>
      <c r="C2" s="1">
        <v>784.16</v>
      </c>
      <c r="D2" s="1">
        <v>776.24</v>
      </c>
      <c r="E2" s="1">
        <v>783.06</v>
      </c>
      <c r="F2" s="1">
        <v>784.32</v>
      </c>
      <c r="G2" s="1">
        <v>793.01</v>
      </c>
    </row>
    <row r="3" spans="1:7" x14ac:dyDescent="0.3">
      <c r="A3" s="1" t="s">
        <v>7</v>
      </c>
      <c r="B3" s="1">
        <v>71.319999999999993</v>
      </c>
      <c r="C3" s="1">
        <v>69.72</v>
      </c>
      <c r="D3" s="1">
        <v>73.349999999999994</v>
      </c>
      <c r="E3" s="1">
        <v>74.400000000000006</v>
      </c>
      <c r="F3" s="1">
        <v>75.16</v>
      </c>
      <c r="G3" s="1">
        <v>74.959999999999994</v>
      </c>
    </row>
    <row r="4" spans="1:7" x14ac:dyDescent="0.3">
      <c r="A4" s="1" t="s">
        <v>8</v>
      </c>
      <c r="B4" s="1">
        <v>57853.4</v>
      </c>
      <c r="C4" s="1">
        <v>55601.26</v>
      </c>
      <c r="D4" s="1">
        <v>57911.89</v>
      </c>
      <c r="E4" s="1">
        <v>59207.05</v>
      </c>
      <c r="F4" s="1">
        <v>59910.239999999998</v>
      </c>
      <c r="G4" s="1">
        <v>60462.720000000001</v>
      </c>
    </row>
    <row r="5" spans="1:7" x14ac:dyDescent="0.3">
      <c r="A5" s="1" t="s">
        <v>9</v>
      </c>
      <c r="B5" s="1">
        <v>878.41</v>
      </c>
      <c r="C5" s="1">
        <v>702.44</v>
      </c>
      <c r="D5" s="1">
        <v>594</v>
      </c>
      <c r="E5" s="1">
        <v>959.3</v>
      </c>
      <c r="F5" s="1">
        <v>908.88</v>
      </c>
      <c r="G5" s="1">
        <v>715.58</v>
      </c>
    </row>
    <row r="6" spans="1:7" x14ac:dyDescent="0.3">
      <c r="A6" s="3" t="s">
        <v>10</v>
      </c>
      <c r="B6" s="3">
        <v>87.84</v>
      </c>
      <c r="C6" s="3">
        <v>70.95</v>
      </c>
      <c r="D6" s="3">
        <v>60</v>
      </c>
      <c r="E6" s="3">
        <v>96.9</v>
      </c>
      <c r="F6" s="3">
        <v>91.81</v>
      </c>
      <c r="G6" s="3">
        <v>73.02</v>
      </c>
    </row>
    <row r="7" spans="1:7" x14ac:dyDescent="0.3">
      <c r="A7" s="1" t="s">
        <v>11</v>
      </c>
      <c r="B7" s="1">
        <v>865.76</v>
      </c>
      <c r="C7" s="1">
        <v>681.27</v>
      </c>
      <c r="D7" s="1">
        <v>578.28</v>
      </c>
      <c r="E7" s="1">
        <v>939.32</v>
      </c>
      <c r="F7" s="1">
        <v>894.29</v>
      </c>
      <c r="G7" s="1">
        <v>699.97</v>
      </c>
    </row>
    <row r="8" spans="1:7" x14ac:dyDescent="0.3">
      <c r="A8" s="1" t="s">
        <v>12</v>
      </c>
      <c r="B8" s="1">
        <v>86.58</v>
      </c>
      <c r="C8" s="1">
        <v>68.819999999999993</v>
      </c>
      <c r="D8" s="1">
        <v>58.41</v>
      </c>
      <c r="E8" s="1">
        <v>94.88</v>
      </c>
      <c r="F8" s="1">
        <v>90.33</v>
      </c>
      <c r="G8" s="1">
        <v>71.430000000000007</v>
      </c>
    </row>
    <row r="9" spans="1:7" x14ac:dyDescent="0.3">
      <c r="A9" s="1" t="s">
        <v>13</v>
      </c>
      <c r="B9" s="1">
        <v>865.76</v>
      </c>
      <c r="C9" s="1">
        <v>681.27</v>
      </c>
      <c r="D9" s="1">
        <v>426.94</v>
      </c>
      <c r="E9" s="1">
        <v>934.15</v>
      </c>
      <c r="F9" s="1">
        <v>849.16</v>
      </c>
      <c r="G9" s="1">
        <v>552.55999999999995</v>
      </c>
    </row>
    <row r="10" spans="1:7" x14ac:dyDescent="0.3">
      <c r="A10" s="1" t="s">
        <v>14</v>
      </c>
      <c r="B10" s="1">
        <v>86.58</v>
      </c>
      <c r="C10" s="1">
        <v>68.819999999999993</v>
      </c>
      <c r="D10" s="1">
        <v>43.12</v>
      </c>
      <c r="E10" s="1">
        <v>94.36</v>
      </c>
      <c r="F10" s="1">
        <v>85.77</v>
      </c>
      <c r="G10" s="1">
        <v>56.38</v>
      </c>
    </row>
    <row r="11" spans="1:7" x14ac:dyDescent="0.3">
      <c r="A11" s="1" t="s">
        <v>15</v>
      </c>
      <c r="B11" s="1">
        <v>756.11</v>
      </c>
      <c r="C11" s="1">
        <v>592.51</v>
      </c>
      <c r="D11" s="1">
        <v>361.37</v>
      </c>
      <c r="E11" s="1">
        <v>770.53</v>
      </c>
      <c r="F11" s="1">
        <v>724.42</v>
      </c>
      <c r="G11" s="1">
        <v>333.65</v>
      </c>
    </row>
    <row r="12" spans="1:7" x14ac:dyDescent="0.3">
      <c r="A12" s="1" t="s">
        <v>16</v>
      </c>
      <c r="B12" s="1">
        <v>432.82</v>
      </c>
      <c r="C12" s="1">
        <v>409.52</v>
      </c>
      <c r="D12" s="1">
        <v>331.79</v>
      </c>
      <c r="E12" s="1">
        <v>418.9</v>
      </c>
      <c r="F12" s="1">
        <v>426.94</v>
      </c>
      <c r="G12" s="1">
        <v>402.78</v>
      </c>
    </row>
    <row r="13" spans="1:7" x14ac:dyDescent="0.3">
      <c r="A13" s="1" t="s">
        <v>17</v>
      </c>
      <c r="B13" s="1">
        <v>31.46</v>
      </c>
      <c r="C13" s="1">
        <v>43.53</v>
      </c>
      <c r="D13" s="1">
        <v>42.25</v>
      </c>
      <c r="E13" s="1">
        <v>38.229999999999997</v>
      </c>
      <c r="F13" s="1">
        <v>32.75</v>
      </c>
      <c r="G13" s="1">
        <v>51.37</v>
      </c>
    </row>
    <row r="14" spans="1:7" x14ac:dyDescent="0.3">
      <c r="A14" s="1" t="s">
        <v>18</v>
      </c>
      <c r="B14" s="1">
        <v>80.81</v>
      </c>
      <c r="C14" s="1">
        <v>116.71</v>
      </c>
      <c r="D14" s="1">
        <v>116.54</v>
      </c>
      <c r="E14" s="1">
        <v>110.04</v>
      </c>
      <c r="F14" s="1">
        <v>57.07</v>
      </c>
      <c r="G14" s="1">
        <v>76.650000000000006</v>
      </c>
    </row>
    <row r="15" spans="1:7" x14ac:dyDescent="0.3">
      <c r="A15" s="1" t="s">
        <v>19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865.76</v>
      </c>
      <c r="C17" s="1">
        <v>681.27</v>
      </c>
      <c r="D17" s="1">
        <v>502.61</v>
      </c>
      <c r="E17" s="1">
        <v>936.73</v>
      </c>
      <c r="F17" s="1">
        <v>871.72</v>
      </c>
      <c r="G17" s="1">
        <v>626.26</v>
      </c>
    </row>
    <row r="18" spans="1:7" x14ac:dyDescent="0.3">
      <c r="A18" s="1" t="s">
        <v>22</v>
      </c>
      <c r="B18" s="1">
        <v>0</v>
      </c>
      <c r="C18" s="1">
        <v>0</v>
      </c>
      <c r="D18" s="1">
        <v>75.67</v>
      </c>
      <c r="E18" s="1">
        <v>2.58</v>
      </c>
      <c r="F18" s="1">
        <v>22.56</v>
      </c>
      <c r="G18" s="1">
        <v>73.7</v>
      </c>
    </row>
    <row r="19" spans="1:7" x14ac:dyDescent="0.3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1.1000000000000001</v>
      </c>
      <c r="E20" s="1">
        <v>0</v>
      </c>
      <c r="F20" s="1">
        <v>0</v>
      </c>
      <c r="G20" s="1">
        <v>2.4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8.9</v>
      </c>
      <c r="E21" s="1">
        <v>10</v>
      </c>
      <c r="F21" s="1">
        <v>10</v>
      </c>
      <c r="G21" s="1">
        <v>7.5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2.4</v>
      </c>
    </row>
    <row r="25" spans="1:7" x14ac:dyDescent="0.3">
      <c r="A25" s="1" t="s">
        <v>29</v>
      </c>
      <c r="B25" s="1">
        <v>0</v>
      </c>
      <c r="C25" s="1">
        <v>0</v>
      </c>
      <c r="D25" s="1">
        <v>2.8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7.2</v>
      </c>
      <c r="E26" s="1">
        <v>10</v>
      </c>
      <c r="F26" s="1">
        <v>10</v>
      </c>
      <c r="G26" s="1">
        <v>7.5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24.242424242424239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27.999999999999996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72</v>
      </c>
      <c r="E31" s="3">
        <f t="shared" si="3"/>
        <v>100</v>
      </c>
      <c r="F31" s="3">
        <f t="shared" si="3"/>
        <v>100</v>
      </c>
      <c r="G31" s="3">
        <f t="shared" si="3"/>
        <v>75.757575757575751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87.37</v>
      </c>
      <c r="C33" s="3">
        <v>69.72</v>
      </c>
      <c r="D33" s="3">
        <v>43.84</v>
      </c>
      <c r="E33" s="3">
        <v>96.5</v>
      </c>
      <c r="F33" s="3">
        <v>81.59</v>
      </c>
      <c r="G33" s="3">
        <v>43.59</v>
      </c>
    </row>
    <row r="35" spans="1:7" x14ac:dyDescent="0.3">
      <c r="A35" s="3" t="s">
        <v>36</v>
      </c>
      <c r="B35" s="3"/>
      <c r="C35" s="3"/>
      <c r="D35" s="3">
        <f>D33-C33</f>
        <v>-25.879999999999995</v>
      </c>
      <c r="E35" s="3"/>
      <c r="F35" s="3">
        <f>F33-E33</f>
        <v>-14.909999999999997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52.66</v>
      </c>
      <c r="F37" s="3"/>
      <c r="G37" s="3">
        <f>G33-F33</f>
        <v>-38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CB91-9B30-4655-B61E-D4A48DD34F11}">
  <dimension ref="A1:G37"/>
  <sheetViews>
    <sheetView zoomScale="70" zoomScaleNormal="70" workbookViewId="0">
      <selection activeCell="P23" sqref="P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0</v>
      </c>
      <c r="C28" s="1">
        <f t="shared" si="0"/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 t="shared" ref="B29:G29" si="1">B24/B28*100</f>
        <v>#DIV/0!</v>
      </c>
      <c r="C29" s="3" t="e">
        <f t="shared" si="1"/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 t="shared" ref="B30:G30" si="2">B25/B28*100</f>
        <v>#DIV/0!</v>
      </c>
      <c r="C30" s="3" t="e">
        <f t="shared" si="2"/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 t="shared" ref="B31:G31" si="3">B26/B28*100</f>
        <v>#DIV/0!</v>
      </c>
      <c r="C31" s="3" t="e">
        <f t="shared" si="3"/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240719Bhz001.3</vt:lpstr>
      <vt:lpstr>240719Bhz002.1</vt:lpstr>
      <vt:lpstr>240719Bhz002.2</vt:lpstr>
      <vt:lpstr>240719Bhz003.3</vt:lpstr>
      <vt:lpstr>240719Bhz004.3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2024-12-02T01:12:57Z</dcterms:created>
  <dcterms:modified xsi:type="dcterms:W3CDTF">2024-12-03T23:33:37Z</dcterms:modified>
</cp:coreProperties>
</file>