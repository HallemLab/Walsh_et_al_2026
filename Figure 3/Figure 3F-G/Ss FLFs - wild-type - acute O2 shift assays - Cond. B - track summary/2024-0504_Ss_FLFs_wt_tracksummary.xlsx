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cute Shift Assays\S. stercoralis\FLFs\EAH467\2024-0504\WormLab Data\"/>
    </mc:Choice>
  </mc:AlternateContent>
  <xr:revisionPtr revIDLastSave="0" documentId="13_ncr:1_{9EEFEC86-98AD-4AC7-925A-0E8B53F4C4FF}" xr6:coauthVersionLast="36" xr6:coauthVersionMax="36" xr10:uidLastSave="{00000000-0000-0000-0000-000000000000}"/>
  <bookViews>
    <workbookView xWindow="0" yWindow="0" windowWidth="24945" windowHeight="10965" firstSheet="1" activeTab="6" xr2:uid="{0FEF4E15-4F6D-4A33-970A-BBD6C528AC17}"/>
  </bookViews>
  <sheets>
    <sheet name="240504Bwt001.1" sheetId="2" r:id="rId1"/>
    <sheet name="240504Bwt001.2" sheetId="3" r:id="rId2"/>
    <sheet name="240504Bwt002.1" sheetId="4" r:id="rId3"/>
    <sheet name="240504Bwt002.3" sheetId="5" r:id="rId4"/>
    <sheet name="240504Bwt003.1" sheetId="6" r:id="rId5"/>
    <sheet name="240504Bwt003.2" sheetId="7" r:id="rId6"/>
    <sheet name="240504Bwt003.3" sheetId="8" r:id="rId7"/>
    <sheet name="template" sheetId="1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8" l="1"/>
  <c r="E37" i="8"/>
  <c r="C37" i="8"/>
  <c r="F35" i="8"/>
  <c r="D35" i="8"/>
  <c r="G28" i="8"/>
  <c r="G31" i="8" s="1"/>
  <c r="F28" i="8"/>
  <c r="F31" i="8" s="1"/>
  <c r="E28" i="8"/>
  <c r="E31" i="8" s="1"/>
  <c r="D28" i="8"/>
  <c r="D29" i="8" s="1"/>
  <c r="C28" i="8"/>
  <c r="C29" i="8" s="1"/>
  <c r="B28" i="8"/>
  <c r="B29" i="8" s="1"/>
  <c r="G37" i="7"/>
  <c r="E37" i="7"/>
  <c r="C37" i="7"/>
  <c r="F35" i="7"/>
  <c r="D35" i="7"/>
  <c r="E31" i="7"/>
  <c r="D31" i="7"/>
  <c r="C31" i="7"/>
  <c r="B31" i="7"/>
  <c r="E30" i="7"/>
  <c r="D30" i="7"/>
  <c r="C30" i="7"/>
  <c r="B30" i="7"/>
  <c r="G28" i="7"/>
  <c r="G30" i="7" s="1"/>
  <c r="F28" i="7"/>
  <c r="F29" i="7" s="1"/>
  <c r="E28" i="7"/>
  <c r="E29" i="7" s="1"/>
  <c r="D28" i="7"/>
  <c r="D29" i="7" s="1"/>
  <c r="C28" i="7"/>
  <c r="C29" i="7" s="1"/>
  <c r="B28" i="7"/>
  <c r="B29" i="7" s="1"/>
  <c r="G37" i="6"/>
  <c r="E37" i="6"/>
  <c r="C37" i="6"/>
  <c r="F35" i="6"/>
  <c r="D35" i="6"/>
  <c r="G31" i="6"/>
  <c r="D31" i="6"/>
  <c r="C31" i="6"/>
  <c r="B31" i="6"/>
  <c r="D30" i="6"/>
  <c r="C30" i="6"/>
  <c r="B30" i="6"/>
  <c r="E29" i="6"/>
  <c r="G28" i="6"/>
  <c r="G29" i="6" s="1"/>
  <c r="F28" i="6"/>
  <c r="F31" i="6" s="1"/>
  <c r="E28" i="6"/>
  <c r="E31" i="6" s="1"/>
  <c r="D28" i="6"/>
  <c r="D29" i="6" s="1"/>
  <c r="C28" i="6"/>
  <c r="C29" i="6" s="1"/>
  <c r="B28" i="6"/>
  <c r="B29" i="6" s="1"/>
  <c r="G37" i="5"/>
  <c r="E37" i="5"/>
  <c r="C37" i="5"/>
  <c r="F35" i="5"/>
  <c r="D35" i="5"/>
  <c r="G31" i="5"/>
  <c r="F31" i="5"/>
  <c r="E31" i="5"/>
  <c r="D31" i="5"/>
  <c r="B31" i="5"/>
  <c r="G30" i="5"/>
  <c r="F30" i="5"/>
  <c r="E30" i="5"/>
  <c r="D30" i="5"/>
  <c r="B30" i="5"/>
  <c r="G29" i="5"/>
  <c r="F29" i="5"/>
  <c r="E29" i="5"/>
  <c r="G28" i="5"/>
  <c r="F28" i="5"/>
  <c r="E28" i="5"/>
  <c r="D28" i="5"/>
  <c r="D29" i="5" s="1"/>
  <c r="C28" i="5"/>
  <c r="C29" i="5" s="1"/>
  <c r="B28" i="5"/>
  <c r="B29" i="5" s="1"/>
  <c r="B30" i="8" l="1"/>
  <c r="D30" i="8"/>
  <c r="F29" i="8"/>
  <c r="E30" i="8"/>
  <c r="F30" i="8"/>
  <c r="G30" i="8"/>
  <c r="C31" i="8"/>
  <c r="E29" i="8"/>
  <c r="G29" i="8"/>
  <c r="C30" i="8"/>
  <c r="D31" i="8"/>
  <c r="B31" i="8"/>
  <c r="G29" i="7"/>
  <c r="G31" i="7"/>
  <c r="F30" i="7"/>
  <c r="F31" i="7"/>
  <c r="G30" i="6"/>
  <c r="F29" i="6"/>
  <c r="F30" i="6"/>
  <c r="E30" i="6"/>
  <c r="C31" i="5"/>
  <c r="C30" i="5"/>
  <c r="G37" i="4"/>
  <c r="E37" i="4"/>
  <c r="C37" i="4"/>
  <c r="F35" i="4"/>
  <c r="D35" i="4"/>
  <c r="C31" i="4"/>
  <c r="G28" i="4"/>
  <c r="G31" i="4" s="1"/>
  <c r="F28" i="4"/>
  <c r="F29" i="4" s="1"/>
  <c r="E28" i="4"/>
  <c r="E29" i="4" s="1"/>
  <c r="D28" i="4"/>
  <c r="D29" i="4" s="1"/>
  <c r="C28" i="4"/>
  <c r="C29" i="4" s="1"/>
  <c r="B28" i="4"/>
  <c r="B29" i="4" s="1"/>
  <c r="G37" i="3"/>
  <c r="E37" i="3"/>
  <c r="C37" i="3"/>
  <c r="F35" i="3"/>
  <c r="D35" i="3"/>
  <c r="F31" i="3"/>
  <c r="E31" i="3"/>
  <c r="D31" i="3"/>
  <c r="C31" i="3"/>
  <c r="F30" i="3"/>
  <c r="E30" i="3"/>
  <c r="D30" i="3"/>
  <c r="C30" i="3"/>
  <c r="B30" i="3"/>
  <c r="G29" i="3"/>
  <c r="F29" i="3"/>
  <c r="E29" i="3"/>
  <c r="D29" i="3"/>
  <c r="G28" i="3"/>
  <c r="G31" i="3" s="1"/>
  <c r="F28" i="3"/>
  <c r="E28" i="3"/>
  <c r="D28" i="3"/>
  <c r="C28" i="3"/>
  <c r="C29" i="3" s="1"/>
  <c r="B28" i="3"/>
  <c r="B29" i="3" s="1"/>
  <c r="G37" i="2"/>
  <c r="E37" i="2"/>
  <c r="C37" i="2"/>
  <c r="F35" i="2"/>
  <c r="D35" i="2"/>
  <c r="G28" i="2"/>
  <c r="G31" i="2" s="1"/>
  <c r="F28" i="2"/>
  <c r="F31" i="2" s="1"/>
  <c r="E28" i="2"/>
  <c r="E31" i="2" s="1"/>
  <c r="D28" i="2"/>
  <c r="D30" i="2" s="1"/>
  <c r="C28" i="2"/>
  <c r="C31" i="2" s="1"/>
  <c r="B28" i="2"/>
  <c r="B31" i="2" s="1"/>
  <c r="D31" i="4" l="1"/>
  <c r="G29" i="4"/>
  <c r="D30" i="4"/>
  <c r="E30" i="4"/>
  <c r="G30" i="4"/>
  <c r="E31" i="4"/>
  <c r="F31" i="4"/>
  <c r="B30" i="4"/>
  <c r="F30" i="4"/>
  <c r="B31" i="4"/>
  <c r="C30" i="4"/>
  <c r="G30" i="3"/>
  <c r="B31" i="3"/>
  <c r="D31" i="2"/>
  <c r="D29" i="2"/>
  <c r="E29" i="2"/>
  <c r="F29" i="2"/>
  <c r="C30" i="2"/>
  <c r="F30" i="2"/>
  <c r="B29" i="2"/>
  <c r="C29" i="2"/>
  <c r="G29" i="2"/>
  <c r="B30" i="2"/>
  <c r="E30" i="2"/>
  <c r="G30" i="2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B29" i="1"/>
  <c r="G28" i="1"/>
  <c r="F28" i="1"/>
  <c r="E28" i="1"/>
  <c r="D28" i="1"/>
  <c r="C28" i="1"/>
  <c r="B28" i="1"/>
</calcChain>
</file>

<file path=xl/sharedStrings.xml><?xml version="1.0" encoding="utf-8"?>
<sst xmlns="http://schemas.openxmlformats.org/spreadsheetml/2006/main" count="304" uniqueCount="37">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</sst>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0" xfId="0" applyFont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FF4E4-E08E-495B-A6E4-34D1A479474C}">
  <dimension ref="A1:G37"/>
  <sheetViews>
    <sheetView topLeftCell="A7" workbookViewId="0">
      <selection activeCell="L12" sqref="L12:L1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812.29</v>
      </c>
      <c r="C2" s="1">
        <v>812.94</v>
      </c>
      <c r="D2" s="1">
        <v>808.23</v>
      </c>
      <c r="E2" s="1">
        <v>770.7</v>
      </c>
      <c r="F2" s="1">
        <v>798.52</v>
      </c>
      <c r="G2" s="1">
        <v>837.36</v>
      </c>
    </row>
    <row r="3" spans="1:7" x14ac:dyDescent="0.25">
      <c r="A3" s="1" t="s">
        <v>7</v>
      </c>
      <c r="B3" s="1">
        <v>58.08</v>
      </c>
      <c r="C3" s="1">
        <v>56.69</v>
      </c>
      <c r="D3" s="1">
        <v>56.02</v>
      </c>
      <c r="E3" s="1">
        <v>62.15</v>
      </c>
      <c r="F3" s="1">
        <v>62.2</v>
      </c>
      <c r="G3" s="1">
        <v>63.84</v>
      </c>
    </row>
    <row r="4" spans="1:7" x14ac:dyDescent="0.25">
      <c r="A4" s="1" t="s">
        <v>8</v>
      </c>
      <c r="B4" s="1">
        <v>47965.440000000002</v>
      </c>
      <c r="C4" s="1">
        <v>46851.199999999997</v>
      </c>
      <c r="D4" s="1">
        <v>46035.21</v>
      </c>
      <c r="E4" s="1">
        <v>48693.73</v>
      </c>
      <c r="F4" s="1">
        <v>50502.13</v>
      </c>
      <c r="G4" s="1">
        <v>54371.37</v>
      </c>
    </row>
    <row r="5" spans="1:7" x14ac:dyDescent="0.25">
      <c r="A5" s="1" t="s">
        <v>9</v>
      </c>
      <c r="B5" s="1">
        <v>1615.53</v>
      </c>
      <c r="C5" s="1">
        <v>1358.03</v>
      </c>
      <c r="D5" s="1">
        <v>1276.07</v>
      </c>
      <c r="E5" s="1">
        <v>967.08</v>
      </c>
      <c r="F5" s="1">
        <v>866.96</v>
      </c>
      <c r="G5" s="1">
        <v>1332.05</v>
      </c>
    </row>
    <row r="6" spans="1:7" x14ac:dyDescent="0.25">
      <c r="A6" s="3" t="s">
        <v>10</v>
      </c>
      <c r="B6" s="3">
        <v>161.55000000000001</v>
      </c>
      <c r="C6" s="3">
        <v>137.16999999999999</v>
      </c>
      <c r="D6" s="3">
        <v>128.9</v>
      </c>
      <c r="E6" s="3">
        <v>97.68</v>
      </c>
      <c r="F6" s="3">
        <v>87.57</v>
      </c>
      <c r="G6" s="3">
        <v>135.91999999999999</v>
      </c>
    </row>
    <row r="7" spans="1:7" x14ac:dyDescent="0.25">
      <c r="A7" s="1" t="s">
        <v>11</v>
      </c>
      <c r="B7" s="1">
        <v>1537.38</v>
      </c>
      <c r="C7" s="1">
        <v>1222.81</v>
      </c>
      <c r="D7" s="1">
        <v>1137.53</v>
      </c>
      <c r="E7" s="1">
        <v>894.4</v>
      </c>
      <c r="F7" s="1">
        <v>764.99</v>
      </c>
      <c r="G7" s="1">
        <v>1227.29</v>
      </c>
    </row>
    <row r="8" spans="1:7" x14ac:dyDescent="0.25">
      <c r="A8" s="1" t="s">
        <v>12</v>
      </c>
      <c r="B8" s="1">
        <v>153.74</v>
      </c>
      <c r="C8" s="1">
        <v>123.52</v>
      </c>
      <c r="D8" s="1">
        <v>114.9</v>
      </c>
      <c r="E8" s="1">
        <v>90.34</v>
      </c>
      <c r="F8" s="1">
        <v>77.27</v>
      </c>
      <c r="G8" s="1">
        <v>125.23</v>
      </c>
    </row>
    <row r="9" spans="1:7" x14ac:dyDescent="0.25">
      <c r="A9" s="1" t="s">
        <v>13</v>
      </c>
      <c r="B9" s="1">
        <v>1537.38</v>
      </c>
      <c r="C9" s="1">
        <v>1214.23</v>
      </c>
      <c r="D9" s="1">
        <v>1135.47</v>
      </c>
      <c r="E9" s="1">
        <v>540.58000000000004</v>
      </c>
      <c r="F9" s="1">
        <v>674.07</v>
      </c>
      <c r="G9" s="1">
        <v>1227.29</v>
      </c>
    </row>
    <row r="10" spans="1:7" x14ac:dyDescent="0.25">
      <c r="A10" s="1" t="s">
        <v>14</v>
      </c>
      <c r="B10" s="1">
        <v>153.74</v>
      </c>
      <c r="C10" s="1">
        <v>122.65</v>
      </c>
      <c r="D10" s="1">
        <v>114.69</v>
      </c>
      <c r="E10" s="1">
        <v>54.6</v>
      </c>
      <c r="F10" s="1">
        <v>68.09</v>
      </c>
      <c r="G10" s="1">
        <v>125.23</v>
      </c>
    </row>
    <row r="11" spans="1:7" x14ac:dyDescent="0.25">
      <c r="A11" s="1" t="s">
        <v>15</v>
      </c>
      <c r="B11" s="1">
        <v>1001.47</v>
      </c>
      <c r="C11" s="1">
        <v>900.46</v>
      </c>
      <c r="D11" s="1">
        <v>819.78</v>
      </c>
      <c r="E11" s="1">
        <v>150.99</v>
      </c>
      <c r="F11" s="1">
        <v>422.51</v>
      </c>
      <c r="G11" s="1">
        <v>890.78</v>
      </c>
    </row>
    <row r="12" spans="1:7" x14ac:dyDescent="0.25">
      <c r="A12" s="1" t="s">
        <v>16</v>
      </c>
      <c r="B12" s="1">
        <v>461.65</v>
      </c>
      <c r="C12" s="1">
        <v>468.86</v>
      </c>
      <c r="D12" s="1">
        <v>459.25</v>
      </c>
      <c r="E12" s="1">
        <v>309.64999999999998</v>
      </c>
      <c r="F12" s="1">
        <v>390.08</v>
      </c>
      <c r="G12" s="1">
        <v>469.74</v>
      </c>
    </row>
    <row r="13" spans="1:7" x14ac:dyDescent="0.25">
      <c r="A13" s="1" t="s">
        <v>17</v>
      </c>
      <c r="B13" s="1">
        <v>60.38</v>
      </c>
      <c r="C13" s="1">
        <v>40.64</v>
      </c>
      <c r="D13" s="1">
        <v>37.94</v>
      </c>
      <c r="E13" s="1">
        <v>77.48</v>
      </c>
      <c r="F13" s="1">
        <v>51.14</v>
      </c>
      <c r="G13" s="1">
        <v>37.97</v>
      </c>
    </row>
    <row r="14" spans="1:7" x14ac:dyDescent="0.25">
      <c r="A14" s="1" t="s">
        <v>18</v>
      </c>
      <c r="B14" s="1">
        <v>136.94999999999999</v>
      </c>
      <c r="C14" s="1">
        <v>103.33</v>
      </c>
      <c r="D14" s="1">
        <v>87.82</v>
      </c>
      <c r="E14" s="1">
        <v>161.13</v>
      </c>
      <c r="F14" s="1">
        <v>136.97</v>
      </c>
      <c r="G14" s="1">
        <v>110.29</v>
      </c>
    </row>
    <row r="15" spans="1:7" x14ac:dyDescent="0.25">
      <c r="A15" s="1" t="s">
        <v>19</v>
      </c>
      <c r="B15" s="1">
        <v>6</v>
      </c>
      <c r="C15" s="1">
        <v>5</v>
      </c>
      <c r="D15" s="1">
        <v>5</v>
      </c>
      <c r="E15" s="1">
        <v>3</v>
      </c>
      <c r="F15" s="1">
        <v>2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1537.38</v>
      </c>
      <c r="C17" s="1">
        <v>1218.52</v>
      </c>
      <c r="D17" s="1">
        <v>1136.5</v>
      </c>
      <c r="E17" s="1">
        <v>717.49</v>
      </c>
      <c r="F17" s="1">
        <v>719.53</v>
      </c>
      <c r="G17" s="1">
        <v>1227.29</v>
      </c>
    </row>
    <row r="18" spans="1:7" x14ac:dyDescent="0.25">
      <c r="A18" s="1" t="s">
        <v>22</v>
      </c>
      <c r="B18" s="1">
        <v>0</v>
      </c>
      <c r="C18" s="1">
        <v>4.29</v>
      </c>
      <c r="D18" s="1">
        <v>1.03</v>
      </c>
      <c r="E18" s="1">
        <v>176.91</v>
      </c>
      <c r="F18" s="1">
        <v>45.46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3.1</v>
      </c>
      <c r="F20" s="1">
        <v>1.3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6.9</v>
      </c>
      <c r="F21" s="1">
        <v>8.6999999999999993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2.7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1</v>
      </c>
      <c r="F25" s="1">
        <v>2.4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6.3</v>
      </c>
      <c r="F26" s="1">
        <v>7.6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27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10</v>
      </c>
      <c r="F30" s="3">
        <f t="shared" si="2"/>
        <v>24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63</v>
      </c>
      <c r="F31" s="3">
        <f t="shared" si="3"/>
        <v>76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158.91</v>
      </c>
      <c r="C33" s="3">
        <v>133.11000000000001</v>
      </c>
      <c r="D33" s="3">
        <v>125.63</v>
      </c>
      <c r="E33" s="3">
        <v>21.09</v>
      </c>
      <c r="F33" s="3">
        <v>67.69</v>
      </c>
      <c r="G33" s="3">
        <v>134.37</v>
      </c>
    </row>
    <row r="35" spans="1:7" x14ac:dyDescent="0.25">
      <c r="A35" s="3" t="s">
        <v>36</v>
      </c>
      <c r="B35" s="3"/>
      <c r="C35" s="3"/>
      <c r="D35" s="3">
        <f>D33-C33</f>
        <v>-7.4800000000000182</v>
      </c>
      <c r="E35" s="3"/>
      <c r="F35" s="3">
        <f>F33-E33</f>
        <v>46.599999999999994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-104.53999999999999</v>
      </c>
      <c r="F37" s="3"/>
      <c r="G37" s="3">
        <f>G33-F33</f>
        <v>66.680000000000007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8878-BC3C-438D-927B-0C9E5B2C81C3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852.46</v>
      </c>
      <c r="C2" s="1">
        <v>827.62</v>
      </c>
      <c r="D2" s="1">
        <v>851.56</v>
      </c>
      <c r="E2" s="1">
        <v>702.22</v>
      </c>
      <c r="F2" s="1">
        <v>812.89</v>
      </c>
      <c r="G2" s="1">
        <v>840.52</v>
      </c>
    </row>
    <row r="3" spans="1:7" x14ac:dyDescent="0.25">
      <c r="A3" s="1" t="s">
        <v>7</v>
      </c>
      <c r="B3" s="1">
        <v>61.63</v>
      </c>
      <c r="C3" s="1">
        <v>61.64</v>
      </c>
      <c r="D3" s="1">
        <v>63.14</v>
      </c>
      <c r="E3" s="1">
        <v>71.459999999999994</v>
      </c>
      <c r="F3" s="1">
        <v>64.64</v>
      </c>
      <c r="G3" s="1">
        <v>62.9</v>
      </c>
    </row>
    <row r="4" spans="1:7" x14ac:dyDescent="0.25">
      <c r="A4" s="1" t="s">
        <v>8</v>
      </c>
      <c r="B4" s="1">
        <v>53407.11</v>
      </c>
      <c r="C4" s="1">
        <v>51839.94</v>
      </c>
      <c r="D4" s="1">
        <v>54672.83</v>
      </c>
      <c r="E4" s="1">
        <v>50946.5</v>
      </c>
      <c r="F4" s="1">
        <v>53418.11</v>
      </c>
      <c r="G4" s="1">
        <v>53723.99</v>
      </c>
    </row>
    <row r="5" spans="1:7" x14ac:dyDescent="0.25">
      <c r="A5" s="1" t="s">
        <v>9</v>
      </c>
      <c r="B5" s="1">
        <v>1394</v>
      </c>
      <c r="C5" s="1">
        <v>1532.78</v>
      </c>
      <c r="D5" s="1">
        <v>779.24</v>
      </c>
      <c r="E5" s="1">
        <v>724.66</v>
      </c>
      <c r="F5" s="1">
        <v>581.85</v>
      </c>
      <c r="G5" s="1">
        <v>1267.42</v>
      </c>
    </row>
    <row r="6" spans="1:7" x14ac:dyDescent="0.25">
      <c r="A6" s="3" t="s">
        <v>10</v>
      </c>
      <c r="B6" s="3">
        <v>139.4</v>
      </c>
      <c r="C6" s="3">
        <v>154.83000000000001</v>
      </c>
      <c r="D6" s="3">
        <v>78.709999999999994</v>
      </c>
      <c r="E6" s="3">
        <v>73.2</v>
      </c>
      <c r="F6" s="3">
        <v>58.77</v>
      </c>
      <c r="G6" s="3">
        <v>129.33000000000001</v>
      </c>
    </row>
    <row r="7" spans="1:7" x14ac:dyDescent="0.25">
      <c r="A7" s="1" t="s">
        <v>11</v>
      </c>
      <c r="B7" s="1">
        <v>1059.17</v>
      </c>
      <c r="C7" s="1">
        <v>1416.78</v>
      </c>
      <c r="D7" s="1">
        <v>639.92999999999995</v>
      </c>
      <c r="E7" s="1">
        <v>615.98</v>
      </c>
      <c r="F7" s="1">
        <v>481.17</v>
      </c>
      <c r="G7" s="1">
        <v>998.55</v>
      </c>
    </row>
    <row r="8" spans="1:7" x14ac:dyDescent="0.25">
      <c r="A8" s="1" t="s">
        <v>12</v>
      </c>
      <c r="B8" s="1">
        <v>105.92</v>
      </c>
      <c r="C8" s="1">
        <v>143.11000000000001</v>
      </c>
      <c r="D8" s="1">
        <v>64.64</v>
      </c>
      <c r="E8" s="1">
        <v>62.22</v>
      </c>
      <c r="F8" s="1">
        <v>48.6</v>
      </c>
      <c r="G8" s="1">
        <v>101.89</v>
      </c>
    </row>
    <row r="9" spans="1:7" x14ac:dyDescent="0.25">
      <c r="A9" s="1" t="s">
        <v>13</v>
      </c>
      <c r="B9" s="1">
        <v>1055.8900000000001</v>
      </c>
      <c r="C9" s="1">
        <v>1305.8800000000001</v>
      </c>
      <c r="D9" s="1">
        <v>610.53</v>
      </c>
      <c r="E9" s="1">
        <v>467.35</v>
      </c>
      <c r="F9" s="1">
        <v>269.45</v>
      </c>
      <c r="G9" s="1">
        <v>998.55</v>
      </c>
    </row>
    <row r="10" spans="1:7" x14ac:dyDescent="0.25">
      <c r="A10" s="1" t="s">
        <v>14</v>
      </c>
      <c r="B10" s="1">
        <v>105.59</v>
      </c>
      <c r="C10" s="1">
        <v>131.91</v>
      </c>
      <c r="D10" s="1">
        <v>61.67</v>
      </c>
      <c r="E10" s="1">
        <v>47.21</v>
      </c>
      <c r="F10" s="1">
        <v>27.22</v>
      </c>
      <c r="G10" s="1">
        <v>101.89</v>
      </c>
    </row>
    <row r="11" spans="1:7" x14ac:dyDescent="0.25">
      <c r="A11" s="1" t="s">
        <v>15</v>
      </c>
      <c r="B11" s="1">
        <v>516.45000000000005</v>
      </c>
      <c r="C11" s="1">
        <v>699.85</v>
      </c>
      <c r="D11" s="1">
        <v>354.82</v>
      </c>
      <c r="E11" s="1">
        <v>350.91</v>
      </c>
      <c r="F11" s="1">
        <v>86.92</v>
      </c>
      <c r="G11" s="1">
        <v>579.83000000000004</v>
      </c>
    </row>
    <row r="12" spans="1:7" x14ac:dyDescent="0.25">
      <c r="A12" s="1" t="s">
        <v>16</v>
      </c>
      <c r="B12" s="1">
        <v>440.94</v>
      </c>
      <c r="C12" s="1">
        <v>446.99</v>
      </c>
      <c r="D12" s="1">
        <v>417.28</v>
      </c>
      <c r="E12" s="1">
        <v>286.08999999999997</v>
      </c>
      <c r="F12" s="1">
        <v>374.41</v>
      </c>
      <c r="G12" s="1">
        <v>412.32</v>
      </c>
    </row>
    <row r="13" spans="1:7" x14ac:dyDescent="0.25">
      <c r="A13" s="1" t="s">
        <v>17</v>
      </c>
      <c r="B13" s="1">
        <v>45.75</v>
      </c>
      <c r="C13" s="1">
        <v>71.239999999999995</v>
      </c>
      <c r="D13" s="1">
        <v>54.98</v>
      </c>
      <c r="E13" s="1">
        <v>55.03</v>
      </c>
      <c r="F13" s="1">
        <v>53.93</v>
      </c>
      <c r="G13" s="1">
        <v>44.81</v>
      </c>
    </row>
    <row r="14" spans="1:7" x14ac:dyDescent="0.25">
      <c r="A14" s="1" t="s">
        <v>18</v>
      </c>
      <c r="B14" s="1">
        <v>94.41</v>
      </c>
      <c r="C14" s="1">
        <v>153.66</v>
      </c>
      <c r="D14" s="1">
        <v>124.89</v>
      </c>
      <c r="E14" s="1">
        <v>137.11000000000001</v>
      </c>
      <c r="F14" s="1">
        <v>135.36000000000001</v>
      </c>
      <c r="G14" s="1">
        <v>116.84</v>
      </c>
    </row>
    <row r="15" spans="1:7" x14ac:dyDescent="0.25">
      <c r="A15" s="1" t="s">
        <v>19</v>
      </c>
      <c r="B15" s="1">
        <v>4</v>
      </c>
      <c r="C15" s="1">
        <v>7</v>
      </c>
      <c r="D15" s="1">
        <v>2</v>
      </c>
      <c r="E15" s="1">
        <v>4</v>
      </c>
      <c r="F15" s="1">
        <v>2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1057.53</v>
      </c>
      <c r="C17" s="1">
        <v>1361.33</v>
      </c>
      <c r="D17" s="1">
        <v>625.23</v>
      </c>
      <c r="E17" s="1">
        <v>541.66</v>
      </c>
      <c r="F17" s="1">
        <v>375.31</v>
      </c>
      <c r="G17" s="1">
        <v>998.55</v>
      </c>
    </row>
    <row r="18" spans="1:7" x14ac:dyDescent="0.25">
      <c r="A18" s="1" t="s">
        <v>22</v>
      </c>
      <c r="B18" s="1">
        <v>1.64</v>
      </c>
      <c r="C18" s="1">
        <v>55.45</v>
      </c>
      <c r="D18" s="1">
        <v>14.7</v>
      </c>
      <c r="E18" s="1">
        <v>74.31</v>
      </c>
      <c r="F18" s="1">
        <v>105.86</v>
      </c>
      <c r="G18" s="1">
        <v>0</v>
      </c>
    </row>
    <row r="19" spans="1:7" x14ac:dyDescent="0.25">
      <c r="A19" s="1" t="s">
        <v>23</v>
      </c>
      <c r="B19" s="1">
        <v>0</v>
      </c>
      <c r="C19" s="1">
        <v>1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1.1000000000000001</v>
      </c>
      <c r="D20" s="1">
        <v>0</v>
      </c>
      <c r="E20" s="1">
        <v>0</v>
      </c>
      <c r="F20" s="1">
        <v>3.1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8.9</v>
      </c>
      <c r="D21" s="1">
        <v>10</v>
      </c>
      <c r="E21" s="1">
        <v>10</v>
      </c>
      <c r="F21" s="1">
        <v>6.9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2.7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3.6</v>
      </c>
      <c r="E25" s="1">
        <v>3.9</v>
      </c>
      <c r="F25" s="1">
        <v>2.7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6.4</v>
      </c>
      <c r="E26" s="1">
        <v>6.1</v>
      </c>
      <c r="F26" s="1">
        <v>4.5999999999999996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27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36</v>
      </c>
      <c r="E30" s="3">
        <f t="shared" si="2"/>
        <v>39</v>
      </c>
      <c r="F30" s="3">
        <f t="shared" si="2"/>
        <v>27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64</v>
      </c>
      <c r="E31" s="3">
        <f t="shared" si="3"/>
        <v>61</v>
      </c>
      <c r="F31" s="3">
        <f t="shared" si="3"/>
        <v>46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132.16</v>
      </c>
      <c r="C33" s="3">
        <v>130.07</v>
      </c>
      <c r="D33" s="3">
        <v>66.900000000000006</v>
      </c>
      <c r="E33" s="3">
        <v>50.17</v>
      </c>
      <c r="F33" s="3">
        <v>19.53</v>
      </c>
      <c r="G33" s="3">
        <v>124.35</v>
      </c>
    </row>
    <row r="35" spans="1:7" x14ac:dyDescent="0.25">
      <c r="A35" s="3" t="s">
        <v>36</v>
      </c>
      <c r="B35" s="3"/>
      <c r="C35" s="3"/>
      <c r="D35" s="3">
        <f>D33-C33</f>
        <v>-63.169999999999987</v>
      </c>
      <c r="E35" s="3"/>
      <c r="F35" s="3">
        <f>F33-E33</f>
        <v>-30.64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-16.730000000000004</v>
      </c>
      <c r="F37" s="3"/>
      <c r="G37" s="3">
        <f>G33-F33</f>
        <v>104.82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93CB-144D-40DA-9B26-8693ACA9E9DE}">
  <dimension ref="A1:G37"/>
  <sheetViews>
    <sheetView topLeftCell="A10" workbookViewId="0">
      <selection activeCell="B42" sqref="B4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783.25</v>
      </c>
      <c r="C2" s="1">
        <v>761.35</v>
      </c>
      <c r="D2" s="1">
        <v>759.59</v>
      </c>
      <c r="E2" s="1">
        <v>636.48</v>
      </c>
      <c r="F2" s="1">
        <v>654.64</v>
      </c>
      <c r="G2" s="1">
        <v>733.37</v>
      </c>
    </row>
    <row r="3" spans="1:7" x14ac:dyDescent="0.25">
      <c r="A3" s="1" t="s">
        <v>7</v>
      </c>
      <c r="B3" s="1">
        <v>49.39</v>
      </c>
      <c r="C3" s="1">
        <v>49.6</v>
      </c>
      <c r="D3" s="1">
        <v>49.59</v>
      </c>
      <c r="E3" s="1">
        <v>45</v>
      </c>
      <c r="F3" s="1">
        <v>44.22</v>
      </c>
      <c r="G3" s="1">
        <v>49.86</v>
      </c>
    </row>
    <row r="4" spans="1:7" x14ac:dyDescent="0.25">
      <c r="A4" s="1" t="s">
        <v>8</v>
      </c>
      <c r="B4" s="1">
        <v>39349.83</v>
      </c>
      <c r="C4" s="1">
        <v>38399</v>
      </c>
      <c r="D4" s="1">
        <v>38302.14</v>
      </c>
      <c r="E4" s="1">
        <v>29359.66</v>
      </c>
      <c r="F4" s="1">
        <v>29678.38</v>
      </c>
      <c r="G4" s="1">
        <v>37152.86</v>
      </c>
    </row>
    <row r="5" spans="1:7" x14ac:dyDescent="0.25">
      <c r="A5" s="1" t="s">
        <v>9</v>
      </c>
      <c r="B5" s="1">
        <v>1911.93</v>
      </c>
      <c r="C5" s="1">
        <v>1675.85</v>
      </c>
      <c r="D5" s="1">
        <v>1370.04</v>
      </c>
      <c r="E5" s="1">
        <v>1267.8699999999999</v>
      </c>
      <c r="F5" s="1">
        <v>859.94</v>
      </c>
      <c r="G5" s="1">
        <v>1346.03</v>
      </c>
    </row>
    <row r="6" spans="1:7" x14ac:dyDescent="0.25">
      <c r="A6" s="3" t="s">
        <v>10</v>
      </c>
      <c r="B6" s="3">
        <v>191.19</v>
      </c>
      <c r="C6" s="3">
        <v>169.28</v>
      </c>
      <c r="D6" s="3">
        <v>138.38999999999999</v>
      </c>
      <c r="E6" s="3">
        <v>128.07</v>
      </c>
      <c r="F6" s="3">
        <v>86.86</v>
      </c>
      <c r="G6" s="3">
        <v>137.35</v>
      </c>
    </row>
    <row r="7" spans="1:7" x14ac:dyDescent="0.25">
      <c r="A7" s="1" t="s">
        <v>11</v>
      </c>
      <c r="B7" s="1">
        <v>1899.58</v>
      </c>
      <c r="C7" s="1">
        <v>1651.28</v>
      </c>
      <c r="D7" s="1">
        <v>1351.38</v>
      </c>
      <c r="E7" s="1">
        <v>1068.5</v>
      </c>
      <c r="F7" s="1">
        <v>814.7</v>
      </c>
      <c r="G7" s="1">
        <v>1282.93</v>
      </c>
    </row>
    <row r="8" spans="1:7" x14ac:dyDescent="0.25">
      <c r="A8" s="1" t="s">
        <v>12</v>
      </c>
      <c r="B8" s="1">
        <v>189.96</v>
      </c>
      <c r="C8" s="1">
        <v>166.8</v>
      </c>
      <c r="D8" s="1">
        <v>136.5</v>
      </c>
      <c r="E8" s="1">
        <v>107.93</v>
      </c>
      <c r="F8" s="1">
        <v>82.29</v>
      </c>
      <c r="G8" s="1">
        <v>130.91</v>
      </c>
    </row>
    <row r="9" spans="1:7" x14ac:dyDescent="0.25">
      <c r="A9" s="1" t="s">
        <v>13</v>
      </c>
      <c r="B9" s="1">
        <v>1899.58</v>
      </c>
      <c r="C9" s="1">
        <v>1645.67</v>
      </c>
      <c r="D9" s="1">
        <v>1348.36</v>
      </c>
      <c r="E9" s="1">
        <v>-775.6</v>
      </c>
      <c r="F9" s="1">
        <v>602.54999999999995</v>
      </c>
      <c r="G9" s="1">
        <v>1244.4000000000001</v>
      </c>
    </row>
    <row r="10" spans="1:7" x14ac:dyDescent="0.25">
      <c r="A10" s="1" t="s">
        <v>14</v>
      </c>
      <c r="B10" s="1">
        <v>189.96</v>
      </c>
      <c r="C10" s="1">
        <v>166.23</v>
      </c>
      <c r="D10" s="1">
        <v>136.19999999999999</v>
      </c>
      <c r="E10" s="1">
        <v>-78.34</v>
      </c>
      <c r="F10" s="1">
        <v>60.86</v>
      </c>
      <c r="G10" s="1">
        <v>126.98</v>
      </c>
    </row>
    <row r="11" spans="1:7" x14ac:dyDescent="0.25">
      <c r="A11" s="1" t="s">
        <v>15</v>
      </c>
      <c r="B11" s="1">
        <v>1655.99</v>
      </c>
      <c r="C11" s="1">
        <v>1459.11</v>
      </c>
      <c r="D11" s="1">
        <v>1176.4100000000001</v>
      </c>
      <c r="E11" s="1">
        <v>385.43</v>
      </c>
      <c r="F11" s="1">
        <v>401.83</v>
      </c>
      <c r="G11" s="1">
        <v>1097.06</v>
      </c>
    </row>
    <row r="12" spans="1:7" x14ac:dyDescent="0.25">
      <c r="A12" s="1" t="s">
        <v>16</v>
      </c>
      <c r="B12" s="1">
        <v>368.17</v>
      </c>
      <c r="C12" s="1">
        <v>386.68</v>
      </c>
      <c r="D12" s="1">
        <v>398.65</v>
      </c>
      <c r="E12" s="1">
        <v>252.64</v>
      </c>
      <c r="F12" s="1">
        <v>292.04000000000002</v>
      </c>
      <c r="G12" s="1">
        <v>406.23</v>
      </c>
    </row>
    <row r="13" spans="1:7" x14ac:dyDescent="0.25">
      <c r="A13" s="1" t="s">
        <v>17</v>
      </c>
      <c r="B13" s="1">
        <v>34.46</v>
      </c>
      <c r="C13" s="1">
        <v>29.71</v>
      </c>
      <c r="D13" s="1">
        <v>31.55</v>
      </c>
      <c r="E13" s="1">
        <v>62.59</v>
      </c>
      <c r="F13" s="1">
        <v>52.88</v>
      </c>
      <c r="G13" s="1">
        <v>27.2</v>
      </c>
    </row>
    <row r="14" spans="1:7" x14ac:dyDescent="0.25">
      <c r="A14" s="1" t="s">
        <v>18</v>
      </c>
      <c r="B14" s="1">
        <v>76.53</v>
      </c>
      <c r="C14" s="1">
        <v>79.16</v>
      </c>
      <c r="D14" s="1">
        <v>64.239999999999995</v>
      </c>
      <c r="E14" s="1">
        <v>133.19</v>
      </c>
      <c r="F14" s="1">
        <v>107.2</v>
      </c>
      <c r="G14" s="1">
        <v>90.29</v>
      </c>
    </row>
    <row r="15" spans="1:7" x14ac:dyDescent="0.25">
      <c r="A15" s="1" t="s">
        <v>19</v>
      </c>
      <c r="B15" s="1">
        <v>2</v>
      </c>
      <c r="C15" s="1">
        <v>2</v>
      </c>
      <c r="D15" s="1">
        <v>1</v>
      </c>
      <c r="E15" s="1">
        <v>4</v>
      </c>
      <c r="F15" s="1">
        <v>3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1899.58</v>
      </c>
      <c r="C17" s="1">
        <v>1648.47</v>
      </c>
      <c r="D17" s="1">
        <v>1349.87</v>
      </c>
      <c r="E17" s="1">
        <v>146.44999999999999</v>
      </c>
      <c r="F17" s="1">
        <v>708.63</v>
      </c>
      <c r="G17" s="1">
        <v>1263.67</v>
      </c>
    </row>
    <row r="18" spans="1:7" x14ac:dyDescent="0.25">
      <c r="A18" s="1" t="s">
        <v>22</v>
      </c>
      <c r="B18" s="1">
        <v>0</v>
      </c>
      <c r="C18" s="1">
        <v>2.81</v>
      </c>
      <c r="D18" s="1">
        <v>1.51</v>
      </c>
      <c r="E18" s="1">
        <v>922.05</v>
      </c>
      <c r="F18" s="1">
        <v>106.07</v>
      </c>
      <c r="G18" s="1">
        <v>19.27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9.6999999999999993</v>
      </c>
      <c r="F20" s="1">
        <v>1.8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0.3</v>
      </c>
      <c r="F21" s="1">
        <v>8.1999999999999993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6.1</v>
      </c>
      <c r="F24" s="1">
        <v>2.2999999999999998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3.9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0</v>
      </c>
      <c r="F26" s="1">
        <v>7.7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61</v>
      </c>
      <c r="F29" s="3">
        <f t="shared" si="1"/>
        <v>23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39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77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187.72</v>
      </c>
      <c r="C33" s="3">
        <v>166.33</v>
      </c>
      <c r="D33" s="3">
        <v>138.07</v>
      </c>
      <c r="E33" s="3">
        <v>-101.3</v>
      </c>
      <c r="F33" s="3">
        <v>49.3</v>
      </c>
      <c r="G33" s="3">
        <v>135.11000000000001</v>
      </c>
    </row>
    <row r="35" spans="1:7" x14ac:dyDescent="0.25">
      <c r="A35" s="3" t="s">
        <v>36</v>
      </c>
      <c r="B35" s="3"/>
      <c r="C35" s="3"/>
      <c r="D35" s="3">
        <f>D33-C33</f>
        <v>-28.260000000000019</v>
      </c>
      <c r="E35" s="3"/>
      <c r="F35" s="3">
        <f>F33-E33</f>
        <v>150.6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-239.37</v>
      </c>
      <c r="F37" s="3"/>
      <c r="G37" s="3">
        <f>G33-F33</f>
        <v>85.810000000000016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C00B-ECE4-4E03-AF8E-8931726BB6E0}">
  <dimension ref="A1:G37"/>
  <sheetViews>
    <sheetView topLeftCell="A10" workbookViewId="0">
      <selection activeCell="D41" sqref="D4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811.47</v>
      </c>
      <c r="C2" s="1">
        <v>760.13</v>
      </c>
      <c r="D2" s="1">
        <v>692.74</v>
      </c>
      <c r="E2" s="1">
        <v>719.66</v>
      </c>
      <c r="F2" s="1">
        <v>672.29</v>
      </c>
      <c r="G2" s="1">
        <v>788.65</v>
      </c>
    </row>
    <row r="3" spans="1:7" x14ac:dyDescent="0.25">
      <c r="A3" s="1" t="s">
        <v>7</v>
      </c>
      <c r="B3" s="1">
        <v>65.48</v>
      </c>
      <c r="C3" s="1">
        <v>58.02</v>
      </c>
      <c r="D3" s="1">
        <v>60.81</v>
      </c>
      <c r="E3" s="1">
        <v>66.28</v>
      </c>
      <c r="F3" s="1">
        <v>64.16</v>
      </c>
      <c r="G3" s="1">
        <v>57.38</v>
      </c>
    </row>
    <row r="4" spans="1:7" x14ac:dyDescent="0.25">
      <c r="A4" s="1" t="s">
        <v>8</v>
      </c>
      <c r="B4" s="1">
        <v>54022.559999999998</v>
      </c>
      <c r="C4" s="1">
        <v>44809.79</v>
      </c>
      <c r="D4" s="1">
        <v>42526.55</v>
      </c>
      <c r="E4" s="1">
        <v>48470.84</v>
      </c>
      <c r="F4" s="1">
        <v>43792.77</v>
      </c>
      <c r="G4" s="1">
        <v>45963.05</v>
      </c>
    </row>
    <row r="5" spans="1:7" x14ac:dyDescent="0.25">
      <c r="A5" s="1" t="s">
        <v>9</v>
      </c>
      <c r="B5" s="1">
        <v>1598.62</v>
      </c>
      <c r="C5" s="1">
        <v>1648.69</v>
      </c>
      <c r="D5" s="1">
        <v>1093.6500000000001</v>
      </c>
      <c r="E5" s="1">
        <v>787.75</v>
      </c>
      <c r="F5" s="1">
        <v>672.77</v>
      </c>
      <c r="G5" s="1">
        <v>1406.54</v>
      </c>
    </row>
    <row r="6" spans="1:7" x14ac:dyDescent="0.25">
      <c r="A6" s="3" t="s">
        <v>10</v>
      </c>
      <c r="B6" s="3">
        <v>159.86000000000001</v>
      </c>
      <c r="C6" s="3">
        <v>166.53</v>
      </c>
      <c r="D6" s="3">
        <v>110.47</v>
      </c>
      <c r="E6" s="3">
        <v>79.569999999999993</v>
      </c>
      <c r="F6" s="3">
        <v>67.959999999999994</v>
      </c>
      <c r="G6" s="3">
        <v>143.52000000000001</v>
      </c>
    </row>
    <row r="7" spans="1:7" x14ac:dyDescent="0.25">
      <c r="A7" s="1" t="s">
        <v>11</v>
      </c>
      <c r="B7" s="1">
        <v>1559.87</v>
      </c>
      <c r="C7" s="1">
        <v>1606.68</v>
      </c>
      <c r="D7" s="1">
        <v>1061.8499999999999</v>
      </c>
      <c r="E7" s="1">
        <v>753.72</v>
      </c>
      <c r="F7" s="1">
        <v>650.41</v>
      </c>
      <c r="G7" s="1">
        <v>1377.55</v>
      </c>
    </row>
    <row r="8" spans="1:7" x14ac:dyDescent="0.25">
      <c r="A8" s="1" t="s">
        <v>12</v>
      </c>
      <c r="B8" s="1">
        <v>155.99</v>
      </c>
      <c r="C8" s="1">
        <v>162.29</v>
      </c>
      <c r="D8" s="1">
        <v>107.26</v>
      </c>
      <c r="E8" s="1">
        <v>76.13</v>
      </c>
      <c r="F8" s="1">
        <v>65.7</v>
      </c>
      <c r="G8" s="1">
        <v>140.57</v>
      </c>
    </row>
    <row r="9" spans="1:7" x14ac:dyDescent="0.25">
      <c r="A9" s="1" t="s">
        <v>13</v>
      </c>
      <c r="B9" s="1">
        <v>1559.87</v>
      </c>
      <c r="C9" s="1">
        <v>1606.68</v>
      </c>
      <c r="D9" s="1">
        <v>-858.29</v>
      </c>
      <c r="E9" s="1">
        <v>-334.23</v>
      </c>
      <c r="F9" s="1">
        <v>248.47</v>
      </c>
      <c r="G9" s="1">
        <v>1377.55</v>
      </c>
    </row>
    <row r="10" spans="1:7" x14ac:dyDescent="0.25">
      <c r="A10" s="1" t="s">
        <v>14</v>
      </c>
      <c r="B10" s="1">
        <v>155.99</v>
      </c>
      <c r="C10" s="1">
        <v>162.29</v>
      </c>
      <c r="D10" s="1">
        <v>-86.7</v>
      </c>
      <c r="E10" s="1">
        <v>-33.76</v>
      </c>
      <c r="F10" s="1">
        <v>25.1</v>
      </c>
      <c r="G10" s="1">
        <v>140.57</v>
      </c>
    </row>
    <row r="11" spans="1:7" x14ac:dyDescent="0.25">
      <c r="A11" s="1" t="s">
        <v>15</v>
      </c>
      <c r="B11" s="1">
        <v>1415.07</v>
      </c>
      <c r="C11" s="1">
        <v>1404.73</v>
      </c>
      <c r="D11" s="1">
        <v>378.81</v>
      </c>
      <c r="E11" s="1">
        <v>55.3</v>
      </c>
      <c r="F11" s="1">
        <v>75.180000000000007</v>
      </c>
      <c r="G11" s="1">
        <v>1204.45</v>
      </c>
    </row>
    <row r="12" spans="1:7" x14ac:dyDescent="0.25">
      <c r="A12" s="1" t="s">
        <v>16</v>
      </c>
      <c r="B12" s="1">
        <v>398.67</v>
      </c>
      <c r="C12" s="1">
        <v>411.12</v>
      </c>
      <c r="D12" s="1">
        <v>321.56</v>
      </c>
      <c r="E12" s="1">
        <v>219.6</v>
      </c>
      <c r="F12" s="1">
        <v>281.64</v>
      </c>
      <c r="G12" s="1">
        <v>406.54</v>
      </c>
    </row>
    <row r="13" spans="1:7" x14ac:dyDescent="0.25">
      <c r="A13" s="1" t="s">
        <v>17</v>
      </c>
      <c r="B13" s="1">
        <v>31.7</v>
      </c>
      <c r="C13" s="1">
        <v>44.08</v>
      </c>
      <c r="D13" s="1">
        <v>52.87</v>
      </c>
      <c r="E13" s="1">
        <v>72.12</v>
      </c>
      <c r="F13" s="1">
        <v>67.38</v>
      </c>
      <c r="G13" s="1">
        <v>29.56</v>
      </c>
    </row>
    <row r="14" spans="1:7" x14ac:dyDescent="0.25">
      <c r="A14" s="1" t="s">
        <v>18</v>
      </c>
      <c r="B14" s="1">
        <v>69.58</v>
      </c>
      <c r="C14" s="1">
        <v>95.91</v>
      </c>
      <c r="D14" s="1">
        <v>143.44</v>
      </c>
      <c r="E14" s="1">
        <v>132.33000000000001</v>
      </c>
      <c r="F14" s="1">
        <v>131.82</v>
      </c>
      <c r="G14" s="1">
        <v>91.87</v>
      </c>
    </row>
    <row r="15" spans="1:7" x14ac:dyDescent="0.25">
      <c r="A15" s="1" t="s">
        <v>19</v>
      </c>
      <c r="B15" s="1">
        <v>2</v>
      </c>
      <c r="C15" s="1">
        <v>5</v>
      </c>
      <c r="D15" s="1">
        <v>5</v>
      </c>
      <c r="E15" s="1">
        <v>5</v>
      </c>
      <c r="F15" s="1">
        <v>2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1559.87</v>
      </c>
      <c r="C17" s="1">
        <v>1606.68</v>
      </c>
      <c r="D17" s="1">
        <v>101.78</v>
      </c>
      <c r="E17" s="1">
        <v>209.75</v>
      </c>
      <c r="F17" s="1">
        <v>449.44</v>
      </c>
      <c r="G17" s="1">
        <v>1377.55</v>
      </c>
    </row>
    <row r="18" spans="1:7" x14ac:dyDescent="0.25">
      <c r="A18" s="1" t="s">
        <v>22</v>
      </c>
      <c r="B18" s="1">
        <v>0</v>
      </c>
      <c r="C18" s="1">
        <v>0</v>
      </c>
      <c r="D18" s="1">
        <v>960.07</v>
      </c>
      <c r="E18" s="1">
        <v>543.97</v>
      </c>
      <c r="F18" s="1">
        <v>200.97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3</v>
      </c>
      <c r="E19" s="1">
        <v>1</v>
      </c>
      <c r="F19" s="1">
        <v>3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8</v>
      </c>
      <c r="E20" s="1">
        <v>4.7</v>
      </c>
      <c r="F20" s="1">
        <v>3.9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2</v>
      </c>
      <c r="E21" s="1">
        <v>5.3</v>
      </c>
      <c r="F21" s="1">
        <v>6.1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1</v>
      </c>
      <c r="E22" s="1">
        <v>0</v>
      </c>
      <c r="F22" s="1">
        <v>1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1.8</v>
      </c>
      <c r="E23" s="1">
        <v>0</v>
      </c>
      <c r="F23" s="1">
        <v>1.7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7.6</v>
      </c>
      <c r="E24" s="1">
        <v>4.9000000000000004</v>
      </c>
      <c r="F24" s="1">
        <v>1.4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1</v>
      </c>
      <c r="E25" s="1">
        <v>3.6</v>
      </c>
      <c r="F25" s="1">
        <v>4.8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1.4</v>
      </c>
      <c r="E26" s="1">
        <v>1.5</v>
      </c>
      <c r="F26" s="1">
        <v>3.8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76</v>
      </c>
      <c r="E29" s="3">
        <f t="shared" si="1"/>
        <v>49.000000000000007</v>
      </c>
      <c r="F29" s="3">
        <f t="shared" si="1"/>
        <v>13.999999999999998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10</v>
      </c>
      <c r="E30" s="3">
        <f t="shared" si="2"/>
        <v>36</v>
      </c>
      <c r="F30" s="3">
        <f t="shared" si="2"/>
        <v>48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13.999999999999998</v>
      </c>
      <c r="E31" s="3">
        <f t="shared" si="3"/>
        <v>15</v>
      </c>
      <c r="F31" s="3">
        <f t="shared" si="3"/>
        <v>38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156.87</v>
      </c>
      <c r="C33" s="3">
        <v>164.78</v>
      </c>
      <c r="D33" s="3">
        <v>-66.63</v>
      </c>
      <c r="E33" s="3">
        <v>-9.52</v>
      </c>
      <c r="F33" s="3">
        <v>8.48</v>
      </c>
      <c r="G33" s="3">
        <v>145.44999999999999</v>
      </c>
    </row>
    <row r="35" spans="1:7" x14ac:dyDescent="0.25">
      <c r="A35" s="3" t="s">
        <v>36</v>
      </c>
      <c r="B35" s="3"/>
      <c r="C35" s="3"/>
      <c r="D35" s="3">
        <f>D33-C33</f>
        <v>-231.41</v>
      </c>
      <c r="E35" s="3"/>
      <c r="F35" s="3">
        <f>F33-E33</f>
        <v>18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57.11</v>
      </c>
      <c r="F37" s="3"/>
      <c r="G37" s="3">
        <f>G33-F33</f>
        <v>136.97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04C6-A846-40C0-BF5F-422BE6F7306A}">
  <dimension ref="A1:G37"/>
  <sheetViews>
    <sheetView topLeftCell="A10" workbookViewId="0">
      <selection activeCell="M26" sqref="M2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801.91</v>
      </c>
      <c r="C2" s="1">
        <v>791.94</v>
      </c>
      <c r="D2" s="1">
        <v>794.98</v>
      </c>
      <c r="E2" s="1">
        <v>762.1</v>
      </c>
      <c r="F2" s="1">
        <v>659.04</v>
      </c>
      <c r="G2" s="1">
        <v>743.14</v>
      </c>
    </row>
    <row r="3" spans="1:7" x14ac:dyDescent="0.25">
      <c r="A3" s="1" t="s">
        <v>7</v>
      </c>
      <c r="B3" s="1">
        <v>66.56</v>
      </c>
      <c r="C3" s="1">
        <v>67.03</v>
      </c>
      <c r="D3" s="1">
        <v>67.22</v>
      </c>
      <c r="E3" s="1">
        <v>65.69</v>
      </c>
      <c r="F3" s="1">
        <v>68.59</v>
      </c>
      <c r="G3" s="1">
        <v>56.75</v>
      </c>
    </row>
    <row r="4" spans="1:7" x14ac:dyDescent="0.25">
      <c r="A4" s="1" t="s">
        <v>8</v>
      </c>
      <c r="B4" s="1">
        <v>54277.36</v>
      </c>
      <c r="C4" s="1">
        <v>53974.98</v>
      </c>
      <c r="D4" s="1">
        <v>54351.17</v>
      </c>
      <c r="E4" s="1">
        <v>50818.62</v>
      </c>
      <c r="F4" s="1">
        <v>45899.43</v>
      </c>
      <c r="G4" s="1">
        <v>42847.81</v>
      </c>
    </row>
    <row r="5" spans="1:7" x14ac:dyDescent="0.25">
      <c r="A5" s="1" t="s">
        <v>9</v>
      </c>
      <c r="B5" s="1">
        <v>1014.09</v>
      </c>
      <c r="C5" s="1">
        <v>838.81</v>
      </c>
      <c r="D5" s="1">
        <v>745.42</v>
      </c>
      <c r="E5" s="1">
        <v>748.75</v>
      </c>
      <c r="F5" s="1">
        <v>1074.6600000000001</v>
      </c>
      <c r="G5" s="1">
        <v>935.12</v>
      </c>
    </row>
    <row r="6" spans="1:7" x14ac:dyDescent="0.25">
      <c r="A6" s="3" t="s">
        <v>10</v>
      </c>
      <c r="B6" s="3">
        <v>101.41</v>
      </c>
      <c r="C6" s="3">
        <v>84.73</v>
      </c>
      <c r="D6" s="3">
        <v>75.3</v>
      </c>
      <c r="E6" s="3">
        <v>75.63</v>
      </c>
      <c r="F6" s="3">
        <v>108.55</v>
      </c>
      <c r="G6" s="3">
        <v>95.42</v>
      </c>
    </row>
    <row r="7" spans="1:7" x14ac:dyDescent="0.25">
      <c r="A7" s="1" t="s">
        <v>11</v>
      </c>
      <c r="B7" s="1">
        <v>990.7</v>
      </c>
      <c r="C7" s="1">
        <v>802.85</v>
      </c>
      <c r="D7" s="1">
        <v>697.84</v>
      </c>
      <c r="E7" s="1">
        <v>713.26</v>
      </c>
      <c r="F7" s="1">
        <v>811.54</v>
      </c>
      <c r="G7" s="1">
        <v>902.5</v>
      </c>
    </row>
    <row r="8" spans="1:7" x14ac:dyDescent="0.25">
      <c r="A8" s="1" t="s">
        <v>12</v>
      </c>
      <c r="B8" s="1">
        <v>99.07</v>
      </c>
      <c r="C8" s="1">
        <v>81.099999999999994</v>
      </c>
      <c r="D8" s="1">
        <v>70.489999999999995</v>
      </c>
      <c r="E8" s="1">
        <v>72.05</v>
      </c>
      <c r="F8" s="1">
        <v>81.97</v>
      </c>
      <c r="G8" s="1">
        <v>92.09</v>
      </c>
    </row>
    <row r="9" spans="1:7" x14ac:dyDescent="0.25">
      <c r="A9" s="1" t="s">
        <v>13</v>
      </c>
      <c r="B9" s="1">
        <v>921.92</v>
      </c>
      <c r="C9" s="1">
        <v>792.82</v>
      </c>
      <c r="D9" s="1">
        <v>694.52</v>
      </c>
      <c r="E9" s="1">
        <v>672.33</v>
      </c>
      <c r="F9" s="1">
        <v>-365.29</v>
      </c>
      <c r="G9" s="1">
        <v>848.2</v>
      </c>
    </row>
    <row r="10" spans="1:7" x14ac:dyDescent="0.25">
      <c r="A10" s="1" t="s">
        <v>14</v>
      </c>
      <c r="B10" s="1">
        <v>92.19</v>
      </c>
      <c r="C10" s="1">
        <v>80.08</v>
      </c>
      <c r="D10" s="1">
        <v>70.150000000000006</v>
      </c>
      <c r="E10" s="1">
        <v>67.91</v>
      </c>
      <c r="F10" s="1">
        <v>-36.9</v>
      </c>
      <c r="G10" s="1">
        <v>86.55</v>
      </c>
    </row>
    <row r="11" spans="1:7" x14ac:dyDescent="0.25">
      <c r="A11" s="1" t="s">
        <v>15</v>
      </c>
      <c r="B11" s="1">
        <v>839.81</v>
      </c>
      <c r="C11" s="1">
        <v>696.74</v>
      </c>
      <c r="D11" s="1">
        <v>615.83000000000004</v>
      </c>
      <c r="E11" s="1">
        <v>609.24</v>
      </c>
      <c r="F11" s="1">
        <v>47.85</v>
      </c>
      <c r="G11" s="1">
        <v>741.13</v>
      </c>
    </row>
    <row r="12" spans="1:7" x14ac:dyDescent="0.25">
      <c r="A12" s="1" t="s">
        <v>16</v>
      </c>
      <c r="B12" s="1">
        <v>408.72</v>
      </c>
      <c r="C12" s="1">
        <v>370.48</v>
      </c>
      <c r="D12" s="1">
        <v>380.56</v>
      </c>
      <c r="E12" s="1">
        <v>372</v>
      </c>
      <c r="F12" s="1">
        <v>263.81</v>
      </c>
      <c r="G12" s="1">
        <v>398.53</v>
      </c>
    </row>
    <row r="13" spans="1:7" x14ac:dyDescent="0.25">
      <c r="A13" s="1" t="s">
        <v>17</v>
      </c>
      <c r="B13" s="1">
        <v>29.64</v>
      </c>
      <c r="C13" s="1">
        <v>32.14</v>
      </c>
      <c r="D13" s="1">
        <v>30</v>
      </c>
      <c r="E13" s="1">
        <v>29.98</v>
      </c>
      <c r="F13" s="1">
        <v>72.319999999999993</v>
      </c>
      <c r="G13" s="1">
        <v>33.33</v>
      </c>
    </row>
    <row r="14" spans="1:7" x14ac:dyDescent="0.25">
      <c r="A14" s="1" t="s">
        <v>18</v>
      </c>
      <c r="B14" s="1">
        <v>50.47</v>
      </c>
      <c r="C14" s="1">
        <v>98.65</v>
      </c>
      <c r="D14" s="1">
        <v>71.95</v>
      </c>
      <c r="E14" s="1">
        <v>64.33</v>
      </c>
      <c r="F14" s="1">
        <v>121.93</v>
      </c>
      <c r="G14" s="1">
        <v>89.85</v>
      </c>
    </row>
    <row r="15" spans="1:7" x14ac:dyDescent="0.25">
      <c r="A15" s="1" t="s">
        <v>19</v>
      </c>
      <c r="B15" s="1">
        <v>1</v>
      </c>
      <c r="C15" s="1">
        <v>3</v>
      </c>
      <c r="D15" s="1">
        <v>2</v>
      </c>
      <c r="E15" s="1">
        <v>2</v>
      </c>
      <c r="F15" s="1">
        <v>5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956.31</v>
      </c>
      <c r="C17" s="1">
        <v>797.83</v>
      </c>
      <c r="D17" s="1">
        <v>696.18</v>
      </c>
      <c r="E17" s="1">
        <v>692.79</v>
      </c>
      <c r="F17" s="1">
        <v>223.12</v>
      </c>
      <c r="G17" s="1">
        <v>875.35</v>
      </c>
    </row>
    <row r="18" spans="1:7" x14ac:dyDescent="0.25">
      <c r="A18" s="1" t="s">
        <v>22</v>
      </c>
      <c r="B18" s="1">
        <v>34.39</v>
      </c>
      <c r="C18" s="1">
        <v>5.01</v>
      </c>
      <c r="D18" s="1">
        <v>1.66</v>
      </c>
      <c r="E18" s="1">
        <v>20.46</v>
      </c>
      <c r="F18" s="1">
        <v>588.41</v>
      </c>
      <c r="G18" s="1">
        <v>27.15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4.5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5.5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1.4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2.8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2.8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4.4000000000000004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27.999999999999996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27.999999999999996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44.000000000000007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92.5</v>
      </c>
      <c r="C33" s="3">
        <v>83.2</v>
      </c>
      <c r="D33" s="3">
        <v>75.77</v>
      </c>
      <c r="E33" s="3">
        <v>71.56</v>
      </c>
      <c r="F33" s="3">
        <v>-4.95</v>
      </c>
      <c r="G33" s="3">
        <v>89.36</v>
      </c>
    </row>
    <row r="35" spans="1:7" x14ac:dyDescent="0.25">
      <c r="A35" s="3" t="s">
        <v>36</v>
      </c>
      <c r="B35" s="3"/>
      <c r="C35" s="3"/>
      <c r="D35" s="3">
        <f>D33-C33</f>
        <v>-7.4300000000000068</v>
      </c>
      <c r="E35" s="3"/>
      <c r="F35" s="3">
        <f>F33-E33</f>
        <v>-76.510000000000005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-4.2099999999999937</v>
      </c>
      <c r="F37" s="3"/>
      <c r="G37" s="3">
        <f>G33-F33</f>
        <v>94.31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5F40-65FD-4784-B329-C5CA691508DF}">
  <dimension ref="A1:G37"/>
  <sheetViews>
    <sheetView topLeftCell="A10" workbookViewId="0">
      <selection activeCell="L33" sqref="L3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726.34</v>
      </c>
      <c r="C2" s="1">
        <v>731.89</v>
      </c>
      <c r="D2" s="1">
        <v>641.16</v>
      </c>
      <c r="E2" s="1">
        <v>710.17</v>
      </c>
      <c r="F2" s="1">
        <v>695.11</v>
      </c>
      <c r="G2" s="1">
        <v>695.72</v>
      </c>
    </row>
    <row r="3" spans="1:7" x14ac:dyDescent="0.25">
      <c r="A3" s="1" t="s">
        <v>7</v>
      </c>
      <c r="B3" s="1">
        <v>64.09</v>
      </c>
      <c r="C3" s="1">
        <v>63.39</v>
      </c>
      <c r="D3" s="1">
        <v>65.97</v>
      </c>
      <c r="E3" s="1">
        <v>63.9</v>
      </c>
      <c r="F3" s="1">
        <v>61.18</v>
      </c>
      <c r="G3" s="1">
        <v>55.5</v>
      </c>
    </row>
    <row r="4" spans="1:7" x14ac:dyDescent="0.25">
      <c r="A4" s="1" t="s">
        <v>8</v>
      </c>
      <c r="B4" s="1">
        <v>47348.77</v>
      </c>
      <c r="C4" s="1">
        <v>47173.599999999999</v>
      </c>
      <c r="D4" s="1">
        <v>42909.81</v>
      </c>
      <c r="E4" s="1">
        <v>46138.21</v>
      </c>
      <c r="F4" s="1">
        <v>43232.2</v>
      </c>
      <c r="G4" s="1">
        <v>39247.75</v>
      </c>
    </row>
    <row r="5" spans="1:7" x14ac:dyDescent="0.25">
      <c r="A5" s="1" t="s">
        <v>9</v>
      </c>
      <c r="B5" s="1">
        <v>1432.6</v>
      </c>
      <c r="C5" s="1">
        <v>1250.1199999999999</v>
      </c>
      <c r="D5" s="1">
        <v>1066.98</v>
      </c>
      <c r="E5" s="1">
        <v>607.82000000000005</v>
      </c>
      <c r="F5" s="1">
        <v>655.5</v>
      </c>
      <c r="G5" s="1">
        <v>1463.02</v>
      </c>
    </row>
    <row r="6" spans="1:7" x14ac:dyDescent="0.25">
      <c r="A6" s="3" t="s">
        <v>10</v>
      </c>
      <c r="B6" s="3">
        <v>143.26</v>
      </c>
      <c r="C6" s="3">
        <v>126.27</v>
      </c>
      <c r="D6" s="3">
        <v>107.78</v>
      </c>
      <c r="E6" s="3">
        <v>61.4</v>
      </c>
      <c r="F6" s="3">
        <v>66.209999999999994</v>
      </c>
      <c r="G6" s="3">
        <v>149.29</v>
      </c>
    </row>
    <row r="7" spans="1:7" x14ac:dyDescent="0.25">
      <c r="A7" s="1" t="s">
        <v>11</v>
      </c>
      <c r="B7" s="1">
        <v>1424.57</v>
      </c>
      <c r="C7" s="1">
        <v>1237.53</v>
      </c>
      <c r="D7" s="1">
        <v>1010.49</v>
      </c>
      <c r="E7" s="1">
        <v>593.61</v>
      </c>
      <c r="F7" s="1">
        <v>622.89</v>
      </c>
      <c r="G7" s="1">
        <v>1419.58</v>
      </c>
    </row>
    <row r="8" spans="1:7" x14ac:dyDescent="0.25">
      <c r="A8" s="1" t="s">
        <v>12</v>
      </c>
      <c r="B8" s="1">
        <v>142.46</v>
      </c>
      <c r="C8" s="1">
        <v>125</v>
      </c>
      <c r="D8" s="1">
        <v>102.07</v>
      </c>
      <c r="E8" s="1">
        <v>59.96</v>
      </c>
      <c r="F8" s="1">
        <v>62.92</v>
      </c>
      <c r="G8" s="1">
        <v>144.86000000000001</v>
      </c>
    </row>
    <row r="9" spans="1:7" x14ac:dyDescent="0.25">
      <c r="A9" s="1" t="s">
        <v>13</v>
      </c>
      <c r="B9" s="1">
        <v>1424.57</v>
      </c>
      <c r="C9" s="1">
        <v>1237.53</v>
      </c>
      <c r="D9" s="1">
        <v>-955.72</v>
      </c>
      <c r="E9" s="1">
        <v>-345.16</v>
      </c>
      <c r="F9" s="1">
        <v>452.45</v>
      </c>
      <c r="G9" s="1">
        <v>1419.58</v>
      </c>
    </row>
    <row r="10" spans="1:7" x14ac:dyDescent="0.25">
      <c r="A10" s="1" t="s">
        <v>14</v>
      </c>
      <c r="B10" s="1">
        <v>142.46</v>
      </c>
      <c r="C10" s="1">
        <v>125</v>
      </c>
      <c r="D10" s="1">
        <v>-96.54</v>
      </c>
      <c r="E10" s="1">
        <v>-34.86</v>
      </c>
      <c r="F10" s="1">
        <v>45.7</v>
      </c>
      <c r="G10" s="1">
        <v>144.86000000000001</v>
      </c>
    </row>
    <row r="11" spans="1:7" x14ac:dyDescent="0.25">
      <c r="A11" s="1" t="s">
        <v>15</v>
      </c>
      <c r="B11" s="1">
        <v>1261.3800000000001</v>
      </c>
      <c r="C11" s="1">
        <v>1096.2</v>
      </c>
      <c r="D11" s="1">
        <v>420.9</v>
      </c>
      <c r="E11" s="1">
        <v>103.79</v>
      </c>
      <c r="F11" s="1">
        <v>303.39999999999998</v>
      </c>
      <c r="G11" s="1">
        <v>1269.17</v>
      </c>
    </row>
    <row r="12" spans="1:7" x14ac:dyDescent="0.25">
      <c r="A12" s="1" t="s">
        <v>16</v>
      </c>
      <c r="B12" s="1">
        <v>355.83</v>
      </c>
      <c r="C12" s="1">
        <v>368.15</v>
      </c>
      <c r="D12" s="1">
        <v>299.77999999999997</v>
      </c>
      <c r="E12" s="1">
        <v>316.08999999999997</v>
      </c>
      <c r="F12" s="1">
        <v>313.79000000000002</v>
      </c>
      <c r="G12" s="1">
        <v>377.91</v>
      </c>
    </row>
    <row r="13" spans="1:7" x14ac:dyDescent="0.25">
      <c r="A13" s="1" t="s">
        <v>17</v>
      </c>
      <c r="B13" s="1">
        <v>28.26</v>
      </c>
      <c r="C13" s="1">
        <v>26.82</v>
      </c>
      <c r="D13" s="1">
        <v>50.57</v>
      </c>
      <c r="E13" s="1">
        <v>29.77</v>
      </c>
      <c r="F13" s="1">
        <v>58.91</v>
      </c>
      <c r="G13" s="1">
        <v>30.41</v>
      </c>
    </row>
    <row r="14" spans="1:7" x14ac:dyDescent="0.25">
      <c r="A14" s="1" t="s">
        <v>18</v>
      </c>
      <c r="B14" s="1">
        <v>71.44</v>
      </c>
      <c r="C14" s="1">
        <v>57.06</v>
      </c>
      <c r="D14" s="1">
        <v>107.35</v>
      </c>
      <c r="E14" s="1">
        <v>80</v>
      </c>
      <c r="F14" s="1">
        <v>127.33</v>
      </c>
      <c r="G14" s="1">
        <v>69.61</v>
      </c>
    </row>
    <row r="15" spans="1:7" x14ac:dyDescent="0.25">
      <c r="A15" s="1" t="s">
        <v>19</v>
      </c>
      <c r="B15" s="1">
        <v>1</v>
      </c>
      <c r="C15" s="1">
        <v>1</v>
      </c>
      <c r="D15" s="1">
        <v>2</v>
      </c>
      <c r="E15" s="1">
        <v>3</v>
      </c>
      <c r="F15" s="1">
        <v>2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1424.57</v>
      </c>
      <c r="C17" s="1">
        <v>1237.53</v>
      </c>
      <c r="D17" s="1">
        <v>27.39</v>
      </c>
      <c r="E17" s="1">
        <v>124.22</v>
      </c>
      <c r="F17" s="1">
        <v>537.66999999999996</v>
      </c>
      <c r="G17" s="1">
        <v>1419.58</v>
      </c>
    </row>
    <row r="18" spans="1:7" x14ac:dyDescent="0.25">
      <c r="A18" s="1" t="s">
        <v>22</v>
      </c>
      <c r="B18" s="1">
        <v>0</v>
      </c>
      <c r="C18" s="1">
        <v>0</v>
      </c>
      <c r="D18" s="1">
        <v>983.1</v>
      </c>
      <c r="E18" s="1">
        <v>469.38</v>
      </c>
      <c r="F18" s="1">
        <v>85.22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1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8.8000000000000007</v>
      </c>
      <c r="E20" s="1">
        <v>4.5999999999999996</v>
      </c>
      <c r="F20" s="1">
        <v>1.8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1.2</v>
      </c>
      <c r="E21" s="1">
        <v>5.4</v>
      </c>
      <c r="F21" s="1">
        <v>8.1999999999999993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8.3000000000000007</v>
      </c>
      <c r="E24" s="1">
        <v>3.8</v>
      </c>
      <c r="F24" s="1">
        <v>1.9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2</v>
      </c>
      <c r="F25" s="1">
        <v>1.5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1.7</v>
      </c>
      <c r="E26" s="1">
        <v>4.2</v>
      </c>
      <c r="F26" s="1">
        <v>6.6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83</v>
      </c>
      <c r="E29" s="3">
        <f t="shared" si="1"/>
        <v>38</v>
      </c>
      <c r="F29" s="3">
        <f t="shared" si="1"/>
        <v>19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20</v>
      </c>
      <c r="F30" s="3">
        <f t="shared" si="2"/>
        <v>15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17</v>
      </c>
      <c r="E31" s="3">
        <f t="shared" si="3"/>
        <v>42.000000000000007</v>
      </c>
      <c r="F31" s="3">
        <f t="shared" si="3"/>
        <v>65.999999999999986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141.08000000000001</v>
      </c>
      <c r="C33" s="3">
        <v>124.64</v>
      </c>
      <c r="D33" s="3">
        <v>-93.12</v>
      </c>
      <c r="E33" s="3">
        <v>-9.3800000000000008</v>
      </c>
      <c r="F33" s="3">
        <v>31.45</v>
      </c>
      <c r="G33" s="3">
        <v>150.19</v>
      </c>
    </row>
    <row r="35" spans="1:7" x14ac:dyDescent="0.25">
      <c r="A35" s="3" t="s">
        <v>36</v>
      </c>
      <c r="B35" s="3"/>
      <c r="C35" s="3"/>
      <c r="D35" s="3">
        <f>D33-C33</f>
        <v>-217.76</v>
      </c>
      <c r="E35" s="3"/>
      <c r="F35" s="3">
        <f>F33-E33</f>
        <v>40.83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83.740000000000009</v>
      </c>
      <c r="F37" s="3"/>
      <c r="G37" s="3">
        <f>G33-F33</f>
        <v>118.74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4E2D3-0F44-48BE-8C67-AC18BDB7E68A}">
  <dimension ref="A1:J37"/>
  <sheetViews>
    <sheetView tabSelected="1" topLeftCell="A10" workbookViewId="0">
      <selection activeCell="J28" sqref="J2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814.33</v>
      </c>
      <c r="C2" s="1">
        <v>826.62</v>
      </c>
      <c r="D2" s="1">
        <v>803.89</v>
      </c>
      <c r="E2" s="1">
        <v>809.37</v>
      </c>
      <c r="F2" s="1">
        <v>796.47</v>
      </c>
      <c r="G2" s="1">
        <v>784.84</v>
      </c>
    </row>
    <row r="3" spans="1:7" x14ac:dyDescent="0.25">
      <c r="A3" s="1" t="s">
        <v>7</v>
      </c>
      <c r="B3" s="1">
        <v>63.9</v>
      </c>
      <c r="C3" s="1">
        <v>73.709999999999994</v>
      </c>
      <c r="D3" s="1">
        <v>71.989999999999995</v>
      </c>
      <c r="E3" s="1">
        <v>67.95</v>
      </c>
      <c r="F3" s="1">
        <v>73.599999999999994</v>
      </c>
      <c r="G3" s="1">
        <v>67.69</v>
      </c>
    </row>
    <row r="4" spans="1:7" x14ac:dyDescent="0.25">
      <c r="A4" s="1" t="s">
        <v>8</v>
      </c>
      <c r="B4" s="1">
        <v>52929.61</v>
      </c>
      <c r="C4" s="1">
        <v>61965.53</v>
      </c>
      <c r="D4" s="1">
        <v>58842.29</v>
      </c>
      <c r="E4" s="1">
        <v>55914.400000000001</v>
      </c>
      <c r="F4" s="1">
        <v>59633.48</v>
      </c>
      <c r="G4" s="1">
        <v>53998.19</v>
      </c>
    </row>
    <row r="5" spans="1:7" x14ac:dyDescent="0.25">
      <c r="A5" s="1" t="s">
        <v>9</v>
      </c>
      <c r="B5" s="1">
        <v>1698.59</v>
      </c>
      <c r="C5" s="1">
        <v>1859.49</v>
      </c>
      <c r="D5" s="1">
        <v>1238.47</v>
      </c>
      <c r="E5" s="1">
        <v>595.05999999999995</v>
      </c>
      <c r="F5" s="1">
        <v>980.91</v>
      </c>
      <c r="G5" s="1">
        <v>1556.08</v>
      </c>
    </row>
    <row r="6" spans="1:7" x14ac:dyDescent="0.25">
      <c r="A6" s="3" t="s">
        <v>10</v>
      </c>
      <c r="B6" s="3">
        <v>169.86</v>
      </c>
      <c r="C6" s="3">
        <v>187.83</v>
      </c>
      <c r="D6" s="3">
        <v>125.1</v>
      </c>
      <c r="E6" s="3">
        <v>60.11</v>
      </c>
      <c r="F6" s="3">
        <v>99.08</v>
      </c>
      <c r="G6" s="3">
        <v>158.78</v>
      </c>
    </row>
    <row r="7" spans="1:7" x14ac:dyDescent="0.25">
      <c r="A7" s="1" t="s">
        <v>11</v>
      </c>
      <c r="B7" s="1">
        <v>1645.64</v>
      </c>
      <c r="C7" s="1">
        <v>1809.24</v>
      </c>
      <c r="D7" s="1">
        <v>1205.26</v>
      </c>
      <c r="E7" s="1">
        <v>575.26</v>
      </c>
      <c r="F7" s="1">
        <v>932.97</v>
      </c>
      <c r="G7" s="1">
        <v>1529.72</v>
      </c>
    </row>
    <row r="8" spans="1:7" x14ac:dyDescent="0.25">
      <c r="A8" s="1" t="s">
        <v>12</v>
      </c>
      <c r="B8" s="1">
        <v>164.56</v>
      </c>
      <c r="C8" s="1">
        <v>182.75</v>
      </c>
      <c r="D8" s="1">
        <v>121.74</v>
      </c>
      <c r="E8" s="1">
        <v>58.11</v>
      </c>
      <c r="F8" s="1">
        <v>94.24</v>
      </c>
      <c r="G8" s="1">
        <v>156.09</v>
      </c>
    </row>
    <row r="9" spans="1:7" x14ac:dyDescent="0.25">
      <c r="A9" s="1" t="s">
        <v>13</v>
      </c>
      <c r="B9" s="1">
        <v>1645.64</v>
      </c>
      <c r="C9" s="1">
        <v>1809.24</v>
      </c>
      <c r="D9" s="1">
        <v>1202.7</v>
      </c>
      <c r="E9" s="1">
        <v>331.08</v>
      </c>
      <c r="F9" s="1">
        <v>520.75</v>
      </c>
      <c r="G9" s="1">
        <v>1529.72</v>
      </c>
    </row>
    <row r="10" spans="1:7" x14ac:dyDescent="0.25">
      <c r="A10" s="1" t="s">
        <v>14</v>
      </c>
      <c r="B10" s="1">
        <v>164.56</v>
      </c>
      <c r="C10" s="1">
        <v>182.75</v>
      </c>
      <c r="D10" s="1">
        <v>121.48</v>
      </c>
      <c r="E10" s="1">
        <v>33.44</v>
      </c>
      <c r="F10" s="1">
        <v>52.6</v>
      </c>
      <c r="G10" s="1">
        <v>156.09</v>
      </c>
    </row>
    <row r="11" spans="1:7" x14ac:dyDescent="0.25">
      <c r="A11" s="1" t="s">
        <v>15</v>
      </c>
      <c r="B11" s="1">
        <v>1478.42</v>
      </c>
      <c r="C11" s="1">
        <v>1444.4</v>
      </c>
      <c r="D11" s="1">
        <v>1037.24</v>
      </c>
      <c r="E11" s="1">
        <v>303.07</v>
      </c>
      <c r="F11" s="1">
        <v>299.79000000000002</v>
      </c>
      <c r="G11" s="1">
        <v>1260.02</v>
      </c>
    </row>
    <row r="12" spans="1:7" x14ac:dyDescent="0.25">
      <c r="A12" s="1" t="s">
        <v>16</v>
      </c>
      <c r="B12" s="1">
        <v>421.75</v>
      </c>
      <c r="C12" s="1">
        <v>453.15</v>
      </c>
      <c r="D12" s="1">
        <v>439.37</v>
      </c>
      <c r="E12" s="1">
        <v>427.06</v>
      </c>
      <c r="F12" s="1">
        <v>259.67</v>
      </c>
      <c r="G12" s="1">
        <v>404.46</v>
      </c>
    </row>
    <row r="13" spans="1:7" x14ac:dyDescent="0.25">
      <c r="A13" s="1" t="s">
        <v>17</v>
      </c>
      <c r="B13" s="1">
        <v>30.32</v>
      </c>
      <c r="C13" s="1">
        <v>42.74</v>
      </c>
      <c r="D13" s="1">
        <v>36.53</v>
      </c>
      <c r="E13" s="1">
        <v>72.36</v>
      </c>
      <c r="F13" s="1">
        <v>89.07</v>
      </c>
      <c r="G13" s="1">
        <v>30.29</v>
      </c>
    </row>
    <row r="14" spans="1:7" x14ac:dyDescent="0.25">
      <c r="A14" s="1" t="s">
        <v>18</v>
      </c>
      <c r="B14" s="1">
        <v>70.599999999999994</v>
      </c>
      <c r="C14" s="1">
        <v>107.74</v>
      </c>
      <c r="D14" s="1">
        <v>77.290000000000006</v>
      </c>
      <c r="E14" s="1">
        <v>94.6</v>
      </c>
      <c r="F14" s="1">
        <v>161.66</v>
      </c>
      <c r="G14" s="1">
        <v>87.99</v>
      </c>
    </row>
    <row r="15" spans="1:7" x14ac:dyDescent="0.25">
      <c r="A15" s="1" t="s">
        <v>19</v>
      </c>
      <c r="B15" s="1">
        <v>2</v>
      </c>
      <c r="C15" s="1">
        <v>3</v>
      </c>
      <c r="D15" s="1">
        <v>1</v>
      </c>
      <c r="E15" s="1">
        <v>1</v>
      </c>
      <c r="F15" s="1">
        <v>3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10" x14ac:dyDescent="0.25">
      <c r="A17" s="1" t="s">
        <v>21</v>
      </c>
      <c r="B17" s="1">
        <v>1645.64</v>
      </c>
      <c r="C17" s="1">
        <v>1809.24</v>
      </c>
      <c r="D17" s="1">
        <v>1203.98</v>
      </c>
      <c r="E17" s="1">
        <v>453.17</v>
      </c>
      <c r="F17" s="1">
        <v>726.86</v>
      </c>
      <c r="G17" s="1">
        <v>1529.72</v>
      </c>
    </row>
    <row r="18" spans="1:10" x14ac:dyDescent="0.25">
      <c r="A18" s="1" t="s">
        <v>22</v>
      </c>
      <c r="B18" s="1">
        <v>0</v>
      </c>
      <c r="C18" s="1">
        <v>0</v>
      </c>
      <c r="D18" s="1">
        <v>1.28</v>
      </c>
      <c r="E18" s="1">
        <v>122.09</v>
      </c>
      <c r="F18" s="1">
        <v>206.11</v>
      </c>
      <c r="G18" s="1">
        <v>0</v>
      </c>
    </row>
    <row r="19" spans="1:10" x14ac:dyDescent="0.25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1</v>
      </c>
      <c r="G19" s="1">
        <v>0</v>
      </c>
    </row>
    <row r="20" spans="1:10" x14ac:dyDescent="0.25">
      <c r="A20" s="1" t="s">
        <v>24</v>
      </c>
      <c r="B20" s="1">
        <v>0</v>
      </c>
      <c r="C20" s="1">
        <v>0</v>
      </c>
      <c r="D20" s="1">
        <v>0</v>
      </c>
      <c r="E20" s="1">
        <v>2.1</v>
      </c>
      <c r="F20" s="1">
        <v>4.7</v>
      </c>
      <c r="G20" s="1">
        <v>0</v>
      </c>
    </row>
    <row r="21" spans="1:10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7.9</v>
      </c>
      <c r="F21" s="1">
        <v>5.3</v>
      </c>
      <c r="G21" s="1">
        <v>9.9</v>
      </c>
      <c r="J21" s="4"/>
    </row>
    <row r="22" spans="1:10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J22" s="4"/>
    </row>
    <row r="23" spans="1:10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J23" s="4"/>
    </row>
    <row r="24" spans="1:10" x14ac:dyDescent="0.25">
      <c r="A24" s="1" t="s">
        <v>28</v>
      </c>
      <c r="B24" s="1">
        <v>0</v>
      </c>
      <c r="C24" s="1">
        <v>0</v>
      </c>
      <c r="D24" s="1">
        <v>0</v>
      </c>
      <c r="E24" s="1">
        <v>2.2000000000000002</v>
      </c>
      <c r="F24" s="1">
        <v>3.6</v>
      </c>
      <c r="G24" s="1">
        <v>0</v>
      </c>
      <c r="J24" s="4"/>
    </row>
    <row r="25" spans="1:10" x14ac:dyDescent="0.25">
      <c r="A25" s="1" t="s">
        <v>29</v>
      </c>
      <c r="B25" s="1">
        <v>0</v>
      </c>
      <c r="C25" s="1">
        <v>0</v>
      </c>
      <c r="D25" s="1">
        <v>0</v>
      </c>
      <c r="E25" s="1">
        <v>1.1000000000000001</v>
      </c>
      <c r="F25" s="1">
        <v>2.2999999999999998</v>
      </c>
      <c r="G25" s="1">
        <v>0</v>
      </c>
      <c r="J25" s="4"/>
    </row>
    <row r="26" spans="1:10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6.7</v>
      </c>
      <c r="F26" s="1">
        <v>4.0999999999999996</v>
      </c>
      <c r="G26" s="1">
        <v>9.9</v>
      </c>
      <c r="J26" s="4"/>
    </row>
    <row r="27" spans="1:10" x14ac:dyDescent="0.25">
      <c r="A27" s="1"/>
      <c r="B27" s="1"/>
      <c r="C27" s="1"/>
      <c r="D27" s="1"/>
      <c r="E27" s="1"/>
      <c r="F27" s="1"/>
      <c r="G27" s="1"/>
    </row>
    <row r="28" spans="1:10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10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22.000000000000004</v>
      </c>
      <c r="F29" s="3">
        <f t="shared" si="1"/>
        <v>36</v>
      </c>
      <c r="G29" s="3">
        <f t="shared" si="1"/>
        <v>0</v>
      </c>
    </row>
    <row r="30" spans="1:10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11.000000000000002</v>
      </c>
      <c r="F30" s="3">
        <f t="shared" si="2"/>
        <v>23</v>
      </c>
      <c r="G30" s="3">
        <f t="shared" si="2"/>
        <v>0</v>
      </c>
    </row>
    <row r="31" spans="1:10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67</v>
      </c>
      <c r="F31" s="3">
        <f t="shared" si="3"/>
        <v>41</v>
      </c>
      <c r="G31" s="3">
        <f t="shared" si="3"/>
        <v>100</v>
      </c>
    </row>
    <row r="32" spans="1:10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5">
        <v>166.12</v>
      </c>
      <c r="C33" s="5">
        <v>187.06</v>
      </c>
      <c r="D33" s="5">
        <v>124.23</v>
      </c>
      <c r="E33" s="5">
        <v>34.200000000000003</v>
      </c>
      <c r="F33" s="5">
        <v>16.61</v>
      </c>
      <c r="G33" s="5">
        <v>157.94</v>
      </c>
    </row>
    <row r="35" spans="1:7" x14ac:dyDescent="0.25">
      <c r="A35" s="3" t="s">
        <v>36</v>
      </c>
      <c r="B35" s="3"/>
      <c r="C35" s="3"/>
      <c r="D35" s="3">
        <f>D33-C33</f>
        <v>-62.83</v>
      </c>
      <c r="E35" s="3"/>
      <c r="F35" s="3">
        <f>F33-E33</f>
        <v>-17.590000000000003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-90.03</v>
      </c>
      <c r="F37" s="3"/>
      <c r="G37" s="3">
        <f>G33-F33</f>
        <v>141.32999999999998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1863-B6F5-4E73-BC56-781B3AA3065F}">
  <dimension ref="A1:G37"/>
  <sheetViews>
    <sheetView workbookViewId="0">
      <selection activeCell="M24" sqref="M24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240504Bwt001.1</vt:lpstr>
      <vt:lpstr>240504Bwt001.2</vt:lpstr>
      <vt:lpstr>240504Bwt002.1</vt:lpstr>
      <vt:lpstr>240504Bwt002.3</vt:lpstr>
      <vt:lpstr>240504Bwt003.1</vt:lpstr>
      <vt:lpstr>240504Bwt003.2</vt:lpstr>
      <vt:lpstr>240504Bwt003.3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2024-05-06T16:53:15Z</dcterms:created>
  <dcterms:modified xsi:type="dcterms:W3CDTF">2024-05-16T19:08:26Z</dcterms:modified>
</cp:coreProperties>
</file>