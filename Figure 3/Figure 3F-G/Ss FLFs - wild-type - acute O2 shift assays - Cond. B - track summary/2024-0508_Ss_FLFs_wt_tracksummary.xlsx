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508\WormLab Data\"/>
    </mc:Choice>
  </mc:AlternateContent>
  <xr:revisionPtr revIDLastSave="0" documentId="13_ncr:1_{A2578DC9-4B1E-451D-8E42-2930E7CA02AF}" xr6:coauthVersionLast="47" xr6:coauthVersionMax="47" xr10:uidLastSave="{00000000-0000-0000-0000-000000000000}"/>
  <bookViews>
    <workbookView xWindow="1008" yWindow="912" windowWidth="21036" windowHeight="11256" firstSheet="3" activeTab="7" xr2:uid="{A0BBEF44-FF81-47B8-ADD2-DB84624FE0B9}"/>
  </bookViews>
  <sheets>
    <sheet name="240508Bwt001.1" sheetId="2" r:id="rId1"/>
    <sheet name="240508Bwt001.2" sheetId="3" r:id="rId2"/>
    <sheet name="240508Bwt001.3" sheetId="4" r:id="rId3"/>
    <sheet name="240508Bwt002.1" sheetId="5" r:id="rId4"/>
    <sheet name="240508Bwt002.2" sheetId="6" r:id="rId5"/>
    <sheet name="240508Bwt002.3" sheetId="7" r:id="rId6"/>
    <sheet name="240508Bwt003.2" sheetId="8" r:id="rId7"/>
    <sheet name="240508Bwt003.3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G31" i="9"/>
  <c r="F31" i="9"/>
  <c r="E31" i="9"/>
  <c r="D31" i="9"/>
  <c r="C31" i="9"/>
  <c r="B31" i="9"/>
  <c r="G30" i="9"/>
  <c r="F30" i="9"/>
  <c r="E30" i="9"/>
  <c r="D30" i="9"/>
  <c r="C30" i="9"/>
  <c r="B30" i="9"/>
  <c r="G29" i="9"/>
  <c r="F29" i="9"/>
  <c r="E29" i="9"/>
  <c r="G28" i="9"/>
  <c r="F28" i="9"/>
  <c r="E28" i="9"/>
  <c r="D28" i="9"/>
  <c r="D29" i="9" s="1"/>
  <c r="C28" i="9"/>
  <c r="C29" i="9" s="1"/>
  <c r="B28" i="9"/>
  <c r="B29" i="9" s="1"/>
  <c r="G37" i="8"/>
  <c r="E37" i="8"/>
  <c r="C37" i="8"/>
  <c r="F35" i="8"/>
  <c r="D35" i="8"/>
  <c r="F31" i="8"/>
  <c r="E31" i="8"/>
  <c r="G28" i="8"/>
  <c r="G31" i="8" s="1"/>
  <c r="F28" i="8"/>
  <c r="F30" i="8" s="1"/>
  <c r="E28" i="8"/>
  <c r="E30" i="8" s="1"/>
  <c r="D28" i="8"/>
  <c r="D31" i="8" s="1"/>
  <c r="C28" i="8"/>
  <c r="C31" i="8" s="1"/>
  <c r="B28" i="8"/>
  <c r="B30" i="8" s="1"/>
  <c r="G37" i="7"/>
  <c r="E37" i="7"/>
  <c r="C37" i="7"/>
  <c r="F35" i="7"/>
  <c r="D35" i="7"/>
  <c r="G31" i="7"/>
  <c r="G28" i="7"/>
  <c r="G30" i="7" s="1"/>
  <c r="F28" i="7"/>
  <c r="F31" i="7" s="1"/>
  <c r="E28" i="7"/>
  <c r="E31" i="7" s="1"/>
  <c r="D28" i="7"/>
  <c r="D31" i="7" s="1"/>
  <c r="C28" i="7"/>
  <c r="C31" i="7" s="1"/>
  <c r="B28" i="7"/>
  <c r="B29" i="7" s="1"/>
  <c r="G37" i="6"/>
  <c r="E37" i="6"/>
  <c r="C37" i="6"/>
  <c r="F35" i="6"/>
  <c r="D35" i="6"/>
  <c r="G28" i="6"/>
  <c r="G30" i="6" s="1"/>
  <c r="F28" i="6"/>
  <c r="F30" i="6" s="1"/>
  <c r="E28" i="6"/>
  <c r="E30" i="6" s="1"/>
  <c r="D28" i="6"/>
  <c r="D31" i="6" s="1"/>
  <c r="C28" i="6"/>
  <c r="C31" i="6" s="1"/>
  <c r="B28" i="6"/>
  <c r="B31" i="6" s="1"/>
  <c r="G37" i="5"/>
  <c r="E37" i="5"/>
  <c r="C37" i="5"/>
  <c r="F35" i="5"/>
  <c r="D35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G28" i="5"/>
  <c r="F28" i="5"/>
  <c r="E28" i="5"/>
  <c r="D28" i="5"/>
  <c r="D29" i="5" s="1"/>
  <c r="C28" i="5"/>
  <c r="C29" i="5" s="1"/>
  <c r="B28" i="5"/>
  <c r="B29" i="5" s="1"/>
  <c r="G37" i="4"/>
  <c r="E37" i="4"/>
  <c r="C37" i="4"/>
  <c r="F35" i="4"/>
  <c r="D35" i="4"/>
  <c r="G31" i="4"/>
  <c r="G28" i="4"/>
  <c r="G30" i="4" s="1"/>
  <c r="F28" i="4"/>
  <c r="F30" i="4" s="1"/>
  <c r="E28" i="4"/>
  <c r="E30" i="4" s="1"/>
  <c r="D28" i="4"/>
  <c r="D29" i="4" s="1"/>
  <c r="C28" i="4"/>
  <c r="C29" i="4" s="1"/>
  <c r="B28" i="4"/>
  <c r="B31" i="4" s="1"/>
  <c r="G37" i="3"/>
  <c r="E37" i="3"/>
  <c r="C37" i="3"/>
  <c r="F35" i="3"/>
  <c r="D35" i="3"/>
  <c r="G31" i="3"/>
  <c r="F31" i="3"/>
  <c r="E31" i="3"/>
  <c r="G28" i="3"/>
  <c r="G30" i="3" s="1"/>
  <c r="F28" i="3"/>
  <c r="F30" i="3" s="1"/>
  <c r="E28" i="3"/>
  <c r="E30" i="3" s="1"/>
  <c r="D28" i="3"/>
  <c r="D31" i="3" s="1"/>
  <c r="C28" i="3"/>
  <c r="C31" i="3" s="1"/>
  <c r="B28" i="3"/>
  <c r="B31" i="3" s="1"/>
  <c r="G37" i="2"/>
  <c r="E37" i="2"/>
  <c r="C37" i="2"/>
  <c r="F35" i="2"/>
  <c r="D35" i="2"/>
  <c r="G31" i="2"/>
  <c r="F31" i="2"/>
  <c r="E31" i="2"/>
  <c r="C31" i="2"/>
  <c r="G30" i="2"/>
  <c r="F30" i="2"/>
  <c r="E30" i="2"/>
  <c r="D30" i="2"/>
  <c r="C30" i="2"/>
  <c r="B30" i="2"/>
  <c r="G29" i="2"/>
  <c r="F29" i="2"/>
  <c r="E29" i="2"/>
  <c r="G28" i="2"/>
  <c r="F28" i="2"/>
  <c r="E28" i="2"/>
  <c r="D28" i="2"/>
  <c r="D29" i="2" s="1"/>
  <c r="C28" i="2"/>
  <c r="C29" i="2" s="1"/>
  <c r="B28" i="2"/>
  <c r="B31" i="2" s="1"/>
  <c r="G37" i="1"/>
  <c r="E37" i="1"/>
  <c r="C37" i="1"/>
  <c r="F35" i="1"/>
  <c r="D35" i="1"/>
  <c r="G31" i="1"/>
  <c r="F31" i="1"/>
  <c r="E31" i="1"/>
  <c r="D31" i="1"/>
  <c r="C31" i="1"/>
  <c r="B31" i="1"/>
  <c r="G30" i="1"/>
  <c r="F30" i="1"/>
  <c r="E30" i="1"/>
  <c r="D30" i="1"/>
  <c r="C30" i="1"/>
  <c r="B30" i="1"/>
  <c r="G29" i="1"/>
  <c r="F29" i="1"/>
  <c r="E29" i="1"/>
  <c r="D29" i="1"/>
  <c r="C29" i="1"/>
  <c r="G28" i="1"/>
  <c r="F28" i="1"/>
  <c r="E28" i="1"/>
  <c r="D28" i="1"/>
  <c r="C28" i="1"/>
  <c r="B28" i="1"/>
  <c r="B29" i="1" s="1"/>
  <c r="B31" i="8" l="1"/>
  <c r="B29" i="8"/>
  <c r="C29" i="8"/>
  <c r="D29" i="8"/>
  <c r="E29" i="8"/>
  <c r="F29" i="8"/>
  <c r="G29" i="8"/>
  <c r="C30" i="8"/>
  <c r="D30" i="8"/>
  <c r="G30" i="8"/>
  <c r="C29" i="7"/>
  <c r="F29" i="7"/>
  <c r="G29" i="7"/>
  <c r="B30" i="7"/>
  <c r="C30" i="7"/>
  <c r="F30" i="7"/>
  <c r="B31" i="7"/>
  <c r="D29" i="7"/>
  <c r="E29" i="7"/>
  <c r="D30" i="7"/>
  <c r="E30" i="7"/>
  <c r="B30" i="6"/>
  <c r="B29" i="6"/>
  <c r="G29" i="6"/>
  <c r="E31" i="6"/>
  <c r="F31" i="6"/>
  <c r="G31" i="6"/>
  <c r="C29" i="6"/>
  <c r="D29" i="6"/>
  <c r="E29" i="6"/>
  <c r="F29" i="6"/>
  <c r="C30" i="6"/>
  <c r="D30" i="6"/>
  <c r="B29" i="4"/>
  <c r="E29" i="4"/>
  <c r="F29" i="4"/>
  <c r="G29" i="4"/>
  <c r="B30" i="4"/>
  <c r="E31" i="4"/>
  <c r="F31" i="4"/>
  <c r="C30" i="4"/>
  <c r="D30" i="4"/>
  <c r="C31" i="4"/>
  <c r="D31" i="4"/>
  <c r="B29" i="3"/>
  <c r="B30" i="3"/>
  <c r="C29" i="3"/>
  <c r="D29" i="3"/>
  <c r="E29" i="3"/>
  <c r="F29" i="3"/>
  <c r="G29" i="3"/>
  <c r="C30" i="3"/>
  <c r="D30" i="3"/>
  <c r="D31" i="2"/>
  <c r="B29" i="2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<sst xmlns="http://schemas.openxmlformats.org/spreadsheetml/2006/main" count="342" uniqueCount="37">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</sst>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9C29-A7ED-4459-B1AE-B7C8DCE33FEF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754.35</v>
      </c>
      <c r="C2" s="1">
        <v>766.86</v>
      </c>
      <c r="D2" s="1">
        <v>775.93</v>
      </c>
      <c r="E2" s="1">
        <v>624.87</v>
      </c>
      <c r="F2" s="1">
        <v>601.34</v>
      </c>
      <c r="G2" s="1">
        <v>747.98</v>
      </c>
    </row>
    <row r="3" spans="1:7" x14ac:dyDescent="0.3">
      <c r="A3" s="1" t="s">
        <v>7</v>
      </c>
      <c r="B3" s="1">
        <v>51.24</v>
      </c>
      <c r="C3" s="1">
        <v>54.78</v>
      </c>
      <c r="D3" s="1">
        <v>55.34</v>
      </c>
      <c r="E3" s="1">
        <v>57.24</v>
      </c>
      <c r="F3" s="1">
        <v>53.66</v>
      </c>
      <c r="G3" s="1">
        <v>55.44</v>
      </c>
    </row>
    <row r="4" spans="1:7" x14ac:dyDescent="0.3">
      <c r="A4" s="1" t="s">
        <v>8</v>
      </c>
      <c r="B4" s="1">
        <v>39292.639999999999</v>
      </c>
      <c r="C4" s="1">
        <v>42726.559999999998</v>
      </c>
      <c r="D4" s="1">
        <v>43679.43</v>
      </c>
      <c r="E4" s="1">
        <v>36197.17</v>
      </c>
      <c r="F4" s="1">
        <v>32287.19</v>
      </c>
      <c r="G4" s="1">
        <v>42146.91</v>
      </c>
    </row>
    <row r="5" spans="1:7" x14ac:dyDescent="0.3">
      <c r="A5" s="1" t="s">
        <v>9</v>
      </c>
      <c r="B5" s="1">
        <v>948.66</v>
      </c>
      <c r="C5" s="1">
        <v>1035.68</v>
      </c>
      <c r="D5" s="1">
        <v>768.27</v>
      </c>
      <c r="E5" s="1">
        <v>1039.53</v>
      </c>
      <c r="F5" s="1">
        <v>806.57</v>
      </c>
      <c r="G5" s="1">
        <v>853.69</v>
      </c>
    </row>
    <row r="6" spans="1:7" x14ac:dyDescent="0.3">
      <c r="A6" s="3" t="s">
        <v>10</v>
      </c>
      <c r="B6" s="3">
        <v>94.87</v>
      </c>
      <c r="C6" s="3">
        <v>104.61</v>
      </c>
      <c r="D6" s="3">
        <v>77.599999999999994</v>
      </c>
      <c r="E6" s="3">
        <v>105</v>
      </c>
      <c r="F6" s="3">
        <v>81.47</v>
      </c>
      <c r="G6" s="3">
        <v>87.11</v>
      </c>
    </row>
    <row r="7" spans="1:7" x14ac:dyDescent="0.3">
      <c r="A7" s="1" t="s">
        <v>11</v>
      </c>
      <c r="B7" s="1">
        <v>888.47</v>
      </c>
      <c r="C7" s="1">
        <v>963</v>
      </c>
      <c r="D7" s="1">
        <v>701.3</v>
      </c>
      <c r="E7" s="1">
        <v>845</v>
      </c>
      <c r="F7" s="1">
        <v>676.11</v>
      </c>
      <c r="G7" s="1">
        <v>817.12</v>
      </c>
    </row>
    <row r="8" spans="1:7" x14ac:dyDescent="0.3">
      <c r="A8" s="1" t="s">
        <v>12</v>
      </c>
      <c r="B8" s="1">
        <v>88.85</v>
      </c>
      <c r="C8" s="1">
        <v>97.27</v>
      </c>
      <c r="D8" s="1">
        <v>70.84</v>
      </c>
      <c r="E8" s="1">
        <v>85.35</v>
      </c>
      <c r="F8" s="1">
        <v>68.290000000000006</v>
      </c>
      <c r="G8" s="1">
        <v>83.38</v>
      </c>
    </row>
    <row r="9" spans="1:7" x14ac:dyDescent="0.3">
      <c r="A9" s="1" t="s">
        <v>13</v>
      </c>
      <c r="B9" s="1">
        <v>830.63</v>
      </c>
      <c r="C9" s="1">
        <v>963</v>
      </c>
      <c r="D9" s="1">
        <v>698.46</v>
      </c>
      <c r="E9" s="1">
        <v>-631.80999999999995</v>
      </c>
      <c r="F9" s="1">
        <v>406.82</v>
      </c>
      <c r="G9" s="1">
        <v>811.44</v>
      </c>
    </row>
    <row r="10" spans="1:7" x14ac:dyDescent="0.3">
      <c r="A10" s="1" t="s">
        <v>14</v>
      </c>
      <c r="B10" s="1">
        <v>83.06</v>
      </c>
      <c r="C10" s="1">
        <v>97.27</v>
      </c>
      <c r="D10" s="1">
        <v>70.55</v>
      </c>
      <c r="E10" s="1">
        <v>-63.82</v>
      </c>
      <c r="F10" s="1">
        <v>41.09</v>
      </c>
      <c r="G10" s="1">
        <v>82.8</v>
      </c>
    </row>
    <row r="11" spans="1:7" x14ac:dyDescent="0.3">
      <c r="A11" s="1" t="s">
        <v>15</v>
      </c>
      <c r="B11" s="1">
        <v>621.37</v>
      </c>
      <c r="C11" s="1">
        <v>757.78</v>
      </c>
      <c r="D11" s="1">
        <v>552.86</v>
      </c>
      <c r="E11" s="1">
        <v>364.33</v>
      </c>
      <c r="F11" s="1">
        <v>280.22000000000003</v>
      </c>
      <c r="G11" s="1">
        <v>695.93</v>
      </c>
    </row>
    <row r="12" spans="1:7" x14ac:dyDescent="0.3">
      <c r="A12" s="1" t="s">
        <v>16</v>
      </c>
      <c r="B12" s="1">
        <v>382.14</v>
      </c>
      <c r="C12" s="1">
        <v>420.25</v>
      </c>
      <c r="D12" s="1">
        <v>397.73</v>
      </c>
      <c r="E12" s="1">
        <v>230.28</v>
      </c>
      <c r="F12" s="1">
        <v>288.26</v>
      </c>
      <c r="G12" s="1">
        <v>392.17</v>
      </c>
    </row>
    <row r="13" spans="1:7" x14ac:dyDescent="0.3">
      <c r="A13" s="1" t="s">
        <v>17</v>
      </c>
      <c r="B13" s="1">
        <v>37.340000000000003</v>
      </c>
      <c r="C13" s="1">
        <v>32.26</v>
      </c>
      <c r="D13" s="1">
        <v>21.11</v>
      </c>
      <c r="E13" s="1">
        <v>76.540000000000006</v>
      </c>
      <c r="F13" s="1">
        <v>51.58</v>
      </c>
      <c r="G13" s="1">
        <v>20.7</v>
      </c>
    </row>
    <row r="14" spans="1:7" x14ac:dyDescent="0.3">
      <c r="A14" s="1" t="s">
        <v>18</v>
      </c>
      <c r="B14" s="1">
        <v>117.41</v>
      </c>
      <c r="C14" s="1">
        <v>66.48</v>
      </c>
      <c r="D14" s="1">
        <v>56.59</v>
      </c>
      <c r="E14" s="1">
        <v>128.41</v>
      </c>
      <c r="F14" s="1">
        <v>95.59</v>
      </c>
      <c r="G14" s="1">
        <v>55.6</v>
      </c>
    </row>
    <row r="15" spans="1:7" x14ac:dyDescent="0.3">
      <c r="A15" s="1" t="s">
        <v>19</v>
      </c>
      <c r="B15" s="1">
        <v>2</v>
      </c>
      <c r="C15" s="1">
        <v>2</v>
      </c>
      <c r="D15" s="1">
        <v>0</v>
      </c>
      <c r="E15" s="1">
        <v>4</v>
      </c>
      <c r="F15" s="1">
        <v>5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859.55</v>
      </c>
      <c r="C17" s="1">
        <v>963</v>
      </c>
      <c r="D17" s="1">
        <v>699.88</v>
      </c>
      <c r="E17" s="1">
        <v>106.6</v>
      </c>
      <c r="F17" s="1">
        <v>541.47</v>
      </c>
      <c r="G17" s="1">
        <v>814.28</v>
      </c>
    </row>
    <row r="18" spans="1:7" x14ac:dyDescent="0.3">
      <c r="A18" s="1" t="s">
        <v>22</v>
      </c>
      <c r="B18" s="1">
        <v>28.92</v>
      </c>
      <c r="C18" s="1">
        <v>0</v>
      </c>
      <c r="D18" s="1">
        <v>1.42</v>
      </c>
      <c r="E18" s="1">
        <v>738.41</v>
      </c>
      <c r="F18" s="1">
        <v>134.65</v>
      </c>
      <c r="G18" s="1">
        <v>2.84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3</v>
      </c>
      <c r="F19" s="1">
        <v>0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8.1</v>
      </c>
      <c r="F20" s="1">
        <v>0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1.9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2.2999999999999998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6.4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3.6</v>
      </c>
      <c r="F25" s="1">
        <v>4.3</v>
      </c>
      <c r="G25" s="1">
        <v>1.3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0</v>
      </c>
      <c r="F26" s="1">
        <v>5.7</v>
      </c>
      <c r="G26" s="1">
        <v>8.6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64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36</v>
      </c>
      <c r="F30" s="3">
        <f t="shared" si="2"/>
        <v>43</v>
      </c>
      <c r="G30" s="3">
        <f t="shared" si="2"/>
        <v>13.131313131313133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0</v>
      </c>
      <c r="F31" s="3">
        <f t="shared" si="3"/>
        <v>57.000000000000007</v>
      </c>
      <c r="G31" s="3">
        <f t="shared" si="3"/>
        <v>86.868686868686865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85.5</v>
      </c>
      <c r="C33" s="3">
        <v>104</v>
      </c>
      <c r="D33" s="3">
        <v>75.63</v>
      </c>
      <c r="E33" s="3">
        <v>-64.3</v>
      </c>
      <c r="F33" s="3">
        <v>54.03</v>
      </c>
      <c r="G33" s="3">
        <v>84.72</v>
      </c>
    </row>
    <row r="35" spans="1:7" x14ac:dyDescent="0.3">
      <c r="A35" s="3" t="s">
        <v>36</v>
      </c>
      <c r="B35" s="3"/>
      <c r="C35" s="3"/>
      <c r="D35" s="3">
        <f>D33-C33</f>
        <v>-28.370000000000005</v>
      </c>
      <c r="E35" s="3"/>
      <c r="F35" s="3">
        <f>F33-E33</f>
        <v>118.33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-139.93</v>
      </c>
      <c r="F37" s="3"/>
      <c r="G37" s="3">
        <f>G33-F33</f>
        <v>30.689999999999998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C8E64-E54B-464C-B223-29EAF24A136F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832.84</v>
      </c>
      <c r="C2" s="1">
        <v>794.99</v>
      </c>
      <c r="D2" s="1">
        <v>781.21</v>
      </c>
      <c r="E2" s="1">
        <v>761.5</v>
      </c>
      <c r="F2" s="1">
        <v>662.79</v>
      </c>
      <c r="G2" s="1">
        <v>779.26</v>
      </c>
    </row>
    <row r="3" spans="1:7" x14ac:dyDescent="0.3">
      <c r="A3" s="1" t="s">
        <v>7</v>
      </c>
      <c r="B3" s="1">
        <v>71.83</v>
      </c>
      <c r="C3" s="1">
        <v>74.11</v>
      </c>
      <c r="D3" s="1">
        <v>73.37</v>
      </c>
      <c r="E3" s="1">
        <v>72.400000000000006</v>
      </c>
      <c r="F3" s="1">
        <v>80.56</v>
      </c>
      <c r="G3" s="1">
        <v>76.06</v>
      </c>
    </row>
    <row r="4" spans="1:7" x14ac:dyDescent="0.3">
      <c r="A4" s="1" t="s">
        <v>8</v>
      </c>
      <c r="B4" s="1">
        <v>60873.43</v>
      </c>
      <c r="C4" s="1">
        <v>59884.49</v>
      </c>
      <c r="D4" s="1">
        <v>58279.8</v>
      </c>
      <c r="E4" s="1">
        <v>56072.39</v>
      </c>
      <c r="F4" s="1">
        <v>54028.79</v>
      </c>
      <c r="G4" s="1">
        <v>60218.78</v>
      </c>
    </row>
    <row r="5" spans="1:7" x14ac:dyDescent="0.3">
      <c r="A5" s="1" t="s">
        <v>9</v>
      </c>
      <c r="B5" s="1">
        <v>1584.28</v>
      </c>
      <c r="C5" s="1">
        <v>1515.14</v>
      </c>
      <c r="D5" s="1">
        <v>982.15</v>
      </c>
      <c r="E5" s="1">
        <v>555.71</v>
      </c>
      <c r="F5" s="1">
        <v>776.69</v>
      </c>
      <c r="G5" s="1">
        <v>970.43</v>
      </c>
    </row>
    <row r="6" spans="1:7" x14ac:dyDescent="0.3">
      <c r="A6" s="3" t="s">
        <v>10</v>
      </c>
      <c r="B6" s="3">
        <v>158.43</v>
      </c>
      <c r="C6" s="3">
        <v>153.04</v>
      </c>
      <c r="D6" s="3">
        <v>99.21</v>
      </c>
      <c r="E6" s="3">
        <v>56.13</v>
      </c>
      <c r="F6" s="3">
        <v>78.45</v>
      </c>
      <c r="G6" s="3">
        <v>99.02</v>
      </c>
    </row>
    <row r="7" spans="1:7" x14ac:dyDescent="0.3">
      <c r="A7" s="1" t="s">
        <v>11</v>
      </c>
      <c r="B7" s="1">
        <v>1503.7</v>
      </c>
      <c r="C7" s="1">
        <v>1477.73</v>
      </c>
      <c r="D7" s="1">
        <v>963.57</v>
      </c>
      <c r="E7" s="1">
        <v>512.16999999999996</v>
      </c>
      <c r="F7" s="1">
        <v>667.99</v>
      </c>
      <c r="G7" s="1">
        <v>953.23</v>
      </c>
    </row>
    <row r="8" spans="1:7" x14ac:dyDescent="0.3">
      <c r="A8" s="1" t="s">
        <v>12</v>
      </c>
      <c r="B8" s="1">
        <v>150.37</v>
      </c>
      <c r="C8" s="1">
        <v>149.27000000000001</v>
      </c>
      <c r="D8" s="1">
        <v>97.33</v>
      </c>
      <c r="E8" s="1">
        <v>51.73</v>
      </c>
      <c r="F8" s="1">
        <v>67.47</v>
      </c>
      <c r="G8" s="1">
        <v>97.27</v>
      </c>
    </row>
    <row r="9" spans="1:7" x14ac:dyDescent="0.3">
      <c r="A9" s="1" t="s">
        <v>13</v>
      </c>
      <c r="B9" s="1">
        <v>1503.7</v>
      </c>
      <c r="C9" s="1">
        <v>1477.73</v>
      </c>
      <c r="D9" s="1">
        <v>963.57</v>
      </c>
      <c r="E9" s="1">
        <v>484.4</v>
      </c>
      <c r="F9" s="1">
        <v>-315.19</v>
      </c>
      <c r="G9" s="1">
        <v>953.23</v>
      </c>
    </row>
    <row r="10" spans="1:7" x14ac:dyDescent="0.3">
      <c r="A10" s="1" t="s">
        <v>14</v>
      </c>
      <c r="B10" s="1">
        <v>150.37</v>
      </c>
      <c r="C10" s="1">
        <v>149.27000000000001</v>
      </c>
      <c r="D10" s="1">
        <v>97.33</v>
      </c>
      <c r="E10" s="1">
        <v>48.93</v>
      </c>
      <c r="F10" s="1">
        <v>-31.84</v>
      </c>
      <c r="G10" s="1">
        <v>97.27</v>
      </c>
    </row>
    <row r="11" spans="1:7" x14ac:dyDescent="0.3">
      <c r="A11" s="1" t="s">
        <v>15</v>
      </c>
      <c r="B11" s="1">
        <v>1159.45</v>
      </c>
      <c r="C11" s="1">
        <v>1195.0899999999999</v>
      </c>
      <c r="D11" s="1">
        <v>765.66</v>
      </c>
      <c r="E11" s="1">
        <v>440.54</v>
      </c>
      <c r="F11" s="1">
        <v>203.74</v>
      </c>
      <c r="G11" s="1">
        <v>799.48</v>
      </c>
    </row>
    <row r="12" spans="1:7" x14ac:dyDescent="0.3">
      <c r="A12" s="1" t="s">
        <v>16</v>
      </c>
      <c r="B12" s="1">
        <v>418.61</v>
      </c>
      <c r="C12" s="1">
        <v>388.04</v>
      </c>
      <c r="D12" s="1">
        <v>467.31</v>
      </c>
      <c r="E12" s="1">
        <v>380.33</v>
      </c>
      <c r="F12" s="1">
        <v>308.07</v>
      </c>
      <c r="G12" s="1">
        <v>405.89</v>
      </c>
    </row>
    <row r="13" spans="1:7" x14ac:dyDescent="0.3">
      <c r="A13" s="1" t="s">
        <v>17</v>
      </c>
      <c r="B13" s="1">
        <v>51.51</v>
      </c>
      <c r="C13" s="1">
        <v>49.86</v>
      </c>
      <c r="D13" s="1">
        <v>49.18</v>
      </c>
      <c r="E13" s="1">
        <v>36.94</v>
      </c>
      <c r="F13" s="1">
        <v>51.92</v>
      </c>
      <c r="G13" s="1">
        <v>40.9</v>
      </c>
    </row>
    <row r="14" spans="1:7" x14ac:dyDescent="0.3">
      <c r="A14" s="1" t="s">
        <v>18</v>
      </c>
      <c r="B14" s="1">
        <v>98.32</v>
      </c>
      <c r="C14" s="1">
        <v>113.29</v>
      </c>
      <c r="D14" s="1">
        <v>101.35</v>
      </c>
      <c r="E14" s="1">
        <v>67.55</v>
      </c>
      <c r="F14" s="1">
        <v>118.14</v>
      </c>
      <c r="G14" s="1">
        <v>105.39</v>
      </c>
    </row>
    <row r="15" spans="1:7" x14ac:dyDescent="0.3">
      <c r="A15" s="1" t="s">
        <v>19</v>
      </c>
      <c r="B15" s="1">
        <v>5</v>
      </c>
      <c r="C15" s="1">
        <v>4</v>
      </c>
      <c r="D15" s="1">
        <v>3</v>
      </c>
      <c r="E15" s="1">
        <v>1</v>
      </c>
      <c r="F15" s="1">
        <v>3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1503.7</v>
      </c>
      <c r="C17" s="1">
        <v>1477.73</v>
      </c>
      <c r="D17" s="1">
        <v>963.57</v>
      </c>
      <c r="E17" s="1">
        <v>498.28</v>
      </c>
      <c r="F17" s="1">
        <v>176.4</v>
      </c>
      <c r="G17" s="1">
        <v>953.23</v>
      </c>
    </row>
    <row r="18" spans="1:7" x14ac:dyDescent="0.3">
      <c r="A18" s="1" t="s">
        <v>22</v>
      </c>
      <c r="B18" s="1">
        <v>0</v>
      </c>
      <c r="C18" s="1">
        <v>0</v>
      </c>
      <c r="D18" s="1">
        <v>0</v>
      </c>
      <c r="E18" s="1">
        <v>13.88</v>
      </c>
      <c r="F18" s="1">
        <v>491.59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2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4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6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2.5</v>
      </c>
      <c r="F25" s="1">
        <v>3.4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7.5</v>
      </c>
      <c r="F26" s="1">
        <v>3.5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31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25</v>
      </c>
      <c r="F30" s="3">
        <f t="shared" si="2"/>
        <v>34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75</v>
      </c>
      <c r="F31" s="3">
        <f t="shared" si="3"/>
        <v>35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157.22</v>
      </c>
      <c r="C33" s="3">
        <v>156.11000000000001</v>
      </c>
      <c r="D33" s="3">
        <v>98.89</v>
      </c>
      <c r="E33" s="3">
        <v>51.45</v>
      </c>
      <c r="F33" s="3">
        <v>3.4</v>
      </c>
      <c r="G33" s="3">
        <v>100.16</v>
      </c>
    </row>
    <row r="35" spans="1:7" x14ac:dyDescent="0.3">
      <c r="A35" s="3" t="s">
        <v>36</v>
      </c>
      <c r="B35" s="3"/>
      <c r="C35" s="3"/>
      <c r="D35" s="3">
        <f>D33-C33</f>
        <v>-57.220000000000013</v>
      </c>
      <c r="E35" s="3"/>
      <c r="F35" s="3">
        <f>F33-E33</f>
        <v>-48.050000000000004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-47.44</v>
      </c>
      <c r="F37" s="3"/>
      <c r="G37" s="3">
        <f>G33-F33</f>
        <v>96.759999999999991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5323-86B4-4C6F-A9FD-69CB66532572}">
  <dimension ref="A1:G37"/>
  <sheetViews>
    <sheetView zoomScale="70" zoomScaleNormal="70" workbookViewId="0">
      <selection activeCell="L19" sqref="L1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782.95</v>
      </c>
      <c r="C2" s="1">
        <v>732.72</v>
      </c>
      <c r="D2" s="1">
        <v>717.55</v>
      </c>
      <c r="E2" s="1">
        <v>762.19</v>
      </c>
      <c r="F2" s="1">
        <v>795.39</v>
      </c>
      <c r="G2" s="1">
        <v>761.47</v>
      </c>
    </row>
    <row r="3" spans="1:7" x14ac:dyDescent="0.3">
      <c r="A3" s="1" t="s">
        <v>7</v>
      </c>
      <c r="B3" s="1">
        <v>55.9</v>
      </c>
      <c r="C3" s="1">
        <v>49.89</v>
      </c>
      <c r="D3" s="1">
        <v>49.81</v>
      </c>
      <c r="E3" s="1">
        <v>57.85</v>
      </c>
      <c r="F3" s="1">
        <v>58.73</v>
      </c>
      <c r="G3" s="1">
        <v>52.99</v>
      </c>
    </row>
    <row r="4" spans="1:7" x14ac:dyDescent="0.3">
      <c r="A4" s="1" t="s">
        <v>8</v>
      </c>
      <c r="B4" s="1">
        <v>44466.7</v>
      </c>
      <c r="C4" s="1">
        <v>37125.449999999997</v>
      </c>
      <c r="D4" s="1">
        <v>36278.31</v>
      </c>
      <c r="E4" s="1">
        <v>44832.7</v>
      </c>
      <c r="F4" s="1">
        <v>47496.58</v>
      </c>
      <c r="G4" s="1">
        <v>40979.39</v>
      </c>
    </row>
    <row r="5" spans="1:7" x14ac:dyDescent="0.3">
      <c r="A5" s="1" t="s">
        <v>9</v>
      </c>
      <c r="B5" s="1">
        <v>1190.1500000000001</v>
      </c>
      <c r="C5" s="1">
        <v>1804.66</v>
      </c>
      <c r="D5" s="1">
        <v>897.74</v>
      </c>
      <c r="E5" s="1">
        <v>850.58</v>
      </c>
      <c r="F5" s="1">
        <v>1230.3699999999999</v>
      </c>
      <c r="G5" s="1">
        <v>1358.21</v>
      </c>
    </row>
    <row r="6" spans="1:7" x14ac:dyDescent="0.3">
      <c r="A6" s="3" t="s">
        <v>10</v>
      </c>
      <c r="B6" s="3">
        <v>119.01</v>
      </c>
      <c r="C6" s="3">
        <v>182.29</v>
      </c>
      <c r="D6" s="3">
        <v>90.68</v>
      </c>
      <c r="E6" s="3">
        <v>85.92</v>
      </c>
      <c r="F6" s="3">
        <v>124.28</v>
      </c>
      <c r="G6" s="3">
        <v>138.59</v>
      </c>
    </row>
    <row r="7" spans="1:7" x14ac:dyDescent="0.3">
      <c r="A7" s="1" t="s">
        <v>11</v>
      </c>
      <c r="B7" s="1">
        <v>1099.21</v>
      </c>
      <c r="C7" s="1">
        <v>1748.79</v>
      </c>
      <c r="D7" s="1">
        <v>807.92</v>
      </c>
      <c r="E7" s="1">
        <v>829.96</v>
      </c>
      <c r="F7" s="1">
        <v>1191.73</v>
      </c>
      <c r="G7" s="1">
        <v>1275.6300000000001</v>
      </c>
    </row>
    <row r="8" spans="1:7" x14ac:dyDescent="0.3">
      <c r="A8" s="1" t="s">
        <v>12</v>
      </c>
      <c r="B8" s="1">
        <v>109.92</v>
      </c>
      <c r="C8" s="1">
        <v>176.65</v>
      </c>
      <c r="D8" s="1">
        <v>81.61</v>
      </c>
      <c r="E8" s="1">
        <v>83.83</v>
      </c>
      <c r="F8" s="1">
        <v>120.38</v>
      </c>
      <c r="G8" s="1">
        <v>130.16999999999999</v>
      </c>
    </row>
    <row r="9" spans="1:7" x14ac:dyDescent="0.3">
      <c r="A9" s="1" t="s">
        <v>13</v>
      </c>
      <c r="B9" s="1">
        <v>1076.46</v>
      </c>
      <c r="C9" s="1">
        <v>1748.79</v>
      </c>
      <c r="D9" s="1">
        <v>734.7</v>
      </c>
      <c r="E9" s="1">
        <v>691.93</v>
      </c>
      <c r="F9" s="1">
        <v>893.05</v>
      </c>
      <c r="G9" s="1">
        <v>1275.6300000000001</v>
      </c>
    </row>
    <row r="10" spans="1:7" x14ac:dyDescent="0.3">
      <c r="A10" s="1" t="s">
        <v>14</v>
      </c>
      <c r="B10" s="1">
        <v>107.65</v>
      </c>
      <c r="C10" s="1">
        <v>176.65</v>
      </c>
      <c r="D10" s="1">
        <v>74.209999999999994</v>
      </c>
      <c r="E10" s="1">
        <v>69.89</v>
      </c>
      <c r="F10" s="1">
        <v>90.21</v>
      </c>
      <c r="G10" s="1">
        <v>130.16999999999999</v>
      </c>
    </row>
    <row r="11" spans="1:7" x14ac:dyDescent="0.3">
      <c r="A11" s="1" t="s">
        <v>15</v>
      </c>
      <c r="B11" s="1">
        <v>949.51</v>
      </c>
      <c r="C11" s="1">
        <v>1515.46</v>
      </c>
      <c r="D11" s="1">
        <v>613.42999999999995</v>
      </c>
      <c r="E11" s="1">
        <v>532.11</v>
      </c>
      <c r="F11" s="1">
        <v>501.43</v>
      </c>
      <c r="G11" s="1">
        <v>1169.42</v>
      </c>
    </row>
    <row r="12" spans="1:7" x14ac:dyDescent="0.3">
      <c r="A12" s="1" t="s">
        <v>16</v>
      </c>
      <c r="B12" s="1">
        <v>411.96</v>
      </c>
      <c r="C12" s="1">
        <v>438.04</v>
      </c>
      <c r="D12" s="1">
        <v>428.64</v>
      </c>
      <c r="E12" s="1">
        <v>428.69</v>
      </c>
      <c r="F12" s="1">
        <v>427.06</v>
      </c>
      <c r="G12" s="1">
        <v>419.76</v>
      </c>
    </row>
    <row r="13" spans="1:7" x14ac:dyDescent="0.3">
      <c r="A13" s="1" t="s">
        <v>17</v>
      </c>
      <c r="B13" s="1">
        <v>24.89</v>
      </c>
      <c r="C13" s="1">
        <v>31.97</v>
      </c>
      <c r="D13" s="1">
        <v>28.43</v>
      </c>
      <c r="E13" s="1">
        <v>56.14</v>
      </c>
      <c r="F13" s="1">
        <v>33.159999999999997</v>
      </c>
      <c r="G13" s="1">
        <v>24.86</v>
      </c>
    </row>
    <row r="14" spans="1:7" x14ac:dyDescent="0.3">
      <c r="A14" s="1" t="s">
        <v>18</v>
      </c>
      <c r="B14" s="1">
        <v>57</v>
      </c>
      <c r="C14" s="1">
        <v>63.65</v>
      </c>
      <c r="D14" s="1">
        <v>71.62</v>
      </c>
      <c r="E14" s="1">
        <v>136.24</v>
      </c>
      <c r="F14" s="1">
        <v>83.44</v>
      </c>
      <c r="G14" s="1">
        <v>80.930000000000007</v>
      </c>
    </row>
    <row r="15" spans="1:7" x14ac:dyDescent="0.3">
      <c r="A15" s="1" t="s">
        <v>19</v>
      </c>
      <c r="B15" s="1">
        <v>2</v>
      </c>
      <c r="C15" s="1">
        <v>3</v>
      </c>
      <c r="D15" s="1">
        <v>1</v>
      </c>
      <c r="E15" s="1">
        <v>2</v>
      </c>
      <c r="F15" s="1">
        <v>2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1087.83</v>
      </c>
      <c r="C17" s="1">
        <v>1748.79</v>
      </c>
      <c r="D17" s="1">
        <v>771.31</v>
      </c>
      <c r="E17" s="1">
        <v>760.94</v>
      </c>
      <c r="F17" s="1">
        <v>1042.3900000000001</v>
      </c>
      <c r="G17" s="1">
        <v>1275.6300000000001</v>
      </c>
    </row>
    <row r="18" spans="1:7" x14ac:dyDescent="0.3">
      <c r="A18" s="1" t="s">
        <v>22</v>
      </c>
      <c r="B18" s="1">
        <v>11.38</v>
      </c>
      <c r="C18" s="1">
        <v>0</v>
      </c>
      <c r="D18" s="1">
        <v>36.61</v>
      </c>
      <c r="E18" s="1">
        <v>69.02</v>
      </c>
      <c r="F18" s="1">
        <v>149.34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1.2</v>
      </c>
      <c r="F20" s="1">
        <v>2.7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8.8000000000000007</v>
      </c>
      <c r="F21" s="1">
        <v>7.3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3.1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3.7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6.3</v>
      </c>
      <c r="F26" s="1">
        <v>6.9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31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37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63</v>
      </c>
      <c r="F31" s="3">
        <f t="shared" si="3"/>
        <v>69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115.3</v>
      </c>
      <c r="C33" s="3">
        <v>184.6</v>
      </c>
      <c r="D33" s="3">
        <v>78.209999999999994</v>
      </c>
      <c r="E33" s="3">
        <v>65.150000000000006</v>
      </c>
      <c r="F33" s="3">
        <v>59.89</v>
      </c>
      <c r="G33" s="3">
        <v>137.82</v>
      </c>
    </row>
    <row r="35" spans="1:7" x14ac:dyDescent="0.3">
      <c r="A35" s="3" t="s">
        <v>36</v>
      </c>
      <c r="B35" s="3"/>
      <c r="C35" s="3"/>
      <c r="D35" s="3">
        <f>D33-C33</f>
        <v>-106.39</v>
      </c>
      <c r="E35" s="3"/>
      <c r="F35" s="3">
        <f>F33-E33</f>
        <v>-5.2600000000000051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-13.059999999999988</v>
      </c>
      <c r="F37" s="3"/>
      <c r="G37" s="3">
        <f>G33-F33</f>
        <v>77.929999999999993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5B6A7-5E10-4ED3-B2C5-255DC849C2C9}">
  <dimension ref="A1:G37"/>
  <sheetViews>
    <sheetView zoomScale="70" zoomScaleNormal="70" workbookViewId="0">
      <selection activeCell="K21" sqref="K2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799.76</v>
      </c>
      <c r="C2" s="1">
        <v>750.45</v>
      </c>
      <c r="D2" s="1">
        <v>743.79</v>
      </c>
      <c r="E2" s="1">
        <v>813.93</v>
      </c>
      <c r="F2" s="1">
        <v>800.46</v>
      </c>
      <c r="G2" s="1">
        <v>781.83</v>
      </c>
    </row>
    <row r="3" spans="1:7" x14ac:dyDescent="0.3">
      <c r="A3" s="1" t="s">
        <v>7</v>
      </c>
      <c r="B3" s="1">
        <v>61.81</v>
      </c>
      <c r="C3" s="1">
        <v>58.07</v>
      </c>
      <c r="D3" s="1">
        <v>56.39</v>
      </c>
      <c r="E3" s="1">
        <v>66.05</v>
      </c>
      <c r="F3" s="1">
        <v>62.75</v>
      </c>
      <c r="G3" s="1">
        <v>59.89</v>
      </c>
    </row>
    <row r="4" spans="1:7" x14ac:dyDescent="0.3">
      <c r="A4" s="1" t="s">
        <v>8</v>
      </c>
      <c r="B4" s="1">
        <v>50283.44</v>
      </c>
      <c r="C4" s="1">
        <v>44292.28</v>
      </c>
      <c r="D4" s="1">
        <v>42625.71</v>
      </c>
      <c r="E4" s="1">
        <v>54663.58</v>
      </c>
      <c r="F4" s="1">
        <v>51108.46</v>
      </c>
      <c r="G4" s="1">
        <v>47627.67</v>
      </c>
    </row>
    <row r="5" spans="1:7" x14ac:dyDescent="0.3">
      <c r="A5" s="1" t="s">
        <v>9</v>
      </c>
      <c r="B5" s="1">
        <v>1949.18</v>
      </c>
      <c r="C5" s="1">
        <v>1743.8</v>
      </c>
      <c r="D5" s="1">
        <v>1091.6500000000001</v>
      </c>
      <c r="E5" s="1">
        <v>1128.49</v>
      </c>
      <c r="F5" s="1">
        <v>1272.06</v>
      </c>
      <c r="G5" s="1">
        <v>1456.07</v>
      </c>
    </row>
    <row r="6" spans="1:7" x14ac:dyDescent="0.3">
      <c r="A6" s="3" t="s">
        <v>10</v>
      </c>
      <c r="B6" s="3">
        <v>194.92</v>
      </c>
      <c r="C6" s="3">
        <v>176.14</v>
      </c>
      <c r="D6" s="3">
        <v>110.27</v>
      </c>
      <c r="E6" s="3">
        <v>113.99</v>
      </c>
      <c r="F6" s="3">
        <v>128.49</v>
      </c>
      <c r="G6" s="3">
        <v>148.58000000000001</v>
      </c>
    </row>
    <row r="7" spans="1:7" x14ac:dyDescent="0.3">
      <c r="A7" s="1" t="s">
        <v>11</v>
      </c>
      <c r="B7" s="1">
        <v>1934.67</v>
      </c>
      <c r="C7" s="1">
        <v>1726.05</v>
      </c>
      <c r="D7" s="1">
        <v>1052.44</v>
      </c>
      <c r="E7" s="1">
        <v>1119.67</v>
      </c>
      <c r="F7" s="1">
        <v>1259.5899999999999</v>
      </c>
      <c r="G7" s="1">
        <v>1434.96</v>
      </c>
    </row>
    <row r="8" spans="1:7" x14ac:dyDescent="0.3">
      <c r="A8" s="1" t="s">
        <v>12</v>
      </c>
      <c r="B8" s="1">
        <v>193.47</v>
      </c>
      <c r="C8" s="1">
        <v>174.35</v>
      </c>
      <c r="D8" s="1">
        <v>106.31</v>
      </c>
      <c r="E8" s="1">
        <v>113.1</v>
      </c>
      <c r="F8" s="1">
        <v>127.23</v>
      </c>
      <c r="G8" s="1">
        <v>146.41999999999999</v>
      </c>
    </row>
    <row r="9" spans="1:7" x14ac:dyDescent="0.3">
      <c r="A9" s="1" t="s">
        <v>13</v>
      </c>
      <c r="B9" s="1">
        <v>1934.67</v>
      </c>
      <c r="C9" s="1">
        <v>1726.05</v>
      </c>
      <c r="D9" s="1">
        <v>963.13</v>
      </c>
      <c r="E9" s="1">
        <v>1119.67</v>
      </c>
      <c r="F9" s="1">
        <v>1068.33</v>
      </c>
      <c r="G9" s="1">
        <v>1434.96</v>
      </c>
    </row>
    <row r="10" spans="1:7" x14ac:dyDescent="0.3">
      <c r="A10" s="1" t="s">
        <v>14</v>
      </c>
      <c r="B10" s="1">
        <v>193.47</v>
      </c>
      <c r="C10" s="1">
        <v>174.35</v>
      </c>
      <c r="D10" s="1">
        <v>97.29</v>
      </c>
      <c r="E10" s="1">
        <v>113.1</v>
      </c>
      <c r="F10" s="1">
        <v>107.91</v>
      </c>
      <c r="G10" s="1">
        <v>146.41999999999999</v>
      </c>
    </row>
    <row r="11" spans="1:7" x14ac:dyDescent="0.3">
      <c r="A11" s="1" t="s">
        <v>15</v>
      </c>
      <c r="B11" s="1">
        <v>1526.83</v>
      </c>
      <c r="C11" s="1">
        <v>1487.68</v>
      </c>
      <c r="D11" s="1">
        <v>829.15</v>
      </c>
      <c r="E11" s="1">
        <v>969.57</v>
      </c>
      <c r="F11" s="1">
        <v>737.92</v>
      </c>
      <c r="G11" s="1">
        <v>1203.6600000000001</v>
      </c>
    </row>
    <row r="12" spans="1:7" x14ac:dyDescent="0.3">
      <c r="A12" s="1" t="s">
        <v>16</v>
      </c>
      <c r="B12" s="1">
        <v>385.52</v>
      </c>
      <c r="C12" s="1">
        <v>389.42</v>
      </c>
      <c r="D12" s="1">
        <v>365.38</v>
      </c>
      <c r="E12" s="1">
        <v>386.05</v>
      </c>
      <c r="F12" s="1">
        <v>371.48</v>
      </c>
      <c r="G12" s="1">
        <v>373.64</v>
      </c>
    </row>
    <row r="13" spans="1:7" x14ac:dyDescent="0.3">
      <c r="A13" s="1" t="s">
        <v>17</v>
      </c>
      <c r="B13" s="1">
        <v>55.86</v>
      </c>
      <c r="C13" s="1">
        <v>32.61</v>
      </c>
      <c r="D13" s="1">
        <v>29.36</v>
      </c>
      <c r="E13" s="1">
        <v>37.229999999999997</v>
      </c>
      <c r="F13" s="1">
        <v>54.43</v>
      </c>
      <c r="G13" s="1">
        <v>40.06</v>
      </c>
    </row>
    <row r="14" spans="1:7" x14ac:dyDescent="0.3">
      <c r="A14" s="1" t="s">
        <v>18</v>
      </c>
      <c r="B14" s="1">
        <v>125.87</v>
      </c>
      <c r="C14" s="1">
        <v>76.400000000000006</v>
      </c>
      <c r="D14" s="1">
        <v>62.98</v>
      </c>
      <c r="E14" s="1">
        <v>72.62</v>
      </c>
      <c r="F14" s="1">
        <v>150</v>
      </c>
      <c r="G14" s="1">
        <v>89.4</v>
      </c>
    </row>
    <row r="15" spans="1:7" x14ac:dyDescent="0.3">
      <c r="A15" s="1" t="s">
        <v>19</v>
      </c>
      <c r="B15" s="1">
        <v>2</v>
      </c>
      <c r="C15" s="1">
        <v>2</v>
      </c>
      <c r="D15" s="1">
        <v>2</v>
      </c>
      <c r="E15" s="1">
        <v>2</v>
      </c>
      <c r="F15" s="1">
        <v>2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1934.67</v>
      </c>
      <c r="C17" s="1">
        <v>1726.05</v>
      </c>
      <c r="D17" s="1">
        <v>1007.78</v>
      </c>
      <c r="E17" s="1">
        <v>1119.67</v>
      </c>
      <c r="F17" s="1">
        <v>1163.96</v>
      </c>
      <c r="G17" s="1">
        <v>1434.96</v>
      </c>
    </row>
    <row r="18" spans="1:7" x14ac:dyDescent="0.3">
      <c r="A18" s="1" t="s">
        <v>22</v>
      </c>
      <c r="B18" s="1">
        <v>0</v>
      </c>
      <c r="C18" s="1">
        <v>0</v>
      </c>
      <c r="D18" s="1">
        <v>44.66</v>
      </c>
      <c r="E18" s="1">
        <v>0</v>
      </c>
      <c r="F18" s="1">
        <v>95.63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1.8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8.1999999999999993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2.8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7.2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27.999999999999996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72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191.53</v>
      </c>
      <c r="C33" s="3">
        <v>174.6</v>
      </c>
      <c r="D33" s="3">
        <v>97.89</v>
      </c>
      <c r="E33" s="3">
        <v>113.12</v>
      </c>
      <c r="F33" s="3">
        <v>94.89</v>
      </c>
      <c r="G33" s="3">
        <v>149.72999999999999</v>
      </c>
    </row>
    <row r="35" spans="1:7" x14ac:dyDescent="0.3">
      <c r="A35" s="3" t="s">
        <v>36</v>
      </c>
      <c r="B35" s="3"/>
      <c r="C35" s="3"/>
      <c r="D35" s="3">
        <f>D33-C33</f>
        <v>-76.709999999999994</v>
      </c>
      <c r="E35" s="3"/>
      <c r="F35" s="3">
        <f>F33-E33</f>
        <v>-18.230000000000004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15.230000000000004</v>
      </c>
      <c r="F37" s="3"/>
      <c r="G37" s="3">
        <f>G33-F33</f>
        <v>54.839999999999989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783A-EF1E-42CA-82B4-135AC24C1DFB}">
  <dimension ref="A1:G37"/>
  <sheetViews>
    <sheetView zoomScale="70" zoomScaleNormal="70" workbookViewId="0">
      <selection activeCell="L31" sqref="L3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771.89</v>
      </c>
      <c r="C2" s="1">
        <v>814.34</v>
      </c>
      <c r="D2" s="1">
        <v>789.82</v>
      </c>
      <c r="E2" s="1">
        <v>761.12</v>
      </c>
      <c r="F2" s="1">
        <v>735.99</v>
      </c>
      <c r="G2" s="1">
        <v>799.04</v>
      </c>
    </row>
    <row r="3" spans="1:7" x14ac:dyDescent="0.3">
      <c r="A3" s="1" t="s">
        <v>7</v>
      </c>
      <c r="B3" s="1">
        <v>61.5</v>
      </c>
      <c r="C3" s="1">
        <v>61.5</v>
      </c>
      <c r="D3" s="1">
        <v>58.68</v>
      </c>
      <c r="E3" s="1">
        <v>54.01</v>
      </c>
      <c r="F3" s="1">
        <v>58.26</v>
      </c>
      <c r="G3" s="1">
        <v>63.84</v>
      </c>
    </row>
    <row r="4" spans="1:7" x14ac:dyDescent="0.3">
      <c r="A4" s="1" t="s">
        <v>8</v>
      </c>
      <c r="B4" s="1">
        <v>48217.15</v>
      </c>
      <c r="C4" s="1">
        <v>50939.02</v>
      </c>
      <c r="D4" s="1">
        <v>47123.77</v>
      </c>
      <c r="E4" s="1">
        <v>41765.56</v>
      </c>
      <c r="F4" s="1">
        <v>43548.94</v>
      </c>
      <c r="G4" s="1">
        <v>51872.93</v>
      </c>
    </row>
    <row r="5" spans="1:7" x14ac:dyDescent="0.3">
      <c r="A5" s="1" t="s">
        <v>9</v>
      </c>
      <c r="B5" s="1">
        <v>1410.83</v>
      </c>
      <c r="C5" s="1">
        <v>1398.81</v>
      </c>
      <c r="D5" s="1">
        <v>958.73</v>
      </c>
      <c r="E5" s="1">
        <v>1145</v>
      </c>
      <c r="F5" s="1">
        <v>839.81</v>
      </c>
      <c r="G5" s="1">
        <v>1149.0999999999999</v>
      </c>
    </row>
    <row r="6" spans="1:7" x14ac:dyDescent="0.3">
      <c r="A6" s="3" t="s">
        <v>10</v>
      </c>
      <c r="B6" s="3">
        <v>141.08000000000001</v>
      </c>
      <c r="C6" s="3">
        <v>141.29</v>
      </c>
      <c r="D6" s="3">
        <v>96.84</v>
      </c>
      <c r="E6" s="3">
        <v>115.66</v>
      </c>
      <c r="F6" s="3">
        <v>84.83</v>
      </c>
      <c r="G6" s="3">
        <v>117.26</v>
      </c>
    </row>
    <row r="7" spans="1:7" x14ac:dyDescent="0.3">
      <c r="A7" s="1" t="s">
        <v>11</v>
      </c>
      <c r="B7" s="1">
        <v>1398.11</v>
      </c>
      <c r="C7" s="1">
        <v>1371.87</v>
      </c>
      <c r="D7" s="1">
        <v>941.13</v>
      </c>
      <c r="E7" s="1">
        <v>1111.8399999999999</v>
      </c>
      <c r="F7" s="1">
        <v>827.52</v>
      </c>
      <c r="G7" s="1">
        <v>1135.33</v>
      </c>
    </row>
    <row r="8" spans="1:7" x14ac:dyDescent="0.3">
      <c r="A8" s="1" t="s">
        <v>12</v>
      </c>
      <c r="B8" s="1">
        <v>139.81</v>
      </c>
      <c r="C8" s="1">
        <v>138.57</v>
      </c>
      <c r="D8" s="1">
        <v>95.06</v>
      </c>
      <c r="E8" s="1">
        <v>112.31</v>
      </c>
      <c r="F8" s="1">
        <v>83.59</v>
      </c>
      <c r="G8" s="1">
        <v>115.85</v>
      </c>
    </row>
    <row r="9" spans="1:7" x14ac:dyDescent="0.3">
      <c r="A9" s="1" t="s">
        <v>13</v>
      </c>
      <c r="B9" s="1">
        <v>1398.11</v>
      </c>
      <c r="C9" s="1">
        <v>1371.87</v>
      </c>
      <c r="D9" s="1">
        <v>893.63</v>
      </c>
      <c r="E9" s="1">
        <v>1109.3399999999999</v>
      </c>
      <c r="F9" s="1">
        <v>599.74</v>
      </c>
      <c r="G9" s="1">
        <v>1135.33</v>
      </c>
    </row>
    <row r="10" spans="1:7" x14ac:dyDescent="0.3">
      <c r="A10" s="1" t="s">
        <v>14</v>
      </c>
      <c r="B10" s="1">
        <v>139.81</v>
      </c>
      <c r="C10" s="1">
        <v>138.57</v>
      </c>
      <c r="D10" s="1">
        <v>90.27</v>
      </c>
      <c r="E10" s="1">
        <v>112.05</v>
      </c>
      <c r="F10" s="1">
        <v>60.58</v>
      </c>
      <c r="G10" s="1">
        <v>115.85</v>
      </c>
    </row>
    <row r="11" spans="1:7" x14ac:dyDescent="0.3">
      <c r="A11" s="1" t="s">
        <v>15</v>
      </c>
      <c r="B11" s="1">
        <v>985.42</v>
      </c>
      <c r="C11" s="1">
        <v>1079.6600000000001</v>
      </c>
      <c r="D11" s="1">
        <v>724.72</v>
      </c>
      <c r="E11" s="1">
        <v>843.61</v>
      </c>
      <c r="F11" s="1">
        <v>246.11</v>
      </c>
      <c r="G11" s="1">
        <v>894.87</v>
      </c>
    </row>
    <row r="12" spans="1:7" x14ac:dyDescent="0.3">
      <c r="A12" s="1" t="s">
        <v>16</v>
      </c>
      <c r="B12" s="1">
        <v>372.46</v>
      </c>
      <c r="C12" s="1">
        <v>395.36</v>
      </c>
      <c r="D12" s="1">
        <v>385.79</v>
      </c>
      <c r="E12" s="1">
        <v>373.47</v>
      </c>
      <c r="F12" s="1">
        <v>374.76</v>
      </c>
      <c r="G12" s="1">
        <v>398.33</v>
      </c>
    </row>
    <row r="13" spans="1:7" x14ac:dyDescent="0.3">
      <c r="A13" s="1" t="s">
        <v>17</v>
      </c>
      <c r="B13" s="1">
        <v>54.45</v>
      </c>
      <c r="C13" s="1">
        <v>44.73</v>
      </c>
      <c r="D13" s="1">
        <v>45.42</v>
      </c>
      <c r="E13" s="1">
        <v>40.11</v>
      </c>
      <c r="F13" s="1">
        <v>59.27</v>
      </c>
      <c r="G13" s="1">
        <v>58.17</v>
      </c>
    </row>
    <row r="14" spans="1:7" x14ac:dyDescent="0.3">
      <c r="A14" s="1" t="s">
        <v>18</v>
      </c>
      <c r="B14" s="1">
        <v>116.93</v>
      </c>
      <c r="C14" s="1">
        <v>113.08</v>
      </c>
      <c r="D14" s="1">
        <v>108.49</v>
      </c>
      <c r="E14" s="1">
        <v>92.23</v>
      </c>
      <c r="F14" s="1">
        <v>140.94999999999999</v>
      </c>
      <c r="G14" s="1">
        <v>107.53</v>
      </c>
    </row>
    <row r="15" spans="1:7" x14ac:dyDescent="0.3">
      <c r="A15" s="1" t="s">
        <v>19</v>
      </c>
      <c r="B15" s="1">
        <v>3</v>
      </c>
      <c r="C15" s="1">
        <v>4</v>
      </c>
      <c r="D15" s="1">
        <v>2</v>
      </c>
      <c r="E15" s="1">
        <v>3</v>
      </c>
      <c r="F15" s="1">
        <v>2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1398.11</v>
      </c>
      <c r="C17" s="1">
        <v>1371.87</v>
      </c>
      <c r="D17" s="1">
        <v>917.38</v>
      </c>
      <c r="E17" s="1">
        <v>1110.5899999999999</v>
      </c>
      <c r="F17" s="1">
        <v>713.63</v>
      </c>
      <c r="G17" s="1">
        <v>1135.33</v>
      </c>
    </row>
    <row r="18" spans="1:7" x14ac:dyDescent="0.3">
      <c r="A18" s="1" t="s">
        <v>22</v>
      </c>
      <c r="B18" s="1">
        <v>0</v>
      </c>
      <c r="C18" s="1">
        <v>0</v>
      </c>
      <c r="D18" s="1">
        <v>23.75</v>
      </c>
      <c r="E18" s="1">
        <v>1.25</v>
      </c>
      <c r="F18" s="1">
        <v>113.89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2.6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7.4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2.9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1.8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5.3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28.999999999999996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18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53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135.9</v>
      </c>
      <c r="C33" s="3">
        <v>140.32</v>
      </c>
      <c r="D33" s="3">
        <v>92.8</v>
      </c>
      <c r="E33" s="3">
        <v>115.43</v>
      </c>
      <c r="F33" s="3">
        <v>39.83</v>
      </c>
      <c r="G33" s="3">
        <v>117.37</v>
      </c>
    </row>
    <row r="35" spans="1:7" x14ac:dyDescent="0.3">
      <c r="A35" s="3" t="s">
        <v>36</v>
      </c>
      <c r="B35" s="3"/>
      <c r="C35" s="3"/>
      <c r="D35" s="3">
        <f>D33-C33</f>
        <v>-47.519999999999996</v>
      </c>
      <c r="E35" s="3"/>
      <c r="F35" s="3">
        <f>F33-E33</f>
        <v>-75.600000000000009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22.63000000000001</v>
      </c>
      <c r="F37" s="3"/>
      <c r="G37" s="3">
        <f>G33-F33</f>
        <v>77.540000000000006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A25F-D268-4B90-8031-2231CD2E620E}">
  <dimension ref="A1:G37"/>
  <sheetViews>
    <sheetView zoomScale="70" zoomScaleNormal="70" workbookViewId="0">
      <selection activeCell="M31" sqref="M31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763.24</v>
      </c>
      <c r="C2" s="1">
        <v>753.67</v>
      </c>
      <c r="D2" s="1">
        <v>738.41</v>
      </c>
      <c r="E2" s="1">
        <v>729.49</v>
      </c>
      <c r="F2" s="1">
        <v>743.85</v>
      </c>
      <c r="G2" s="1">
        <v>765.94</v>
      </c>
    </row>
    <row r="3" spans="1:7" x14ac:dyDescent="0.3">
      <c r="A3" s="1" t="s">
        <v>7</v>
      </c>
      <c r="B3" s="1">
        <v>58.45</v>
      </c>
      <c r="C3" s="1">
        <v>56.84</v>
      </c>
      <c r="D3" s="1">
        <v>60.19</v>
      </c>
      <c r="E3" s="1">
        <v>67.39</v>
      </c>
      <c r="F3" s="1">
        <v>62.83</v>
      </c>
      <c r="G3" s="1">
        <v>59.81</v>
      </c>
    </row>
    <row r="4" spans="1:7" x14ac:dyDescent="0.3">
      <c r="A4" s="1" t="s">
        <v>8</v>
      </c>
      <c r="B4" s="1">
        <v>45351.76</v>
      </c>
      <c r="C4" s="1">
        <v>43568.800000000003</v>
      </c>
      <c r="D4" s="1">
        <v>45123.35</v>
      </c>
      <c r="E4" s="1">
        <v>49995.69</v>
      </c>
      <c r="F4" s="1">
        <v>47442.86</v>
      </c>
      <c r="G4" s="1">
        <v>46589.68</v>
      </c>
    </row>
    <row r="5" spans="1:7" x14ac:dyDescent="0.3">
      <c r="A5" s="1" t="s">
        <v>9</v>
      </c>
      <c r="B5" s="1">
        <v>1511.15</v>
      </c>
      <c r="C5" s="1">
        <v>1553.07</v>
      </c>
      <c r="D5" s="1">
        <v>1124.8699999999999</v>
      </c>
      <c r="E5" s="1">
        <v>875.39</v>
      </c>
      <c r="F5" s="1">
        <v>859.34</v>
      </c>
      <c r="G5" s="1">
        <v>1193.8599999999999</v>
      </c>
    </row>
    <row r="6" spans="1:7" x14ac:dyDescent="0.3">
      <c r="A6" s="3" t="s">
        <v>10</v>
      </c>
      <c r="B6" s="3">
        <v>151.12</v>
      </c>
      <c r="C6" s="3">
        <v>156.88</v>
      </c>
      <c r="D6" s="3">
        <v>113.62</v>
      </c>
      <c r="E6" s="3">
        <v>88.42</v>
      </c>
      <c r="F6" s="3">
        <v>86.8</v>
      </c>
      <c r="G6" s="3">
        <v>121.82</v>
      </c>
    </row>
    <row r="7" spans="1:7" x14ac:dyDescent="0.3">
      <c r="A7" s="1" t="s">
        <v>11</v>
      </c>
      <c r="B7" s="1">
        <v>1488.56</v>
      </c>
      <c r="C7" s="1">
        <v>1533.73</v>
      </c>
      <c r="D7" s="1">
        <v>1105.96</v>
      </c>
      <c r="E7" s="1">
        <v>854.16</v>
      </c>
      <c r="F7" s="1">
        <v>837.65</v>
      </c>
      <c r="G7" s="1">
        <v>1172.1600000000001</v>
      </c>
    </row>
    <row r="8" spans="1:7" x14ac:dyDescent="0.3">
      <c r="A8" s="1" t="s">
        <v>12</v>
      </c>
      <c r="B8" s="1">
        <v>148.86000000000001</v>
      </c>
      <c r="C8" s="1">
        <v>154.91999999999999</v>
      </c>
      <c r="D8" s="1">
        <v>111.71</v>
      </c>
      <c r="E8" s="1">
        <v>86.28</v>
      </c>
      <c r="F8" s="1">
        <v>84.61</v>
      </c>
      <c r="G8" s="1">
        <v>119.61</v>
      </c>
    </row>
    <row r="9" spans="1:7" x14ac:dyDescent="0.3">
      <c r="A9" s="1" t="s">
        <v>13</v>
      </c>
      <c r="B9" s="1">
        <v>1488.56</v>
      </c>
      <c r="C9" s="1">
        <v>1533.73</v>
      </c>
      <c r="D9" s="1">
        <v>709.95</v>
      </c>
      <c r="E9" s="1">
        <v>-593.37</v>
      </c>
      <c r="F9" s="1">
        <v>569.72</v>
      </c>
      <c r="G9" s="1">
        <v>1172.1600000000001</v>
      </c>
    </row>
    <row r="10" spans="1:7" x14ac:dyDescent="0.3">
      <c r="A10" s="1" t="s">
        <v>14</v>
      </c>
      <c r="B10" s="1">
        <v>148.86000000000001</v>
      </c>
      <c r="C10" s="1">
        <v>154.91999999999999</v>
      </c>
      <c r="D10" s="1">
        <v>71.709999999999994</v>
      </c>
      <c r="E10" s="1">
        <v>-59.94</v>
      </c>
      <c r="F10" s="1">
        <v>57.55</v>
      </c>
      <c r="G10" s="1">
        <v>119.61</v>
      </c>
    </row>
    <row r="11" spans="1:7" x14ac:dyDescent="0.3">
      <c r="A11" s="1" t="s">
        <v>15</v>
      </c>
      <c r="B11" s="1">
        <v>1203.24</v>
      </c>
      <c r="C11" s="1">
        <v>1320.86</v>
      </c>
      <c r="D11" s="1">
        <v>273.74</v>
      </c>
      <c r="E11" s="1">
        <v>205.78</v>
      </c>
      <c r="F11" s="1">
        <v>297.08999999999997</v>
      </c>
      <c r="G11" s="1">
        <v>996.45</v>
      </c>
    </row>
    <row r="12" spans="1:7" x14ac:dyDescent="0.3">
      <c r="A12" s="1" t="s">
        <v>16</v>
      </c>
      <c r="B12" s="1">
        <v>388.84</v>
      </c>
      <c r="C12" s="1">
        <v>411.82</v>
      </c>
      <c r="D12" s="1">
        <v>396.8</v>
      </c>
      <c r="E12" s="1">
        <v>380.29</v>
      </c>
      <c r="F12" s="1">
        <v>337.16</v>
      </c>
      <c r="G12" s="1">
        <v>416.11</v>
      </c>
    </row>
    <row r="13" spans="1:7" x14ac:dyDescent="0.3">
      <c r="A13" s="1" t="s">
        <v>17</v>
      </c>
      <c r="B13" s="1">
        <v>55.65</v>
      </c>
      <c r="C13" s="1">
        <v>42.74</v>
      </c>
      <c r="D13" s="1">
        <v>54.49</v>
      </c>
      <c r="E13" s="1">
        <v>43.4</v>
      </c>
      <c r="F13" s="1">
        <v>61.37</v>
      </c>
      <c r="G13" s="1">
        <v>41.92</v>
      </c>
    </row>
    <row r="14" spans="1:7" x14ac:dyDescent="0.3">
      <c r="A14" s="1" t="s">
        <v>18</v>
      </c>
      <c r="B14" s="1">
        <v>105.03</v>
      </c>
      <c r="C14" s="1">
        <v>93.25</v>
      </c>
      <c r="D14" s="1">
        <v>102.39</v>
      </c>
      <c r="E14" s="1">
        <v>135.22999999999999</v>
      </c>
      <c r="F14" s="1">
        <v>132.71</v>
      </c>
      <c r="G14" s="1">
        <v>80.17</v>
      </c>
    </row>
    <row r="15" spans="1:7" x14ac:dyDescent="0.3">
      <c r="A15" s="1" t="s">
        <v>19</v>
      </c>
      <c r="B15" s="1">
        <v>5</v>
      </c>
      <c r="C15" s="1">
        <v>4</v>
      </c>
      <c r="D15" s="1">
        <v>3</v>
      </c>
      <c r="E15" s="1">
        <v>3</v>
      </c>
      <c r="F15" s="1">
        <v>2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1488.56</v>
      </c>
      <c r="C17" s="1">
        <v>1533.73</v>
      </c>
      <c r="D17" s="1">
        <v>907.96</v>
      </c>
      <c r="E17" s="1">
        <v>130.4</v>
      </c>
      <c r="F17" s="1">
        <v>703.69</v>
      </c>
      <c r="G17" s="1">
        <v>1172.1600000000001</v>
      </c>
    </row>
    <row r="18" spans="1:7" x14ac:dyDescent="0.3">
      <c r="A18" s="1" t="s">
        <v>22</v>
      </c>
      <c r="B18" s="1">
        <v>0</v>
      </c>
      <c r="C18" s="1">
        <v>0</v>
      </c>
      <c r="D18" s="1">
        <v>198</v>
      </c>
      <c r="E18" s="1">
        <v>723.76</v>
      </c>
      <c r="F18" s="1">
        <v>133.97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1</v>
      </c>
      <c r="E19" s="1">
        <v>1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3.3</v>
      </c>
      <c r="E20" s="1">
        <v>5.5</v>
      </c>
      <c r="F20" s="1">
        <v>2.6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6.7</v>
      </c>
      <c r="E21" s="1">
        <v>4.5</v>
      </c>
      <c r="F21" s="1">
        <v>7.4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3.2</v>
      </c>
      <c r="E24" s="1">
        <v>4.9000000000000004</v>
      </c>
      <c r="F24" s="1">
        <v>2.2000000000000002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1.5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6.8</v>
      </c>
      <c r="E26" s="1">
        <v>3.6</v>
      </c>
      <c r="F26" s="1">
        <v>7.8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32</v>
      </c>
      <c r="E29" s="3">
        <f t="shared" si="1"/>
        <v>49.000000000000007</v>
      </c>
      <c r="F29" s="3">
        <f t="shared" si="1"/>
        <v>22.000000000000004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15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68</v>
      </c>
      <c r="E31" s="3">
        <f t="shared" si="3"/>
        <v>36</v>
      </c>
      <c r="F31" s="3">
        <f t="shared" si="3"/>
        <v>78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147.87</v>
      </c>
      <c r="C33" s="3">
        <v>156.47999999999999</v>
      </c>
      <c r="D33" s="3">
        <v>33.729999999999997</v>
      </c>
      <c r="E33" s="3">
        <v>-30.73</v>
      </c>
      <c r="F33" s="3">
        <v>37.07</v>
      </c>
      <c r="G33" s="3">
        <v>120.37</v>
      </c>
    </row>
    <row r="35" spans="1:7" x14ac:dyDescent="0.3">
      <c r="A35" s="3" t="s">
        <v>36</v>
      </c>
      <c r="B35" s="3"/>
      <c r="C35" s="3"/>
      <c r="D35" s="3">
        <f>D33-C33</f>
        <v>-122.75</v>
      </c>
      <c r="E35" s="3"/>
      <c r="F35" s="3">
        <f>F33-E33</f>
        <v>67.8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-64.459999999999994</v>
      </c>
      <c r="F37" s="3"/>
      <c r="G37" s="3">
        <f>G33-F33</f>
        <v>83.300000000000011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3DF1-78ED-4382-A33F-BF9255FECE61}">
  <dimension ref="A1:G37"/>
  <sheetViews>
    <sheetView zoomScale="70" zoomScaleNormal="70" workbookViewId="0">
      <selection activeCell="J28" sqref="J28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788.36</v>
      </c>
      <c r="C2" s="1">
        <v>788.57</v>
      </c>
      <c r="D2" s="1">
        <v>815.15</v>
      </c>
      <c r="E2" s="1">
        <v>837.87</v>
      </c>
      <c r="F2" s="1">
        <v>816.9</v>
      </c>
      <c r="G2" s="1">
        <v>802.14</v>
      </c>
    </row>
    <row r="3" spans="1:7" x14ac:dyDescent="0.3">
      <c r="A3" s="1" t="s">
        <v>7</v>
      </c>
      <c r="B3" s="1">
        <v>68.52</v>
      </c>
      <c r="C3" s="1">
        <v>67.69</v>
      </c>
      <c r="D3" s="1">
        <v>71.44</v>
      </c>
      <c r="E3" s="1">
        <v>75.180000000000007</v>
      </c>
      <c r="F3" s="1">
        <v>73.33</v>
      </c>
      <c r="G3" s="1">
        <v>69.540000000000006</v>
      </c>
    </row>
    <row r="4" spans="1:7" x14ac:dyDescent="0.3">
      <c r="A4" s="1" t="s">
        <v>8</v>
      </c>
      <c r="B4" s="1">
        <v>54940.68</v>
      </c>
      <c r="C4" s="1">
        <v>54279.87</v>
      </c>
      <c r="D4" s="1">
        <v>59217.47</v>
      </c>
      <c r="E4" s="1">
        <v>64080.480000000003</v>
      </c>
      <c r="F4" s="1">
        <v>60906.8</v>
      </c>
      <c r="G4" s="1">
        <v>56716.38</v>
      </c>
    </row>
    <row r="5" spans="1:7" x14ac:dyDescent="0.3">
      <c r="A5" s="1" t="s">
        <v>9</v>
      </c>
      <c r="B5" s="1">
        <v>1302.8900000000001</v>
      </c>
      <c r="C5" s="1">
        <v>1480.94</v>
      </c>
      <c r="D5" s="1">
        <v>979.88</v>
      </c>
      <c r="E5" s="1">
        <v>994.42</v>
      </c>
      <c r="F5" s="1">
        <v>1101.4000000000001</v>
      </c>
      <c r="G5" s="1">
        <v>1280.67</v>
      </c>
    </row>
    <row r="6" spans="1:7" x14ac:dyDescent="0.3">
      <c r="A6" s="3" t="s">
        <v>10</v>
      </c>
      <c r="B6" s="3">
        <v>130.29</v>
      </c>
      <c r="C6" s="3">
        <v>149.59</v>
      </c>
      <c r="D6" s="3">
        <v>98.98</v>
      </c>
      <c r="E6" s="3">
        <v>100.45</v>
      </c>
      <c r="F6" s="3">
        <v>111.25</v>
      </c>
      <c r="G6" s="3">
        <v>130.68</v>
      </c>
    </row>
    <row r="7" spans="1:7" x14ac:dyDescent="0.3">
      <c r="A7" s="1" t="s">
        <v>11</v>
      </c>
      <c r="B7" s="1">
        <v>1232.6199999999999</v>
      </c>
      <c r="C7" s="1">
        <v>1428.22</v>
      </c>
      <c r="D7" s="1">
        <v>844.32</v>
      </c>
      <c r="E7" s="1">
        <v>758.3</v>
      </c>
      <c r="F7" s="1">
        <v>978.32</v>
      </c>
      <c r="G7" s="1">
        <v>1168.81</v>
      </c>
    </row>
    <row r="8" spans="1:7" x14ac:dyDescent="0.3">
      <c r="A8" s="1" t="s">
        <v>12</v>
      </c>
      <c r="B8" s="1">
        <v>123.26</v>
      </c>
      <c r="C8" s="1">
        <v>144.26</v>
      </c>
      <c r="D8" s="1">
        <v>85.28</v>
      </c>
      <c r="E8" s="1">
        <v>76.599999999999994</v>
      </c>
      <c r="F8" s="1">
        <v>98.82</v>
      </c>
      <c r="G8" s="1">
        <v>119.27</v>
      </c>
    </row>
    <row r="9" spans="1:7" x14ac:dyDescent="0.3">
      <c r="A9" s="1" t="s">
        <v>13</v>
      </c>
      <c r="B9" s="1">
        <v>1231.08</v>
      </c>
      <c r="C9" s="1">
        <v>1428.22</v>
      </c>
      <c r="D9" s="1">
        <v>839.13</v>
      </c>
      <c r="E9" s="1">
        <v>728.72</v>
      </c>
      <c r="F9" s="1">
        <v>724.68</v>
      </c>
      <c r="G9" s="1">
        <v>1168.81</v>
      </c>
    </row>
    <row r="10" spans="1:7" x14ac:dyDescent="0.3">
      <c r="A10" s="1" t="s">
        <v>14</v>
      </c>
      <c r="B10" s="1">
        <v>123.11</v>
      </c>
      <c r="C10" s="1">
        <v>144.26</v>
      </c>
      <c r="D10" s="1">
        <v>84.76</v>
      </c>
      <c r="E10" s="1">
        <v>73.61</v>
      </c>
      <c r="F10" s="1">
        <v>73.2</v>
      </c>
      <c r="G10" s="1">
        <v>119.27</v>
      </c>
    </row>
    <row r="11" spans="1:7" x14ac:dyDescent="0.3">
      <c r="A11" s="1" t="s">
        <v>15</v>
      </c>
      <c r="B11" s="1">
        <v>850.62</v>
      </c>
      <c r="C11" s="1">
        <v>833.5</v>
      </c>
      <c r="D11" s="1">
        <v>555.27</v>
      </c>
      <c r="E11" s="1">
        <v>356.75</v>
      </c>
      <c r="F11" s="1">
        <v>325.06</v>
      </c>
      <c r="G11" s="1">
        <v>721.45</v>
      </c>
    </row>
    <row r="12" spans="1:7" x14ac:dyDescent="0.3">
      <c r="A12" s="1" t="s">
        <v>16</v>
      </c>
      <c r="B12" s="1">
        <v>406.42</v>
      </c>
      <c r="C12" s="1">
        <v>394.46</v>
      </c>
      <c r="D12" s="1">
        <v>417.49</v>
      </c>
      <c r="E12" s="1">
        <v>429.82</v>
      </c>
      <c r="F12" s="1">
        <v>436.66</v>
      </c>
      <c r="G12" s="1">
        <v>426.32</v>
      </c>
    </row>
    <row r="13" spans="1:7" x14ac:dyDescent="0.3">
      <c r="A13" s="1" t="s">
        <v>17</v>
      </c>
      <c r="B13" s="1">
        <v>52.61</v>
      </c>
      <c r="C13" s="1">
        <v>61.16</v>
      </c>
      <c r="D13" s="1">
        <v>38.96</v>
      </c>
      <c r="E13" s="1">
        <v>50.73</v>
      </c>
      <c r="F13" s="1">
        <v>44.35</v>
      </c>
      <c r="G13" s="1">
        <v>50.32</v>
      </c>
    </row>
    <row r="14" spans="1:7" x14ac:dyDescent="0.3">
      <c r="A14" s="1" t="s">
        <v>18</v>
      </c>
      <c r="B14" s="1">
        <v>145.13999999999999</v>
      </c>
      <c r="C14" s="1">
        <v>133.41</v>
      </c>
      <c r="D14" s="1">
        <v>82.25</v>
      </c>
      <c r="E14" s="1">
        <v>127.86</v>
      </c>
      <c r="F14" s="1">
        <v>134.44999999999999</v>
      </c>
      <c r="G14" s="1">
        <v>121.12</v>
      </c>
    </row>
    <row r="15" spans="1:7" x14ac:dyDescent="0.3">
      <c r="A15" s="1" t="s">
        <v>19</v>
      </c>
      <c r="B15" s="1">
        <v>4</v>
      </c>
      <c r="C15" s="1">
        <v>5</v>
      </c>
      <c r="D15" s="1">
        <v>3</v>
      </c>
      <c r="E15" s="1">
        <v>1</v>
      </c>
      <c r="F15" s="1">
        <v>2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1231.8499999999999</v>
      </c>
      <c r="C17" s="1">
        <v>1428.22</v>
      </c>
      <c r="D17" s="1">
        <v>841.72</v>
      </c>
      <c r="E17" s="1">
        <v>743.51</v>
      </c>
      <c r="F17" s="1">
        <v>851.5</v>
      </c>
      <c r="G17" s="1">
        <v>1168.81</v>
      </c>
    </row>
    <row r="18" spans="1:7" x14ac:dyDescent="0.3">
      <c r="A18" s="1" t="s">
        <v>22</v>
      </c>
      <c r="B18" s="1">
        <v>0.77</v>
      </c>
      <c r="C18" s="1">
        <v>0</v>
      </c>
      <c r="D18" s="1">
        <v>2.59</v>
      </c>
      <c r="E18" s="1">
        <v>14.79</v>
      </c>
      <c r="F18" s="1">
        <v>126.82</v>
      </c>
      <c r="G18" s="1">
        <v>0</v>
      </c>
    </row>
    <row r="19" spans="1:7" x14ac:dyDescent="0.3">
      <c r="A19" s="1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2.1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10</v>
      </c>
      <c r="E21" s="1">
        <v>10</v>
      </c>
      <c r="F21" s="1">
        <v>7.9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2.9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10</v>
      </c>
      <c r="E26" s="1">
        <v>10</v>
      </c>
      <c r="F26" s="1">
        <v>7.1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28.999999999999996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100</v>
      </c>
      <c r="E31" s="3">
        <f t="shared" si="3"/>
        <v>100</v>
      </c>
      <c r="F31" s="3">
        <f t="shared" si="3"/>
        <v>71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127.86</v>
      </c>
      <c r="C33" s="3">
        <v>146.79</v>
      </c>
      <c r="D33" s="3">
        <v>97.58</v>
      </c>
      <c r="E33" s="3">
        <v>93.78</v>
      </c>
      <c r="F33" s="3">
        <v>59.24</v>
      </c>
      <c r="G33" s="3">
        <v>128.51</v>
      </c>
    </row>
    <row r="35" spans="1:7" x14ac:dyDescent="0.3">
      <c r="A35" s="3" t="s">
        <v>36</v>
      </c>
      <c r="B35" s="3"/>
      <c r="C35" s="3"/>
      <c r="D35" s="3">
        <f>D33-C33</f>
        <v>-49.209999999999994</v>
      </c>
      <c r="E35" s="3"/>
      <c r="F35" s="3">
        <f>F33-E33</f>
        <v>-34.54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-3.7999999999999972</v>
      </c>
      <c r="F37" s="3"/>
      <c r="G37" s="3">
        <f>G33-F33</f>
        <v>69.269999999999982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97A3-0566-4541-8733-2455B4E546AE}">
  <dimension ref="A1:G37"/>
  <sheetViews>
    <sheetView tabSelected="1"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780.18</v>
      </c>
      <c r="C2" s="1">
        <v>759.04</v>
      </c>
      <c r="D2" s="1">
        <v>729.8</v>
      </c>
      <c r="E2" s="1">
        <v>698.26</v>
      </c>
      <c r="F2" s="1">
        <v>767.29</v>
      </c>
      <c r="G2" s="1">
        <v>779.43</v>
      </c>
    </row>
    <row r="3" spans="1:7" x14ac:dyDescent="0.3">
      <c r="A3" s="1" t="s">
        <v>7</v>
      </c>
      <c r="B3" s="1">
        <v>62.41</v>
      </c>
      <c r="C3" s="1">
        <v>64.849999999999994</v>
      </c>
      <c r="D3" s="1">
        <v>68.63</v>
      </c>
      <c r="E3" s="1">
        <v>68.92</v>
      </c>
      <c r="F3" s="1">
        <v>67.98</v>
      </c>
      <c r="G3" s="1">
        <v>65.14</v>
      </c>
    </row>
    <row r="4" spans="1:7" x14ac:dyDescent="0.3">
      <c r="A4" s="1" t="s">
        <v>8</v>
      </c>
      <c r="B4" s="1">
        <v>49461.39</v>
      </c>
      <c r="C4" s="1">
        <v>49997.11</v>
      </c>
      <c r="D4" s="1">
        <v>50882.15</v>
      </c>
      <c r="E4" s="1">
        <v>48934.97</v>
      </c>
      <c r="F4" s="1">
        <v>52907.72</v>
      </c>
      <c r="G4" s="1">
        <v>51588.93</v>
      </c>
    </row>
    <row r="5" spans="1:7" x14ac:dyDescent="0.3">
      <c r="A5" s="1" t="s">
        <v>9</v>
      </c>
      <c r="B5" s="1">
        <v>1137.1300000000001</v>
      </c>
      <c r="C5" s="1">
        <v>1177.3800000000001</v>
      </c>
      <c r="D5" s="1">
        <v>1450.49</v>
      </c>
      <c r="E5" s="1">
        <v>670.23</v>
      </c>
      <c r="F5" s="1">
        <v>856.31</v>
      </c>
      <c r="G5" s="1">
        <v>1189.6600000000001</v>
      </c>
    </row>
    <row r="6" spans="1:7" x14ac:dyDescent="0.3">
      <c r="A6" s="3" t="s">
        <v>10</v>
      </c>
      <c r="B6" s="3">
        <v>113.71</v>
      </c>
      <c r="C6" s="3">
        <v>118.93</v>
      </c>
      <c r="D6" s="3">
        <v>146.51</v>
      </c>
      <c r="E6" s="3">
        <v>67.7</v>
      </c>
      <c r="F6" s="3">
        <v>86.5</v>
      </c>
      <c r="G6" s="3">
        <v>121.39</v>
      </c>
    </row>
    <row r="7" spans="1:7" x14ac:dyDescent="0.3">
      <c r="A7" s="1" t="s">
        <v>11</v>
      </c>
      <c r="B7" s="1">
        <v>1055.47</v>
      </c>
      <c r="C7" s="1">
        <v>1013.76</v>
      </c>
      <c r="D7" s="1">
        <v>1339.61</v>
      </c>
      <c r="E7" s="1">
        <v>606.52</v>
      </c>
      <c r="F7" s="1">
        <v>761.98</v>
      </c>
      <c r="G7" s="1">
        <v>885.92</v>
      </c>
    </row>
    <row r="8" spans="1:7" x14ac:dyDescent="0.3">
      <c r="A8" s="1" t="s">
        <v>12</v>
      </c>
      <c r="B8" s="1">
        <v>105.55</v>
      </c>
      <c r="C8" s="1">
        <v>102.4</v>
      </c>
      <c r="D8" s="1">
        <v>135.31</v>
      </c>
      <c r="E8" s="1">
        <v>61.26</v>
      </c>
      <c r="F8" s="1">
        <v>76.97</v>
      </c>
      <c r="G8" s="1">
        <v>90.4</v>
      </c>
    </row>
    <row r="9" spans="1:7" x14ac:dyDescent="0.3">
      <c r="A9" s="1" t="s">
        <v>13</v>
      </c>
      <c r="B9" s="1">
        <v>1047.83</v>
      </c>
      <c r="C9" s="1">
        <v>898.39</v>
      </c>
      <c r="D9" s="1">
        <v>-1300.67</v>
      </c>
      <c r="E9" s="1">
        <v>273.01</v>
      </c>
      <c r="F9" s="1">
        <v>541.75</v>
      </c>
      <c r="G9" s="1">
        <v>866.35</v>
      </c>
    </row>
    <row r="10" spans="1:7" x14ac:dyDescent="0.3">
      <c r="A10" s="1" t="s">
        <v>14</v>
      </c>
      <c r="B10" s="1">
        <v>104.78</v>
      </c>
      <c r="C10" s="1">
        <v>90.75</v>
      </c>
      <c r="D10" s="1">
        <v>-131.38</v>
      </c>
      <c r="E10" s="1">
        <v>27.58</v>
      </c>
      <c r="F10" s="1">
        <v>54.72</v>
      </c>
      <c r="G10" s="1">
        <v>88.4</v>
      </c>
    </row>
    <row r="11" spans="1:7" x14ac:dyDescent="0.3">
      <c r="A11" s="1" t="s">
        <v>15</v>
      </c>
      <c r="B11" s="1">
        <v>608.32000000000005</v>
      </c>
      <c r="C11" s="1">
        <v>528.15</v>
      </c>
      <c r="D11" s="1">
        <v>305.18</v>
      </c>
      <c r="E11" s="1">
        <v>160.9</v>
      </c>
      <c r="F11" s="1">
        <v>240.86</v>
      </c>
      <c r="G11" s="1">
        <v>539.84</v>
      </c>
    </row>
    <row r="12" spans="1:7" x14ac:dyDescent="0.3">
      <c r="A12" s="1" t="s">
        <v>16</v>
      </c>
      <c r="B12" s="1">
        <v>405.22</v>
      </c>
      <c r="C12" s="1">
        <v>367.05</v>
      </c>
      <c r="D12" s="1">
        <v>285.60000000000002</v>
      </c>
      <c r="E12" s="1">
        <v>277.55</v>
      </c>
      <c r="F12" s="1">
        <v>396.98</v>
      </c>
      <c r="G12" s="1">
        <v>451.19</v>
      </c>
    </row>
    <row r="13" spans="1:7" x14ac:dyDescent="0.3">
      <c r="A13" s="1" t="s">
        <v>17</v>
      </c>
      <c r="B13" s="1">
        <v>70.23</v>
      </c>
      <c r="C13" s="1">
        <v>69.03</v>
      </c>
      <c r="D13" s="1">
        <v>79</v>
      </c>
      <c r="E13" s="1">
        <v>55.15</v>
      </c>
      <c r="F13" s="1">
        <v>49.47</v>
      </c>
      <c r="G13" s="1">
        <v>34.049999999999997</v>
      </c>
    </row>
    <row r="14" spans="1:7" x14ac:dyDescent="0.3">
      <c r="A14" s="1" t="s">
        <v>18</v>
      </c>
      <c r="B14" s="1">
        <v>146.16</v>
      </c>
      <c r="C14" s="1">
        <v>157.09</v>
      </c>
      <c r="D14" s="1">
        <v>144.1</v>
      </c>
      <c r="E14" s="1">
        <v>116.92</v>
      </c>
      <c r="F14" s="1">
        <v>111.81</v>
      </c>
      <c r="G14" s="1">
        <v>72.92</v>
      </c>
    </row>
    <row r="15" spans="1:7" x14ac:dyDescent="0.3">
      <c r="A15" s="1" t="s">
        <v>19</v>
      </c>
      <c r="B15" s="1">
        <v>4</v>
      </c>
      <c r="C15" s="1">
        <v>4</v>
      </c>
      <c r="D15" s="1">
        <v>4</v>
      </c>
      <c r="E15" s="1">
        <v>4</v>
      </c>
      <c r="F15" s="1">
        <v>2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1051.6500000000001</v>
      </c>
      <c r="C17" s="1">
        <v>956.07</v>
      </c>
      <c r="D17" s="1">
        <v>19.47</v>
      </c>
      <c r="E17" s="1">
        <v>439.77</v>
      </c>
      <c r="F17" s="1">
        <v>651.87</v>
      </c>
      <c r="G17" s="1">
        <v>876.14</v>
      </c>
    </row>
    <row r="18" spans="1:7" x14ac:dyDescent="0.3">
      <c r="A18" s="1" t="s">
        <v>22</v>
      </c>
      <c r="B18" s="1">
        <v>3.82</v>
      </c>
      <c r="C18" s="1">
        <v>57.69</v>
      </c>
      <c r="D18" s="1">
        <v>1320.14</v>
      </c>
      <c r="E18" s="1">
        <v>166.75</v>
      </c>
      <c r="F18" s="1">
        <v>110.12</v>
      </c>
      <c r="G18" s="1">
        <v>9.7899999999999991</v>
      </c>
    </row>
    <row r="19" spans="1:7" x14ac:dyDescent="0.3">
      <c r="A19" s="1" t="s">
        <v>23</v>
      </c>
      <c r="B19" s="1">
        <v>0</v>
      </c>
      <c r="C19" s="1">
        <v>0</v>
      </c>
      <c r="D19" s="1">
        <v>2</v>
      </c>
      <c r="E19" s="1">
        <v>2</v>
      </c>
      <c r="F19" s="1">
        <v>1</v>
      </c>
      <c r="G19" s="1">
        <v>0</v>
      </c>
    </row>
    <row r="20" spans="1:7" x14ac:dyDescent="0.3">
      <c r="A20" s="1" t="s">
        <v>24</v>
      </c>
      <c r="B20" s="1">
        <v>0</v>
      </c>
      <c r="C20" s="1">
        <v>0</v>
      </c>
      <c r="D20" s="1">
        <v>9.6999999999999993</v>
      </c>
      <c r="E20" s="1">
        <v>3.5</v>
      </c>
      <c r="F20" s="1">
        <v>1.3</v>
      </c>
      <c r="G20" s="1">
        <v>0</v>
      </c>
    </row>
    <row r="21" spans="1:7" x14ac:dyDescent="0.3">
      <c r="A21" s="1" t="s">
        <v>25</v>
      </c>
      <c r="B21" s="1">
        <v>10.1</v>
      </c>
      <c r="C21" s="1">
        <v>10</v>
      </c>
      <c r="D21" s="1">
        <v>0.3</v>
      </c>
      <c r="E21" s="1">
        <v>6.5</v>
      </c>
      <c r="F21" s="1">
        <v>8.6999999999999993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7.8</v>
      </c>
      <c r="E24" s="1">
        <v>0</v>
      </c>
      <c r="F24" s="1">
        <v>1.2</v>
      </c>
      <c r="G24" s="1">
        <v>0</v>
      </c>
    </row>
    <row r="25" spans="1:7" x14ac:dyDescent="0.3">
      <c r="A25" s="1" t="s">
        <v>29</v>
      </c>
      <c r="B25" s="1">
        <v>0</v>
      </c>
      <c r="C25" s="1">
        <v>0</v>
      </c>
      <c r="D25" s="1">
        <v>2.2000000000000002</v>
      </c>
      <c r="E25" s="1">
        <v>7.5</v>
      </c>
      <c r="F25" s="1">
        <v>1.9</v>
      </c>
      <c r="G25" s="1">
        <v>0</v>
      </c>
    </row>
    <row r="26" spans="1:7" x14ac:dyDescent="0.3">
      <c r="A26" s="1" t="s">
        <v>30</v>
      </c>
      <c r="B26" s="1">
        <v>10.1</v>
      </c>
      <c r="C26" s="1">
        <v>10</v>
      </c>
      <c r="D26" s="1">
        <v>0</v>
      </c>
      <c r="E26" s="1">
        <v>2.5</v>
      </c>
      <c r="F26" s="1">
        <v>6.9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78</v>
      </c>
      <c r="E29" s="3">
        <f t="shared" si="1"/>
        <v>0</v>
      </c>
      <c r="F29" s="3">
        <f t="shared" si="1"/>
        <v>12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0</v>
      </c>
      <c r="C30" s="3">
        <f t="shared" ref="C30:G30" si="2">C25/C28*100</f>
        <v>0</v>
      </c>
      <c r="D30" s="3">
        <f t="shared" si="2"/>
        <v>22.000000000000004</v>
      </c>
      <c r="E30" s="3">
        <f t="shared" si="2"/>
        <v>75</v>
      </c>
      <c r="F30" s="3">
        <f t="shared" si="2"/>
        <v>19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100</v>
      </c>
      <c r="C31" s="3">
        <f t="shared" ref="C31:G31" si="3">C26/C28*100</f>
        <v>100</v>
      </c>
      <c r="D31" s="3">
        <f t="shared" si="3"/>
        <v>0</v>
      </c>
      <c r="E31" s="3">
        <f t="shared" si="3"/>
        <v>25</v>
      </c>
      <c r="F31" s="3">
        <f t="shared" si="3"/>
        <v>69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111.17</v>
      </c>
      <c r="C33" s="3">
        <v>84.66</v>
      </c>
      <c r="D33" s="3">
        <v>-136.24</v>
      </c>
      <c r="E33" s="3">
        <v>29.04</v>
      </c>
      <c r="F33" s="3">
        <v>50.78</v>
      </c>
      <c r="G33" s="3">
        <v>101.11</v>
      </c>
    </row>
    <row r="35" spans="1:7" x14ac:dyDescent="0.3">
      <c r="A35" s="3" t="s">
        <v>36</v>
      </c>
      <c r="B35" s="3"/>
      <c r="C35" s="3"/>
      <c r="D35" s="3">
        <f>D33-C33</f>
        <v>-220.9</v>
      </c>
      <c r="E35" s="3"/>
      <c r="F35" s="3">
        <f>F33-E33</f>
        <v>21.740000000000002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165.28</v>
      </c>
      <c r="F37" s="3"/>
      <c r="G37" s="3">
        <f>G33-F33</f>
        <v>50.33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50F4-FD18-46CF-BE94-8F18C98783E7}">
  <dimension ref="A1:G37"/>
  <sheetViews>
    <sheetView zoomScale="70" zoomScaleNormal="70" workbookViewId="0">
      <selection activeCell="I29" sqref="I29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240508Bwt001.1</vt:lpstr>
      <vt:lpstr>240508Bwt001.2</vt:lpstr>
      <vt:lpstr>240508Bwt001.3</vt:lpstr>
      <vt:lpstr>240508Bwt002.1</vt:lpstr>
      <vt:lpstr>240508Bwt002.2</vt:lpstr>
      <vt:lpstr>240508Bwt002.3</vt:lpstr>
      <vt:lpstr>240508Bwt003.2</vt:lpstr>
      <vt:lpstr>240508Bwt003.3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2024-06-18T16:10:29Z</dcterms:created>
  <dcterms:modified xsi:type="dcterms:W3CDTF">2024-06-18T21:42:17Z</dcterms:modified>
</cp:coreProperties>
</file>