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08\WormLab Data\"/>
    </mc:Choice>
  </mc:AlternateContent>
  <xr:revisionPtr revIDLastSave="0" documentId="13_ncr:1_{62C72D6A-8C8E-4BDD-B9BA-B8CA2577BB28}" xr6:coauthVersionLast="47" xr6:coauthVersionMax="47" xr10:uidLastSave="{00000000-0000-0000-0000-000000000000}"/>
  <bookViews>
    <workbookView xWindow="732" yWindow="732" windowWidth="21036" windowHeight="11256" firstSheet="1" activeTab="5" xr2:uid="{0EC94A37-41F0-4A52-920C-B452C5C89CA2}"/>
  </bookViews>
  <sheets>
    <sheet name="240608Bwt001.2" sheetId="2" r:id="rId1"/>
    <sheet name="240608Bwt002.1" sheetId="3" r:id="rId2"/>
    <sheet name="240608Bwt002.2" sheetId="4" r:id="rId3"/>
    <sheet name="240608Bwt002.3" sheetId="5" r:id="rId4"/>
    <sheet name="240608Bwt003.2" sheetId="6" r:id="rId5"/>
    <sheet name="240608Bwt003.3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E31" i="6"/>
  <c r="C31" i="6"/>
  <c r="B31" i="6"/>
  <c r="E30" i="6"/>
  <c r="D30" i="6"/>
  <c r="C30" i="6"/>
  <c r="B30" i="6"/>
  <c r="E29" i="6"/>
  <c r="D29" i="6"/>
  <c r="G28" i="6"/>
  <c r="G31" i="6" s="1"/>
  <c r="F28" i="6"/>
  <c r="F31" i="6" s="1"/>
  <c r="E28" i="6"/>
  <c r="D28" i="6"/>
  <c r="D31" i="6" s="1"/>
  <c r="C28" i="6"/>
  <c r="C29" i="6" s="1"/>
  <c r="B28" i="6"/>
  <c r="B29" i="6" s="1"/>
  <c r="G37" i="5"/>
  <c r="E37" i="5"/>
  <c r="C37" i="5"/>
  <c r="F35" i="5"/>
  <c r="D35" i="5"/>
  <c r="G31" i="5"/>
  <c r="F31" i="5"/>
  <c r="D31" i="5"/>
  <c r="C31" i="5"/>
  <c r="G28" i="5"/>
  <c r="G30" i="5" s="1"/>
  <c r="F28" i="5"/>
  <c r="F30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G28" i="4"/>
  <c r="G31" i="4" s="1"/>
  <c r="F28" i="4"/>
  <c r="F31" i="4" s="1"/>
  <c r="E28" i="4"/>
  <c r="D28" i="4"/>
  <c r="C28" i="4"/>
  <c r="B28" i="4"/>
  <c r="B29" i="4" s="1"/>
  <c r="G37" i="3"/>
  <c r="E37" i="3"/>
  <c r="C37" i="3"/>
  <c r="F35" i="3"/>
  <c r="D35" i="3"/>
  <c r="F31" i="3"/>
  <c r="E31" i="3"/>
  <c r="D31" i="3"/>
  <c r="C31" i="3"/>
  <c r="B31" i="3"/>
  <c r="F30" i="3"/>
  <c r="E30" i="3"/>
  <c r="D30" i="3"/>
  <c r="C30" i="3"/>
  <c r="B30" i="3"/>
  <c r="F29" i="3"/>
  <c r="G28" i="3"/>
  <c r="G31" i="3" s="1"/>
  <c r="F28" i="3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E31" i="2"/>
  <c r="C31" i="2"/>
  <c r="B31" i="2"/>
  <c r="G30" i="2"/>
  <c r="E30" i="2"/>
  <c r="C30" i="2"/>
  <c r="B30" i="2"/>
  <c r="G28" i="2"/>
  <c r="G29" i="2" s="1"/>
  <c r="F28" i="2"/>
  <c r="F29" i="2" s="1"/>
  <c r="E28" i="2"/>
  <c r="E29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D30" i="1"/>
  <c r="B30" i="1"/>
  <c r="B29" i="1"/>
  <c r="G28" i="1"/>
  <c r="G30" i="1" s="1"/>
  <c r="F28" i="1"/>
  <c r="F30" i="1" s="1"/>
  <c r="E28" i="1"/>
  <c r="E30" i="1" s="1"/>
  <c r="D28" i="1"/>
  <c r="D29" i="1" s="1"/>
  <c r="C28" i="1"/>
  <c r="C29" i="1" s="1"/>
  <c r="B28" i="1"/>
  <c r="B31" i="1" s="1"/>
  <c r="F29" i="6" l="1"/>
  <c r="G29" i="6"/>
  <c r="F30" i="6"/>
  <c r="G30" i="6"/>
  <c r="E29" i="5"/>
  <c r="F29" i="5"/>
  <c r="G29" i="5"/>
  <c r="B30" i="5"/>
  <c r="C30" i="5"/>
  <c r="D30" i="5"/>
  <c r="E30" i="5"/>
  <c r="B31" i="5"/>
  <c r="G29" i="3"/>
  <c r="G30" i="3"/>
  <c r="G31" i="2"/>
  <c r="D30" i="2"/>
  <c r="F30" i="2"/>
  <c r="D31" i="2"/>
  <c r="F31" i="2"/>
  <c r="E29" i="1"/>
  <c r="F29" i="1"/>
  <c r="G29" i="1"/>
  <c r="C30" i="1"/>
  <c r="C31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<sst xmlns="http://schemas.openxmlformats.org/spreadsheetml/2006/main" count="266" uniqueCount="37">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</sst>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6C99-8792-447A-9447-D0D7E5E716BC}">
  <dimension ref="A1:G37"/>
  <sheetViews>
    <sheetView zoomScale="70" zoomScaleNormal="70" workbookViewId="0">
      <selection activeCell="L9" sqref="L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880.35</v>
      </c>
      <c r="C2" s="1">
        <v>856.31</v>
      </c>
      <c r="D2" s="1">
        <v>875.03</v>
      </c>
      <c r="E2" s="1">
        <v>830.71</v>
      </c>
      <c r="F2" s="1">
        <v>839.87</v>
      </c>
      <c r="G2" s="1">
        <v>855.96</v>
      </c>
    </row>
    <row r="3" spans="1:7" x14ac:dyDescent="0.3">
      <c r="A3" s="1" t="s">
        <v>7</v>
      </c>
      <c r="B3" s="1">
        <v>73.16</v>
      </c>
      <c r="C3" s="1">
        <v>71.3</v>
      </c>
      <c r="D3" s="1">
        <v>71.77</v>
      </c>
      <c r="E3" s="1">
        <v>74.84</v>
      </c>
      <c r="F3" s="1">
        <v>74.52</v>
      </c>
      <c r="G3" s="1">
        <v>75.89</v>
      </c>
    </row>
    <row r="4" spans="1:7" x14ac:dyDescent="0.3">
      <c r="A4" s="1" t="s">
        <v>8</v>
      </c>
      <c r="B4" s="1">
        <v>65495.76</v>
      </c>
      <c r="C4" s="1">
        <v>62085.49</v>
      </c>
      <c r="D4" s="1">
        <v>63862.12</v>
      </c>
      <c r="E4" s="1">
        <v>63055.12</v>
      </c>
      <c r="F4" s="1">
        <v>63605.97</v>
      </c>
      <c r="G4" s="1">
        <v>66000.11</v>
      </c>
    </row>
    <row r="5" spans="1:7" x14ac:dyDescent="0.3">
      <c r="A5" s="1" t="s">
        <v>9</v>
      </c>
      <c r="B5" s="1">
        <v>756.72</v>
      </c>
      <c r="C5" s="1">
        <v>716.4</v>
      </c>
      <c r="D5" s="1">
        <v>610.66999999999996</v>
      </c>
      <c r="E5" s="1">
        <v>673.51</v>
      </c>
      <c r="F5" s="1">
        <v>883.69</v>
      </c>
      <c r="G5" s="1">
        <v>880.32</v>
      </c>
    </row>
    <row r="6" spans="1:7" x14ac:dyDescent="0.3">
      <c r="A6" s="3" t="s">
        <v>10</v>
      </c>
      <c r="B6" s="3">
        <v>75.67</v>
      </c>
      <c r="C6" s="3">
        <v>72.36</v>
      </c>
      <c r="D6" s="3">
        <v>61.68</v>
      </c>
      <c r="E6" s="3">
        <v>68.03</v>
      </c>
      <c r="F6" s="3">
        <v>89.26</v>
      </c>
      <c r="G6" s="3">
        <v>89.83</v>
      </c>
    </row>
    <row r="7" spans="1:7" x14ac:dyDescent="0.3">
      <c r="A7" s="1" t="s">
        <v>11</v>
      </c>
      <c r="B7" s="1">
        <v>554.62</v>
      </c>
      <c r="C7" s="1">
        <v>481.49</v>
      </c>
      <c r="D7" s="1">
        <v>365.37</v>
      </c>
      <c r="E7" s="1">
        <v>573.75</v>
      </c>
      <c r="F7" s="1">
        <v>819.44</v>
      </c>
      <c r="G7" s="1">
        <v>654.21</v>
      </c>
    </row>
    <row r="8" spans="1:7" x14ac:dyDescent="0.3">
      <c r="A8" s="1" t="s">
        <v>12</v>
      </c>
      <c r="B8" s="1">
        <v>55.46</v>
      </c>
      <c r="C8" s="1">
        <v>48.64</v>
      </c>
      <c r="D8" s="1">
        <v>36.909999999999997</v>
      </c>
      <c r="E8" s="1">
        <v>57.95</v>
      </c>
      <c r="F8" s="1">
        <v>82.77</v>
      </c>
      <c r="G8" s="1">
        <v>66.760000000000005</v>
      </c>
    </row>
    <row r="9" spans="1:7" x14ac:dyDescent="0.3">
      <c r="A9" s="1" t="s">
        <v>13</v>
      </c>
      <c r="B9" s="1">
        <v>436.81</v>
      </c>
      <c r="C9" s="1">
        <v>384.68</v>
      </c>
      <c r="D9" s="1">
        <v>340.54</v>
      </c>
      <c r="E9" s="1">
        <v>527.1</v>
      </c>
      <c r="F9" s="1">
        <v>-468.94</v>
      </c>
      <c r="G9" s="1">
        <v>561.13</v>
      </c>
    </row>
    <row r="10" spans="1:7" x14ac:dyDescent="0.3">
      <c r="A10" s="1" t="s">
        <v>14</v>
      </c>
      <c r="B10" s="1">
        <v>43.68</v>
      </c>
      <c r="C10" s="1">
        <v>38.86</v>
      </c>
      <c r="D10" s="1">
        <v>34.4</v>
      </c>
      <c r="E10" s="1">
        <v>53.24</v>
      </c>
      <c r="F10" s="1">
        <v>-47.37</v>
      </c>
      <c r="G10" s="1">
        <v>57.26</v>
      </c>
    </row>
    <row r="11" spans="1:7" x14ac:dyDescent="0.3">
      <c r="A11" s="1" t="s">
        <v>15</v>
      </c>
      <c r="B11" s="1">
        <v>246.16</v>
      </c>
      <c r="C11" s="1">
        <v>198.2</v>
      </c>
      <c r="D11" s="1">
        <v>153.82</v>
      </c>
      <c r="E11" s="1">
        <v>198.48</v>
      </c>
      <c r="F11" s="1">
        <v>184.99</v>
      </c>
      <c r="G11" s="1">
        <v>287.12</v>
      </c>
    </row>
    <row r="12" spans="1:7" x14ac:dyDescent="0.3">
      <c r="A12" s="1" t="s">
        <v>16</v>
      </c>
      <c r="B12" s="1">
        <v>432.01</v>
      </c>
      <c r="C12" s="1">
        <v>452.11</v>
      </c>
      <c r="D12" s="1">
        <v>469.45</v>
      </c>
      <c r="E12" s="1">
        <v>397.44</v>
      </c>
      <c r="F12" s="1">
        <v>371.27</v>
      </c>
      <c r="G12" s="1">
        <v>440.62</v>
      </c>
    </row>
    <row r="13" spans="1:7" x14ac:dyDescent="0.3">
      <c r="A13" s="1" t="s">
        <v>17</v>
      </c>
      <c r="B13" s="1">
        <v>39.35</v>
      </c>
      <c r="C13" s="1">
        <v>34.29</v>
      </c>
      <c r="D13" s="1">
        <v>33.96</v>
      </c>
      <c r="E13" s="1">
        <v>61.81</v>
      </c>
      <c r="F13" s="1">
        <v>57.31</v>
      </c>
      <c r="G13" s="1">
        <v>32.86</v>
      </c>
    </row>
    <row r="14" spans="1:7" x14ac:dyDescent="0.3">
      <c r="A14" s="1" t="s">
        <v>18</v>
      </c>
      <c r="B14" s="1">
        <v>103.03</v>
      </c>
      <c r="C14" s="1">
        <v>67.52</v>
      </c>
      <c r="D14" s="1">
        <v>80.87</v>
      </c>
      <c r="E14" s="1">
        <v>158.31</v>
      </c>
      <c r="F14" s="1">
        <v>136.87</v>
      </c>
      <c r="G14" s="1">
        <v>79.319999999999993</v>
      </c>
    </row>
    <row r="15" spans="1:7" x14ac:dyDescent="0.3">
      <c r="A15" s="1" t="s">
        <v>19</v>
      </c>
      <c r="B15" s="1">
        <v>4</v>
      </c>
      <c r="C15" s="1">
        <v>1</v>
      </c>
      <c r="D15" s="1">
        <v>1</v>
      </c>
      <c r="E15" s="1">
        <v>2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495.71</v>
      </c>
      <c r="C17" s="1">
        <v>433.08</v>
      </c>
      <c r="D17" s="1">
        <v>352.95</v>
      </c>
      <c r="E17" s="1">
        <v>550.42999999999995</v>
      </c>
      <c r="F17" s="1">
        <v>175.25</v>
      </c>
      <c r="G17" s="1">
        <v>607.66999999999996</v>
      </c>
    </row>
    <row r="18" spans="1:7" x14ac:dyDescent="0.3">
      <c r="A18" s="1" t="s">
        <v>22</v>
      </c>
      <c r="B18" s="1">
        <v>58.9</v>
      </c>
      <c r="C18" s="1">
        <v>48.41</v>
      </c>
      <c r="D18" s="1">
        <v>12.42</v>
      </c>
      <c r="E18" s="1">
        <v>23.32</v>
      </c>
      <c r="F18" s="1">
        <v>644.19000000000005</v>
      </c>
      <c r="G18" s="1">
        <v>46.54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1.1000000000000001</v>
      </c>
      <c r="C20" s="1">
        <v>2.1</v>
      </c>
      <c r="D20" s="1">
        <v>0</v>
      </c>
      <c r="E20" s="1">
        <v>0</v>
      </c>
      <c r="F20" s="1">
        <v>3.8</v>
      </c>
      <c r="G20" s="1">
        <v>0</v>
      </c>
    </row>
    <row r="21" spans="1:7" x14ac:dyDescent="0.3">
      <c r="A21" s="1" t="s">
        <v>25</v>
      </c>
      <c r="B21" s="1">
        <v>9</v>
      </c>
      <c r="C21" s="1">
        <v>7.9</v>
      </c>
      <c r="D21" s="1">
        <v>10</v>
      </c>
      <c r="E21" s="1">
        <v>10</v>
      </c>
      <c r="F21" s="1">
        <v>6.2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2.2999999999999998</v>
      </c>
      <c r="G24" s="1">
        <v>0</v>
      </c>
    </row>
    <row r="25" spans="1:7" x14ac:dyDescent="0.3">
      <c r="A25" s="1" t="s">
        <v>29</v>
      </c>
      <c r="B25" s="1">
        <v>3.9</v>
      </c>
      <c r="C25" s="1">
        <v>3</v>
      </c>
      <c r="D25" s="1">
        <v>1.2</v>
      </c>
      <c r="E25" s="1">
        <v>2.5</v>
      </c>
      <c r="F25" s="1">
        <v>3.1</v>
      </c>
      <c r="G25" s="1">
        <v>2.6</v>
      </c>
    </row>
    <row r="26" spans="1:7" x14ac:dyDescent="0.3">
      <c r="A26" s="1" t="s">
        <v>30</v>
      </c>
      <c r="B26" s="1">
        <v>6.2</v>
      </c>
      <c r="C26" s="1">
        <v>7</v>
      </c>
      <c r="D26" s="1">
        <v>8.8000000000000007</v>
      </c>
      <c r="E26" s="1">
        <v>7.5</v>
      </c>
      <c r="F26" s="1">
        <v>4.5999999999999996</v>
      </c>
      <c r="G26" s="1">
        <v>7.3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23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38.613861386138616</v>
      </c>
      <c r="C30" s="3">
        <f t="shared" ref="C30:G30" si="2">C25/C28*100</f>
        <v>30</v>
      </c>
      <c r="D30" s="3">
        <f t="shared" si="2"/>
        <v>12</v>
      </c>
      <c r="E30" s="3">
        <f t="shared" si="2"/>
        <v>25</v>
      </c>
      <c r="F30" s="3">
        <f t="shared" si="2"/>
        <v>31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61.386138613861384</v>
      </c>
      <c r="C31" s="3">
        <f t="shared" ref="C31:G31" si="3">C26/C28*100</f>
        <v>70</v>
      </c>
      <c r="D31" s="3">
        <f t="shared" si="3"/>
        <v>88.000000000000014</v>
      </c>
      <c r="E31" s="3">
        <f t="shared" si="3"/>
        <v>75</v>
      </c>
      <c r="F31" s="3">
        <f t="shared" si="3"/>
        <v>46</v>
      </c>
      <c r="G31" s="3">
        <f t="shared" si="3"/>
        <v>73.73737373737373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62.85</v>
      </c>
      <c r="C33" s="3">
        <v>54.59</v>
      </c>
      <c r="D33" s="3">
        <v>57.95</v>
      </c>
      <c r="E33" s="3">
        <v>57.88</v>
      </c>
      <c r="F33" s="3">
        <v>-12.83</v>
      </c>
      <c r="G33" s="3">
        <v>66.099999999999994</v>
      </c>
    </row>
    <row r="35" spans="1:7" x14ac:dyDescent="0.3">
      <c r="A35" s="3" t="s">
        <v>36</v>
      </c>
      <c r="B35" s="3"/>
      <c r="C35" s="3"/>
      <c r="D35" s="3">
        <f>D33-C33</f>
        <v>3.3599999999999994</v>
      </c>
      <c r="E35" s="3"/>
      <c r="F35" s="3">
        <f>F33-E33</f>
        <v>-70.710000000000008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-7.0000000000000284E-2</v>
      </c>
      <c r="F37" s="3"/>
      <c r="G37" s="3">
        <f>G33-F33</f>
        <v>78.929999999999993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79D9-DF98-4F3D-9CC9-62E09805BB69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719.37</v>
      </c>
      <c r="C2" s="1">
        <v>722.21</v>
      </c>
      <c r="D2" s="1">
        <v>715.66</v>
      </c>
      <c r="E2" s="1">
        <v>688.7</v>
      </c>
      <c r="F2" s="1">
        <v>706.19</v>
      </c>
      <c r="G2" s="1">
        <v>734.44</v>
      </c>
    </row>
    <row r="3" spans="1:7" x14ac:dyDescent="0.3">
      <c r="A3" s="1" t="s">
        <v>7</v>
      </c>
      <c r="B3" s="1">
        <v>57.28</v>
      </c>
      <c r="C3" s="1">
        <v>62.86</v>
      </c>
      <c r="D3" s="1">
        <v>65.5</v>
      </c>
      <c r="E3" s="1">
        <v>69</v>
      </c>
      <c r="F3" s="1">
        <v>69.150000000000006</v>
      </c>
      <c r="G3" s="1">
        <v>64.66</v>
      </c>
    </row>
    <row r="4" spans="1:7" x14ac:dyDescent="0.3">
      <c r="A4" s="1" t="s">
        <v>8</v>
      </c>
      <c r="B4" s="1">
        <v>41895.480000000003</v>
      </c>
      <c r="C4" s="1">
        <v>46159.47</v>
      </c>
      <c r="D4" s="1">
        <v>47659.46</v>
      </c>
      <c r="E4" s="1">
        <v>48327.74</v>
      </c>
      <c r="F4" s="1">
        <v>49660.51</v>
      </c>
      <c r="G4" s="1">
        <v>48302.89</v>
      </c>
    </row>
    <row r="5" spans="1:7" x14ac:dyDescent="0.3">
      <c r="A5" s="1" t="s">
        <v>9</v>
      </c>
      <c r="B5" s="1">
        <v>1190.83</v>
      </c>
      <c r="C5" s="1">
        <v>1401.04</v>
      </c>
      <c r="D5" s="1">
        <v>675.23</v>
      </c>
      <c r="E5" s="1">
        <v>772.95</v>
      </c>
      <c r="F5" s="1">
        <v>671.8</v>
      </c>
      <c r="G5" s="1">
        <v>838.09</v>
      </c>
    </row>
    <row r="6" spans="1:7" x14ac:dyDescent="0.3">
      <c r="A6" s="3" t="s">
        <v>10</v>
      </c>
      <c r="B6" s="3">
        <v>119.08</v>
      </c>
      <c r="C6" s="3">
        <v>141.52000000000001</v>
      </c>
      <c r="D6" s="3">
        <v>68.2</v>
      </c>
      <c r="E6" s="3">
        <v>78.08</v>
      </c>
      <c r="F6" s="3">
        <v>67.86</v>
      </c>
      <c r="G6" s="3">
        <v>85.52</v>
      </c>
    </row>
    <row r="7" spans="1:7" x14ac:dyDescent="0.3">
      <c r="A7" s="1" t="s">
        <v>11</v>
      </c>
      <c r="B7" s="1">
        <v>1176.3900000000001</v>
      </c>
      <c r="C7" s="1">
        <v>1367.25</v>
      </c>
      <c r="D7" s="1">
        <v>654.30999999999995</v>
      </c>
      <c r="E7" s="1">
        <v>684.04</v>
      </c>
      <c r="F7" s="1">
        <v>622.78</v>
      </c>
      <c r="G7" s="1">
        <v>812.42</v>
      </c>
    </row>
    <row r="8" spans="1:7" x14ac:dyDescent="0.3">
      <c r="A8" s="1" t="s">
        <v>12</v>
      </c>
      <c r="B8" s="1">
        <v>117.64</v>
      </c>
      <c r="C8" s="1">
        <v>138.11000000000001</v>
      </c>
      <c r="D8" s="1">
        <v>66.09</v>
      </c>
      <c r="E8" s="1">
        <v>69.09</v>
      </c>
      <c r="F8" s="1">
        <v>62.91</v>
      </c>
      <c r="G8" s="1">
        <v>82.9</v>
      </c>
    </row>
    <row r="9" spans="1:7" x14ac:dyDescent="0.3">
      <c r="A9" s="1" t="s">
        <v>13</v>
      </c>
      <c r="B9" s="1">
        <v>1176.3900000000001</v>
      </c>
      <c r="C9" s="1">
        <v>1367.25</v>
      </c>
      <c r="D9" s="1">
        <v>649.73</v>
      </c>
      <c r="E9" s="1">
        <v>-243.91</v>
      </c>
      <c r="F9" s="1">
        <v>305.41000000000003</v>
      </c>
      <c r="G9" s="1">
        <v>806.63</v>
      </c>
    </row>
    <row r="10" spans="1:7" x14ac:dyDescent="0.3">
      <c r="A10" s="1" t="s">
        <v>14</v>
      </c>
      <c r="B10" s="1">
        <v>117.64</v>
      </c>
      <c r="C10" s="1">
        <v>138.11000000000001</v>
      </c>
      <c r="D10" s="1">
        <v>65.63</v>
      </c>
      <c r="E10" s="1">
        <v>-24.64</v>
      </c>
      <c r="F10" s="1">
        <v>30.85</v>
      </c>
      <c r="G10" s="1">
        <v>82.31</v>
      </c>
    </row>
    <row r="11" spans="1:7" x14ac:dyDescent="0.3">
      <c r="A11" s="1" t="s">
        <v>15</v>
      </c>
      <c r="B11" s="1">
        <v>940.4</v>
      </c>
      <c r="C11" s="1">
        <v>1141.05</v>
      </c>
      <c r="D11" s="1">
        <v>539.03</v>
      </c>
      <c r="E11" s="1">
        <v>210.31</v>
      </c>
      <c r="F11" s="1">
        <v>75.88</v>
      </c>
      <c r="G11" s="1">
        <v>723.21</v>
      </c>
    </row>
    <row r="12" spans="1:7" x14ac:dyDescent="0.3">
      <c r="A12" s="1" t="s">
        <v>16</v>
      </c>
      <c r="B12" s="1">
        <v>419.42</v>
      </c>
      <c r="C12" s="1">
        <v>389.72</v>
      </c>
      <c r="D12" s="1">
        <v>344.51</v>
      </c>
      <c r="E12" s="1">
        <v>225.5</v>
      </c>
      <c r="F12" s="1">
        <v>310.33</v>
      </c>
      <c r="G12" s="1">
        <v>382.55</v>
      </c>
    </row>
    <row r="13" spans="1:7" x14ac:dyDescent="0.3">
      <c r="A13" s="1" t="s">
        <v>17</v>
      </c>
      <c r="B13" s="1">
        <v>42.04</v>
      </c>
      <c r="C13" s="1">
        <v>38.549999999999997</v>
      </c>
      <c r="D13" s="1">
        <v>46.64</v>
      </c>
      <c r="E13" s="1">
        <v>109.77</v>
      </c>
      <c r="F13" s="1">
        <v>80.37</v>
      </c>
      <c r="G13" s="1">
        <v>29.55</v>
      </c>
    </row>
    <row r="14" spans="1:7" x14ac:dyDescent="0.3">
      <c r="A14" s="1" t="s">
        <v>18</v>
      </c>
      <c r="B14" s="1">
        <v>97.95</v>
      </c>
      <c r="C14" s="1">
        <v>79.349999999999994</v>
      </c>
      <c r="D14" s="1">
        <v>81.22</v>
      </c>
      <c r="E14" s="1">
        <v>143.72999999999999</v>
      </c>
      <c r="F14" s="1">
        <v>135.62</v>
      </c>
      <c r="G14" s="1">
        <v>77.83</v>
      </c>
    </row>
    <row r="15" spans="1:7" x14ac:dyDescent="0.3">
      <c r="A15" s="1" t="s">
        <v>19</v>
      </c>
      <c r="B15" s="1">
        <v>3</v>
      </c>
      <c r="C15" s="1">
        <v>4</v>
      </c>
      <c r="D15" s="1">
        <v>2</v>
      </c>
      <c r="E15" s="1">
        <v>5</v>
      </c>
      <c r="F15" s="1">
        <v>2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1176.3900000000001</v>
      </c>
      <c r="C17" s="1">
        <v>1367.25</v>
      </c>
      <c r="D17" s="1">
        <v>652.02</v>
      </c>
      <c r="E17" s="1">
        <v>220.06</v>
      </c>
      <c r="F17" s="1">
        <v>464.09</v>
      </c>
      <c r="G17" s="1">
        <v>809.52</v>
      </c>
    </row>
    <row r="18" spans="1:7" x14ac:dyDescent="0.3">
      <c r="A18" s="1" t="s">
        <v>22</v>
      </c>
      <c r="B18" s="1">
        <v>0</v>
      </c>
      <c r="C18" s="1">
        <v>0</v>
      </c>
      <c r="D18" s="1">
        <v>2.29</v>
      </c>
      <c r="E18" s="1">
        <v>463.98</v>
      </c>
      <c r="F18" s="1">
        <v>158.69</v>
      </c>
      <c r="G18" s="1">
        <v>2.9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5.3</v>
      </c>
      <c r="F20" s="1">
        <v>2.5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4.7</v>
      </c>
      <c r="F21" s="1">
        <v>7.5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3.8</v>
      </c>
      <c r="F24" s="1">
        <v>2.8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6.2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7.2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38</v>
      </c>
      <c r="F29" s="3">
        <f t="shared" si="1"/>
        <v>27.999999999999996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62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72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118.1</v>
      </c>
      <c r="C33" s="3">
        <v>141.79</v>
      </c>
      <c r="D33" s="3">
        <v>67.23</v>
      </c>
      <c r="E33" s="3">
        <v>-29.06</v>
      </c>
      <c r="F33" s="3">
        <v>-4.5599999999999996</v>
      </c>
      <c r="G33" s="3">
        <v>83.93</v>
      </c>
    </row>
    <row r="35" spans="1:7" x14ac:dyDescent="0.3">
      <c r="A35" s="3" t="s">
        <v>36</v>
      </c>
      <c r="B35" s="3"/>
      <c r="C35" s="3"/>
      <c r="D35" s="3">
        <f>D33-C33</f>
        <v>-74.559999999999988</v>
      </c>
      <c r="E35" s="3"/>
      <c r="F35" s="3">
        <f>F33-E33</f>
        <v>24.5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-96.29</v>
      </c>
      <c r="F37" s="3"/>
      <c r="G37" s="3">
        <f>G33-F33</f>
        <v>88.490000000000009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DE0A-520F-4409-825C-BADA13EB1AE9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479.86</v>
      </c>
      <c r="C2" s="1">
        <v>842.74</v>
      </c>
      <c r="D2" s="1">
        <v>827.09</v>
      </c>
      <c r="E2" s="1">
        <v>802.79</v>
      </c>
      <c r="F2" s="1">
        <v>678.74</v>
      </c>
      <c r="G2" s="1">
        <v>764.06</v>
      </c>
    </row>
    <row r="3" spans="1:7" x14ac:dyDescent="0.3">
      <c r="A3" s="1" t="s">
        <v>7</v>
      </c>
      <c r="B3" s="1">
        <v>76.430000000000007</v>
      </c>
      <c r="C3" s="1">
        <v>70.55</v>
      </c>
      <c r="D3" s="1">
        <v>69.88</v>
      </c>
      <c r="E3" s="1">
        <v>68.180000000000007</v>
      </c>
      <c r="F3" s="1">
        <v>72.09</v>
      </c>
      <c r="G3" s="1">
        <v>61.66</v>
      </c>
    </row>
    <row r="4" spans="1:7" x14ac:dyDescent="0.3">
      <c r="A4" s="1" t="s">
        <v>8</v>
      </c>
      <c r="B4" s="1">
        <v>37220.44</v>
      </c>
      <c r="C4" s="1">
        <v>60467.56</v>
      </c>
      <c r="D4" s="1">
        <v>58767.03</v>
      </c>
      <c r="E4" s="1">
        <v>55629.71</v>
      </c>
      <c r="F4" s="1">
        <v>49697.32</v>
      </c>
      <c r="G4" s="1">
        <v>47898.01</v>
      </c>
    </row>
    <row r="5" spans="1:7" x14ac:dyDescent="0.3">
      <c r="A5" s="1" t="s">
        <v>9</v>
      </c>
      <c r="B5" s="1">
        <v>605.44000000000005</v>
      </c>
      <c r="C5" s="1">
        <v>631.45000000000005</v>
      </c>
      <c r="D5" s="1">
        <v>578.44000000000005</v>
      </c>
      <c r="E5" s="1">
        <v>432.83</v>
      </c>
      <c r="F5" s="1">
        <v>764.86</v>
      </c>
      <c r="G5" s="1">
        <v>655.95</v>
      </c>
    </row>
    <row r="6" spans="1:7" x14ac:dyDescent="0.3">
      <c r="A6" s="3" t="s">
        <v>10</v>
      </c>
      <c r="B6" s="3">
        <v>60.54</v>
      </c>
      <c r="C6" s="3">
        <v>63.78</v>
      </c>
      <c r="D6" s="3">
        <v>58.43</v>
      </c>
      <c r="E6" s="3">
        <v>43.72</v>
      </c>
      <c r="F6" s="3">
        <v>77.260000000000005</v>
      </c>
      <c r="G6" s="3">
        <v>66.930000000000007</v>
      </c>
    </row>
    <row r="7" spans="1:7" x14ac:dyDescent="0.3">
      <c r="A7" s="1" t="s">
        <v>11</v>
      </c>
      <c r="B7" s="1">
        <v>511.22</v>
      </c>
      <c r="C7" s="1">
        <v>537.27</v>
      </c>
      <c r="D7" s="1">
        <v>555.04</v>
      </c>
      <c r="E7" s="1">
        <v>406.57</v>
      </c>
      <c r="F7" s="1">
        <v>668.02</v>
      </c>
      <c r="G7" s="1">
        <v>552.55999999999995</v>
      </c>
    </row>
    <row r="8" spans="1:7" x14ac:dyDescent="0.3">
      <c r="A8" s="1" t="s">
        <v>12</v>
      </c>
      <c r="B8" s="1">
        <v>51.12</v>
      </c>
      <c r="C8" s="1">
        <v>54.27</v>
      </c>
      <c r="D8" s="1">
        <v>56.06</v>
      </c>
      <c r="E8" s="1">
        <v>41.07</v>
      </c>
      <c r="F8" s="1">
        <v>67.48</v>
      </c>
      <c r="G8" s="1">
        <v>56.38</v>
      </c>
    </row>
    <row r="9" spans="1:7" x14ac:dyDescent="0.3">
      <c r="A9" s="1" t="s">
        <v>13</v>
      </c>
      <c r="B9" s="1">
        <v>197.76</v>
      </c>
      <c r="C9" s="1">
        <v>514.73</v>
      </c>
      <c r="D9" s="1">
        <v>503.36</v>
      </c>
      <c r="E9" s="1">
        <v>237.64</v>
      </c>
      <c r="F9" s="1">
        <v>-226.03</v>
      </c>
      <c r="G9" s="1">
        <v>495.5</v>
      </c>
    </row>
    <row r="10" spans="1:7" x14ac:dyDescent="0.3">
      <c r="A10" s="1" t="s">
        <v>14</v>
      </c>
      <c r="B10" s="1">
        <v>19.78</v>
      </c>
      <c r="C10" s="1">
        <v>51.99</v>
      </c>
      <c r="D10" s="1">
        <v>50.84</v>
      </c>
      <c r="E10" s="1">
        <v>24</v>
      </c>
      <c r="F10" s="1">
        <v>-22.83</v>
      </c>
      <c r="G10" s="1">
        <v>50.56</v>
      </c>
    </row>
    <row r="11" spans="1:7" x14ac:dyDescent="0.3">
      <c r="A11" s="1" t="s">
        <v>15</v>
      </c>
      <c r="B11" s="1">
        <v>55.42</v>
      </c>
      <c r="C11" s="1">
        <v>386.73</v>
      </c>
      <c r="D11" s="1">
        <v>427.97</v>
      </c>
      <c r="E11" s="1">
        <v>116.22</v>
      </c>
      <c r="F11" s="1">
        <v>139.47999999999999</v>
      </c>
      <c r="G11" s="1">
        <v>367.63</v>
      </c>
    </row>
    <row r="12" spans="1:7" x14ac:dyDescent="0.3">
      <c r="A12" s="1" t="s">
        <v>16</v>
      </c>
      <c r="B12" s="1">
        <v>204.59</v>
      </c>
      <c r="C12" s="1">
        <v>370.5</v>
      </c>
      <c r="D12" s="1">
        <v>386.14</v>
      </c>
      <c r="E12" s="1">
        <v>397.03</v>
      </c>
      <c r="F12" s="1">
        <v>195.05</v>
      </c>
      <c r="G12" s="1">
        <v>400.21</v>
      </c>
    </row>
    <row r="13" spans="1:7" x14ac:dyDescent="0.3">
      <c r="A13" s="1" t="s">
        <v>17</v>
      </c>
      <c r="B13" s="1">
        <v>64.39</v>
      </c>
      <c r="C13" s="1">
        <v>45.03</v>
      </c>
      <c r="D13" s="1">
        <v>47.76</v>
      </c>
      <c r="E13" s="1">
        <v>85.44</v>
      </c>
      <c r="F13" s="1">
        <v>51.08</v>
      </c>
      <c r="G13" s="1">
        <v>25.64</v>
      </c>
    </row>
    <row r="14" spans="1:7" x14ac:dyDescent="0.3">
      <c r="A14" s="1" t="s">
        <v>18</v>
      </c>
      <c r="B14" s="1">
        <v>88.8</v>
      </c>
      <c r="C14" s="1">
        <v>101.93</v>
      </c>
      <c r="D14" s="1">
        <v>87.65</v>
      </c>
      <c r="E14" s="1">
        <v>128.79</v>
      </c>
      <c r="F14" s="1">
        <v>112.45</v>
      </c>
      <c r="G14" s="1">
        <v>50.81</v>
      </c>
    </row>
    <row r="15" spans="1:7" x14ac:dyDescent="0.3">
      <c r="A15" s="1" t="s">
        <v>19</v>
      </c>
      <c r="B15" s="1">
        <v>3</v>
      </c>
      <c r="C15" s="1">
        <v>1</v>
      </c>
      <c r="D15" s="1">
        <v>1</v>
      </c>
      <c r="E15" s="1">
        <v>2</v>
      </c>
      <c r="F15" s="1">
        <v>4</v>
      </c>
      <c r="G15" s="1">
        <v>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354.49</v>
      </c>
      <c r="C17" s="1">
        <v>526</v>
      </c>
      <c r="D17" s="1">
        <v>529.20000000000005</v>
      </c>
      <c r="E17" s="1">
        <v>322.11</v>
      </c>
      <c r="F17" s="1">
        <v>221</v>
      </c>
      <c r="G17" s="1">
        <v>524.03</v>
      </c>
    </row>
    <row r="18" spans="1:7" x14ac:dyDescent="0.3">
      <c r="A18" s="1" t="s">
        <v>22</v>
      </c>
      <c r="B18" s="1">
        <v>156.72999999999999</v>
      </c>
      <c r="C18" s="1">
        <v>11.27</v>
      </c>
      <c r="D18" s="1">
        <v>25.84</v>
      </c>
      <c r="E18" s="1">
        <v>84.47</v>
      </c>
      <c r="F18" s="1">
        <v>447.02</v>
      </c>
      <c r="G18" s="1">
        <v>28.53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2.2000000000000002</v>
      </c>
      <c r="C20" s="1">
        <v>0</v>
      </c>
      <c r="D20" s="1">
        <v>0</v>
      </c>
      <c r="E20" s="1">
        <v>1</v>
      </c>
      <c r="F20" s="1">
        <v>4.8</v>
      </c>
      <c r="G20" s="1">
        <v>0</v>
      </c>
    </row>
    <row r="21" spans="1:7" x14ac:dyDescent="0.3">
      <c r="A21" s="1" t="s">
        <v>25</v>
      </c>
      <c r="B21" s="1">
        <v>7.9</v>
      </c>
      <c r="C21" s="1">
        <v>10</v>
      </c>
      <c r="D21" s="1">
        <v>10</v>
      </c>
      <c r="E21" s="1">
        <v>9</v>
      </c>
      <c r="F21" s="1">
        <v>5.2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1.7</v>
      </c>
      <c r="C24" s="1">
        <v>0</v>
      </c>
      <c r="D24" s="1">
        <v>0</v>
      </c>
      <c r="E24" s="1">
        <v>0</v>
      </c>
      <c r="F24" s="1">
        <v>2.4</v>
      </c>
      <c r="G24" s="1">
        <v>0</v>
      </c>
    </row>
    <row r="25" spans="1:7" x14ac:dyDescent="0.3">
      <c r="A25" s="1" t="s">
        <v>29</v>
      </c>
      <c r="B25" s="1">
        <v>5.4</v>
      </c>
      <c r="C25" s="1">
        <v>0</v>
      </c>
      <c r="D25" s="1">
        <v>2.4</v>
      </c>
      <c r="E25" s="1">
        <v>6.8</v>
      </c>
      <c r="F25" s="1">
        <v>7.6</v>
      </c>
      <c r="G25" s="1">
        <v>2.1</v>
      </c>
    </row>
    <row r="26" spans="1:7" x14ac:dyDescent="0.3">
      <c r="A26" s="1" t="s">
        <v>30</v>
      </c>
      <c r="B26" s="1">
        <v>3</v>
      </c>
      <c r="C26" s="1">
        <v>10</v>
      </c>
      <c r="D26" s="1">
        <v>7.6</v>
      </c>
      <c r="E26" s="1">
        <v>3.2</v>
      </c>
      <c r="F26" s="1">
        <v>0</v>
      </c>
      <c r="G26" s="1">
        <v>7.8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16.831683168316829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53.465346534653456</v>
      </c>
      <c r="C30" s="3">
        <f t="shared" ref="C30:G30" si="2">C25/C28*100</f>
        <v>0</v>
      </c>
      <c r="D30" s="3">
        <f t="shared" si="2"/>
        <v>24</v>
      </c>
      <c r="E30" s="3">
        <f t="shared" si="2"/>
        <v>68</v>
      </c>
      <c r="F30" s="3">
        <f t="shared" si="2"/>
        <v>76</v>
      </c>
      <c r="G30" s="3">
        <f t="shared" si="2"/>
        <v>21.212121212121211</v>
      </c>
    </row>
    <row r="31" spans="1:7" x14ac:dyDescent="0.3">
      <c r="A31" s="3" t="s">
        <v>34</v>
      </c>
      <c r="B31" s="3">
        <f>B26/B28*100</f>
        <v>29.702970297029697</v>
      </c>
      <c r="C31" s="3">
        <f t="shared" ref="C31:G31" si="3">C26/C28*100</f>
        <v>100</v>
      </c>
      <c r="D31" s="3">
        <f t="shared" si="3"/>
        <v>76</v>
      </c>
      <c r="E31" s="3">
        <f t="shared" si="3"/>
        <v>32</v>
      </c>
      <c r="F31" s="3">
        <f t="shared" si="3"/>
        <v>0</v>
      </c>
      <c r="G31" s="3">
        <f t="shared" si="3"/>
        <v>78.787878787878782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7.68</v>
      </c>
      <c r="C33" s="3">
        <v>56.75</v>
      </c>
      <c r="D33" s="3">
        <v>51.87</v>
      </c>
      <c r="E33" s="3">
        <v>14.1</v>
      </c>
      <c r="F33" s="3">
        <v>-32.47</v>
      </c>
      <c r="G33" s="3">
        <v>57.01</v>
      </c>
    </row>
    <row r="35" spans="1:7" x14ac:dyDescent="0.3">
      <c r="A35" s="3" t="s">
        <v>36</v>
      </c>
      <c r="B35" s="3"/>
      <c r="C35" s="3"/>
      <c r="D35" s="3">
        <f>D33-C33</f>
        <v>-4.8800000000000026</v>
      </c>
      <c r="E35" s="3"/>
      <c r="F35" s="3">
        <f>F33-E33</f>
        <v>-46.57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-37.769999999999996</v>
      </c>
      <c r="F37" s="3"/>
      <c r="G37" s="3">
        <f>G33-F33</f>
        <v>89.47999999999999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8786-4156-458C-9AE1-088C9E31A7A8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831.24</v>
      </c>
      <c r="C2" s="1">
        <v>816.41</v>
      </c>
      <c r="D2" s="1">
        <v>853.66</v>
      </c>
      <c r="E2" s="1">
        <v>737.46</v>
      </c>
      <c r="F2" s="1">
        <v>750.17</v>
      </c>
      <c r="G2" s="1">
        <v>823.45</v>
      </c>
    </row>
    <row r="3" spans="1:7" x14ac:dyDescent="0.3">
      <c r="A3" s="1" t="s">
        <v>7</v>
      </c>
      <c r="B3" s="1">
        <v>64.709999999999994</v>
      </c>
      <c r="C3" s="1">
        <v>65.25</v>
      </c>
      <c r="D3" s="1">
        <v>71.58</v>
      </c>
      <c r="E3" s="1">
        <v>73.52</v>
      </c>
      <c r="F3" s="1">
        <v>71.23</v>
      </c>
      <c r="G3" s="1">
        <v>67.77</v>
      </c>
    </row>
    <row r="4" spans="1:7" x14ac:dyDescent="0.3">
      <c r="A4" s="1" t="s">
        <v>8</v>
      </c>
      <c r="B4" s="1">
        <v>54699.7</v>
      </c>
      <c r="C4" s="1">
        <v>54216.55</v>
      </c>
      <c r="D4" s="1">
        <v>62155.17</v>
      </c>
      <c r="E4" s="1">
        <v>55128.67</v>
      </c>
      <c r="F4" s="1">
        <v>54305.02</v>
      </c>
      <c r="G4" s="1">
        <v>56722.21</v>
      </c>
    </row>
    <row r="5" spans="1:7" x14ac:dyDescent="0.3">
      <c r="A5" s="1" t="s">
        <v>9</v>
      </c>
      <c r="B5" s="1">
        <v>1359.45</v>
      </c>
      <c r="C5" s="1">
        <v>1488.68</v>
      </c>
      <c r="D5" s="1">
        <v>627.12</v>
      </c>
      <c r="E5" s="1">
        <v>1291.6099999999999</v>
      </c>
      <c r="F5" s="1">
        <v>1050.7</v>
      </c>
      <c r="G5" s="1">
        <v>1034.3499999999999</v>
      </c>
    </row>
    <row r="6" spans="1:7" x14ac:dyDescent="0.3">
      <c r="A6" s="3" t="s">
        <v>10</v>
      </c>
      <c r="B6" s="3">
        <v>135.94</v>
      </c>
      <c r="C6" s="3">
        <v>150.37</v>
      </c>
      <c r="D6" s="3">
        <v>63.35</v>
      </c>
      <c r="E6" s="3">
        <v>130.47</v>
      </c>
      <c r="F6" s="3">
        <v>106.13</v>
      </c>
      <c r="G6" s="3">
        <v>105.55</v>
      </c>
    </row>
    <row r="7" spans="1:7" x14ac:dyDescent="0.3">
      <c r="A7" s="1" t="s">
        <v>11</v>
      </c>
      <c r="B7" s="1">
        <v>1286.49</v>
      </c>
      <c r="C7" s="1">
        <v>1408.34</v>
      </c>
      <c r="D7" s="1">
        <v>575.16999999999996</v>
      </c>
      <c r="E7" s="1">
        <v>1213.94</v>
      </c>
      <c r="F7" s="1">
        <v>930.45</v>
      </c>
      <c r="G7" s="1">
        <v>984.8</v>
      </c>
    </row>
    <row r="8" spans="1:7" x14ac:dyDescent="0.3">
      <c r="A8" s="1" t="s">
        <v>12</v>
      </c>
      <c r="B8" s="1">
        <v>128.65</v>
      </c>
      <c r="C8" s="1">
        <v>142.26</v>
      </c>
      <c r="D8" s="1">
        <v>58.1</v>
      </c>
      <c r="E8" s="1">
        <v>122.62</v>
      </c>
      <c r="F8" s="1">
        <v>93.98</v>
      </c>
      <c r="G8" s="1">
        <v>100.49</v>
      </c>
    </row>
    <row r="9" spans="1:7" x14ac:dyDescent="0.3">
      <c r="A9" s="1" t="s">
        <v>13</v>
      </c>
      <c r="B9" s="1">
        <v>1286.49</v>
      </c>
      <c r="C9" s="1">
        <v>1408.34</v>
      </c>
      <c r="D9" s="1">
        <v>551.29</v>
      </c>
      <c r="E9" s="1">
        <v>-1126.25</v>
      </c>
      <c r="F9" s="1">
        <v>-486.4</v>
      </c>
      <c r="G9" s="1">
        <v>982.87</v>
      </c>
    </row>
    <row r="10" spans="1:7" x14ac:dyDescent="0.3">
      <c r="A10" s="1" t="s">
        <v>14</v>
      </c>
      <c r="B10" s="1">
        <v>128.65</v>
      </c>
      <c r="C10" s="1">
        <v>142.26</v>
      </c>
      <c r="D10" s="1">
        <v>55.69</v>
      </c>
      <c r="E10" s="1">
        <v>-113.76</v>
      </c>
      <c r="F10" s="1">
        <v>-49.13</v>
      </c>
      <c r="G10" s="1">
        <v>100.29</v>
      </c>
    </row>
    <row r="11" spans="1:7" x14ac:dyDescent="0.3">
      <c r="A11" s="1" t="s">
        <v>15</v>
      </c>
      <c r="B11" s="1">
        <v>972.39</v>
      </c>
      <c r="C11" s="1">
        <v>882.67</v>
      </c>
      <c r="D11" s="1">
        <v>469.77</v>
      </c>
      <c r="E11" s="1">
        <v>290.12</v>
      </c>
      <c r="F11" s="1">
        <v>166.78</v>
      </c>
      <c r="G11" s="1">
        <v>841.8</v>
      </c>
    </row>
    <row r="12" spans="1:7" x14ac:dyDescent="0.3">
      <c r="A12" s="1" t="s">
        <v>16</v>
      </c>
      <c r="B12" s="1">
        <v>414.47</v>
      </c>
      <c r="C12" s="1">
        <v>431.36</v>
      </c>
      <c r="D12" s="1">
        <v>383.01</v>
      </c>
      <c r="E12" s="1">
        <v>216.98</v>
      </c>
      <c r="F12" s="1">
        <v>268.33</v>
      </c>
      <c r="G12" s="1">
        <v>415.36</v>
      </c>
    </row>
    <row r="13" spans="1:7" x14ac:dyDescent="0.3">
      <c r="A13" s="1" t="s">
        <v>17</v>
      </c>
      <c r="B13" s="1">
        <v>46.07</v>
      </c>
      <c r="C13" s="1">
        <v>48.54</v>
      </c>
      <c r="D13" s="1">
        <v>28.89</v>
      </c>
      <c r="E13" s="1">
        <v>97.28</v>
      </c>
      <c r="F13" s="1">
        <v>101.43</v>
      </c>
      <c r="G13" s="1">
        <v>35.6</v>
      </c>
    </row>
    <row r="14" spans="1:7" x14ac:dyDescent="0.3">
      <c r="A14" s="1" t="s">
        <v>18</v>
      </c>
      <c r="B14" s="1">
        <v>91.84</v>
      </c>
      <c r="C14" s="1">
        <v>152.6</v>
      </c>
      <c r="D14" s="1">
        <v>70.78</v>
      </c>
      <c r="E14" s="1">
        <v>151.77000000000001</v>
      </c>
      <c r="F14" s="1">
        <v>159.26</v>
      </c>
      <c r="G14" s="1">
        <v>76.37</v>
      </c>
    </row>
    <row r="15" spans="1:7" x14ac:dyDescent="0.3">
      <c r="A15" s="1" t="s">
        <v>19</v>
      </c>
      <c r="B15" s="1">
        <v>2</v>
      </c>
      <c r="C15" s="1">
        <v>3</v>
      </c>
      <c r="D15" s="1">
        <v>1</v>
      </c>
      <c r="E15" s="1">
        <v>3</v>
      </c>
      <c r="F15" s="1">
        <v>6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1286.49</v>
      </c>
      <c r="C17" s="1">
        <v>1408.34</v>
      </c>
      <c r="D17" s="1">
        <v>563.23</v>
      </c>
      <c r="E17" s="1">
        <v>43.84</v>
      </c>
      <c r="F17" s="1">
        <v>222.03</v>
      </c>
      <c r="G17" s="1">
        <v>983.84</v>
      </c>
    </row>
    <row r="18" spans="1:7" x14ac:dyDescent="0.3">
      <c r="A18" s="1" t="s">
        <v>22</v>
      </c>
      <c r="B18" s="1">
        <v>0</v>
      </c>
      <c r="C18" s="1">
        <v>0</v>
      </c>
      <c r="D18" s="1">
        <v>11.94</v>
      </c>
      <c r="E18" s="1">
        <v>1170.0999999999999</v>
      </c>
      <c r="F18" s="1">
        <v>708.42</v>
      </c>
      <c r="G18" s="1">
        <v>0.96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9.8000000000000007</v>
      </c>
      <c r="F20" s="1">
        <v>4.0999999999999996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0.2</v>
      </c>
      <c r="F21" s="1">
        <v>5.9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10</v>
      </c>
      <c r="F24" s="1">
        <v>2.6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3.9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100</v>
      </c>
      <c r="F29" s="3">
        <f t="shared" si="1"/>
        <v>26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39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132.26</v>
      </c>
      <c r="C33" s="3">
        <v>150.1</v>
      </c>
      <c r="D33" s="3">
        <v>60.66</v>
      </c>
      <c r="E33" s="3">
        <v>-122.85</v>
      </c>
      <c r="F33" s="3">
        <v>-4.82</v>
      </c>
      <c r="G33" s="3">
        <v>105.54</v>
      </c>
    </row>
    <row r="35" spans="1:7" x14ac:dyDescent="0.3">
      <c r="A35" s="3" t="s">
        <v>36</v>
      </c>
      <c r="B35" s="3"/>
      <c r="C35" s="3"/>
      <c r="D35" s="3">
        <f>D33-C33</f>
        <v>-89.44</v>
      </c>
      <c r="E35" s="3"/>
      <c r="F35" s="3">
        <f>F33-E33</f>
        <v>118.03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-183.51</v>
      </c>
      <c r="F37" s="3"/>
      <c r="G37" s="3">
        <f>G33-F33</f>
        <v>110.36000000000001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839A-C6D4-4012-93EC-C834D38DEF64}">
  <dimension ref="A1:G37"/>
  <sheetViews>
    <sheetView zoomScale="70" zoomScaleNormal="70" workbookViewId="0">
      <selection activeCell="I31" sqref="I3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695.24</v>
      </c>
      <c r="C2" s="1">
        <v>658.5</v>
      </c>
      <c r="D2" s="1">
        <v>706.08</v>
      </c>
      <c r="E2" s="1">
        <v>659.73</v>
      </c>
      <c r="F2" s="1">
        <v>673.29</v>
      </c>
      <c r="G2" s="1">
        <v>731.44</v>
      </c>
    </row>
    <row r="3" spans="1:7" x14ac:dyDescent="0.3">
      <c r="A3" s="1" t="s">
        <v>7</v>
      </c>
      <c r="B3" s="1">
        <v>61.9</v>
      </c>
      <c r="C3" s="1">
        <v>59.74</v>
      </c>
      <c r="D3" s="1">
        <v>60.58</v>
      </c>
      <c r="E3" s="1">
        <v>60.82</v>
      </c>
      <c r="F3" s="1">
        <v>61.23</v>
      </c>
      <c r="G3" s="1">
        <v>64.47</v>
      </c>
    </row>
    <row r="4" spans="1:7" x14ac:dyDescent="0.3">
      <c r="A4" s="1" t="s">
        <v>8</v>
      </c>
      <c r="B4" s="1">
        <v>43759.33</v>
      </c>
      <c r="C4" s="1">
        <v>39941.300000000003</v>
      </c>
      <c r="D4" s="1">
        <v>43485.24</v>
      </c>
      <c r="E4" s="1">
        <v>40794.92</v>
      </c>
      <c r="F4" s="1">
        <v>41915.79</v>
      </c>
      <c r="G4" s="1">
        <v>47959.9</v>
      </c>
    </row>
    <row r="5" spans="1:7" x14ac:dyDescent="0.3">
      <c r="A5" s="1" t="s">
        <v>9</v>
      </c>
      <c r="B5" s="1">
        <v>1317.13</v>
      </c>
      <c r="C5" s="1">
        <v>1109.1300000000001</v>
      </c>
      <c r="D5" s="1">
        <v>686.88</v>
      </c>
      <c r="E5" s="1">
        <v>590.42999999999995</v>
      </c>
      <c r="F5" s="1">
        <v>574.21</v>
      </c>
      <c r="G5" s="1">
        <v>929.04</v>
      </c>
    </row>
    <row r="6" spans="1:7" x14ac:dyDescent="0.3">
      <c r="A6" s="3" t="s">
        <v>10</v>
      </c>
      <c r="B6" s="3">
        <v>131.71</v>
      </c>
      <c r="C6" s="3">
        <v>112.03</v>
      </c>
      <c r="D6" s="3">
        <v>69.38</v>
      </c>
      <c r="E6" s="3">
        <v>59.64</v>
      </c>
      <c r="F6" s="3">
        <v>58</v>
      </c>
      <c r="G6" s="3">
        <v>94.8</v>
      </c>
    </row>
    <row r="7" spans="1:7" x14ac:dyDescent="0.3">
      <c r="A7" s="1" t="s">
        <v>11</v>
      </c>
      <c r="B7" s="1">
        <v>1293.68</v>
      </c>
      <c r="C7" s="1">
        <v>1092.27</v>
      </c>
      <c r="D7" s="1">
        <v>678.63</v>
      </c>
      <c r="E7" s="1">
        <v>574.79</v>
      </c>
      <c r="F7" s="1">
        <v>560.63</v>
      </c>
      <c r="G7" s="1">
        <v>911.53</v>
      </c>
    </row>
    <row r="8" spans="1:7" x14ac:dyDescent="0.3">
      <c r="A8" s="1" t="s">
        <v>12</v>
      </c>
      <c r="B8" s="1">
        <v>129.37</v>
      </c>
      <c r="C8" s="1">
        <v>110.33</v>
      </c>
      <c r="D8" s="1">
        <v>68.55</v>
      </c>
      <c r="E8" s="1">
        <v>58.06</v>
      </c>
      <c r="F8" s="1">
        <v>56.63</v>
      </c>
      <c r="G8" s="1">
        <v>93.01</v>
      </c>
    </row>
    <row r="9" spans="1:7" x14ac:dyDescent="0.3">
      <c r="A9" s="1" t="s">
        <v>13</v>
      </c>
      <c r="B9" s="1">
        <v>1293.68</v>
      </c>
      <c r="C9" s="1">
        <v>1088.8900000000001</v>
      </c>
      <c r="D9" s="1">
        <v>658.34</v>
      </c>
      <c r="E9" s="1">
        <v>-346.93</v>
      </c>
      <c r="F9" s="1">
        <v>429.25</v>
      </c>
      <c r="G9" s="1">
        <v>911.53</v>
      </c>
    </row>
    <row r="10" spans="1:7" x14ac:dyDescent="0.3">
      <c r="A10" s="1" t="s">
        <v>14</v>
      </c>
      <c r="B10" s="1">
        <v>129.37</v>
      </c>
      <c r="C10" s="1">
        <v>109.99</v>
      </c>
      <c r="D10" s="1">
        <v>66.5</v>
      </c>
      <c r="E10" s="1">
        <v>-35.04</v>
      </c>
      <c r="F10" s="1">
        <v>43.36</v>
      </c>
      <c r="G10" s="1">
        <v>93.01</v>
      </c>
    </row>
    <row r="11" spans="1:7" x14ac:dyDescent="0.3">
      <c r="A11" s="1" t="s">
        <v>15</v>
      </c>
      <c r="B11" s="1">
        <v>1123.0899999999999</v>
      </c>
      <c r="C11" s="1">
        <v>1000.7</v>
      </c>
      <c r="D11" s="1">
        <v>518.46</v>
      </c>
      <c r="E11" s="1">
        <v>199.17</v>
      </c>
      <c r="F11" s="1">
        <v>266.81</v>
      </c>
      <c r="G11" s="1">
        <v>817.79</v>
      </c>
    </row>
    <row r="12" spans="1:7" x14ac:dyDescent="0.3">
      <c r="A12" s="1" t="s">
        <v>16</v>
      </c>
      <c r="B12" s="1">
        <v>349.24</v>
      </c>
      <c r="C12" s="1">
        <v>317.54000000000002</v>
      </c>
      <c r="D12" s="1">
        <v>357.49</v>
      </c>
      <c r="E12" s="1">
        <v>314.75</v>
      </c>
      <c r="F12" s="1">
        <v>341.88</v>
      </c>
      <c r="G12" s="1">
        <v>388.95</v>
      </c>
    </row>
    <row r="13" spans="1:7" x14ac:dyDescent="0.3">
      <c r="A13" s="1" t="s">
        <v>17</v>
      </c>
      <c r="B13" s="1">
        <v>40.15</v>
      </c>
      <c r="C13" s="1">
        <v>28.55</v>
      </c>
      <c r="D13" s="1">
        <v>47.42</v>
      </c>
      <c r="E13" s="1">
        <v>61.13</v>
      </c>
      <c r="F13" s="1">
        <v>59.39</v>
      </c>
      <c r="G13" s="1">
        <v>25.95</v>
      </c>
    </row>
    <row r="14" spans="1:7" x14ac:dyDescent="0.3">
      <c r="A14" s="1" t="s">
        <v>18</v>
      </c>
      <c r="B14" s="1">
        <v>78.849999999999994</v>
      </c>
      <c r="C14" s="1">
        <v>59.86</v>
      </c>
      <c r="D14" s="1">
        <v>102.1</v>
      </c>
      <c r="E14" s="1">
        <v>113.28</v>
      </c>
      <c r="F14" s="1">
        <v>117.23</v>
      </c>
      <c r="G14" s="1">
        <v>69.39</v>
      </c>
    </row>
    <row r="15" spans="1:7" x14ac:dyDescent="0.3">
      <c r="A15" s="1" t="s">
        <v>19</v>
      </c>
      <c r="B15" s="1">
        <v>3</v>
      </c>
      <c r="C15" s="1">
        <v>2</v>
      </c>
      <c r="D15" s="1">
        <v>2</v>
      </c>
      <c r="E15" s="1">
        <v>1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1293.68</v>
      </c>
      <c r="C17" s="1">
        <v>1090.58</v>
      </c>
      <c r="D17" s="1">
        <v>668.49</v>
      </c>
      <c r="E17" s="1">
        <v>113.93</v>
      </c>
      <c r="F17" s="1">
        <v>494.94</v>
      </c>
      <c r="G17" s="1">
        <v>911.53</v>
      </c>
    </row>
    <row r="18" spans="1:7" x14ac:dyDescent="0.3">
      <c r="A18" s="1" t="s">
        <v>22</v>
      </c>
      <c r="B18" s="1">
        <v>0</v>
      </c>
      <c r="C18" s="1">
        <v>1.69</v>
      </c>
      <c r="D18" s="1">
        <v>10.15</v>
      </c>
      <c r="E18" s="1">
        <v>460.86</v>
      </c>
      <c r="F18" s="1">
        <v>65.69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4.5999999999999996</v>
      </c>
      <c r="F20" s="1">
        <v>1.7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5.4</v>
      </c>
      <c r="F21" s="1">
        <v>8.3000000000000007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4.5999999999999996</v>
      </c>
      <c r="F24" s="1">
        <v>1.3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3.9</v>
      </c>
      <c r="F25" s="1">
        <v>1.2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1.5</v>
      </c>
      <c r="F26" s="1">
        <v>7.5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46</v>
      </c>
      <c r="F29" s="3">
        <f t="shared" si="1"/>
        <v>13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39</v>
      </c>
      <c r="F30" s="3">
        <f t="shared" si="2"/>
        <v>12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15</v>
      </c>
      <c r="F31" s="3">
        <f t="shared" si="3"/>
        <v>75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128.49</v>
      </c>
      <c r="C33" s="3">
        <v>110.05</v>
      </c>
      <c r="D33" s="3">
        <v>69.95</v>
      </c>
      <c r="E33" s="3">
        <v>-24.09</v>
      </c>
      <c r="F33" s="3">
        <v>32.340000000000003</v>
      </c>
      <c r="G33" s="3">
        <v>95.4</v>
      </c>
    </row>
    <row r="35" spans="1:7" x14ac:dyDescent="0.3">
      <c r="A35" s="3" t="s">
        <v>36</v>
      </c>
      <c r="B35" s="3"/>
      <c r="C35" s="3"/>
      <c r="D35" s="3">
        <f>D33-C33</f>
        <v>-40.099999999999994</v>
      </c>
      <c r="E35" s="3"/>
      <c r="F35" s="3">
        <f>F33-E33</f>
        <v>56.430000000000007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-94.04</v>
      </c>
      <c r="F37" s="3"/>
      <c r="G37" s="3">
        <f>G33-F33</f>
        <v>63.06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92E0-D21C-452A-8C45-080695A02BC9}">
  <dimension ref="A1:G37"/>
  <sheetViews>
    <sheetView tabSelected="1" zoomScale="70" zoomScaleNormal="70" workbookViewId="0">
      <selection activeCell="J24" sqref="J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824.24</v>
      </c>
      <c r="C2" s="1">
        <v>814.3</v>
      </c>
      <c r="D2" s="1">
        <v>806.06</v>
      </c>
      <c r="E2" s="1">
        <v>821.05</v>
      </c>
      <c r="F2" s="1">
        <v>770.88</v>
      </c>
      <c r="G2" s="1">
        <v>823.82</v>
      </c>
    </row>
    <row r="3" spans="1:7" x14ac:dyDescent="0.3">
      <c r="A3" s="1" t="s">
        <v>7</v>
      </c>
      <c r="B3" s="1">
        <v>60.69</v>
      </c>
      <c r="C3" s="1">
        <v>62.37</v>
      </c>
      <c r="D3" s="1">
        <v>58.46</v>
      </c>
      <c r="E3" s="1">
        <v>61.25</v>
      </c>
      <c r="F3" s="1">
        <v>61.24</v>
      </c>
      <c r="G3" s="1">
        <v>60.64</v>
      </c>
    </row>
    <row r="4" spans="1:7" x14ac:dyDescent="0.3">
      <c r="A4" s="1" t="s">
        <v>8</v>
      </c>
      <c r="B4" s="1">
        <v>50869.85</v>
      </c>
      <c r="C4" s="1">
        <v>51665.42</v>
      </c>
      <c r="D4" s="1">
        <v>47887.05</v>
      </c>
      <c r="E4" s="1">
        <v>51145.55</v>
      </c>
      <c r="F4" s="1">
        <v>48017.69</v>
      </c>
      <c r="G4" s="1">
        <v>50802.5</v>
      </c>
    </row>
    <row r="5" spans="1:7" x14ac:dyDescent="0.3">
      <c r="A5" s="1" t="s">
        <v>9</v>
      </c>
      <c r="B5" s="1">
        <v>1080.8499999999999</v>
      </c>
      <c r="C5" s="1">
        <v>954.31</v>
      </c>
      <c r="D5" s="1">
        <v>626.70000000000005</v>
      </c>
      <c r="E5" s="1">
        <v>219.84</v>
      </c>
      <c r="F5" s="1">
        <v>344.71</v>
      </c>
      <c r="G5" s="1">
        <v>723.46</v>
      </c>
    </row>
    <row r="6" spans="1:7" x14ac:dyDescent="0.3">
      <c r="A6" s="3" t="s">
        <v>10</v>
      </c>
      <c r="B6" s="3">
        <v>108.09</v>
      </c>
      <c r="C6" s="3">
        <v>96.4</v>
      </c>
      <c r="D6" s="3">
        <v>63.3</v>
      </c>
      <c r="E6" s="3">
        <v>22.21</v>
      </c>
      <c r="F6" s="3">
        <v>34.82</v>
      </c>
      <c r="G6" s="3">
        <v>73.819999999999993</v>
      </c>
    </row>
    <row r="7" spans="1:7" x14ac:dyDescent="0.3">
      <c r="A7" s="1" t="s">
        <v>11</v>
      </c>
      <c r="B7" s="1">
        <v>1064.81</v>
      </c>
      <c r="C7" s="1">
        <v>928.55</v>
      </c>
      <c r="D7" s="1">
        <v>609.66999999999996</v>
      </c>
      <c r="E7" s="1">
        <v>210.3</v>
      </c>
      <c r="F7" s="1">
        <v>332.43</v>
      </c>
      <c r="G7" s="1">
        <v>705.86</v>
      </c>
    </row>
    <row r="8" spans="1:7" x14ac:dyDescent="0.3">
      <c r="A8" s="1" t="s">
        <v>12</v>
      </c>
      <c r="B8" s="1">
        <v>106.48</v>
      </c>
      <c r="C8" s="1">
        <v>93.79</v>
      </c>
      <c r="D8" s="1">
        <v>61.58</v>
      </c>
      <c r="E8" s="1">
        <v>21.24</v>
      </c>
      <c r="F8" s="1">
        <v>33.58</v>
      </c>
      <c r="G8" s="1">
        <v>72.03</v>
      </c>
    </row>
    <row r="9" spans="1:7" x14ac:dyDescent="0.3">
      <c r="A9" s="1" t="s">
        <v>13</v>
      </c>
      <c r="B9" s="1">
        <v>1064.81</v>
      </c>
      <c r="C9" s="1">
        <v>921.34</v>
      </c>
      <c r="D9" s="1">
        <v>550.85</v>
      </c>
      <c r="E9" s="1">
        <v>107.24</v>
      </c>
      <c r="F9" s="1">
        <v>-197.38</v>
      </c>
      <c r="G9" s="1">
        <v>703.26</v>
      </c>
    </row>
    <row r="10" spans="1:7" x14ac:dyDescent="0.3">
      <c r="A10" s="1" t="s">
        <v>14</v>
      </c>
      <c r="B10" s="1">
        <v>106.48</v>
      </c>
      <c r="C10" s="1">
        <v>93.06</v>
      </c>
      <c r="D10" s="1">
        <v>55.64</v>
      </c>
      <c r="E10" s="1">
        <v>10.83</v>
      </c>
      <c r="F10" s="1">
        <v>-19.940000000000001</v>
      </c>
      <c r="G10" s="1">
        <v>71.760000000000005</v>
      </c>
    </row>
    <row r="11" spans="1:7" x14ac:dyDescent="0.3">
      <c r="A11" s="1" t="s">
        <v>15</v>
      </c>
      <c r="B11" s="1">
        <v>957.32</v>
      </c>
      <c r="C11" s="1">
        <v>751.13</v>
      </c>
      <c r="D11" s="1">
        <v>474.82</v>
      </c>
      <c r="E11" s="1">
        <v>106.87</v>
      </c>
      <c r="F11" s="1">
        <v>81.489999999999995</v>
      </c>
      <c r="G11" s="1">
        <v>569.94000000000005</v>
      </c>
    </row>
    <row r="12" spans="1:7" x14ac:dyDescent="0.3">
      <c r="A12" s="1" t="s">
        <v>16</v>
      </c>
      <c r="B12" s="1">
        <v>452.96</v>
      </c>
      <c r="C12" s="1">
        <v>409.89</v>
      </c>
      <c r="D12" s="1">
        <v>437.36</v>
      </c>
      <c r="E12" s="1">
        <v>424.22</v>
      </c>
      <c r="F12" s="1">
        <v>355.04</v>
      </c>
      <c r="G12" s="1">
        <v>419.15</v>
      </c>
    </row>
    <row r="13" spans="1:7" x14ac:dyDescent="0.3">
      <c r="A13" s="1" t="s">
        <v>17</v>
      </c>
      <c r="B13" s="1">
        <v>32.26</v>
      </c>
      <c r="C13" s="1">
        <v>44.41</v>
      </c>
      <c r="D13" s="1">
        <v>32.770000000000003</v>
      </c>
      <c r="E13" s="1">
        <v>5.95</v>
      </c>
      <c r="F13" s="1">
        <v>22.55</v>
      </c>
      <c r="G13" s="1">
        <v>41.87</v>
      </c>
    </row>
    <row r="14" spans="1:7" x14ac:dyDescent="0.3">
      <c r="A14" s="1" t="s">
        <v>18</v>
      </c>
      <c r="B14" s="1">
        <v>64.88</v>
      </c>
      <c r="C14" s="1">
        <v>105.51</v>
      </c>
      <c r="D14" s="1">
        <v>92.34</v>
      </c>
      <c r="E14" s="1">
        <v>10</v>
      </c>
      <c r="F14" s="1">
        <v>45.4</v>
      </c>
      <c r="G14" s="1">
        <v>104.64</v>
      </c>
    </row>
    <row r="15" spans="1:7" x14ac:dyDescent="0.3">
      <c r="A15" s="1" t="s">
        <v>19</v>
      </c>
      <c r="B15" s="1">
        <v>2</v>
      </c>
      <c r="C15" s="1">
        <v>2</v>
      </c>
      <c r="D15" s="1">
        <v>1</v>
      </c>
      <c r="E15" s="1">
        <v>0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1064.81</v>
      </c>
      <c r="C17" s="1">
        <v>924.95</v>
      </c>
      <c r="D17" s="1">
        <v>580.26</v>
      </c>
      <c r="E17" s="1">
        <v>158.77000000000001</v>
      </c>
      <c r="F17" s="1">
        <v>67.52</v>
      </c>
      <c r="G17" s="1">
        <v>704.56</v>
      </c>
    </row>
    <row r="18" spans="1:7" x14ac:dyDescent="0.3">
      <c r="A18" s="1" t="s">
        <v>22</v>
      </c>
      <c r="B18" s="1">
        <v>0</v>
      </c>
      <c r="C18" s="1">
        <v>3.61</v>
      </c>
      <c r="D18" s="1">
        <v>29.41</v>
      </c>
      <c r="E18" s="1">
        <v>51.53</v>
      </c>
      <c r="F18" s="1">
        <v>264.89999999999998</v>
      </c>
      <c r="G18" s="1">
        <v>1.3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4.2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5.8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4.4000000000000004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4.3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1.3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44.000000000000007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43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13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106.86</v>
      </c>
      <c r="C33" s="3">
        <v>95.36</v>
      </c>
      <c r="D33" s="3">
        <v>58.79</v>
      </c>
      <c r="E33" s="3">
        <v>11.27</v>
      </c>
      <c r="F33" s="3">
        <v>-8.4499999999999993</v>
      </c>
      <c r="G33" s="3">
        <v>73.81</v>
      </c>
    </row>
    <row r="35" spans="1:7" x14ac:dyDescent="0.3">
      <c r="A35" s="3" t="s">
        <v>36</v>
      </c>
      <c r="B35" s="3"/>
      <c r="C35" s="3"/>
      <c r="D35" s="3">
        <f>D33-C33</f>
        <v>-36.57</v>
      </c>
      <c r="E35" s="3"/>
      <c r="F35" s="3">
        <f>F33-E33</f>
        <v>-19.72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-47.519999999999996</v>
      </c>
      <c r="F37" s="3"/>
      <c r="G37" s="3">
        <f>G33-F33</f>
        <v>82.26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3211-DF7F-4404-B2C8-25A199408829}">
  <dimension ref="A1:G37"/>
  <sheetViews>
    <sheetView zoomScale="70" zoomScaleNormal="70" workbookViewId="0">
      <selection activeCell="I21" sqref="I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240608Bwt001.2</vt:lpstr>
      <vt:lpstr>240608Bwt002.1</vt:lpstr>
      <vt:lpstr>240608Bwt002.2</vt:lpstr>
      <vt:lpstr>240608Bwt002.3</vt:lpstr>
      <vt:lpstr>240608Bwt003.2</vt:lpstr>
      <vt:lpstr>240608Bwt003.3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2024-07-12T22:01:35Z</dcterms:created>
  <dcterms:modified xsi:type="dcterms:W3CDTF">2024-07-13T05:20:30Z</dcterms:modified>
</cp:coreProperties>
</file>