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719\WormLab Data\wild-type\"/>
    </mc:Choice>
  </mc:AlternateContent>
  <xr:revisionPtr revIDLastSave="0" documentId="13_ncr:1_{D1176E77-52F7-431A-ADE6-F541ACE4BA2A}" xr6:coauthVersionLast="47" xr6:coauthVersionMax="47" xr10:uidLastSave="{00000000-0000-0000-0000-000000000000}"/>
  <bookViews>
    <workbookView xWindow="768" yWindow="768" windowWidth="21036" windowHeight="11256" activeTab="3" xr2:uid="{A34CD481-FA02-4946-94B7-01FCDE6105C1}"/>
  </bookViews>
  <sheets>
    <sheet name="240719Bwt002.2" sheetId="2" r:id="rId1"/>
    <sheet name="240719Bwt003.1" sheetId="3" r:id="rId2"/>
    <sheet name="240719Bwt003.3" sheetId="4" r:id="rId3"/>
    <sheet name="240719Bwt003.4" sheetId="5" r:id="rId4"/>
    <sheet name="template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5" l="1"/>
  <c r="E37" i="5"/>
  <c r="C37" i="5"/>
  <c r="F35" i="5"/>
  <c r="D35" i="5"/>
  <c r="D31" i="5"/>
  <c r="C31" i="5"/>
  <c r="D30" i="5"/>
  <c r="C30" i="5"/>
  <c r="B30" i="5"/>
  <c r="D29" i="5"/>
  <c r="C29" i="5"/>
  <c r="B29" i="5"/>
  <c r="G28" i="5"/>
  <c r="G31" i="5" s="1"/>
  <c r="F28" i="5"/>
  <c r="F31" i="5" s="1"/>
  <c r="E28" i="5"/>
  <c r="E31" i="5" s="1"/>
  <c r="D28" i="5"/>
  <c r="C28" i="5"/>
  <c r="B28" i="5"/>
  <c r="B31" i="5" s="1"/>
  <c r="G37" i="4"/>
  <c r="E37" i="4"/>
  <c r="C37" i="4"/>
  <c r="F35" i="4"/>
  <c r="D35" i="4"/>
  <c r="G31" i="4"/>
  <c r="F31" i="4"/>
  <c r="E31" i="4"/>
  <c r="D31" i="4"/>
  <c r="G30" i="4"/>
  <c r="F30" i="4"/>
  <c r="E30" i="4"/>
  <c r="D30" i="4"/>
  <c r="C30" i="4"/>
  <c r="B30" i="4"/>
  <c r="G29" i="4"/>
  <c r="F29" i="4"/>
  <c r="E29" i="4"/>
  <c r="D29" i="4"/>
  <c r="C29" i="4"/>
  <c r="G28" i="4"/>
  <c r="F28" i="4"/>
  <c r="E28" i="4"/>
  <c r="D28" i="4"/>
  <c r="C28" i="4"/>
  <c r="C31" i="4" s="1"/>
  <c r="B28" i="4"/>
  <c r="B29" i="4" s="1"/>
  <c r="G37" i="3"/>
  <c r="E37" i="3"/>
  <c r="C37" i="3"/>
  <c r="F35" i="3"/>
  <c r="D35" i="3"/>
  <c r="D31" i="3"/>
  <c r="C31" i="3"/>
  <c r="E30" i="3"/>
  <c r="D30" i="3"/>
  <c r="G28" i="3"/>
  <c r="G31" i="3" s="1"/>
  <c r="F28" i="3"/>
  <c r="F31" i="3" s="1"/>
  <c r="E28" i="3"/>
  <c r="E31" i="3" s="1"/>
  <c r="D28" i="3"/>
  <c r="D29" i="3" s="1"/>
  <c r="C28" i="3"/>
  <c r="C30" i="3" s="1"/>
  <c r="B28" i="3"/>
  <c r="B31" i="3" s="1"/>
  <c r="G37" i="2"/>
  <c r="E37" i="2"/>
  <c r="C37" i="2"/>
  <c r="F35" i="2"/>
  <c r="D35" i="2"/>
  <c r="E31" i="2"/>
  <c r="D31" i="2"/>
  <c r="C31" i="2"/>
  <c r="B31" i="2"/>
  <c r="E30" i="2"/>
  <c r="D30" i="2"/>
  <c r="C30" i="2"/>
  <c r="B30" i="2"/>
  <c r="E29" i="2"/>
  <c r="G28" i="2"/>
  <c r="G31" i="2" s="1"/>
  <c r="F28" i="2"/>
  <c r="F31" i="2" s="1"/>
  <c r="E28" i="2"/>
  <c r="D28" i="2"/>
  <c r="D29" i="2" s="1"/>
  <c r="C28" i="2"/>
  <c r="C29" i="2" s="1"/>
  <c r="B28" i="2"/>
  <c r="B29" i="2" s="1"/>
  <c r="G37" i="1"/>
  <c r="E37" i="1"/>
  <c r="C37" i="1"/>
  <c r="F35" i="1"/>
  <c r="D35" i="1"/>
  <c r="G30" i="1"/>
  <c r="D30" i="1"/>
  <c r="G28" i="1"/>
  <c r="G31" i="1" s="1"/>
  <c r="F28" i="1"/>
  <c r="F29" i="1" s="1"/>
  <c r="E28" i="1"/>
  <c r="E31" i="1" s="1"/>
  <c r="D28" i="1"/>
  <c r="D29" i="1" s="1"/>
  <c r="C28" i="1"/>
  <c r="C29" i="1" s="1"/>
  <c r="B28" i="1"/>
  <c r="B29" i="1" s="1"/>
  <c r="E29" i="5" l="1"/>
  <c r="F29" i="5"/>
  <c r="E30" i="5"/>
  <c r="F30" i="5"/>
  <c r="G30" i="5"/>
  <c r="G29" i="5"/>
  <c r="B31" i="4"/>
  <c r="B29" i="3"/>
  <c r="C29" i="3"/>
  <c r="E29" i="3"/>
  <c r="B30" i="3"/>
  <c r="F30" i="3"/>
  <c r="G30" i="3"/>
  <c r="F29" i="3"/>
  <c r="G29" i="3"/>
  <c r="F29" i="2"/>
  <c r="G29" i="2"/>
  <c r="F30" i="2"/>
  <c r="G30" i="2"/>
  <c r="F30" i="1"/>
  <c r="F31" i="1"/>
  <c r="E29" i="1"/>
  <c r="G29" i="1"/>
  <c r="B31" i="1"/>
  <c r="E30" i="1"/>
  <c r="D31" i="1"/>
  <c r="B30" i="1"/>
  <c r="C31" i="1"/>
  <c r="C30" i="1"/>
</calcChain>
</file>

<file path=xl/sharedStrings.xml><?xml version="1.0" encoding="utf-8"?>
<sst xmlns="http://schemas.openxmlformats.org/spreadsheetml/2006/main" count="190" uniqueCount="37">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</sst>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EC9A3-E517-4CF1-B539-C665E96D72EA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759.43</v>
      </c>
      <c r="C2" s="1">
        <v>746.39</v>
      </c>
      <c r="D2" s="1">
        <v>742.61</v>
      </c>
      <c r="E2" s="1">
        <v>729.65</v>
      </c>
      <c r="F2" s="1">
        <v>727.6</v>
      </c>
      <c r="G2" s="1">
        <v>740.16</v>
      </c>
    </row>
    <row r="3" spans="1:7" x14ac:dyDescent="0.3">
      <c r="A3" s="1" t="s">
        <v>7</v>
      </c>
      <c r="B3" s="1">
        <v>68.67</v>
      </c>
      <c r="C3" s="1">
        <v>61.34</v>
      </c>
      <c r="D3" s="1">
        <v>61.29</v>
      </c>
      <c r="E3" s="1">
        <v>63.67</v>
      </c>
      <c r="F3" s="1">
        <v>63.31</v>
      </c>
      <c r="G3" s="1">
        <v>59.2</v>
      </c>
    </row>
    <row r="4" spans="1:7" x14ac:dyDescent="0.3">
      <c r="A4" s="1" t="s">
        <v>8</v>
      </c>
      <c r="B4" s="1">
        <v>53027.839999999997</v>
      </c>
      <c r="C4" s="1">
        <v>46545.279999999999</v>
      </c>
      <c r="D4" s="1">
        <v>46266.69</v>
      </c>
      <c r="E4" s="1">
        <v>47184.3</v>
      </c>
      <c r="F4" s="1">
        <v>46813.69</v>
      </c>
      <c r="G4" s="1">
        <v>44543.22</v>
      </c>
    </row>
    <row r="5" spans="1:7" x14ac:dyDescent="0.3">
      <c r="A5" s="1" t="s">
        <v>9</v>
      </c>
      <c r="B5" s="1">
        <v>783.76</v>
      </c>
      <c r="C5" s="1">
        <v>975.26</v>
      </c>
      <c r="D5" s="1">
        <v>794.9</v>
      </c>
      <c r="E5" s="1">
        <v>343.45</v>
      </c>
      <c r="F5" s="1">
        <v>723.17</v>
      </c>
      <c r="G5" s="1">
        <v>836.63</v>
      </c>
    </row>
    <row r="6" spans="1:7" x14ac:dyDescent="0.3">
      <c r="A6" s="3" t="s">
        <v>10</v>
      </c>
      <c r="B6" s="3">
        <v>78.38</v>
      </c>
      <c r="C6" s="3">
        <v>98.51</v>
      </c>
      <c r="D6" s="3">
        <v>80.290000000000006</v>
      </c>
      <c r="E6" s="3">
        <v>34.69</v>
      </c>
      <c r="F6" s="3">
        <v>73.05</v>
      </c>
      <c r="G6" s="3">
        <v>85.37</v>
      </c>
    </row>
    <row r="7" spans="1:7" x14ac:dyDescent="0.3">
      <c r="A7" s="1" t="s">
        <v>11</v>
      </c>
      <c r="B7" s="1">
        <v>751.55</v>
      </c>
      <c r="C7" s="1">
        <v>934.36</v>
      </c>
      <c r="D7" s="1">
        <v>740.87</v>
      </c>
      <c r="E7" s="1">
        <v>324.89</v>
      </c>
      <c r="F7" s="1">
        <v>697.16</v>
      </c>
      <c r="G7" s="1">
        <v>752.89</v>
      </c>
    </row>
    <row r="8" spans="1:7" x14ac:dyDescent="0.3">
      <c r="A8" s="1" t="s">
        <v>12</v>
      </c>
      <c r="B8" s="1">
        <v>75.150000000000006</v>
      </c>
      <c r="C8" s="1">
        <v>94.38</v>
      </c>
      <c r="D8" s="1">
        <v>74.84</v>
      </c>
      <c r="E8" s="1">
        <v>32.82</v>
      </c>
      <c r="F8" s="1">
        <v>70.42</v>
      </c>
      <c r="G8" s="1">
        <v>76.83</v>
      </c>
    </row>
    <row r="9" spans="1:7" x14ac:dyDescent="0.3">
      <c r="A9" s="1" t="s">
        <v>13</v>
      </c>
      <c r="B9" s="1">
        <v>735.21</v>
      </c>
      <c r="C9" s="1">
        <v>881.96</v>
      </c>
      <c r="D9" s="1">
        <v>598.46</v>
      </c>
      <c r="E9" s="1">
        <v>110.92</v>
      </c>
      <c r="F9" s="1">
        <v>434.01</v>
      </c>
      <c r="G9" s="1">
        <v>710.43</v>
      </c>
    </row>
    <row r="10" spans="1:7" x14ac:dyDescent="0.3">
      <c r="A10" s="1" t="s">
        <v>14</v>
      </c>
      <c r="B10" s="1">
        <v>73.52</v>
      </c>
      <c r="C10" s="1">
        <v>89.09</v>
      </c>
      <c r="D10" s="1">
        <v>60.45</v>
      </c>
      <c r="E10" s="1">
        <v>11.2</v>
      </c>
      <c r="F10" s="1">
        <v>43.84</v>
      </c>
      <c r="G10" s="1">
        <v>72.489999999999995</v>
      </c>
    </row>
    <row r="11" spans="1:7" x14ac:dyDescent="0.3">
      <c r="A11" s="1" t="s">
        <v>15</v>
      </c>
      <c r="B11" s="1">
        <v>526.71</v>
      </c>
      <c r="C11" s="1">
        <v>644.04</v>
      </c>
      <c r="D11" s="1">
        <v>479.43</v>
      </c>
      <c r="E11" s="1">
        <v>35.11</v>
      </c>
      <c r="F11" s="1">
        <v>243.31</v>
      </c>
      <c r="G11" s="1">
        <v>589.20000000000005</v>
      </c>
    </row>
    <row r="12" spans="1:7" x14ac:dyDescent="0.3">
      <c r="A12" s="1" t="s">
        <v>16</v>
      </c>
      <c r="B12" s="1">
        <v>448.28</v>
      </c>
      <c r="C12" s="1">
        <v>445.04</v>
      </c>
      <c r="D12" s="1">
        <v>407.19</v>
      </c>
      <c r="E12" s="1">
        <v>407.62</v>
      </c>
      <c r="F12" s="1">
        <v>401.8</v>
      </c>
      <c r="G12" s="1">
        <v>418.04</v>
      </c>
    </row>
    <row r="13" spans="1:7" x14ac:dyDescent="0.3">
      <c r="A13" s="1" t="s">
        <v>17</v>
      </c>
      <c r="B13" s="1">
        <v>65.11</v>
      </c>
      <c r="C13" s="1">
        <v>44.68</v>
      </c>
      <c r="D13" s="1">
        <v>27.74</v>
      </c>
      <c r="E13" s="1">
        <v>40.32</v>
      </c>
      <c r="F13" s="1">
        <v>54.94</v>
      </c>
      <c r="G13" s="1">
        <v>30</v>
      </c>
    </row>
    <row r="14" spans="1:7" x14ac:dyDescent="0.3">
      <c r="A14" s="1" t="s">
        <v>18</v>
      </c>
      <c r="B14" s="1">
        <v>119.64</v>
      </c>
      <c r="C14" s="1">
        <v>111.29</v>
      </c>
      <c r="D14" s="1">
        <v>65.510000000000005</v>
      </c>
      <c r="E14" s="1">
        <v>57.86</v>
      </c>
      <c r="F14" s="1">
        <v>109.09</v>
      </c>
      <c r="G14" s="1">
        <v>74.400000000000006</v>
      </c>
    </row>
    <row r="15" spans="1:7" x14ac:dyDescent="0.3">
      <c r="A15" s="1" t="s">
        <v>19</v>
      </c>
      <c r="B15" s="1">
        <v>4</v>
      </c>
      <c r="C15" s="1">
        <v>3</v>
      </c>
      <c r="D15" s="1">
        <v>3</v>
      </c>
      <c r="E15" s="1">
        <v>1</v>
      </c>
      <c r="F15" s="1">
        <v>2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743.38</v>
      </c>
      <c r="C17" s="1">
        <v>908.16</v>
      </c>
      <c r="D17" s="1">
        <v>669.66</v>
      </c>
      <c r="E17" s="1">
        <v>217.9</v>
      </c>
      <c r="F17" s="1">
        <v>565.59</v>
      </c>
      <c r="G17" s="1">
        <v>731.66</v>
      </c>
    </row>
    <row r="18" spans="1:7" x14ac:dyDescent="0.3">
      <c r="A18" s="1" t="s">
        <v>22</v>
      </c>
      <c r="B18" s="1">
        <v>8.17</v>
      </c>
      <c r="C18" s="1">
        <v>26.2</v>
      </c>
      <c r="D18" s="1">
        <v>71.209999999999994</v>
      </c>
      <c r="E18" s="1">
        <v>106.98</v>
      </c>
      <c r="F18" s="1">
        <v>131.58000000000001</v>
      </c>
      <c r="G18" s="1">
        <v>21.23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2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3.7</v>
      </c>
      <c r="F20" s="1">
        <v>3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6.3</v>
      </c>
      <c r="F21" s="1">
        <v>7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1.7</v>
      </c>
      <c r="F24" s="1">
        <v>3.2</v>
      </c>
      <c r="G24" s="1">
        <v>0</v>
      </c>
    </row>
    <row r="25" spans="1:7" x14ac:dyDescent="0.3">
      <c r="A25" s="1" t="s">
        <v>29</v>
      </c>
      <c r="B25" s="1">
        <v>1</v>
      </c>
      <c r="C25" s="1">
        <v>1</v>
      </c>
      <c r="D25" s="1">
        <v>1.8</v>
      </c>
      <c r="E25" s="1">
        <v>8.3000000000000007</v>
      </c>
      <c r="F25" s="1">
        <v>0</v>
      </c>
      <c r="G25" s="1">
        <v>0</v>
      </c>
    </row>
    <row r="26" spans="1:7" x14ac:dyDescent="0.3">
      <c r="A26" s="1" t="s">
        <v>30</v>
      </c>
      <c r="B26" s="1">
        <v>9.1</v>
      </c>
      <c r="C26" s="1">
        <v>9</v>
      </c>
      <c r="D26" s="1">
        <v>8.1999999999999993</v>
      </c>
      <c r="E26" s="1">
        <v>0</v>
      </c>
      <c r="F26" s="1">
        <v>6.8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 t="shared" ref="B28:G28" si="0">SUM(B24:B26)</f>
        <v>10.1</v>
      </c>
      <c r="C28" s="1">
        <f t="shared" si="0"/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 t="shared" ref="B29:G29" si="1">B24/B28*100</f>
        <v>0</v>
      </c>
      <c r="C29" s="3">
        <f t="shared" si="1"/>
        <v>0</v>
      </c>
      <c r="D29" s="3">
        <f t="shared" si="1"/>
        <v>0</v>
      </c>
      <c r="E29" s="3">
        <f t="shared" si="1"/>
        <v>17</v>
      </c>
      <c r="F29" s="3">
        <f t="shared" si="1"/>
        <v>32</v>
      </c>
      <c r="G29" s="3">
        <f t="shared" si="1"/>
        <v>0</v>
      </c>
    </row>
    <row r="30" spans="1:7" x14ac:dyDescent="0.3">
      <c r="A30" s="3" t="s">
        <v>33</v>
      </c>
      <c r="B30" s="3">
        <f t="shared" ref="B30:G30" si="2">B25/B28*100</f>
        <v>9.9009900990099009</v>
      </c>
      <c r="C30" s="3">
        <f t="shared" si="2"/>
        <v>10</v>
      </c>
      <c r="D30" s="3">
        <f t="shared" si="2"/>
        <v>18</v>
      </c>
      <c r="E30" s="3">
        <f t="shared" si="2"/>
        <v>83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 t="shared" ref="B31:G31" si="3">B26/B28*100</f>
        <v>90.099009900990097</v>
      </c>
      <c r="C31" s="3">
        <f t="shared" si="3"/>
        <v>90</v>
      </c>
      <c r="D31" s="3">
        <f t="shared" si="3"/>
        <v>82</v>
      </c>
      <c r="E31" s="3">
        <f t="shared" si="3"/>
        <v>0</v>
      </c>
      <c r="F31" s="3">
        <f t="shared" si="3"/>
        <v>68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76.069999999999993</v>
      </c>
      <c r="C33" s="3">
        <v>91.21</v>
      </c>
      <c r="D33" s="3">
        <v>57.68</v>
      </c>
      <c r="E33" s="3">
        <v>3.43</v>
      </c>
      <c r="F33" s="3">
        <v>24.04</v>
      </c>
      <c r="G33" s="3">
        <v>75.39</v>
      </c>
    </row>
    <row r="35" spans="1:7" x14ac:dyDescent="0.3">
      <c r="A35" s="3" t="s">
        <v>36</v>
      </c>
      <c r="B35" s="3"/>
      <c r="C35" s="3"/>
      <c r="D35" s="3">
        <f>D33-C33</f>
        <v>-33.529999999999994</v>
      </c>
      <c r="E35" s="3"/>
      <c r="F35" s="3">
        <f>F33-E33</f>
        <v>20.61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-54.25</v>
      </c>
      <c r="F37" s="3"/>
      <c r="G37" s="3">
        <f>G33-F33</f>
        <v>51.35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7EE5-A76B-4B17-9277-FF4EFC0DC470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748.36</v>
      </c>
      <c r="C2" s="1">
        <v>726.42</v>
      </c>
      <c r="D2" s="1">
        <v>722.82</v>
      </c>
      <c r="E2" s="1">
        <v>738.11</v>
      </c>
      <c r="F2" s="1">
        <v>718.11</v>
      </c>
      <c r="G2" s="1">
        <v>726.11</v>
      </c>
    </row>
    <row r="3" spans="1:7" x14ac:dyDescent="0.3">
      <c r="A3" s="1" t="s">
        <v>7</v>
      </c>
      <c r="B3" s="1">
        <v>57.19</v>
      </c>
      <c r="C3" s="1">
        <v>58.46</v>
      </c>
      <c r="D3" s="1">
        <v>57.68</v>
      </c>
      <c r="E3" s="1">
        <v>59.6</v>
      </c>
      <c r="F3" s="1">
        <v>62.3</v>
      </c>
      <c r="G3" s="1">
        <v>65.290000000000006</v>
      </c>
    </row>
    <row r="4" spans="1:7" x14ac:dyDescent="0.3">
      <c r="A4" s="1" t="s">
        <v>8</v>
      </c>
      <c r="B4" s="1">
        <v>43505.16</v>
      </c>
      <c r="C4" s="1">
        <v>43156.08</v>
      </c>
      <c r="D4" s="1">
        <v>42328.92</v>
      </c>
      <c r="E4" s="1">
        <v>44683.43</v>
      </c>
      <c r="F4" s="1">
        <v>45437.54</v>
      </c>
      <c r="G4" s="1">
        <v>48158.239999999998</v>
      </c>
    </row>
    <row r="5" spans="1:7" x14ac:dyDescent="0.3">
      <c r="A5" s="1" t="s">
        <v>9</v>
      </c>
      <c r="B5" s="1">
        <v>1337.32</v>
      </c>
      <c r="C5" s="1">
        <v>1355.3</v>
      </c>
      <c r="D5" s="1">
        <v>1000.46</v>
      </c>
      <c r="E5" s="1">
        <v>820.83</v>
      </c>
      <c r="F5" s="1">
        <v>778.15</v>
      </c>
      <c r="G5" s="1">
        <v>1136.44</v>
      </c>
    </row>
    <row r="6" spans="1:7" x14ac:dyDescent="0.3">
      <c r="A6" s="3" t="s">
        <v>10</v>
      </c>
      <c r="B6" s="3">
        <v>133.72999999999999</v>
      </c>
      <c r="C6" s="3">
        <v>136.9</v>
      </c>
      <c r="D6" s="3">
        <v>101.06</v>
      </c>
      <c r="E6" s="3">
        <v>82.91</v>
      </c>
      <c r="F6" s="3">
        <v>78.599999999999994</v>
      </c>
      <c r="G6" s="3">
        <v>115.96</v>
      </c>
    </row>
    <row r="7" spans="1:7" x14ac:dyDescent="0.3">
      <c r="A7" s="1" t="s">
        <v>11</v>
      </c>
      <c r="B7" s="1">
        <v>1217.02</v>
      </c>
      <c r="C7" s="1">
        <v>1246.1400000000001</v>
      </c>
      <c r="D7" s="1">
        <v>839.74</v>
      </c>
      <c r="E7" s="1">
        <v>719.61</v>
      </c>
      <c r="F7" s="1">
        <v>715.31</v>
      </c>
      <c r="G7" s="1">
        <v>1070.5</v>
      </c>
    </row>
    <row r="8" spans="1:7" x14ac:dyDescent="0.3">
      <c r="A8" s="1" t="s">
        <v>12</v>
      </c>
      <c r="B8" s="1">
        <v>121.7</v>
      </c>
      <c r="C8" s="1">
        <v>125.87</v>
      </c>
      <c r="D8" s="1">
        <v>84.82</v>
      </c>
      <c r="E8" s="1">
        <v>72.69</v>
      </c>
      <c r="F8" s="1">
        <v>72.25</v>
      </c>
      <c r="G8" s="1">
        <v>109.23</v>
      </c>
    </row>
    <row r="9" spans="1:7" x14ac:dyDescent="0.3">
      <c r="A9" s="1" t="s">
        <v>13</v>
      </c>
      <c r="B9" s="1">
        <v>1203.3499999999999</v>
      </c>
      <c r="C9" s="1">
        <v>1246.0999999999999</v>
      </c>
      <c r="D9" s="1">
        <v>706.7</v>
      </c>
      <c r="E9" s="1">
        <v>613.38</v>
      </c>
      <c r="F9" s="1">
        <v>450.28</v>
      </c>
      <c r="G9" s="1">
        <v>1066.75</v>
      </c>
    </row>
    <row r="10" spans="1:7" x14ac:dyDescent="0.3">
      <c r="A10" s="1" t="s">
        <v>14</v>
      </c>
      <c r="B10" s="1">
        <v>120.33</v>
      </c>
      <c r="C10" s="1">
        <v>125.87</v>
      </c>
      <c r="D10" s="1">
        <v>71.38</v>
      </c>
      <c r="E10" s="1">
        <v>61.96</v>
      </c>
      <c r="F10" s="1">
        <v>45.48</v>
      </c>
      <c r="G10" s="1">
        <v>108.85</v>
      </c>
    </row>
    <row r="11" spans="1:7" x14ac:dyDescent="0.3">
      <c r="A11" s="1" t="s">
        <v>15</v>
      </c>
      <c r="B11" s="1">
        <v>914.74</v>
      </c>
      <c r="C11" s="1">
        <v>987.56</v>
      </c>
      <c r="D11" s="1">
        <v>532.82000000000005</v>
      </c>
      <c r="E11" s="1">
        <v>491.52</v>
      </c>
      <c r="F11" s="1">
        <v>243.07</v>
      </c>
      <c r="G11" s="1">
        <v>807.77</v>
      </c>
    </row>
    <row r="12" spans="1:7" x14ac:dyDescent="0.3">
      <c r="A12" s="1" t="s">
        <v>16</v>
      </c>
      <c r="B12" s="1">
        <v>440.82</v>
      </c>
      <c r="C12" s="1">
        <v>420.14</v>
      </c>
      <c r="D12" s="1">
        <v>397.29</v>
      </c>
      <c r="E12" s="1">
        <v>363.09</v>
      </c>
      <c r="F12" s="1">
        <v>337.43</v>
      </c>
      <c r="G12" s="1">
        <v>386.34</v>
      </c>
    </row>
    <row r="13" spans="1:7" x14ac:dyDescent="0.3">
      <c r="A13" s="1" t="s">
        <v>17</v>
      </c>
      <c r="B13" s="1">
        <v>40.53</v>
      </c>
      <c r="C13" s="1">
        <v>45.87</v>
      </c>
      <c r="D13" s="1">
        <v>29.17</v>
      </c>
      <c r="E13" s="1">
        <v>38.14</v>
      </c>
      <c r="F13" s="1">
        <v>43.08</v>
      </c>
      <c r="G13" s="1">
        <v>51.23</v>
      </c>
    </row>
    <row r="14" spans="1:7" x14ac:dyDescent="0.3">
      <c r="A14" s="1" t="s">
        <v>18</v>
      </c>
      <c r="B14" s="1">
        <v>108.36</v>
      </c>
      <c r="C14" s="1">
        <v>107.23</v>
      </c>
      <c r="D14" s="1">
        <v>54.42</v>
      </c>
      <c r="E14" s="1">
        <v>90.22</v>
      </c>
      <c r="F14" s="1">
        <v>130.09</v>
      </c>
      <c r="G14" s="1">
        <v>103.51</v>
      </c>
    </row>
    <row r="15" spans="1:7" x14ac:dyDescent="0.3">
      <c r="A15" s="1" t="s">
        <v>19</v>
      </c>
      <c r="B15" s="1">
        <v>3</v>
      </c>
      <c r="C15" s="1">
        <v>5</v>
      </c>
      <c r="D15" s="1">
        <v>2</v>
      </c>
      <c r="E15" s="1">
        <v>2</v>
      </c>
      <c r="F15" s="1">
        <v>2</v>
      </c>
      <c r="G15" s="1">
        <v>3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1210.19</v>
      </c>
      <c r="C17" s="1">
        <v>1246.1199999999999</v>
      </c>
      <c r="D17" s="1">
        <v>773.22</v>
      </c>
      <c r="E17" s="1">
        <v>666.49</v>
      </c>
      <c r="F17" s="1">
        <v>582.79999999999995</v>
      </c>
      <c r="G17" s="1">
        <v>1068.6199999999999</v>
      </c>
    </row>
    <row r="18" spans="1:7" x14ac:dyDescent="0.3">
      <c r="A18" s="1" t="s">
        <v>22</v>
      </c>
      <c r="B18" s="1">
        <v>6.84</v>
      </c>
      <c r="C18" s="1">
        <v>0.02</v>
      </c>
      <c r="D18" s="1">
        <v>66.52</v>
      </c>
      <c r="E18" s="1">
        <v>53.12</v>
      </c>
      <c r="F18" s="1">
        <v>132.52000000000001</v>
      </c>
      <c r="G18" s="1">
        <v>1.87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2.4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7.6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2.6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2</v>
      </c>
      <c r="F25" s="1">
        <v>1.7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8</v>
      </c>
      <c r="F26" s="1">
        <v>5.7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 t="shared" ref="B28:G28" si="0">SUM(B24:B26)</f>
        <v>10.1</v>
      </c>
      <c r="C28" s="1">
        <f t="shared" si="0"/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 t="shared" ref="B29:G29" si="1">B24/B28*100</f>
        <v>0</v>
      </c>
      <c r="C29" s="3">
        <f t="shared" si="1"/>
        <v>0</v>
      </c>
      <c r="D29" s="3">
        <f t="shared" si="1"/>
        <v>0</v>
      </c>
      <c r="E29" s="3">
        <f t="shared" si="1"/>
        <v>0</v>
      </c>
      <c r="F29" s="3">
        <f t="shared" si="1"/>
        <v>26</v>
      </c>
      <c r="G29" s="3">
        <f t="shared" si="1"/>
        <v>0</v>
      </c>
    </row>
    <row r="30" spans="1:7" x14ac:dyDescent="0.3">
      <c r="A30" s="3" t="s">
        <v>33</v>
      </c>
      <c r="B30" s="3">
        <f t="shared" ref="B30:G30" si="2">B25/B28*100</f>
        <v>0</v>
      </c>
      <c r="C30" s="3">
        <f t="shared" si="2"/>
        <v>0</v>
      </c>
      <c r="D30" s="3">
        <f t="shared" si="2"/>
        <v>0</v>
      </c>
      <c r="E30" s="3">
        <f t="shared" si="2"/>
        <v>20</v>
      </c>
      <c r="F30" s="3">
        <f t="shared" si="2"/>
        <v>17</v>
      </c>
      <c r="G30" s="3">
        <f t="shared" si="2"/>
        <v>0</v>
      </c>
    </row>
    <row r="31" spans="1:7" x14ac:dyDescent="0.3">
      <c r="A31" s="3" t="s">
        <v>34</v>
      </c>
      <c r="B31" s="3">
        <f t="shared" ref="B31:G31" si="3">B26/B28*100</f>
        <v>100</v>
      </c>
      <c r="C31" s="3">
        <f t="shared" si="3"/>
        <v>100</v>
      </c>
      <c r="D31" s="3">
        <f t="shared" si="3"/>
        <v>100</v>
      </c>
      <c r="E31" s="3">
        <f t="shared" si="3"/>
        <v>80</v>
      </c>
      <c r="F31" s="3">
        <f t="shared" si="3"/>
        <v>57.000000000000007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130.97999999999999</v>
      </c>
      <c r="C33" s="3">
        <v>133.66</v>
      </c>
      <c r="D33" s="3">
        <v>76.59</v>
      </c>
      <c r="E33" s="3">
        <v>66.540000000000006</v>
      </c>
      <c r="F33" s="3">
        <v>28.91</v>
      </c>
      <c r="G33" s="3">
        <v>118.38</v>
      </c>
    </row>
    <row r="35" spans="1:7" x14ac:dyDescent="0.3">
      <c r="A35" s="3" t="s">
        <v>36</v>
      </c>
      <c r="B35" s="3"/>
      <c r="C35" s="3"/>
      <c r="D35" s="3">
        <f>D33-C33</f>
        <v>-57.069999999999993</v>
      </c>
      <c r="E35" s="3"/>
      <c r="F35" s="3">
        <f>F33-E33</f>
        <v>-37.63000000000001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-10.049999999999997</v>
      </c>
      <c r="F37" s="3"/>
      <c r="G37" s="3">
        <f>G33-F33</f>
        <v>89.47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DCA2A-AC70-4B18-A110-EE37B0BC6ED5}">
  <dimension ref="A1:G37"/>
  <sheetViews>
    <sheetView zoomScale="70" zoomScaleNormal="70" workbookViewId="0">
      <selection activeCell="D36" sqref="D36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800.93</v>
      </c>
      <c r="C2" s="1">
        <v>796.79</v>
      </c>
      <c r="D2" s="1">
        <v>801.11</v>
      </c>
      <c r="E2" s="1">
        <v>771.31</v>
      </c>
      <c r="F2" s="1">
        <v>754.31</v>
      </c>
      <c r="G2" s="1">
        <v>790.27</v>
      </c>
    </row>
    <row r="3" spans="1:7" x14ac:dyDescent="0.3">
      <c r="A3" s="1" t="s">
        <v>7</v>
      </c>
      <c r="B3" s="1">
        <v>66.790000000000006</v>
      </c>
      <c r="C3" s="1">
        <v>71.48</v>
      </c>
      <c r="D3" s="1">
        <v>76.69</v>
      </c>
      <c r="E3" s="1">
        <v>75.53</v>
      </c>
      <c r="F3" s="1">
        <v>76.25</v>
      </c>
      <c r="G3" s="1">
        <v>76.7</v>
      </c>
    </row>
    <row r="4" spans="1:7" x14ac:dyDescent="0.3">
      <c r="A4" s="1" t="s">
        <v>8</v>
      </c>
      <c r="B4" s="1">
        <v>54395.360000000001</v>
      </c>
      <c r="C4" s="1">
        <v>57912.639999999999</v>
      </c>
      <c r="D4" s="1">
        <v>62507.53</v>
      </c>
      <c r="E4" s="1">
        <v>59289.63</v>
      </c>
      <c r="F4" s="1">
        <v>58503.94</v>
      </c>
      <c r="G4" s="1">
        <v>61619.360000000001</v>
      </c>
    </row>
    <row r="5" spans="1:7" x14ac:dyDescent="0.3">
      <c r="A5" s="1" t="s">
        <v>9</v>
      </c>
      <c r="B5" s="1">
        <v>1449.4</v>
      </c>
      <c r="C5" s="1">
        <v>1610.27</v>
      </c>
      <c r="D5" s="1">
        <v>1412.82</v>
      </c>
      <c r="E5" s="1">
        <v>1193.03</v>
      </c>
      <c r="F5" s="1">
        <v>776.05</v>
      </c>
      <c r="G5" s="1">
        <v>1400.81</v>
      </c>
    </row>
    <row r="6" spans="1:7" x14ac:dyDescent="0.3">
      <c r="A6" s="3" t="s">
        <v>10</v>
      </c>
      <c r="B6" s="3">
        <v>144.94</v>
      </c>
      <c r="C6" s="3">
        <v>162.65</v>
      </c>
      <c r="D6" s="3">
        <v>142.71</v>
      </c>
      <c r="E6" s="3">
        <v>120.51</v>
      </c>
      <c r="F6" s="3">
        <v>78.39</v>
      </c>
      <c r="G6" s="3">
        <v>142.94</v>
      </c>
    </row>
    <row r="7" spans="1:7" x14ac:dyDescent="0.3">
      <c r="A7" s="1" t="s">
        <v>11</v>
      </c>
      <c r="B7" s="1">
        <v>1389.49</v>
      </c>
      <c r="C7" s="1">
        <v>1572.63</v>
      </c>
      <c r="D7" s="1">
        <v>1388.93</v>
      </c>
      <c r="E7" s="1">
        <v>1150.31</v>
      </c>
      <c r="F7" s="1">
        <v>746.32</v>
      </c>
      <c r="G7" s="1">
        <v>1346.55</v>
      </c>
    </row>
    <row r="8" spans="1:7" x14ac:dyDescent="0.3">
      <c r="A8" s="1" t="s">
        <v>12</v>
      </c>
      <c r="B8" s="1">
        <v>138.94999999999999</v>
      </c>
      <c r="C8" s="1">
        <v>158.85</v>
      </c>
      <c r="D8" s="1">
        <v>140.30000000000001</v>
      </c>
      <c r="E8" s="1">
        <v>116.19</v>
      </c>
      <c r="F8" s="1">
        <v>75.39</v>
      </c>
      <c r="G8" s="1">
        <v>137.4</v>
      </c>
    </row>
    <row r="9" spans="1:7" x14ac:dyDescent="0.3">
      <c r="A9" s="1" t="s">
        <v>13</v>
      </c>
      <c r="B9" s="1">
        <v>1389.49</v>
      </c>
      <c r="C9" s="1">
        <v>1572.63</v>
      </c>
      <c r="D9" s="1">
        <v>1388.93</v>
      </c>
      <c r="E9" s="1">
        <v>1075.46</v>
      </c>
      <c r="F9" s="1">
        <v>449.5</v>
      </c>
      <c r="G9" s="1">
        <v>1346.55</v>
      </c>
    </row>
    <row r="10" spans="1:7" x14ac:dyDescent="0.3">
      <c r="A10" s="1" t="s">
        <v>14</v>
      </c>
      <c r="B10" s="1">
        <v>138.94999999999999</v>
      </c>
      <c r="C10" s="1">
        <v>158.85</v>
      </c>
      <c r="D10" s="1">
        <v>140.30000000000001</v>
      </c>
      <c r="E10" s="1">
        <v>108.63</v>
      </c>
      <c r="F10" s="1">
        <v>45.4</v>
      </c>
      <c r="G10" s="1">
        <v>137.4</v>
      </c>
    </row>
    <row r="11" spans="1:7" x14ac:dyDescent="0.3">
      <c r="A11" s="1" t="s">
        <v>15</v>
      </c>
      <c r="B11" s="1">
        <v>1014.09</v>
      </c>
      <c r="C11" s="1">
        <v>1210.57</v>
      </c>
      <c r="D11" s="1">
        <v>1135.1300000000001</v>
      </c>
      <c r="E11" s="1">
        <v>803.35</v>
      </c>
      <c r="F11" s="1">
        <v>212.82</v>
      </c>
      <c r="G11" s="1">
        <v>1074.56</v>
      </c>
    </row>
    <row r="12" spans="1:7" x14ac:dyDescent="0.3">
      <c r="A12" s="1" t="s">
        <v>16</v>
      </c>
      <c r="B12" s="1">
        <v>440.37</v>
      </c>
      <c r="C12" s="1">
        <v>430.09</v>
      </c>
      <c r="D12" s="1">
        <v>427.78</v>
      </c>
      <c r="E12" s="1">
        <v>396.83</v>
      </c>
      <c r="F12" s="1">
        <v>349.96</v>
      </c>
      <c r="G12" s="1">
        <v>423.79</v>
      </c>
    </row>
    <row r="13" spans="1:7" x14ac:dyDescent="0.3">
      <c r="A13" s="1" t="s">
        <v>17</v>
      </c>
      <c r="B13" s="1">
        <v>40.200000000000003</v>
      </c>
      <c r="C13" s="1">
        <v>50.87</v>
      </c>
      <c r="D13" s="1">
        <v>44.04</v>
      </c>
      <c r="E13" s="1">
        <v>61.66</v>
      </c>
      <c r="F13" s="1">
        <v>57.56</v>
      </c>
      <c r="G13" s="1">
        <v>34.42</v>
      </c>
    </row>
    <row r="14" spans="1:7" x14ac:dyDescent="0.3">
      <c r="A14" s="1" t="s">
        <v>18</v>
      </c>
      <c r="B14" s="1">
        <v>104.84</v>
      </c>
      <c r="C14" s="1">
        <v>117.33</v>
      </c>
      <c r="D14" s="1">
        <v>110.83</v>
      </c>
      <c r="E14" s="1">
        <v>129.84</v>
      </c>
      <c r="F14" s="1">
        <v>95.33</v>
      </c>
      <c r="G14" s="1">
        <v>71.08</v>
      </c>
    </row>
    <row r="15" spans="1:7" x14ac:dyDescent="0.3">
      <c r="A15" s="1" t="s">
        <v>19</v>
      </c>
      <c r="B15" s="1">
        <v>5</v>
      </c>
      <c r="C15" s="1">
        <v>4</v>
      </c>
      <c r="D15" s="1">
        <v>4</v>
      </c>
      <c r="E15" s="1">
        <v>3</v>
      </c>
      <c r="F15" s="1">
        <v>2</v>
      </c>
      <c r="G15" s="1">
        <v>3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1389.49</v>
      </c>
      <c r="C17" s="1">
        <v>1572.63</v>
      </c>
      <c r="D17" s="1">
        <v>1388.93</v>
      </c>
      <c r="E17" s="1">
        <v>1112.8900000000001</v>
      </c>
      <c r="F17" s="1">
        <v>597.91</v>
      </c>
      <c r="G17" s="1">
        <v>1346.55</v>
      </c>
    </row>
    <row r="18" spans="1:7" x14ac:dyDescent="0.3">
      <c r="A18" s="1" t="s">
        <v>22</v>
      </c>
      <c r="B18" s="1">
        <v>0</v>
      </c>
      <c r="C18" s="1">
        <v>0</v>
      </c>
      <c r="D18" s="1">
        <v>0</v>
      </c>
      <c r="E18" s="1">
        <v>37.42</v>
      </c>
      <c r="F18" s="1">
        <v>148.41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2.4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7.6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3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1.8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5.2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 t="shared" ref="B28:G28" si="0">SUM(B24:B26)</f>
        <v>10.1</v>
      </c>
      <c r="C28" s="1">
        <f t="shared" si="0"/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 t="shared" ref="B29:G29" si="1">B24/B28*100</f>
        <v>0</v>
      </c>
      <c r="C29" s="3">
        <f t="shared" si="1"/>
        <v>0</v>
      </c>
      <c r="D29" s="3">
        <f t="shared" si="1"/>
        <v>0</v>
      </c>
      <c r="E29" s="3">
        <f t="shared" si="1"/>
        <v>0</v>
      </c>
      <c r="F29" s="3">
        <f t="shared" si="1"/>
        <v>30</v>
      </c>
      <c r="G29" s="3">
        <f t="shared" si="1"/>
        <v>0</v>
      </c>
    </row>
    <row r="30" spans="1:7" x14ac:dyDescent="0.3">
      <c r="A30" s="3" t="s">
        <v>33</v>
      </c>
      <c r="B30" s="3">
        <f t="shared" ref="B30:G30" si="2">B25/B28*100</f>
        <v>0</v>
      </c>
      <c r="C30" s="3">
        <f t="shared" si="2"/>
        <v>0</v>
      </c>
      <c r="D30" s="3">
        <f t="shared" si="2"/>
        <v>0</v>
      </c>
      <c r="E30" s="3">
        <f t="shared" si="2"/>
        <v>0</v>
      </c>
      <c r="F30" s="3">
        <f t="shared" si="2"/>
        <v>18</v>
      </c>
      <c r="G30" s="3">
        <f t="shared" si="2"/>
        <v>0</v>
      </c>
    </row>
    <row r="31" spans="1:7" x14ac:dyDescent="0.3">
      <c r="A31" s="3" t="s">
        <v>34</v>
      </c>
      <c r="B31" s="3">
        <f t="shared" ref="B31:G31" si="3">B26/B28*100</f>
        <v>100</v>
      </c>
      <c r="C31" s="3">
        <f t="shared" si="3"/>
        <v>100</v>
      </c>
      <c r="D31" s="3">
        <f t="shared" si="3"/>
        <v>100</v>
      </c>
      <c r="E31" s="3">
        <f t="shared" si="3"/>
        <v>100</v>
      </c>
      <c r="F31" s="3">
        <f t="shared" si="3"/>
        <v>52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139.94</v>
      </c>
      <c r="C33" s="3">
        <v>160.99</v>
      </c>
      <c r="D33" s="3">
        <v>140.87</v>
      </c>
      <c r="E33" s="3">
        <v>111.6</v>
      </c>
      <c r="F33" s="3">
        <v>25.84</v>
      </c>
      <c r="G33" s="3">
        <v>142.21</v>
      </c>
    </row>
    <row r="35" spans="1:7" x14ac:dyDescent="0.3">
      <c r="A35" s="3" t="s">
        <v>36</v>
      </c>
      <c r="B35" s="3"/>
      <c r="C35" s="3"/>
      <c r="D35" s="3">
        <f>D33-C33</f>
        <v>-20.120000000000005</v>
      </c>
      <c r="E35" s="3"/>
      <c r="F35" s="3">
        <f>F33-E33</f>
        <v>-85.759999999999991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-29.27000000000001</v>
      </c>
      <c r="F37" s="3"/>
      <c r="G37" s="3">
        <f>G33-F33</f>
        <v>116.37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D319-BC0D-4562-AC0E-84495A6B5D49}">
  <dimension ref="A1:G37"/>
  <sheetViews>
    <sheetView tabSelected="1" zoomScale="70" zoomScaleNormal="70" workbookViewId="0">
      <selection activeCell="M26" sqref="M26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666.26</v>
      </c>
      <c r="C2" s="1">
        <v>658.74</v>
      </c>
      <c r="D2" s="1">
        <v>631.97</v>
      </c>
      <c r="E2" s="1">
        <v>712.78</v>
      </c>
      <c r="F2" s="1">
        <v>684.01</v>
      </c>
      <c r="G2" s="1">
        <v>717.03</v>
      </c>
    </row>
    <row r="3" spans="1:7" x14ac:dyDescent="0.3">
      <c r="A3" s="1" t="s">
        <v>7</v>
      </c>
      <c r="B3" s="1">
        <v>59.13</v>
      </c>
      <c r="C3" s="1">
        <v>59.66</v>
      </c>
      <c r="D3" s="1">
        <v>54.38</v>
      </c>
      <c r="E3" s="1">
        <v>63.46</v>
      </c>
      <c r="F3" s="1">
        <v>63.67</v>
      </c>
      <c r="G3" s="1">
        <v>62.4</v>
      </c>
    </row>
    <row r="4" spans="1:7" x14ac:dyDescent="0.3">
      <c r="A4" s="1" t="s">
        <v>8</v>
      </c>
      <c r="B4" s="1">
        <v>40040.959999999999</v>
      </c>
      <c r="C4" s="1">
        <v>39881.5</v>
      </c>
      <c r="D4" s="1">
        <v>34894.18</v>
      </c>
      <c r="E4" s="1">
        <v>46008.31</v>
      </c>
      <c r="F4" s="1">
        <v>44288.24</v>
      </c>
      <c r="G4" s="1">
        <v>45500.15</v>
      </c>
    </row>
    <row r="5" spans="1:7" x14ac:dyDescent="0.3">
      <c r="A5" s="1" t="s">
        <v>9</v>
      </c>
      <c r="B5" s="1">
        <v>1146.0899999999999</v>
      </c>
      <c r="C5" s="1">
        <v>1260.56</v>
      </c>
      <c r="D5" s="1">
        <v>855.77</v>
      </c>
      <c r="E5" s="1">
        <v>700.62</v>
      </c>
      <c r="F5" s="1">
        <v>875.27</v>
      </c>
      <c r="G5" s="1">
        <v>1067.22</v>
      </c>
    </row>
    <row r="6" spans="1:7" x14ac:dyDescent="0.3">
      <c r="A6" s="3" t="s">
        <v>10</v>
      </c>
      <c r="B6" s="3">
        <v>114.61</v>
      </c>
      <c r="C6" s="3">
        <v>127.33</v>
      </c>
      <c r="D6" s="3">
        <v>86.44</v>
      </c>
      <c r="E6" s="3">
        <v>70.77</v>
      </c>
      <c r="F6" s="3">
        <v>88.41</v>
      </c>
      <c r="G6" s="3">
        <v>108.9</v>
      </c>
    </row>
    <row r="7" spans="1:7" x14ac:dyDescent="0.3">
      <c r="A7" s="1" t="s">
        <v>11</v>
      </c>
      <c r="B7" s="1">
        <v>1060.3</v>
      </c>
      <c r="C7" s="1">
        <v>1221.47</v>
      </c>
      <c r="D7" s="1">
        <v>726.38</v>
      </c>
      <c r="E7" s="1">
        <v>606.70000000000005</v>
      </c>
      <c r="F7" s="1">
        <v>804.5</v>
      </c>
      <c r="G7" s="1">
        <v>950.18</v>
      </c>
    </row>
    <row r="8" spans="1:7" x14ac:dyDescent="0.3">
      <c r="A8" s="1" t="s">
        <v>12</v>
      </c>
      <c r="B8" s="1">
        <v>106.03</v>
      </c>
      <c r="C8" s="1">
        <v>123.38</v>
      </c>
      <c r="D8" s="1">
        <v>73.37</v>
      </c>
      <c r="E8" s="1">
        <v>61.28</v>
      </c>
      <c r="F8" s="1">
        <v>81.260000000000005</v>
      </c>
      <c r="G8" s="1">
        <v>96.96</v>
      </c>
    </row>
    <row r="9" spans="1:7" x14ac:dyDescent="0.3">
      <c r="A9" s="1" t="s">
        <v>13</v>
      </c>
      <c r="B9" s="1">
        <v>1005.26</v>
      </c>
      <c r="C9" s="1">
        <v>1219.48</v>
      </c>
      <c r="D9" s="1">
        <v>628.26</v>
      </c>
      <c r="E9" s="1">
        <v>596.25</v>
      </c>
      <c r="F9" s="1">
        <v>451.38</v>
      </c>
      <c r="G9" s="1">
        <v>932.34</v>
      </c>
    </row>
    <row r="10" spans="1:7" x14ac:dyDescent="0.3">
      <c r="A10" s="1" t="s">
        <v>14</v>
      </c>
      <c r="B10" s="1">
        <v>100.53</v>
      </c>
      <c r="C10" s="1">
        <v>123.18</v>
      </c>
      <c r="D10" s="1">
        <v>63.46</v>
      </c>
      <c r="E10" s="1">
        <v>60.23</v>
      </c>
      <c r="F10" s="1">
        <v>45.59</v>
      </c>
      <c r="G10" s="1">
        <v>95.14</v>
      </c>
    </row>
    <row r="11" spans="1:7" x14ac:dyDescent="0.3">
      <c r="A11" s="1" t="s">
        <v>15</v>
      </c>
      <c r="B11" s="1">
        <v>711.3</v>
      </c>
      <c r="C11" s="1">
        <v>984.77</v>
      </c>
      <c r="D11" s="1">
        <v>492.7</v>
      </c>
      <c r="E11" s="1">
        <v>500.95</v>
      </c>
      <c r="F11" s="1">
        <v>252.9</v>
      </c>
      <c r="G11" s="1">
        <v>706.91</v>
      </c>
    </row>
    <row r="12" spans="1:7" x14ac:dyDescent="0.3">
      <c r="A12" s="1" t="s">
        <v>16</v>
      </c>
      <c r="B12" s="1">
        <v>395.75</v>
      </c>
      <c r="C12" s="1">
        <v>391.39</v>
      </c>
      <c r="D12" s="1">
        <v>365.68</v>
      </c>
      <c r="E12" s="1">
        <v>362.98</v>
      </c>
      <c r="F12" s="1">
        <v>351.14</v>
      </c>
      <c r="G12" s="1">
        <v>370.05</v>
      </c>
    </row>
    <row r="13" spans="1:7" x14ac:dyDescent="0.3">
      <c r="A13" s="1" t="s">
        <v>17</v>
      </c>
      <c r="B13" s="1">
        <v>45.37</v>
      </c>
      <c r="C13" s="1">
        <v>47.89</v>
      </c>
      <c r="D13" s="1">
        <v>27.44</v>
      </c>
      <c r="E13" s="1">
        <v>25.68</v>
      </c>
      <c r="F13" s="1">
        <v>33.840000000000003</v>
      </c>
      <c r="G13" s="1">
        <v>39.1</v>
      </c>
    </row>
    <row r="14" spans="1:7" x14ac:dyDescent="0.3">
      <c r="A14" s="1" t="s">
        <v>18</v>
      </c>
      <c r="B14" s="1">
        <v>83.76</v>
      </c>
      <c r="C14" s="1">
        <v>86.94</v>
      </c>
      <c r="D14" s="1">
        <v>71.72</v>
      </c>
      <c r="E14" s="1">
        <v>94.45</v>
      </c>
      <c r="F14" s="1">
        <v>115.5</v>
      </c>
      <c r="G14" s="1">
        <v>98.59</v>
      </c>
    </row>
    <row r="15" spans="1:7" x14ac:dyDescent="0.3">
      <c r="A15" s="1" t="s">
        <v>19</v>
      </c>
      <c r="B15" s="1">
        <v>3</v>
      </c>
      <c r="C15" s="1">
        <v>6</v>
      </c>
      <c r="D15" s="1">
        <v>2</v>
      </c>
      <c r="E15" s="1">
        <v>2</v>
      </c>
      <c r="F15" s="1">
        <v>1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1032.78</v>
      </c>
      <c r="C17" s="1">
        <v>1220.47</v>
      </c>
      <c r="D17" s="1">
        <v>677.32</v>
      </c>
      <c r="E17" s="1">
        <v>601.48</v>
      </c>
      <c r="F17" s="1">
        <v>627.94000000000005</v>
      </c>
      <c r="G17" s="1">
        <v>941.26</v>
      </c>
    </row>
    <row r="18" spans="1:7" x14ac:dyDescent="0.3">
      <c r="A18" s="1" t="s">
        <v>22</v>
      </c>
      <c r="B18" s="1">
        <v>27.52</v>
      </c>
      <c r="C18" s="1">
        <v>1</v>
      </c>
      <c r="D18" s="1">
        <v>49.06</v>
      </c>
      <c r="E18" s="1">
        <v>5.22</v>
      </c>
      <c r="F18" s="1">
        <v>176.56</v>
      </c>
      <c r="G18" s="1">
        <v>8.92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2.9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7.1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3.4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1</v>
      </c>
      <c r="F25" s="1">
        <v>1.1000000000000001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9</v>
      </c>
      <c r="F26" s="1">
        <v>5.5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 t="shared" ref="B28:G28" si="0">SUM(B24:B26)</f>
        <v>10.1</v>
      </c>
      <c r="C28" s="1">
        <f t="shared" si="0"/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 t="shared" ref="B29:G29" si="1">B24/B28*100</f>
        <v>0</v>
      </c>
      <c r="C29" s="3">
        <f t="shared" si="1"/>
        <v>0</v>
      </c>
      <c r="D29" s="3">
        <f t="shared" si="1"/>
        <v>0</v>
      </c>
      <c r="E29" s="3">
        <f t="shared" si="1"/>
        <v>0</v>
      </c>
      <c r="F29" s="3">
        <f t="shared" si="1"/>
        <v>34</v>
      </c>
      <c r="G29" s="3">
        <f t="shared" si="1"/>
        <v>0</v>
      </c>
    </row>
    <row r="30" spans="1:7" x14ac:dyDescent="0.3">
      <c r="A30" s="3" t="s">
        <v>33</v>
      </c>
      <c r="B30" s="3">
        <f t="shared" ref="B30:G30" si="2">B25/B28*100</f>
        <v>0</v>
      </c>
      <c r="C30" s="3">
        <f t="shared" si="2"/>
        <v>0</v>
      </c>
      <c r="D30" s="3">
        <f t="shared" si="2"/>
        <v>0</v>
      </c>
      <c r="E30" s="3">
        <f t="shared" si="2"/>
        <v>10</v>
      </c>
      <c r="F30" s="3">
        <f t="shared" si="2"/>
        <v>11.000000000000002</v>
      </c>
      <c r="G30" s="3">
        <f t="shared" si="2"/>
        <v>0</v>
      </c>
    </row>
    <row r="31" spans="1:7" x14ac:dyDescent="0.3">
      <c r="A31" s="3" t="s">
        <v>34</v>
      </c>
      <c r="B31" s="3">
        <f t="shared" ref="B31:G31" si="3">B26/B28*100</f>
        <v>100</v>
      </c>
      <c r="C31" s="3">
        <f t="shared" si="3"/>
        <v>100</v>
      </c>
      <c r="D31" s="3">
        <f t="shared" si="3"/>
        <v>100</v>
      </c>
      <c r="E31" s="3">
        <f t="shared" si="3"/>
        <v>90</v>
      </c>
      <c r="F31" s="3">
        <f t="shared" si="3"/>
        <v>55.000000000000007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104.92</v>
      </c>
      <c r="C33" s="3">
        <v>123.3</v>
      </c>
      <c r="D33" s="3">
        <v>76.83</v>
      </c>
      <c r="E33" s="3">
        <v>68.55</v>
      </c>
      <c r="F33" s="3">
        <v>25.75</v>
      </c>
      <c r="G33" s="3">
        <v>104.89</v>
      </c>
    </row>
    <row r="35" spans="1:7" x14ac:dyDescent="0.3">
      <c r="A35" s="3" t="s">
        <v>36</v>
      </c>
      <c r="B35" s="3"/>
      <c r="C35" s="3"/>
      <c r="D35" s="3">
        <f>D33-C33</f>
        <v>-46.47</v>
      </c>
      <c r="E35" s="3"/>
      <c r="F35" s="3">
        <f>F33-E33</f>
        <v>-42.8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-8.2800000000000011</v>
      </c>
      <c r="F37" s="3"/>
      <c r="G37" s="3">
        <f>G33-F33</f>
        <v>79.14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EAEFA-7A9D-4BEB-8053-0478D3003A34}">
  <dimension ref="A1:G37"/>
  <sheetViews>
    <sheetView zoomScale="70" zoomScaleNormal="70" workbookViewId="0">
      <selection activeCell="M7" sqref="M7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 t="shared" ref="B28:G28" si="0">SUM(B24:B26)</f>
        <v>0</v>
      </c>
      <c r="C28" s="1">
        <f t="shared" si="0"/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 t="shared" ref="B29:G29" si="1">B24/B28*100</f>
        <v>#DIV/0!</v>
      </c>
      <c r="C29" s="3" t="e">
        <f t="shared" si="1"/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 t="shared" ref="B30:G30" si="2">B25/B28*100</f>
        <v>#DIV/0!</v>
      </c>
      <c r="C30" s="3" t="e">
        <f t="shared" si="2"/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 t="shared" ref="B31:G31" si="3">B26/B28*100</f>
        <v>#DIV/0!</v>
      </c>
      <c r="C31" s="3" t="e">
        <f t="shared" si="3"/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240719Bwt002.2</vt:lpstr>
      <vt:lpstr>240719Bwt003.1</vt:lpstr>
      <vt:lpstr>240719Bwt003.3</vt:lpstr>
      <vt:lpstr>240719Bwt003.4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2024-11-20T03:08:21Z</dcterms:created>
  <dcterms:modified xsi:type="dcterms:W3CDTF">2024-11-26T01:28:59Z</dcterms:modified>
</cp:coreProperties>
</file>