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lsh\Desktop\2024-0424 - Gas Assays\WormLab Data\"/>
    </mc:Choice>
  </mc:AlternateContent>
  <xr:revisionPtr revIDLastSave="0" documentId="13_ncr:1_{65F4B64A-1DD5-4A65-A42F-EF7220A454E5}" xr6:coauthVersionLast="47" xr6:coauthVersionMax="47" xr10:uidLastSave="{00000000-0000-0000-0000-000000000000}"/>
  <bookViews>
    <workbookView xWindow="1884" yWindow="1884" windowWidth="21036" windowHeight="11256" firstSheet="3" activeTab="7" xr2:uid="{FAB3DAD5-1E2D-4C15-A508-E9DB5911C602}"/>
  </bookViews>
  <sheets>
    <sheet name="240424Bhz001.1" sheetId="2" r:id="rId1"/>
    <sheet name="240424Bhz001.2" sheetId="3" r:id="rId2"/>
    <sheet name="240424Bhz001.3" sheetId="4" r:id="rId3"/>
    <sheet name="240424Bhz002.1" sheetId="5" r:id="rId4"/>
    <sheet name="240424Bhz002.2" sheetId="6" r:id="rId5"/>
    <sheet name="240424Bhz003.1" sheetId="7" r:id="rId6"/>
    <sheet name="240424Bhz003.2" sheetId="8" r:id="rId7"/>
    <sheet name="240424Bhz003.3" sheetId="9" r:id="rId8"/>
    <sheet name="template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9" l="1"/>
  <c r="E37" i="9"/>
  <c r="C37" i="9"/>
  <c r="F35" i="9"/>
  <c r="D35" i="9"/>
  <c r="G31" i="9"/>
  <c r="F31" i="9"/>
  <c r="E31" i="9"/>
  <c r="D31" i="9"/>
  <c r="B31" i="9"/>
  <c r="G30" i="9"/>
  <c r="F30" i="9"/>
  <c r="E30" i="9"/>
  <c r="D30" i="9"/>
  <c r="C30" i="9"/>
  <c r="B30" i="9"/>
  <c r="G29" i="9"/>
  <c r="F29" i="9"/>
  <c r="E29" i="9"/>
  <c r="D29" i="9"/>
  <c r="G28" i="9"/>
  <c r="F28" i="9"/>
  <c r="E28" i="9"/>
  <c r="D28" i="9"/>
  <c r="C28" i="9"/>
  <c r="C29" i="9" s="1"/>
  <c r="B28" i="9"/>
  <c r="B29" i="9" s="1"/>
  <c r="G37" i="8"/>
  <c r="E37" i="8"/>
  <c r="C37" i="8"/>
  <c r="F35" i="8"/>
  <c r="D35" i="8"/>
  <c r="G28" i="8"/>
  <c r="G31" i="8" s="1"/>
  <c r="F28" i="8"/>
  <c r="F30" i="8" s="1"/>
  <c r="E28" i="8"/>
  <c r="E31" i="8" s="1"/>
  <c r="D28" i="8"/>
  <c r="D31" i="8" s="1"/>
  <c r="C28" i="8"/>
  <c r="C31" i="8" s="1"/>
  <c r="B28" i="8"/>
  <c r="B29" i="8" s="1"/>
  <c r="G37" i="7"/>
  <c r="E37" i="7"/>
  <c r="C37" i="7"/>
  <c r="F35" i="7"/>
  <c r="D35" i="7"/>
  <c r="G31" i="7"/>
  <c r="F31" i="7"/>
  <c r="E31" i="7"/>
  <c r="D31" i="7"/>
  <c r="C31" i="7"/>
  <c r="B31" i="7"/>
  <c r="G30" i="7"/>
  <c r="F30" i="7"/>
  <c r="E30" i="7"/>
  <c r="D30" i="7"/>
  <c r="C30" i="7"/>
  <c r="B30" i="7"/>
  <c r="G29" i="7"/>
  <c r="F29" i="7"/>
  <c r="E29" i="7"/>
  <c r="G28" i="7"/>
  <c r="F28" i="7"/>
  <c r="E28" i="7"/>
  <c r="D28" i="7"/>
  <c r="D29" i="7" s="1"/>
  <c r="C28" i="7"/>
  <c r="C29" i="7" s="1"/>
  <c r="B28" i="7"/>
  <c r="B29" i="7" s="1"/>
  <c r="G37" i="6"/>
  <c r="E37" i="6"/>
  <c r="C37" i="6"/>
  <c r="F35" i="6"/>
  <c r="D35" i="6"/>
  <c r="E31" i="6"/>
  <c r="D31" i="6"/>
  <c r="C31" i="6"/>
  <c r="B31" i="6"/>
  <c r="E30" i="6"/>
  <c r="D30" i="6"/>
  <c r="C30" i="6"/>
  <c r="B30" i="6"/>
  <c r="E29" i="6"/>
  <c r="D29" i="6"/>
  <c r="C29" i="6"/>
  <c r="B29" i="6"/>
  <c r="G28" i="6"/>
  <c r="G31" i="6" s="1"/>
  <c r="F28" i="6"/>
  <c r="F31" i="6" s="1"/>
  <c r="E28" i="6"/>
  <c r="D28" i="6"/>
  <c r="C28" i="6"/>
  <c r="B28" i="6"/>
  <c r="G37" i="5"/>
  <c r="E37" i="5"/>
  <c r="C37" i="5"/>
  <c r="F35" i="5"/>
  <c r="D35" i="5"/>
  <c r="B31" i="5"/>
  <c r="C30" i="5"/>
  <c r="B30" i="5"/>
  <c r="C29" i="5"/>
  <c r="B29" i="5"/>
  <c r="G28" i="5"/>
  <c r="G31" i="5" s="1"/>
  <c r="F28" i="5"/>
  <c r="F31" i="5" s="1"/>
  <c r="E28" i="5"/>
  <c r="E31" i="5" s="1"/>
  <c r="D28" i="5"/>
  <c r="D31" i="5" s="1"/>
  <c r="C28" i="5"/>
  <c r="C31" i="5" s="1"/>
  <c r="B28" i="5"/>
  <c r="G37" i="4"/>
  <c r="E37" i="4"/>
  <c r="C37" i="4"/>
  <c r="F35" i="4"/>
  <c r="D35" i="4"/>
  <c r="G31" i="4"/>
  <c r="G28" i="4"/>
  <c r="G30" i="4" s="1"/>
  <c r="F28" i="4"/>
  <c r="F31" i="4" s="1"/>
  <c r="E28" i="4"/>
  <c r="E31" i="4" s="1"/>
  <c r="D28" i="4"/>
  <c r="D29" i="4" s="1"/>
  <c r="C28" i="4"/>
  <c r="C29" i="4" s="1"/>
  <c r="B28" i="4"/>
  <c r="B29" i="4" s="1"/>
  <c r="G37" i="3"/>
  <c r="E37" i="3"/>
  <c r="C37" i="3"/>
  <c r="F35" i="3"/>
  <c r="D35" i="3"/>
  <c r="E31" i="3"/>
  <c r="F30" i="3"/>
  <c r="E30" i="3"/>
  <c r="E29" i="3"/>
  <c r="G28" i="3"/>
  <c r="G31" i="3" s="1"/>
  <c r="F28" i="3"/>
  <c r="F31" i="3" s="1"/>
  <c r="E28" i="3"/>
  <c r="D28" i="3"/>
  <c r="D31" i="3" s="1"/>
  <c r="C28" i="3"/>
  <c r="C29" i="3" s="1"/>
  <c r="B28" i="3"/>
  <c r="B29" i="3" s="1"/>
  <c r="G37" i="2"/>
  <c r="E37" i="2"/>
  <c r="C37" i="2"/>
  <c r="F35" i="2"/>
  <c r="D35" i="2"/>
  <c r="G31" i="2"/>
  <c r="F31" i="2"/>
  <c r="E31" i="2"/>
  <c r="D31" i="2"/>
  <c r="C31" i="2"/>
  <c r="B31" i="2"/>
  <c r="G30" i="2"/>
  <c r="F30" i="2"/>
  <c r="E30" i="2"/>
  <c r="D30" i="2"/>
  <c r="C30" i="2"/>
  <c r="B30" i="2"/>
  <c r="G29" i="2"/>
  <c r="F29" i="2"/>
  <c r="E29" i="2"/>
  <c r="D29" i="2"/>
  <c r="G28" i="2"/>
  <c r="F28" i="2"/>
  <c r="E28" i="2"/>
  <c r="D28" i="2"/>
  <c r="C28" i="2"/>
  <c r="C29" i="2" s="1"/>
  <c r="B28" i="2"/>
  <c r="B29" i="2" s="1"/>
  <c r="G37" i="1"/>
  <c r="E37" i="1"/>
  <c r="C37" i="1"/>
  <c r="F35" i="1"/>
  <c r="D35" i="1"/>
  <c r="G28" i="1"/>
  <c r="G31" i="1" s="1"/>
  <c r="F28" i="1"/>
  <c r="F31" i="1" s="1"/>
  <c r="E28" i="1"/>
  <c r="E31" i="1" s="1"/>
  <c r="D28" i="1"/>
  <c r="D31" i="1" s="1"/>
  <c r="C28" i="1"/>
  <c r="C31" i="1" s="1"/>
  <c r="B28" i="1"/>
  <c r="B31" i="1" s="1"/>
  <c r="C31" i="9" l="1"/>
  <c r="F29" i="8"/>
  <c r="E30" i="8"/>
  <c r="G30" i="8"/>
  <c r="F31" i="8"/>
  <c r="E29" i="8"/>
  <c r="G29" i="8"/>
  <c r="C29" i="8"/>
  <c r="D29" i="8"/>
  <c r="B30" i="8"/>
  <c r="C30" i="8"/>
  <c r="D30" i="8"/>
  <c r="B31" i="8"/>
  <c r="G30" i="6"/>
  <c r="F29" i="6"/>
  <c r="G29" i="6"/>
  <c r="F30" i="6"/>
  <c r="D29" i="5"/>
  <c r="E29" i="5"/>
  <c r="F29" i="5"/>
  <c r="D30" i="5"/>
  <c r="E30" i="5"/>
  <c r="F30" i="5"/>
  <c r="G29" i="5"/>
  <c r="G30" i="5"/>
  <c r="E29" i="4"/>
  <c r="F29" i="4"/>
  <c r="G29" i="4"/>
  <c r="B30" i="4"/>
  <c r="C30" i="4"/>
  <c r="D30" i="4"/>
  <c r="E30" i="4"/>
  <c r="F30" i="4"/>
  <c r="B31" i="4"/>
  <c r="C31" i="4"/>
  <c r="D31" i="4"/>
  <c r="D29" i="3"/>
  <c r="B30" i="3"/>
  <c r="D30" i="3"/>
  <c r="B31" i="3"/>
  <c r="F29" i="3"/>
  <c r="G29" i="3"/>
  <c r="G30" i="3"/>
  <c r="C30" i="3"/>
  <c r="C31" i="3"/>
  <c r="E29" i="1"/>
  <c r="F29" i="1"/>
  <c r="C29" i="1"/>
  <c r="G29" i="1"/>
  <c r="B30" i="1"/>
  <c r="B29" i="1"/>
  <c r="D29" i="1"/>
  <c r="C30" i="1"/>
  <c r="D30" i="1"/>
  <c r="E30" i="1"/>
  <c r="F30" i="1"/>
  <c r="G30" i="1"/>
</calcChain>
</file>

<file path=xl/sharedStrings.xml><?xml version="1.0" encoding="utf-8"?>
<sst xmlns="http://schemas.openxmlformats.org/spreadsheetml/2006/main" count="342" uniqueCount="37">
  <si>
    <t>0-10s</t>
  </si>
  <si>
    <t>30.1 - 40s</t>
  </si>
  <si>
    <t>40.1 - 50 s</t>
  </si>
  <si>
    <t>70.1-80s</t>
  </si>
  <si>
    <t>80.1-90s</t>
  </si>
  <si>
    <t>110.1 - 120s</t>
  </si>
  <si>
    <t>Mean Worm Length (um)</t>
  </si>
  <si>
    <t>Mean Width (um)</t>
  </si>
  <si>
    <t>Mean Area (um^2)</t>
  </si>
  <si>
    <t>Track Length (um) [Center point trajectory]</t>
  </si>
  <si>
    <t>Center point Speed (um/s) [Center point trajectory/time]</t>
  </si>
  <si>
    <t>Absolute Peristaltic Track Length (um) [forward + reversals]</t>
  </si>
  <si>
    <t>Peristaltic Speed (um/s) [Absolute peristaltic track length/time]</t>
  </si>
  <si>
    <t>Peristaltic Track Length (um) [forward - reversals]</t>
  </si>
  <si>
    <t>Peristaltic Speed (um/s) [peristaltic track length/time]</t>
  </si>
  <si>
    <t>Straight-line Distance (um)</t>
  </si>
  <si>
    <t>Wavelength (um)</t>
  </si>
  <si>
    <t>Mean Amplitude (um)</t>
  </si>
  <si>
    <t>Max Amplitude (um)</t>
  </si>
  <si>
    <t>Turn Count</t>
  </si>
  <si>
    <t>Track duration (s)</t>
  </si>
  <si>
    <t>Distance Traveled Forward(um)</t>
  </si>
  <si>
    <t>Distance Traveled in Reverse(um)</t>
  </si>
  <si>
    <t>Number of Reversals</t>
  </si>
  <si>
    <t>Cumulative Reversal Time (s)</t>
  </si>
  <si>
    <t>Cumulative Forward Time (s)</t>
  </si>
  <si>
    <t>Number of Pirouette</t>
  </si>
  <si>
    <t>Pirouette Time (s)</t>
  </si>
  <si>
    <t>Mobility reversal time (s)</t>
  </si>
  <si>
    <t>Mobility idle time (s)</t>
  </si>
  <si>
    <t>Mobility forward time (s)</t>
  </si>
  <si>
    <t>Total Time</t>
  </si>
  <si>
    <t>% Reversal</t>
  </si>
  <si>
    <t>% Idle</t>
  </si>
  <si>
    <t>% Forward</t>
  </si>
  <si>
    <t>Mean Smoothed Speed</t>
  </si>
  <si>
    <t>Speed Change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</si>
</sst>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AF2AD-6564-41F3-82ED-FF492664CBE5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248</v>
      </c>
      <c r="C2" s="1">
        <v>245.36</v>
      </c>
      <c r="D2" s="1">
        <v>243.57</v>
      </c>
      <c r="E2" s="1">
        <v>243.42</v>
      </c>
      <c r="F2" s="1">
        <v>242.9</v>
      </c>
      <c r="G2" s="1">
        <v>244.69</v>
      </c>
    </row>
    <row r="3" spans="1:7" x14ac:dyDescent="0.3">
      <c r="A3" s="1" t="s">
        <v>7</v>
      </c>
      <c r="B3" s="1">
        <v>41.1</v>
      </c>
      <c r="C3" s="1">
        <v>41.45</v>
      </c>
      <c r="D3" s="1">
        <v>41.7</v>
      </c>
      <c r="E3" s="1">
        <v>42.19</v>
      </c>
      <c r="F3" s="1">
        <v>43.16</v>
      </c>
      <c r="G3" s="1">
        <v>42.41</v>
      </c>
    </row>
    <row r="4" spans="1:7" x14ac:dyDescent="0.3">
      <c r="A4" s="1" t="s">
        <v>8</v>
      </c>
      <c r="B4" s="1">
        <v>10365.01</v>
      </c>
      <c r="C4" s="1">
        <v>10344.59</v>
      </c>
      <c r="D4" s="1">
        <v>10330.879999999999</v>
      </c>
      <c r="E4" s="1">
        <v>10444.299999999999</v>
      </c>
      <c r="F4" s="1">
        <v>10663.07</v>
      </c>
      <c r="G4" s="1">
        <v>10553.95</v>
      </c>
    </row>
    <row r="5" spans="1:7" x14ac:dyDescent="0.3">
      <c r="A5" s="1" t="s">
        <v>9</v>
      </c>
      <c r="B5" s="1">
        <v>99.71</v>
      </c>
      <c r="C5" s="1">
        <v>64.56</v>
      </c>
      <c r="D5" s="1">
        <v>111.39</v>
      </c>
      <c r="E5" s="1">
        <v>71.84</v>
      </c>
      <c r="F5" s="1">
        <v>71.819999999999993</v>
      </c>
      <c r="G5" s="1">
        <v>72.11</v>
      </c>
    </row>
    <row r="6" spans="1:7" x14ac:dyDescent="0.3">
      <c r="A6" s="3" t="s">
        <v>10</v>
      </c>
      <c r="B6" s="3">
        <v>9.9700000000000006</v>
      </c>
      <c r="C6" s="3">
        <v>6.52</v>
      </c>
      <c r="D6" s="3">
        <v>11.25</v>
      </c>
      <c r="E6" s="3">
        <v>7.26</v>
      </c>
      <c r="F6" s="3">
        <v>7.26</v>
      </c>
      <c r="G6" s="3">
        <v>7.36</v>
      </c>
    </row>
    <row r="7" spans="1:7" x14ac:dyDescent="0.3">
      <c r="A7" s="1" t="s">
        <v>11</v>
      </c>
      <c r="B7" s="1">
        <v>90.33</v>
      </c>
      <c r="C7" s="1">
        <v>54.34</v>
      </c>
      <c r="D7" s="1">
        <v>100.2</v>
      </c>
      <c r="E7" s="1">
        <v>60.53</v>
      </c>
      <c r="F7" s="1">
        <v>63.44</v>
      </c>
      <c r="G7" s="1">
        <v>61.75</v>
      </c>
    </row>
    <row r="8" spans="1:7" x14ac:dyDescent="0.3">
      <c r="A8" s="1" t="s">
        <v>12</v>
      </c>
      <c r="B8" s="1">
        <v>9.0299999999999994</v>
      </c>
      <c r="C8" s="1">
        <v>5.49</v>
      </c>
      <c r="D8" s="1">
        <v>10.119999999999999</v>
      </c>
      <c r="E8" s="1">
        <v>6.11</v>
      </c>
      <c r="F8" s="1">
        <v>6.41</v>
      </c>
      <c r="G8" s="1">
        <v>6.3</v>
      </c>
    </row>
    <row r="9" spans="1:7" x14ac:dyDescent="0.3">
      <c r="A9" s="1" t="s">
        <v>13</v>
      </c>
      <c r="B9" s="1">
        <v>10.09</v>
      </c>
      <c r="C9" s="1">
        <v>-6.15</v>
      </c>
      <c r="D9" s="1">
        <v>-15.17</v>
      </c>
      <c r="E9" s="1">
        <v>-5.31</v>
      </c>
      <c r="F9" s="1">
        <v>7.88</v>
      </c>
      <c r="G9" s="1">
        <v>-7.35</v>
      </c>
    </row>
    <row r="10" spans="1:7" x14ac:dyDescent="0.3">
      <c r="A10" s="1" t="s">
        <v>14</v>
      </c>
      <c r="B10" s="1">
        <v>1.01</v>
      </c>
      <c r="C10" s="1">
        <v>-0.62</v>
      </c>
      <c r="D10" s="1">
        <v>-1.53</v>
      </c>
      <c r="E10" s="1">
        <v>-0.54</v>
      </c>
      <c r="F10" s="1">
        <v>0.8</v>
      </c>
      <c r="G10" s="1">
        <v>-0.75</v>
      </c>
    </row>
    <row r="11" spans="1:7" x14ac:dyDescent="0.3">
      <c r="A11" s="1" t="s">
        <v>15</v>
      </c>
      <c r="B11" s="1">
        <v>1.76</v>
      </c>
      <c r="C11" s="1">
        <v>0.71</v>
      </c>
      <c r="D11" s="1">
        <v>1.57</v>
      </c>
      <c r="E11" s="1">
        <v>3.02</v>
      </c>
      <c r="F11" s="1">
        <v>4.3</v>
      </c>
      <c r="G11" s="1">
        <v>5.01</v>
      </c>
    </row>
    <row r="12" spans="1:7" x14ac:dyDescent="0.3">
      <c r="A12" s="1" t="s">
        <v>16</v>
      </c>
      <c r="B12" s="1">
        <v>119.89</v>
      </c>
      <c r="C12" s="1">
        <v>120.85</v>
      </c>
      <c r="D12" s="1">
        <v>118.92</v>
      </c>
      <c r="E12" s="1">
        <v>122.51</v>
      </c>
      <c r="F12" s="1">
        <v>117.79</v>
      </c>
      <c r="G12" s="1">
        <v>126.12</v>
      </c>
    </row>
    <row r="13" spans="1:7" x14ac:dyDescent="0.3">
      <c r="A13" s="1" t="s">
        <v>17</v>
      </c>
      <c r="B13" s="1">
        <v>33.11</v>
      </c>
      <c r="C13" s="1">
        <v>32.89</v>
      </c>
      <c r="D13" s="1">
        <v>32.47</v>
      </c>
      <c r="E13" s="1">
        <v>32.65</v>
      </c>
      <c r="F13" s="1">
        <v>32.64</v>
      </c>
      <c r="G13" s="1">
        <v>33.229999999999997</v>
      </c>
    </row>
    <row r="14" spans="1:7" x14ac:dyDescent="0.3">
      <c r="A14" s="1" t="s">
        <v>18</v>
      </c>
      <c r="B14" s="1">
        <v>37.19</v>
      </c>
      <c r="C14" s="1">
        <v>35.880000000000003</v>
      </c>
      <c r="D14" s="1">
        <v>36.020000000000003</v>
      </c>
      <c r="E14" s="1">
        <v>35.65</v>
      </c>
      <c r="F14" s="1">
        <v>34.61</v>
      </c>
      <c r="G14" s="1">
        <v>37.590000000000003</v>
      </c>
    </row>
    <row r="15" spans="1:7" x14ac:dyDescent="0.3">
      <c r="A15" s="1" t="s">
        <v>19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50.21</v>
      </c>
      <c r="C17" s="1">
        <v>24.1</v>
      </c>
      <c r="D17" s="1">
        <v>42.52</v>
      </c>
      <c r="E17" s="1">
        <v>27.61</v>
      </c>
      <c r="F17" s="1">
        <v>35.659999999999997</v>
      </c>
      <c r="G17" s="1">
        <v>27.2</v>
      </c>
    </row>
    <row r="18" spans="1:7" x14ac:dyDescent="0.3">
      <c r="A18" s="1" t="s">
        <v>22</v>
      </c>
      <c r="B18" s="1">
        <v>40.119999999999997</v>
      </c>
      <c r="C18" s="1">
        <v>30.25</v>
      </c>
      <c r="D18" s="1">
        <v>57.68</v>
      </c>
      <c r="E18" s="1">
        <v>32.92</v>
      </c>
      <c r="F18" s="1">
        <v>27.78</v>
      </c>
      <c r="G18" s="1">
        <v>34.549999999999997</v>
      </c>
    </row>
    <row r="19" spans="1:7" x14ac:dyDescent="0.3">
      <c r="A19" s="1" t="s">
        <v>23</v>
      </c>
      <c r="B19" s="1">
        <v>1</v>
      </c>
      <c r="C19" s="1">
        <v>2</v>
      </c>
      <c r="D19" s="1">
        <v>0</v>
      </c>
      <c r="E19" s="1">
        <v>1</v>
      </c>
      <c r="F19" s="1">
        <v>2</v>
      </c>
      <c r="G19" s="1">
        <v>3</v>
      </c>
    </row>
    <row r="20" spans="1:7" x14ac:dyDescent="0.3">
      <c r="A20" s="1" t="s">
        <v>24</v>
      </c>
      <c r="B20" s="1">
        <v>1</v>
      </c>
      <c r="C20" s="1">
        <v>2.7</v>
      </c>
      <c r="D20" s="1">
        <v>0</v>
      </c>
      <c r="E20" s="1">
        <v>1.3</v>
      </c>
      <c r="F20" s="1">
        <v>2</v>
      </c>
      <c r="G20" s="1">
        <v>4.7</v>
      </c>
    </row>
    <row r="21" spans="1:7" x14ac:dyDescent="0.3">
      <c r="A21" s="1" t="s">
        <v>25</v>
      </c>
      <c r="B21" s="1">
        <v>9.1</v>
      </c>
      <c r="C21" s="1">
        <v>7.3</v>
      </c>
      <c r="D21" s="1">
        <v>10</v>
      </c>
      <c r="E21" s="1">
        <v>8.6999999999999993</v>
      </c>
      <c r="F21" s="1">
        <v>8</v>
      </c>
      <c r="G21" s="1">
        <v>5.2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0.45</v>
      </c>
      <c r="C33" s="3">
        <v>-0.1</v>
      </c>
      <c r="D33" s="3">
        <v>-0.14000000000000001</v>
      </c>
      <c r="E33" s="3">
        <v>-0.22</v>
      </c>
      <c r="F33" s="3">
        <v>0.31</v>
      </c>
      <c r="G33" s="3">
        <v>-0.67</v>
      </c>
    </row>
    <row r="35" spans="1:7" x14ac:dyDescent="0.3">
      <c r="A35" s="3" t="s">
        <v>36</v>
      </c>
      <c r="B35" s="3"/>
      <c r="C35" s="3"/>
      <c r="D35" s="3">
        <f>D33-C33</f>
        <v>-4.0000000000000008E-2</v>
      </c>
      <c r="E35" s="3"/>
      <c r="F35" s="3">
        <f>F33-E33</f>
        <v>0.53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-7.9999999999999988E-2</v>
      </c>
      <c r="F37" s="3"/>
      <c r="G37" s="3">
        <f>G33-F33</f>
        <v>-0.98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2C42-A30B-4FB5-BEDF-161238D25FEC}">
  <dimension ref="A1:G37"/>
  <sheetViews>
    <sheetView zoomScale="70" zoomScaleNormal="70" workbookViewId="0">
      <selection activeCell="B36" sqref="B3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294.88</v>
      </c>
      <c r="C2" s="1">
        <v>242.39</v>
      </c>
      <c r="D2" s="1">
        <v>248.3</v>
      </c>
      <c r="E2" s="1">
        <v>420.85</v>
      </c>
      <c r="F2" s="1">
        <v>445.93</v>
      </c>
      <c r="G2" s="1">
        <v>405.33</v>
      </c>
    </row>
    <row r="3" spans="1:7" x14ac:dyDescent="0.3">
      <c r="A3" s="1" t="s">
        <v>7</v>
      </c>
      <c r="B3" s="1">
        <v>36.1</v>
      </c>
      <c r="C3" s="1">
        <v>28.35</v>
      </c>
      <c r="D3" s="1">
        <v>31.86</v>
      </c>
      <c r="E3" s="1">
        <v>54.03</v>
      </c>
      <c r="F3" s="1">
        <v>56.74</v>
      </c>
      <c r="G3" s="1">
        <v>57.71</v>
      </c>
    </row>
    <row r="4" spans="1:7" x14ac:dyDescent="0.3">
      <c r="A4" s="1" t="s">
        <v>8</v>
      </c>
      <c r="B4" s="1">
        <v>11144.74</v>
      </c>
      <c r="C4" s="1">
        <v>7221.98</v>
      </c>
      <c r="D4" s="1">
        <v>8127.52</v>
      </c>
      <c r="E4" s="1">
        <v>23057.01</v>
      </c>
      <c r="F4" s="1">
        <v>25781.040000000001</v>
      </c>
      <c r="G4" s="1">
        <v>23533.86</v>
      </c>
    </row>
    <row r="5" spans="1:7" x14ac:dyDescent="0.3">
      <c r="A5" s="1" t="s">
        <v>9</v>
      </c>
      <c r="B5" s="1">
        <v>1170.1600000000001</v>
      </c>
      <c r="C5" s="1">
        <v>906.33</v>
      </c>
      <c r="D5" s="1">
        <v>990.28</v>
      </c>
      <c r="E5" s="1">
        <v>940.71</v>
      </c>
      <c r="F5" s="1">
        <v>1105.51</v>
      </c>
      <c r="G5" s="1">
        <v>1161.69</v>
      </c>
    </row>
    <row r="6" spans="1:7" x14ac:dyDescent="0.3">
      <c r="A6" s="3" t="s">
        <v>10</v>
      </c>
      <c r="B6" s="3">
        <v>117.02</v>
      </c>
      <c r="C6" s="3">
        <v>91.55</v>
      </c>
      <c r="D6" s="3">
        <v>100.03</v>
      </c>
      <c r="E6" s="3">
        <v>95.02</v>
      </c>
      <c r="F6" s="3">
        <v>111.67</v>
      </c>
      <c r="G6" s="3">
        <v>118.54</v>
      </c>
    </row>
    <row r="7" spans="1:7" x14ac:dyDescent="0.3">
      <c r="A7" s="1" t="s">
        <v>11</v>
      </c>
      <c r="B7" s="1">
        <v>997.79</v>
      </c>
      <c r="C7" s="1">
        <v>788.08</v>
      </c>
      <c r="D7" s="1">
        <v>782.31</v>
      </c>
      <c r="E7" s="1">
        <v>856.15</v>
      </c>
      <c r="F7" s="1">
        <v>979.34</v>
      </c>
      <c r="G7" s="1">
        <v>1017.44</v>
      </c>
    </row>
    <row r="8" spans="1:7" x14ac:dyDescent="0.3">
      <c r="A8" s="1" t="s">
        <v>12</v>
      </c>
      <c r="B8" s="1">
        <v>99.78</v>
      </c>
      <c r="C8" s="1">
        <v>79.599999999999994</v>
      </c>
      <c r="D8" s="1">
        <v>79.02</v>
      </c>
      <c r="E8" s="1">
        <v>86.48</v>
      </c>
      <c r="F8" s="1">
        <v>98.92</v>
      </c>
      <c r="G8" s="1">
        <v>103.82</v>
      </c>
    </row>
    <row r="9" spans="1:7" x14ac:dyDescent="0.3">
      <c r="A9" s="1" t="s">
        <v>13</v>
      </c>
      <c r="B9" s="1">
        <v>439.31</v>
      </c>
      <c r="C9" s="1">
        <v>619.91999999999996</v>
      </c>
      <c r="D9" s="1">
        <v>395.23</v>
      </c>
      <c r="E9" s="1">
        <v>730.65</v>
      </c>
      <c r="F9" s="1">
        <v>893.62</v>
      </c>
      <c r="G9" s="1">
        <v>1002.44</v>
      </c>
    </row>
    <row r="10" spans="1:7" x14ac:dyDescent="0.3">
      <c r="A10" s="1" t="s">
        <v>14</v>
      </c>
      <c r="B10" s="1">
        <v>43.93</v>
      </c>
      <c r="C10" s="1">
        <v>62.62</v>
      </c>
      <c r="D10" s="1">
        <v>39.92</v>
      </c>
      <c r="E10" s="1">
        <v>73.8</v>
      </c>
      <c r="F10" s="1">
        <v>90.26</v>
      </c>
      <c r="G10" s="1">
        <v>102.29</v>
      </c>
    </row>
    <row r="11" spans="1:7" x14ac:dyDescent="0.3">
      <c r="A11" s="1" t="s">
        <v>15</v>
      </c>
      <c r="B11" s="1">
        <v>145.31</v>
      </c>
      <c r="C11" s="1">
        <v>517.77</v>
      </c>
      <c r="D11" s="1">
        <v>119.23</v>
      </c>
      <c r="E11" s="1">
        <v>568.70000000000005</v>
      </c>
      <c r="F11" s="1">
        <v>694.04</v>
      </c>
      <c r="G11" s="1">
        <v>867.03</v>
      </c>
    </row>
    <row r="12" spans="1:7" x14ac:dyDescent="0.3">
      <c r="A12" s="1" t="s">
        <v>16</v>
      </c>
      <c r="B12" s="1">
        <v>136.63</v>
      </c>
      <c r="C12" s="1">
        <v>131.13999999999999</v>
      </c>
      <c r="D12" s="1">
        <v>119.05</v>
      </c>
      <c r="E12" s="1">
        <v>196.47</v>
      </c>
      <c r="F12" s="1">
        <v>208.86</v>
      </c>
      <c r="G12" s="1">
        <v>190.64</v>
      </c>
    </row>
    <row r="13" spans="1:7" x14ac:dyDescent="0.3">
      <c r="A13" s="1" t="s">
        <v>17</v>
      </c>
      <c r="B13" s="1">
        <v>37.380000000000003</v>
      </c>
      <c r="C13" s="1">
        <v>20.93</v>
      </c>
      <c r="D13" s="1">
        <v>27.89</v>
      </c>
      <c r="E13" s="1">
        <v>24.99</v>
      </c>
      <c r="F13" s="1">
        <v>30.76</v>
      </c>
      <c r="G13" s="1">
        <v>19.559999999999999</v>
      </c>
    </row>
    <row r="14" spans="1:7" x14ac:dyDescent="0.3">
      <c r="A14" s="1" t="s">
        <v>18</v>
      </c>
      <c r="B14" s="1">
        <v>73.39</v>
      </c>
      <c r="C14" s="1">
        <v>59.77</v>
      </c>
      <c r="D14" s="1">
        <v>52.21</v>
      </c>
      <c r="E14" s="1">
        <v>66.319999999999993</v>
      </c>
      <c r="F14" s="1">
        <v>70.930000000000007</v>
      </c>
      <c r="G14" s="1">
        <v>57.91</v>
      </c>
    </row>
    <row r="15" spans="1:7" x14ac:dyDescent="0.3">
      <c r="A15" s="1" t="s">
        <v>19</v>
      </c>
      <c r="B15" s="1">
        <v>7</v>
      </c>
      <c r="C15" s="1">
        <v>5</v>
      </c>
      <c r="D15" s="1">
        <v>4</v>
      </c>
      <c r="E15" s="1">
        <v>6</v>
      </c>
      <c r="F15" s="1">
        <v>8</v>
      </c>
      <c r="G15" s="1">
        <v>3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718.55</v>
      </c>
      <c r="C17" s="1">
        <v>704</v>
      </c>
      <c r="D17" s="1">
        <v>588.77</v>
      </c>
      <c r="E17" s="1">
        <v>793.4</v>
      </c>
      <c r="F17" s="1">
        <v>936.48</v>
      </c>
      <c r="G17" s="1">
        <v>1009.94</v>
      </c>
    </row>
    <row r="18" spans="1:7" x14ac:dyDescent="0.3">
      <c r="A18" s="1" t="s">
        <v>22</v>
      </c>
      <c r="B18" s="1">
        <v>279.24</v>
      </c>
      <c r="C18" s="1">
        <v>84.08</v>
      </c>
      <c r="D18" s="1">
        <v>193.54</v>
      </c>
      <c r="E18" s="1">
        <v>62.75</v>
      </c>
      <c r="F18" s="1">
        <v>42.86</v>
      </c>
      <c r="G18" s="1">
        <v>7.5</v>
      </c>
    </row>
    <row r="19" spans="1:7" x14ac:dyDescent="0.3">
      <c r="A19" s="1" t="s">
        <v>23</v>
      </c>
      <c r="B19" s="1">
        <v>1</v>
      </c>
      <c r="C19" s="1">
        <v>1</v>
      </c>
      <c r="D19" s="1">
        <v>2</v>
      </c>
      <c r="E19" s="1">
        <v>1</v>
      </c>
      <c r="F19" s="1">
        <v>0</v>
      </c>
      <c r="G19" s="1">
        <v>0</v>
      </c>
    </row>
    <row r="20" spans="1:7" x14ac:dyDescent="0.3">
      <c r="A20" s="1" t="s">
        <v>24</v>
      </c>
      <c r="B20" s="1">
        <v>2</v>
      </c>
      <c r="C20" s="1">
        <v>1</v>
      </c>
      <c r="D20" s="1">
        <v>2.1</v>
      </c>
      <c r="E20" s="1">
        <v>1.1000000000000001</v>
      </c>
      <c r="F20" s="1">
        <v>0</v>
      </c>
      <c r="G20" s="1">
        <v>0</v>
      </c>
    </row>
    <row r="21" spans="1:7" x14ac:dyDescent="0.3">
      <c r="A21" s="1" t="s">
        <v>25</v>
      </c>
      <c r="B21" s="1">
        <v>8.1</v>
      </c>
      <c r="C21" s="1">
        <v>9</v>
      </c>
      <c r="D21" s="1">
        <v>7.9</v>
      </c>
      <c r="E21" s="1">
        <v>8.9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2.2000000000000002</v>
      </c>
      <c r="C24" s="1">
        <v>0</v>
      </c>
      <c r="D24" s="1">
        <v>0</v>
      </c>
      <c r="E24" s="1">
        <v>0</v>
      </c>
      <c r="F24" s="1">
        <v>1.1000000000000001</v>
      </c>
      <c r="G24" s="1">
        <v>0</v>
      </c>
    </row>
    <row r="25" spans="1:7" x14ac:dyDescent="0.3">
      <c r="A25" s="1" t="s">
        <v>29</v>
      </c>
      <c r="B25" s="1">
        <v>5.5</v>
      </c>
      <c r="C25" s="1">
        <v>0</v>
      </c>
      <c r="D25" s="1">
        <v>6.1</v>
      </c>
      <c r="E25" s="1">
        <v>2.8</v>
      </c>
      <c r="F25" s="1">
        <v>0</v>
      </c>
      <c r="G25" s="1">
        <v>2.5</v>
      </c>
    </row>
    <row r="26" spans="1:7" x14ac:dyDescent="0.3">
      <c r="A26" s="1" t="s">
        <v>30</v>
      </c>
      <c r="B26" s="1">
        <v>2.4</v>
      </c>
      <c r="C26" s="1">
        <v>10</v>
      </c>
      <c r="D26" s="1">
        <v>3.9</v>
      </c>
      <c r="E26" s="1">
        <v>7.2</v>
      </c>
      <c r="F26" s="1">
        <v>8.9</v>
      </c>
      <c r="G26" s="1">
        <v>7.4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21.782178217821784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11.000000000000002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54.455445544554458</v>
      </c>
      <c r="C30" s="3">
        <f t="shared" ref="C30:G30" si="2">C25/C28*100</f>
        <v>0</v>
      </c>
      <c r="D30" s="3">
        <f t="shared" si="2"/>
        <v>61</v>
      </c>
      <c r="E30" s="3">
        <f t="shared" si="2"/>
        <v>27.999999999999996</v>
      </c>
      <c r="F30" s="3">
        <f t="shared" si="2"/>
        <v>0</v>
      </c>
      <c r="G30" s="3">
        <f t="shared" si="2"/>
        <v>25.252525252525253</v>
      </c>
    </row>
    <row r="31" spans="1:7" x14ac:dyDescent="0.3">
      <c r="A31" s="3" t="s">
        <v>34</v>
      </c>
      <c r="B31" s="3">
        <f>B26/B28*100</f>
        <v>23.762376237623762</v>
      </c>
      <c r="C31" s="3">
        <f t="shared" ref="C31:G31" si="3">C26/C28*100</f>
        <v>100</v>
      </c>
      <c r="D31" s="3">
        <f t="shared" si="3"/>
        <v>39</v>
      </c>
      <c r="E31" s="3">
        <f t="shared" si="3"/>
        <v>72</v>
      </c>
      <c r="F31" s="3">
        <f t="shared" si="3"/>
        <v>89</v>
      </c>
      <c r="G31" s="3">
        <f t="shared" si="3"/>
        <v>74.747474747474755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13.98</v>
      </c>
      <c r="C33" s="3">
        <v>68.7</v>
      </c>
      <c r="D33" s="3">
        <v>41.33</v>
      </c>
      <c r="E33" s="3">
        <v>73.739999999999995</v>
      </c>
      <c r="F33" s="3">
        <v>96.44</v>
      </c>
      <c r="G33" s="3">
        <v>108.22</v>
      </c>
    </row>
    <row r="35" spans="1:7" x14ac:dyDescent="0.3">
      <c r="A35" s="3" t="s">
        <v>36</v>
      </c>
      <c r="B35" s="3"/>
      <c r="C35" s="3"/>
      <c r="D35" s="3">
        <f>D33-C33</f>
        <v>-27.370000000000005</v>
      </c>
      <c r="E35" s="3"/>
      <c r="F35" s="3">
        <f>F33-E33</f>
        <v>22.700000000000003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32.409999999999997</v>
      </c>
      <c r="F37" s="3"/>
      <c r="G37" s="3">
        <f>G33-F33</f>
        <v>11.780000000000001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FFA2F-8348-4312-B6F1-87569162B2DE}">
  <dimension ref="A1:G37"/>
  <sheetViews>
    <sheetView zoomScale="70" zoomScaleNormal="70" workbookViewId="0">
      <selection activeCell="L18" sqref="L18:L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441.29</v>
      </c>
      <c r="C2" s="1">
        <v>416.09</v>
      </c>
      <c r="D2" s="1">
        <v>411.28</v>
      </c>
      <c r="E2" s="1">
        <v>434.94</v>
      </c>
      <c r="F2" s="1">
        <v>495.29</v>
      </c>
      <c r="G2" s="1">
        <v>530.6</v>
      </c>
    </row>
    <row r="3" spans="1:7" x14ac:dyDescent="0.3">
      <c r="A3" s="1" t="s">
        <v>7</v>
      </c>
      <c r="B3" s="1">
        <v>57.64</v>
      </c>
      <c r="C3" s="1">
        <v>58.11</v>
      </c>
      <c r="D3" s="1">
        <v>53.46</v>
      </c>
      <c r="E3" s="1">
        <v>53.16</v>
      </c>
      <c r="F3" s="1">
        <v>58.91</v>
      </c>
      <c r="G3" s="1">
        <v>59.05</v>
      </c>
    </row>
    <row r="4" spans="1:7" x14ac:dyDescent="0.3">
      <c r="A4" s="1" t="s">
        <v>8</v>
      </c>
      <c r="B4" s="1">
        <v>25851.3</v>
      </c>
      <c r="C4" s="1">
        <v>24577.81</v>
      </c>
      <c r="D4" s="1">
        <v>22360.95</v>
      </c>
      <c r="E4" s="1">
        <v>23590.03</v>
      </c>
      <c r="F4" s="1">
        <v>29682.79</v>
      </c>
      <c r="G4" s="1">
        <v>31895.53</v>
      </c>
    </row>
    <row r="5" spans="1:7" x14ac:dyDescent="0.3">
      <c r="A5" s="1" t="s">
        <v>9</v>
      </c>
      <c r="B5" s="1">
        <v>136.59</v>
      </c>
      <c r="C5" s="1">
        <v>215.84</v>
      </c>
      <c r="D5" s="1">
        <v>298.39999999999998</v>
      </c>
      <c r="E5" s="1">
        <v>665.69</v>
      </c>
      <c r="F5" s="1">
        <v>1473.89</v>
      </c>
      <c r="G5" s="1">
        <v>2094.37</v>
      </c>
    </row>
    <row r="6" spans="1:7" x14ac:dyDescent="0.3">
      <c r="A6" s="3" t="s">
        <v>10</v>
      </c>
      <c r="B6" s="3">
        <v>13.66</v>
      </c>
      <c r="C6" s="3">
        <v>21.8</v>
      </c>
      <c r="D6" s="3">
        <v>30.14</v>
      </c>
      <c r="E6" s="3">
        <v>67.239999999999995</v>
      </c>
      <c r="F6" s="3">
        <v>148.88</v>
      </c>
      <c r="G6" s="3">
        <v>213.71</v>
      </c>
    </row>
    <row r="7" spans="1:7" x14ac:dyDescent="0.3">
      <c r="A7" s="1" t="s">
        <v>11</v>
      </c>
      <c r="B7" s="1">
        <v>121.6</v>
      </c>
      <c r="C7" s="1">
        <v>206.37</v>
      </c>
      <c r="D7" s="1">
        <v>284.39</v>
      </c>
      <c r="E7" s="1">
        <v>635.92999999999995</v>
      </c>
      <c r="F7" s="1">
        <v>1407.23</v>
      </c>
      <c r="G7" s="1">
        <v>1997.6</v>
      </c>
    </row>
    <row r="8" spans="1:7" x14ac:dyDescent="0.3">
      <c r="A8" s="1" t="s">
        <v>12</v>
      </c>
      <c r="B8" s="1">
        <v>12.16</v>
      </c>
      <c r="C8" s="1">
        <v>20.85</v>
      </c>
      <c r="D8" s="1">
        <v>28.73</v>
      </c>
      <c r="E8" s="1">
        <v>64.239999999999995</v>
      </c>
      <c r="F8" s="1">
        <v>142.13999999999999</v>
      </c>
      <c r="G8" s="1">
        <v>203.84</v>
      </c>
    </row>
    <row r="9" spans="1:7" x14ac:dyDescent="0.3">
      <c r="A9" s="1" t="s">
        <v>13</v>
      </c>
      <c r="B9" s="1">
        <v>-52.7</v>
      </c>
      <c r="C9" s="1">
        <v>44.59</v>
      </c>
      <c r="D9" s="1">
        <v>51.72</v>
      </c>
      <c r="E9" s="1">
        <v>569.30999999999995</v>
      </c>
      <c r="F9" s="1">
        <v>1399.68</v>
      </c>
      <c r="G9" s="1">
        <v>1997.6</v>
      </c>
    </row>
    <row r="10" spans="1:7" x14ac:dyDescent="0.3">
      <c r="A10" s="1" t="s">
        <v>14</v>
      </c>
      <c r="B10" s="1">
        <v>-5.27</v>
      </c>
      <c r="C10" s="1">
        <v>4.5</v>
      </c>
      <c r="D10" s="1">
        <v>5.22</v>
      </c>
      <c r="E10" s="1">
        <v>57.51</v>
      </c>
      <c r="F10" s="1">
        <v>141.38</v>
      </c>
      <c r="G10" s="1">
        <v>203.84</v>
      </c>
    </row>
    <row r="11" spans="1:7" x14ac:dyDescent="0.3">
      <c r="A11" s="1" t="s">
        <v>15</v>
      </c>
      <c r="B11" s="1">
        <v>43.42</v>
      </c>
      <c r="C11" s="1">
        <v>31.8</v>
      </c>
      <c r="D11" s="1">
        <v>7.92</v>
      </c>
      <c r="E11" s="1">
        <v>430.74</v>
      </c>
      <c r="F11" s="1">
        <v>1261.83</v>
      </c>
      <c r="G11" s="1">
        <v>1845.5</v>
      </c>
    </row>
    <row r="12" spans="1:7" x14ac:dyDescent="0.3">
      <c r="A12" s="1" t="s">
        <v>16</v>
      </c>
      <c r="B12" s="1">
        <v>200.94</v>
      </c>
      <c r="C12" s="1">
        <v>182.83</v>
      </c>
      <c r="D12" s="1">
        <v>213.57</v>
      </c>
      <c r="E12" s="1">
        <v>226.03</v>
      </c>
      <c r="F12" s="1">
        <v>252.05</v>
      </c>
      <c r="G12" s="1">
        <v>257.98</v>
      </c>
    </row>
    <row r="13" spans="1:7" x14ac:dyDescent="0.3">
      <c r="A13" s="1" t="s">
        <v>17</v>
      </c>
      <c r="B13" s="1">
        <v>24.34</v>
      </c>
      <c r="C13" s="1">
        <v>7.66</v>
      </c>
      <c r="D13" s="1">
        <v>13.37</v>
      </c>
      <c r="E13" s="1">
        <v>24.51</v>
      </c>
      <c r="F13" s="1">
        <v>23.26</v>
      </c>
      <c r="G13" s="1">
        <v>26.81</v>
      </c>
    </row>
    <row r="14" spans="1:7" x14ac:dyDescent="0.3">
      <c r="A14" s="1" t="s">
        <v>18</v>
      </c>
      <c r="B14" s="1">
        <v>44.72</v>
      </c>
      <c r="C14" s="1">
        <v>21.46</v>
      </c>
      <c r="D14" s="1">
        <v>33.49</v>
      </c>
      <c r="E14" s="1">
        <v>62.91</v>
      </c>
      <c r="F14" s="1">
        <v>59.02</v>
      </c>
      <c r="G14" s="1">
        <v>61.67</v>
      </c>
    </row>
    <row r="15" spans="1:7" x14ac:dyDescent="0.3">
      <c r="A15" s="1" t="s">
        <v>19</v>
      </c>
      <c r="B15" s="1">
        <v>1</v>
      </c>
      <c r="C15" s="1">
        <v>2</v>
      </c>
      <c r="D15" s="1">
        <v>1</v>
      </c>
      <c r="E15" s="1">
        <v>4</v>
      </c>
      <c r="F15" s="1">
        <v>5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34.450000000000003</v>
      </c>
      <c r="C17" s="1">
        <v>125.48</v>
      </c>
      <c r="D17" s="1">
        <v>168.06</v>
      </c>
      <c r="E17" s="1">
        <v>602.62</v>
      </c>
      <c r="F17" s="1">
        <v>1403.45</v>
      </c>
      <c r="G17" s="1">
        <v>1997.6</v>
      </c>
    </row>
    <row r="18" spans="1:7" x14ac:dyDescent="0.3">
      <c r="A18" s="1" t="s">
        <v>22</v>
      </c>
      <c r="B18" s="1">
        <v>87.15</v>
      </c>
      <c r="C18" s="1">
        <v>80.89</v>
      </c>
      <c r="D18" s="1">
        <v>116.34</v>
      </c>
      <c r="E18" s="1">
        <v>33.31</v>
      </c>
      <c r="F18" s="1">
        <v>3.78</v>
      </c>
      <c r="G18" s="1">
        <v>0</v>
      </c>
    </row>
    <row r="19" spans="1:7" x14ac:dyDescent="0.3">
      <c r="A19" s="1" t="s">
        <v>23</v>
      </c>
      <c r="B19" s="1">
        <v>2</v>
      </c>
      <c r="C19" s="1">
        <v>1</v>
      </c>
      <c r="D19" s="1">
        <v>3</v>
      </c>
      <c r="E19" s="1">
        <v>1</v>
      </c>
      <c r="F19" s="1">
        <v>0</v>
      </c>
      <c r="G19" s="1">
        <v>0</v>
      </c>
    </row>
    <row r="20" spans="1:7" x14ac:dyDescent="0.3">
      <c r="A20" s="1" t="s">
        <v>24</v>
      </c>
      <c r="B20" s="1">
        <v>4.3</v>
      </c>
      <c r="C20" s="1">
        <v>2.2000000000000002</v>
      </c>
      <c r="D20" s="1">
        <v>3.7</v>
      </c>
      <c r="E20" s="1">
        <v>1.3</v>
      </c>
      <c r="F20" s="1">
        <v>0</v>
      </c>
      <c r="G20" s="1">
        <v>0</v>
      </c>
    </row>
    <row r="21" spans="1:7" x14ac:dyDescent="0.3">
      <c r="A21" s="1" t="s">
        <v>25</v>
      </c>
      <c r="B21" s="1">
        <v>5.8</v>
      </c>
      <c r="C21" s="1">
        <v>7.8</v>
      </c>
      <c r="D21" s="1">
        <v>6.3</v>
      </c>
      <c r="E21" s="1">
        <v>8.6999999999999993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6.4</v>
      </c>
      <c r="F25" s="1">
        <v>0</v>
      </c>
      <c r="G25" s="1">
        <v>0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3.6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64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36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-4.6100000000000003</v>
      </c>
      <c r="C33" s="3">
        <v>2.58</v>
      </c>
      <c r="D33" s="3">
        <v>0.81</v>
      </c>
      <c r="E33" s="3">
        <v>55.65</v>
      </c>
      <c r="F33" s="3">
        <v>146.12</v>
      </c>
      <c r="G33" s="3">
        <v>211.68</v>
      </c>
    </row>
    <row r="35" spans="1:7" x14ac:dyDescent="0.3">
      <c r="A35" s="3" t="s">
        <v>36</v>
      </c>
      <c r="B35" s="3"/>
      <c r="C35" s="3"/>
      <c r="D35" s="3">
        <f>D33-C33</f>
        <v>-1.77</v>
      </c>
      <c r="E35" s="3"/>
      <c r="F35" s="3">
        <f>F33-E33</f>
        <v>90.47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54.839999999999996</v>
      </c>
      <c r="F37" s="3"/>
      <c r="G37" s="3">
        <f>G33-F33</f>
        <v>65.56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1AB4-1CEC-4AD9-A084-5CD53C65C436}">
  <dimension ref="A1:G37"/>
  <sheetViews>
    <sheetView zoomScale="70" zoomScaleNormal="70" workbookViewId="0">
      <selection activeCell="B30" sqref="B30:G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486.71</v>
      </c>
      <c r="C2" s="1">
        <v>477.23</v>
      </c>
      <c r="D2" s="1">
        <v>468.12</v>
      </c>
      <c r="E2" s="1">
        <v>438.57</v>
      </c>
      <c r="F2" s="1">
        <v>425.27</v>
      </c>
      <c r="G2" s="1">
        <v>415.13</v>
      </c>
    </row>
    <row r="3" spans="1:7" x14ac:dyDescent="0.3">
      <c r="A3" s="1" t="s">
        <v>7</v>
      </c>
      <c r="B3" s="1">
        <v>49.16</v>
      </c>
      <c r="C3" s="1">
        <v>53.44</v>
      </c>
      <c r="D3" s="1">
        <v>56.86</v>
      </c>
      <c r="E3" s="1">
        <v>57.21</v>
      </c>
      <c r="F3" s="1">
        <v>57.25</v>
      </c>
      <c r="G3" s="1">
        <v>56.72</v>
      </c>
    </row>
    <row r="4" spans="1:7" x14ac:dyDescent="0.3">
      <c r="A4" s="1" t="s">
        <v>8</v>
      </c>
      <c r="B4" s="1">
        <v>24374.48</v>
      </c>
      <c r="C4" s="1">
        <v>25968.28</v>
      </c>
      <c r="D4" s="1">
        <v>27063.34</v>
      </c>
      <c r="E4" s="1">
        <v>25512.799999999999</v>
      </c>
      <c r="F4" s="1">
        <v>24766.07</v>
      </c>
      <c r="G4" s="1">
        <v>23948.61</v>
      </c>
    </row>
    <row r="5" spans="1:7" x14ac:dyDescent="0.3">
      <c r="A5" s="1" t="s">
        <v>9</v>
      </c>
      <c r="B5" s="1">
        <v>315.08999999999997</v>
      </c>
      <c r="C5" s="1">
        <v>164.58</v>
      </c>
      <c r="D5" s="1">
        <v>203.27</v>
      </c>
      <c r="E5" s="1">
        <v>171.98</v>
      </c>
      <c r="F5" s="1">
        <v>176.87</v>
      </c>
      <c r="G5" s="1">
        <v>188.74</v>
      </c>
    </row>
    <row r="6" spans="1:7" x14ac:dyDescent="0.3">
      <c r="A6" s="3" t="s">
        <v>10</v>
      </c>
      <c r="B6" s="3">
        <v>31.51</v>
      </c>
      <c r="C6" s="3">
        <v>16.62</v>
      </c>
      <c r="D6" s="3">
        <v>20.53</v>
      </c>
      <c r="E6" s="3">
        <v>17.37</v>
      </c>
      <c r="F6" s="3">
        <v>17.87</v>
      </c>
      <c r="G6" s="3">
        <v>19.260000000000002</v>
      </c>
    </row>
    <row r="7" spans="1:7" x14ac:dyDescent="0.3">
      <c r="A7" s="1" t="s">
        <v>11</v>
      </c>
      <c r="B7" s="1">
        <v>271.97000000000003</v>
      </c>
      <c r="C7" s="1">
        <v>139.26</v>
      </c>
      <c r="D7" s="1">
        <v>126.76</v>
      </c>
      <c r="E7" s="1">
        <v>115.71</v>
      </c>
      <c r="F7" s="1">
        <v>133.13</v>
      </c>
      <c r="G7" s="1">
        <v>140.66999999999999</v>
      </c>
    </row>
    <row r="8" spans="1:7" x14ac:dyDescent="0.3">
      <c r="A8" s="1" t="s">
        <v>12</v>
      </c>
      <c r="B8" s="1">
        <v>27.2</v>
      </c>
      <c r="C8" s="1">
        <v>14.07</v>
      </c>
      <c r="D8" s="1">
        <v>12.8</v>
      </c>
      <c r="E8" s="1">
        <v>11.69</v>
      </c>
      <c r="F8" s="1">
        <v>13.45</v>
      </c>
      <c r="G8" s="1">
        <v>14.35</v>
      </c>
    </row>
    <row r="9" spans="1:7" x14ac:dyDescent="0.3">
      <c r="A9" s="1" t="s">
        <v>13</v>
      </c>
      <c r="B9" s="1">
        <v>-49.04</v>
      </c>
      <c r="C9" s="1">
        <v>37.130000000000003</v>
      </c>
      <c r="D9" s="1">
        <v>-42.24</v>
      </c>
      <c r="E9" s="1">
        <v>-16.100000000000001</v>
      </c>
      <c r="F9" s="1">
        <v>-18.850000000000001</v>
      </c>
      <c r="G9" s="1">
        <v>-19.600000000000001</v>
      </c>
    </row>
    <row r="10" spans="1:7" x14ac:dyDescent="0.3">
      <c r="A10" s="1" t="s">
        <v>14</v>
      </c>
      <c r="B10" s="1">
        <v>-4.9000000000000004</v>
      </c>
      <c r="C10" s="1">
        <v>3.75</v>
      </c>
      <c r="D10" s="1">
        <v>-4.2699999999999996</v>
      </c>
      <c r="E10" s="1">
        <v>-1.63</v>
      </c>
      <c r="F10" s="1">
        <v>-1.9</v>
      </c>
      <c r="G10" s="1">
        <v>-2</v>
      </c>
    </row>
    <row r="11" spans="1:7" x14ac:dyDescent="0.3">
      <c r="A11" s="1" t="s">
        <v>15</v>
      </c>
      <c r="B11" s="1">
        <v>11.61</v>
      </c>
      <c r="C11" s="1">
        <v>25.46</v>
      </c>
      <c r="D11" s="1">
        <v>25.72</v>
      </c>
      <c r="E11" s="1">
        <v>6.7</v>
      </c>
      <c r="F11" s="1">
        <v>5.25</v>
      </c>
      <c r="G11" s="1">
        <v>4.46</v>
      </c>
    </row>
    <row r="12" spans="1:7" x14ac:dyDescent="0.3">
      <c r="A12" s="1" t="s">
        <v>16</v>
      </c>
      <c r="B12" s="1">
        <v>248.79</v>
      </c>
      <c r="C12" s="1">
        <v>255.41</v>
      </c>
      <c r="D12" s="1">
        <v>246.86</v>
      </c>
      <c r="E12" s="1">
        <v>236.31</v>
      </c>
      <c r="F12" s="1">
        <v>231.74</v>
      </c>
      <c r="G12" s="1">
        <v>223.56</v>
      </c>
    </row>
    <row r="13" spans="1:7" x14ac:dyDescent="0.3">
      <c r="A13" s="1" t="s">
        <v>17</v>
      </c>
      <c r="B13" s="1">
        <v>38.86</v>
      </c>
      <c r="C13" s="1">
        <v>53.9</v>
      </c>
      <c r="D13" s="1">
        <v>52.58</v>
      </c>
      <c r="E13" s="1">
        <v>39.61</v>
      </c>
      <c r="F13" s="1">
        <v>34.17</v>
      </c>
      <c r="G13" s="1">
        <v>29.44</v>
      </c>
    </row>
    <row r="14" spans="1:7" x14ac:dyDescent="0.3">
      <c r="A14" s="1" t="s">
        <v>18</v>
      </c>
      <c r="B14" s="1">
        <v>45.68</v>
      </c>
      <c r="C14" s="1">
        <v>72.290000000000006</v>
      </c>
      <c r="D14" s="1">
        <v>70.94</v>
      </c>
      <c r="E14" s="1">
        <v>53.44</v>
      </c>
      <c r="F14" s="1">
        <v>46.18</v>
      </c>
      <c r="G14" s="1">
        <v>47.88</v>
      </c>
    </row>
    <row r="15" spans="1:7" x14ac:dyDescent="0.3">
      <c r="A15" s="1" t="s">
        <v>19</v>
      </c>
      <c r="B15" s="1">
        <v>2</v>
      </c>
      <c r="C15" s="1">
        <v>1</v>
      </c>
      <c r="D15" s="1">
        <v>2</v>
      </c>
      <c r="E15" s="1">
        <v>1</v>
      </c>
      <c r="F15" s="1">
        <v>5</v>
      </c>
      <c r="G15" s="1">
        <v>4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111.46</v>
      </c>
      <c r="C17" s="1">
        <v>88.19</v>
      </c>
      <c r="D17" s="1">
        <v>42.26</v>
      </c>
      <c r="E17" s="1">
        <v>49.8</v>
      </c>
      <c r="F17" s="1">
        <v>57.14</v>
      </c>
      <c r="G17" s="1">
        <v>60.54</v>
      </c>
    </row>
    <row r="18" spans="1:7" x14ac:dyDescent="0.3">
      <c r="A18" s="1" t="s">
        <v>22</v>
      </c>
      <c r="B18" s="1">
        <v>160.51</v>
      </c>
      <c r="C18" s="1">
        <v>51.06</v>
      </c>
      <c r="D18" s="1">
        <v>84.5</v>
      </c>
      <c r="E18" s="1">
        <v>65.91</v>
      </c>
      <c r="F18" s="1">
        <v>75.989999999999995</v>
      </c>
      <c r="G18" s="1">
        <v>80.14</v>
      </c>
    </row>
    <row r="19" spans="1:7" x14ac:dyDescent="0.3">
      <c r="A19" s="1" t="s">
        <v>23</v>
      </c>
      <c r="B19" s="1">
        <v>1</v>
      </c>
      <c r="C19" s="1">
        <v>2</v>
      </c>
      <c r="D19" s="1">
        <v>3</v>
      </c>
      <c r="E19" s="1">
        <v>1</v>
      </c>
      <c r="F19" s="1">
        <v>0</v>
      </c>
      <c r="G19" s="1">
        <v>3</v>
      </c>
    </row>
    <row r="20" spans="1:7" x14ac:dyDescent="0.3">
      <c r="A20" s="1" t="s">
        <v>24</v>
      </c>
      <c r="B20" s="1">
        <v>1.5</v>
      </c>
      <c r="C20" s="1">
        <v>3.1</v>
      </c>
      <c r="D20" s="1">
        <v>5.0999999999999996</v>
      </c>
      <c r="E20" s="1">
        <v>1.6</v>
      </c>
      <c r="F20" s="1">
        <v>0</v>
      </c>
      <c r="G20" s="1">
        <v>4.3</v>
      </c>
    </row>
    <row r="21" spans="1:7" x14ac:dyDescent="0.3">
      <c r="A21" s="1" t="s">
        <v>25</v>
      </c>
      <c r="B21" s="1">
        <v>8.6</v>
      </c>
      <c r="C21" s="1">
        <v>6.9</v>
      </c>
      <c r="D21" s="1">
        <v>4.9000000000000004</v>
      </c>
      <c r="E21" s="1">
        <v>8.4</v>
      </c>
      <c r="F21" s="1">
        <v>10</v>
      </c>
      <c r="G21" s="1">
        <v>5.6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1.24</v>
      </c>
      <c r="C33" s="3">
        <v>2.4300000000000002</v>
      </c>
      <c r="D33" s="3">
        <v>-4.32</v>
      </c>
      <c r="E33" s="3">
        <v>0.06</v>
      </c>
      <c r="F33" s="3">
        <v>0.25</v>
      </c>
      <c r="G33" s="3">
        <v>0.4</v>
      </c>
    </row>
    <row r="35" spans="1:7" x14ac:dyDescent="0.3">
      <c r="A35" s="3" t="s">
        <v>36</v>
      </c>
      <c r="B35" s="3"/>
      <c r="C35" s="3"/>
      <c r="D35" s="3">
        <f>D33-C33</f>
        <v>-6.75</v>
      </c>
      <c r="E35" s="3"/>
      <c r="F35" s="3">
        <f>F33-E33</f>
        <v>0.19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4.38</v>
      </c>
      <c r="F37" s="3"/>
      <c r="G37" s="3">
        <f>G33-F33</f>
        <v>0.15000000000000002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5CDAA-2152-47C7-BECB-81ACF27FFF30}">
  <dimension ref="A1:G37"/>
  <sheetViews>
    <sheetView zoomScale="70" zoomScaleNormal="70" workbookViewId="0">
      <selection activeCell="I26" sqref="I26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489.51</v>
      </c>
      <c r="C2" s="1">
        <v>452.57</v>
      </c>
      <c r="D2" s="1">
        <v>440.34</v>
      </c>
      <c r="E2" s="1">
        <v>444.47</v>
      </c>
      <c r="F2" s="1">
        <v>447.83</v>
      </c>
      <c r="G2" s="1">
        <v>452.24</v>
      </c>
    </row>
    <row r="3" spans="1:7" x14ac:dyDescent="0.3">
      <c r="A3" s="1" t="s">
        <v>7</v>
      </c>
      <c r="B3" s="1">
        <v>60.68</v>
      </c>
      <c r="C3" s="1">
        <v>65.209999999999994</v>
      </c>
      <c r="D3" s="1">
        <v>63.92</v>
      </c>
      <c r="E3" s="1">
        <v>62.46</v>
      </c>
      <c r="F3" s="1">
        <v>61.48</v>
      </c>
      <c r="G3" s="1">
        <v>61.12</v>
      </c>
    </row>
    <row r="4" spans="1:7" x14ac:dyDescent="0.3">
      <c r="A4" s="1" t="s">
        <v>8</v>
      </c>
      <c r="B4" s="1">
        <v>30211.64</v>
      </c>
      <c r="C4" s="1">
        <v>30028.7</v>
      </c>
      <c r="D4" s="1">
        <v>28653.48</v>
      </c>
      <c r="E4" s="1">
        <v>28238.65</v>
      </c>
      <c r="F4" s="1">
        <v>28000.2</v>
      </c>
      <c r="G4" s="1">
        <v>28124.560000000001</v>
      </c>
    </row>
    <row r="5" spans="1:7" x14ac:dyDescent="0.3">
      <c r="A5" s="1" t="s">
        <v>9</v>
      </c>
      <c r="B5" s="1">
        <v>244.86</v>
      </c>
      <c r="C5" s="1">
        <v>478.78</v>
      </c>
      <c r="D5" s="1">
        <v>548.15</v>
      </c>
      <c r="E5" s="1">
        <v>201.2</v>
      </c>
      <c r="F5" s="1">
        <v>211.39</v>
      </c>
      <c r="G5" s="1">
        <v>201.95</v>
      </c>
    </row>
    <row r="6" spans="1:7" x14ac:dyDescent="0.3">
      <c r="A6" s="3" t="s">
        <v>10</v>
      </c>
      <c r="B6" s="3">
        <v>24.49</v>
      </c>
      <c r="C6" s="3">
        <v>48.36</v>
      </c>
      <c r="D6" s="3">
        <v>55.37</v>
      </c>
      <c r="E6" s="3">
        <v>20.32</v>
      </c>
      <c r="F6" s="3">
        <v>21.35</v>
      </c>
      <c r="G6" s="3">
        <v>20.61</v>
      </c>
    </row>
    <row r="7" spans="1:7" x14ac:dyDescent="0.3">
      <c r="A7" s="1" t="s">
        <v>11</v>
      </c>
      <c r="B7" s="1">
        <v>224.9</v>
      </c>
      <c r="C7" s="1">
        <v>445.8</v>
      </c>
      <c r="D7" s="1">
        <v>481.27</v>
      </c>
      <c r="E7" s="1">
        <v>167.51</v>
      </c>
      <c r="F7" s="1">
        <v>187.24</v>
      </c>
      <c r="G7" s="1">
        <v>172.64</v>
      </c>
    </row>
    <row r="8" spans="1:7" x14ac:dyDescent="0.3">
      <c r="A8" s="1" t="s">
        <v>12</v>
      </c>
      <c r="B8" s="1">
        <v>22.49</v>
      </c>
      <c r="C8" s="1">
        <v>45.03</v>
      </c>
      <c r="D8" s="1">
        <v>48.61</v>
      </c>
      <c r="E8" s="1">
        <v>16.920000000000002</v>
      </c>
      <c r="F8" s="1">
        <v>18.91</v>
      </c>
      <c r="G8" s="1">
        <v>17.62</v>
      </c>
    </row>
    <row r="9" spans="1:7" x14ac:dyDescent="0.3">
      <c r="A9" s="1" t="s">
        <v>13</v>
      </c>
      <c r="B9" s="1">
        <v>-84.57</v>
      </c>
      <c r="C9" s="1">
        <v>99.26</v>
      </c>
      <c r="D9" s="1">
        <v>-59.24</v>
      </c>
      <c r="E9" s="1">
        <v>-31.64</v>
      </c>
      <c r="F9" s="1">
        <v>25.69</v>
      </c>
      <c r="G9" s="1">
        <v>-23.08</v>
      </c>
    </row>
    <row r="10" spans="1:7" x14ac:dyDescent="0.3">
      <c r="A10" s="1" t="s">
        <v>14</v>
      </c>
      <c r="B10" s="1">
        <v>-8.4600000000000009</v>
      </c>
      <c r="C10" s="1">
        <v>10.029999999999999</v>
      </c>
      <c r="D10" s="1">
        <v>-5.98</v>
      </c>
      <c r="E10" s="1">
        <v>-3.2</v>
      </c>
      <c r="F10" s="1">
        <v>2.59</v>
      </c>
      <c r="G10" s="1">
        <v>-2.35</v>
      </c>
    </row>
    <row r="11" spans="1:7" x14ac:dyDescent="0.3">
      <c r="A11" s="1" t="s">
        <v>15</v>
      </c>
      <c r="B11" s="1">
        <v>64.42</v>
      </c>
      <c r="C11" s="1">
        <v>48.5</v>
      </c>
      <c r="D11" s="1">
        <v>25.24</v>
      </c>
      <c r="E11" s="1">
        <v>6.49</v>
      </c>
      <c r="F11" s="1">
        <v>5.44</v>
      </c>
      <c r="G11" s="1">
        <v>5.52</v>
      </c>
    </row>
    <row r="12" spans="1:7" x14ac:dyDescent="0.3">
      <c r="A12" s="1" t="s">
        <v>16</v>
      </c>
      <c r="B12" s="1">
        <v>250.25</v>
      </c>
      <c r="C12" s="1">
        <v>172.36</v>
      </c>
      <c r="D12" s="1">
        <v>181.5</v>
      </c>
      <c r="E12" s="1">
        <v>198.32</v>
      </c>
      <c r="F12" s="1">
        <v>190.25</v>
      </c>
      <c r="G12" s="1">
        <v>179.86</v>
      </c>
    </row>
    <row r="13" spans="1:7" x14ac:dyDescent="0.3">
      <c r="A13" s="1" t="s">
        <v>17</v>
      </c>
      <c r="B13" s="1">
        <v>44.17</v>
      </c>
      <c r="C13" s="1">
        <v>24.9</v>
      </c>
      <c r="D13" s="1">
        <v>25.88</v>
      </c>
      <c r="E13" s="1">
        <v>22.85</v>
      </c>
      <c r="F13" s="1">
        <v>23.25</v>
      </c>
      <c r="G13" s="1">
        <v>24.68</v>
      </c>
    </row>
    <row r="14" spans="1:7" x14ac:dyDescent="0.3">
      <c r="A14" s="1" t="s">
        <v>18</v>
      </c>
      <c r="B14" s="1">
        <v>53.56</v>
      </c>
      <c r="C14" s="1">
        <v>44.11</v>
      </c>
      <c r="D14" s="1">
        <v>54.17</v>
      </c>
      <c r="E14" s="1">
        <v>34.369999999999997</v>
      </c>
      <c r="F14" s="1">
        <v>35.909999999999997</v>
      </c>
      <c r="G14" s="1">
        <v>36.79</v>
      </c>
    </row>
    <row r="15" spans="1:7" x14ac:dyDescent="0.3">
      <c r="A15" s="1" t="s">
        <v>19</v>
      </c>
      <c r="B15" s="1">
        <v>1</v>
      </c>
      <c r="C15" s="1">
        <v>1</v>
      </c>
      <c r="D15" s="1">
        <v>7</v>
      </c>
      <c r="E15" s="1">
        <v>2</v>
      </c>
      <c r="F15" s="1">
        <v>3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70.17</v>
      </c>
      <c r="C17" s="1">
        <v>272.52999999999997</v>
      </c>
      <c r="D17" s="1">
        <v>211.02</v>
      </c>
      <c r="E17" s="1">
        <v>67.930000000000007</v>
      </c>
      <c r="F17" s="1">
        <v>106.47</v>
      </c>
      <c r="G17" s="1">
        <v>74.78</v>
      </c>
    </row>
    <row r="18" spans="1:7" x14ac:dyDescent="0.3">
      <c r="A18" s="1" t="s">
        <v>22</v>
      </c>
      <c r="B18" s="1">
        <v>154.72999999999999</v>
      </c>
      <c r="C18" s="1">
        <v>173.27</v>
      </c>
      <c r="D18" s="1">
        <v>270.26</v>
      </c>
      <c r="E18" s="1">
        <v>99.58</v>
      </c>
      <c r="F18" s="1">
        <v>80.78</v>
      </c>
      <c r="G18" s="1">
        <v>97.86</v>
      </c>
    </row>
    <row r="19" spans="1:7" x14ac:dyDescent="0.3">
      <c r="A19" s="1" t="s">
        <v>23</v>
      </c>
      <c r="B19" s="1">
        <v>2</v>
      </c>
      <c r="C19" s="1">
        <v>2</v>
      </c>
      <c r="D19" s="1">
        <v>3</v>
      </c>
      <c r="E19" s="1">
        <v>2</v>
      </c>
      <c r="F19" s="1">
        <v>1</v>
      </c>
      <c r="G19" s="1">
        <v>2</v>
      </c>
    </row>
    <row r="20" spans="1:7" x14ac:dyDescent="0.3">
      <c r="A20" s="1" t="s">
        <v>24</v>
      </c>
      <c r="B20" s="1">
        <v>3.2</v>
      </c>
      <c r="C20" s="1">
        <v>2.2999999999999998</v>
      </c>
      <c r="D20" s="1">
        <v>4.4000000000000004</v>
      </c>
      <c r="E20" s="1">
        <v>3.3</v>
      </c>
      <c r="F20" s="1">
        <v>1</v>
      </c>
      <c r="G20" s="1">
        <v>2.8</v>
      </c>
    </row>
    <row r="21" spans="1:7" x14ac:dyDescent="0.3">
      <c r="A21" s="1" t="s">
        <v>25</v>
      </c>
      <c r="B21" s="1">
        <v>6.9</v>
      </c>
      <c r="C21" s="1">
        <v>7.7</v>
      </c>
      <c r="D21" s="1">
        <v>5.6</v>
      </c>
      <c r="E21" s="1">
        <v>6.7</v>
      </c>
      <c r="F21" s="1">
        <v>9</v>
      </c>
      <c r="G21" s="1">
        <v>7.1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9.1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9.9009900990099009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90.099009900990097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-6.98</v>
      </c>
      <c r="C33" s="3">
        <v>5.38</v>
      </c>
      <c r="D33" s="3">
        <v>-1.47</v>
      </c>
      <c r="E33" s="3">
        <v>-0.54</v>
      </c>
      <c r="F33" s="3">
        <v>1.05</v>
      </c>
      <c r="G33" s="3">
        <v>-0.57999999999999996</v>
      </c>
    </row>
    <row r="35" spans="1:7" x14ac:dyDescent="0.3">
      <c r="A35" s="3" t="s">
        <v>36</v>
      </c>
      <c r="B35" s="3"/>
      <c r="C35" s="3"/>
      <c r="D35" s="3">
        <f>D33-C33</f>
        <v>-6.85</v>
      </c>
      <c r="E35" s="3"/>
      <c r="F35" s="3">
        <f>F33-E33</f>
        <v>1.59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0.92999999999999994</v>
      </c>
      <c r="F37" s="3"/>
      <c r="G37" s="3">
        <f>G33-F33</f>
        <v>-1.63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12528-EBBE-4C8F-B0C5-4DD5DE93A0EF}">
  <dimension ref="A1:G37"/>
  <sheetViews>
    <sheetView zoomScale="70" zoomScaleNormal="70" workbookViewId="0">
      <selection activeCell="J30" sqref="J30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260.89999999999998</v>
      </c>
      <c r="C2" s="1">
        <v>381.94</v>
      </c>
      <c r="D2" s="1">
        <v>419.11</v>
      </c>
      <c r="E2" s="1">
        <v>470.11</v>
      </c>
      <c r="F2" s="1">
        <v>451.22</v>
      </c>
      <c r="G2" s="1">
        <v>453.99</v>
      </c>
    </row>
    <row r="3" spans="1:7" x14ac:dyDescent="0.3">
      <c r="A3" s="1" t="s">
        <v>7</v>
      </c>
      <c r="B3" s="1">
        <v>53.76</v>
      </c>
      <c r="C3" s="1">
        <v>39.24</v>
      </c>
      <c r="D3" s="1">
        <v>39.119999999999997</v>
      </c>
      <c r="E3" s="1">
        <v>33.78</v>
      </c>
      <c r="F3" s="1">
        <v>34.590000000000003</v>
      </c>
      <c r="G3" s="1">
        <v>35.479999999999997</v>
      </c>
    </row>
    <row r="4" spans="1:7" x14ac:dyDescent="0.3">
      <c r="A4" s="1" t="s">
        <v>8</v>
      </c>
      <c r="B4" s="1">
        <v>14322.48</v>
      </c>
      <c r="C4" s="1">
        <v>15445.2</v>
      </c>
      <c r="D4" s="1">
        <v>16646.32</v>
      </c>
      <c r="E4" s="1">
        <v>16159.85</v>
      </c>
      <c r="F4" s="1">
        <v>15897.68</v>
      </c>
      <c r="G4" s="1">
        <v>16371.76</v>
      </c>
    </row>
    <row r="5" spans="1:7" x14ac:dyDescent="0.3">
      <c r="A5" s="1" t="s">
        <v>9</v>
      </c>
      <c r="B5" s="1">
        <v>208.68</v>
      </c>
      <c r="C5" s="1">
        <v>1335.29</v>
      </c>
      <c r="D5" s="1">
        <v>1635.78</v>
      </c>
      <c r="E5" s="1">
        <v>2729.6</v>
      </c>
      <c r="F5" s="1">
        <v>2931.48</v>
      </c>
      <c r="G5" s="1">
        <v>2588.8200000000002</v>
      </c>
    </row>
    <row r="6" spans="1:7" x14ac:dyDescent="0.3">
      <c r="A6" s="3" t="s">
        <v>10</v>
      </c>
      <c r="B6" s="3">
        <v>20.87</v>
      </c>
      <c r="C6" s="3">
        <v>134.88</v>
      </c>
      <c r="D6" s="3">
        <v>165.23</v>
      </c>
      <c r="E6" s="3">
        <v>275.72000000000003</v>
      </c>
      <c r="F6" s="3">
        <v>296.11</v>
      </c>
      <c r="G6" s="3">
        <v>264.17</v>
      </c>
    </row>
    <row r="7" spans="1:7" x14ac:dyDescent="0.3">
      <c r="A7" s="1" t="s">
        <v>11</v>
      </c>
      <c r="B7" s="1">
        <v>183.09</v>
      </c>
      <c r="C7" s="1">
        <v>1273.25</v>
      </c>
      <c r="D7" s="1">
        <v>1476.9</v>
      </c>
      <c r="E7" s="1">
        <v>2509.35</v>
      </c>
      <c r="F7" s="1">
        <v>2682.76</v>
      </c>
      <c r="G7" s="1">
        <v>2413.7800000000002</v>
      </c>
    </row>
    <row r="8" spans="1:7" x14ac:dyDescent="0.3">
      <c r="A8" s="1" t="s">
        <v>12</v>
      </c>
      <c r="B8" s="1">
        <v>18.309999999999999</v>
      </c>
      <c r="C8" s="1">
        <v>128.61000000000001</v>
      </c>
      <c r="D8" s="1">
        <v>149.18</v>
      </c>
      <c r="E8" s="1">
        <v>253.47</v>
      </c>
      <c r="F8" s="1">
        <v>270.99</v>
      </c>
      <c r="G8" s="1">
        <v>246.3</v>
      </c>
    </row>
    <row r="9" spans="1:7" x14ac:dyDescent="0.3">
      <c r="A9" s="1" t="s">
        <v>13</v>
      </c>
      <c r="B9" s="1">
        <v>-26.51</v>
      </c>
      <c r="C9" s="1">
        <v>1123.1600000000001</v>
      </c>
      <c r="D9" s="1">
        <v>1469.23</v>
      </c>
      <c r="E9" s="1">
        <v>2399.59</v>
      </c>
      <c r="F9" s="1">
        <v>2643.35</v>
      </c>
      <c r="G9" s="1">
        <v>2348.61</v>
      </c>
    </row>
    <row r="10" spans="1:7" x14ac:dyDescent="0.3">
      <c r="A10" s="1" t="s">
        <v>14</v>
      </c>
      <c r="B10" s="1">
        <v>-2.65</v>
      </c>
      <c r="C10" s="1">
        <v>113.45</v>
      </c>
      <c r="D10" s="1">
        <v>148.41</v>
      </c>
      <c r="E10" s="1">
        <v>242.38</v>
      </c>
      <c r="F10" s="1">
        <v>267.01</v>
      </c>
      <c r="G10" s="1">
        <v>239.65</v>
      </c>
    </row>
    <row r="11" spans="1:7" x14ac:dyDescent="0.3">
      <c r="A11" s="1" t="s">
        <v>15</v>
      </c>
      <c r="B11" s="1">
        <v>3.29</v>
      </c>
      <c r="C11" s="1">
        <v>1036.74</v>
      </c>
      <c r="D11" s="1">
        <v>1405.49</v>
      </c>
      <c r="E11" s="1">
        <v>2527.6</v>
      </c>
      <c r="F11" s="1">
        <v>2811.83</v>
      </c>
      <c r="G11" s="1">
        <v>2324</v>
      </c>
    </row>
    <row r="12" spans="1:7" x14ac:dyDescent="0.3">
      <c r="A12" s="1" t="s">
        <v>16</v>
      </c>
      <c r="B12" s="1">
        <v>147.16</v>
      </c>
      <c r="C12" s="1">
        <v>191.81</v>
      </c>
      <c r="D12" s="1">
        <v>243.26</v>
      </c>
      <c r="E12" s="1">
        <v>266.92</v>
      </c>
      <c r="F12" s="1">
        <v>225.77</v>
      </c>
      <c r="G12" s="1">
        <v>242.03</v>
      </c>
    </row>
    <row r="13" spans="1:7" x14ac:dyDescent="0.3">
      <c r="A13" s="1" t="s">
        <v>17</v>
      </c>
      <c r="B13" s="1">
        <v>28.14</v>
      </c>
      <c r="C13" s="1">
        <v>17.41</v>
      </c>
      <c r="D13" s="1">
        <v>25.02</v>
      </c>
      <c r="E13" s="1">
        <v>20.11</v>
      </c>
      <c r="F13" s="1">
        <v>21.04</v>
      </c>
      <c r="G13" s="1">
        <v>22.06</v>
      </c>
    </row>
    <row r="14" spans="1:7" x14ac:dyDescent="0.3">
      <c r="A14" s="1" t="s">
        <v>18</v>
      </c>
      <c r="B14" s="1">
        <v>35.369999999999997</v>
      </c>
      <c r="C14" s="1">
        <v>55.11</v>
      </c>
      <c r="D14" s="1">
        <v>61.21</v>
      </c>
      <c r="E14" s="1">
        <v>49.15</v>
      </c>
      <c r="F14" s="1">
        <v>53.31</v>
      </c>
      <c r="G14" s="1">
        <v>50.16</v>
      </c>
    </row>
    <row r="15" spans="1:7" x14ac:dyDescent="0.3">
      <c r="A15" s="1" t="s">
        <v>19</v>
      </c>
      <c r="B15" s="1">
        <v>3</v>
      </c>
      <c r="C15" s="1">
        <v>4</v>
      </c>
      <c r="D15" s="1">
        <v>6</v>
      </c>
      <c r="E15" s="1">
        <v>5</v>
      </c>
      <c r="F15" s="1">
        <v>3</v>
      </c>
      <c r="G15" s="1">
        <v>6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78.290000000000006</v>
      </c>
      <c r="C17" s="1">
        <v>1198.21</v>
      </c>
      <c r="D17" s="1">
        <v>1473.06</v>
      </c>
      <c r="E17" s="1">
        <v>2454.4699999999998</v>
      </c>
      <c r="F17" s="1">
        <v>2663.06</v>
      </c>
      <c r="G17" s="1">
        <v>2381.19</v>
      </c>
    </row>
    <row r="18" spans="1:7" x14ac:dyDescent="0.3">
      <c r="A18" s="1" t="s">
        <v>22</v>
      </c>
      <c r="B18" s="1">
        <v>104.8</v>
      </c>
      <c r="C18" s="1">
        <v>75.05</v>
      </c>
      <c r="D18" s="1">
        <v>3.83</v>
      </c>
      <c r="E18" s="1">
        <v>54.88</v>
      </c>
      <c r="F18" s="1">
        <v>19.7</v>
      </c>
      <c r="G18" s="1">
        <v>32.590000000000003</v>
      </c>
    </row>
    <row r="19" spans="1:7" x14ac:dyDescent="0.3">
      <c r="A19" s="1" t="s">
        <v>23</v>
      </c>
      <c r="B19" s="1">
        <v>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 s="1" t="s">
        <v>24</v>
      </c>
      <c r="B20" s="1">
        <v>1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 s="1" t="s">
        <v>25</v>
      </c>
      <c r="B21" s="1">
        <v>9.1</v>
      </c>
      <c r="C21" s="1">
        <v>10</v>
      </c>
      <c r="D21" s="1">
        <v>10</v>
      </c>
      <c r="E21" s="1">
        <v>10</v>
      </c>
      <c r="F21" s="1">
        <v>10</v>
      </c>
      <c r="G21" s="1">
        <v>9.9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 s="1" t="s">
        <v>30</v>
      </c>
      <c r="B26" s="1">
        <v>0</v>
      </c>
      <c r="C26" s="1">
        <v>9</v>
      </c>
      <c r="D26" s="1">
        <v>10</v>
      </c>
      <c r="E26" s="1">
        <v>10</v>
      </c>
      <c r="F26" s="1">
        <v>10</v>
      </c>
      <c r="G26" s="1">
        <v>9.9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</v>
      </c>
      <c r="D30" s="3">
        <f t="shared" si="2"/>
        <v>0</v>
      </c>
      <c r="E30" s="3">
        <f t="shared" si="2"/>
        <v>0</v>
      </c>
      <c r="F30" s="3">
        <f t="shared" si="2"/>
        <v>0</v>
      </c>
      <c r="G30" s="3">
        <f t="shared" si="2"/>
        <v>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90</v>
      </c>
      <c r="D31" s="3">
        <f t="shared" si="3"/>
        <v>100</v>
      </c>
      <c r="E31" s="3">
        <f t="shared" si="3"/>
        <v>100</v>
      </c>
      <c r="F31" s="3">
        <f t="shared" si="3"/>
        <v>100</v>
      </c>
      <c r="G31" s="3">
        <f t="shared" si="3"/>
        <v>100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-0.6</v>
      </c>
      <c r="C33" s="3">
        <v>116.62</v>
      </c>
      <c r="D33" s="3">
        <v>162.91999999999999</v>
      </c>
      <c r="E33" s="3">
        <v>258.08</v>
      </c>
      <c r="F33" s="3">
        <v>297.19</v>
      </c>
      <c r="G33" s="3">
        <v>254.49</v>
      </c>
    </row>
    <row r="35" spans="1:7" x14ac:dyDescent="0.3">
      <c r="A35" s="3" t="s">
        <v>36</v>
      </c>
      <c r="B35" s="3"/>
      <c r="C35" s="3"/>
      <c r="D35" s="3">
        <f>D33-C33</f>
        <v>46.299999999999983</v>
      </c>
      <c r="E35" s="3"/>
      <c r="F35" s="3">
        <f>F33-E33</f>
        <v>39.110000000000014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95.16</v>
      </c>
      <c r="F37" s="3"/>
      <c r="G37" s="3">
        <f>G33-F33</f>
        <v>-42.699999999999989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BFA4-DCBA-47DC-B6CE-03023C41D57D}">
  <dimension ref="A1:G37"/>
  <sheetViews>
    <sheetView zoomScale="70" zoomScaleNormal="70" workbookViewId="0">
      <selection activeCell="I32" sqref="I32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337.71</v>
      </c>
      <c r="C2" s="1">
        <v>419</v>
      </c>
      <c r="D2" s="1">
        <v>410.81</v>
      </c>
      <c r="E2" s="1">
        <v>426.66</v>
      </c>
      <c r="F2" s="1">
        <v>423</v>
      </c>
      <c r="G2" s="1">
        <v>410.62</v>
      </c>
    </row>
    <row r="3" spans="1:7" x14ac:dyDescent="0.3">
      <c r="A3" s="1" t="s">
        <v>7</v>
      </c>
      <c r="B3" s="1">
        <v>57.01</v>
      </c>
      <c r="C3" s="1">
        <v>54.81</v>
      </c>
      <c r="D3" s="1">
        <v>54.75</v>
      </c>
      <c r="E3" s="1">
        <v>52.71</v>
      </c>
      <c r="F3" s="1">
        <v>49.45</v>
      </c>
      <c r="G3" s="1">
        <v>47.33</v>
      </c>
    </row>
    <row r="4" spans="1:7" x14ac:dyDescent="0.3">
      <c r="A4" s="1" t="s">
        <v>8</v>
      </c>
      <c r="B4" s="1">
        <v>19396.29</v>
      </c>
      <c r="C4" s="1">
        <v>23354.58</v>
      </c>
      <c r="D4" s="1">
        <v>22877.14</v>
      </c>
      <c r="E4" s="1">
        <v>22815.19</v>
      </c>
      <c r="F4" s="1">
        <v>21245.279999999999</v>
      </c>
      <c r="G4" s="1">
        <v>19685.48</v>
      </c>
    </row>
    <row r="5" spans="1:7" x14ac:dyDescent="0.3">
      <c r="A5" s="1" t="s">
        <v>9</v>
      </c>
      <c r="B5" s="1">
        <v>734.54</v>
      </c>
      <c r="C5" s="1">
        <v>115.56</v>
      </c>
      <c r="D5" s="1">
        <v>152.37</v>
      </c>
      <c r="E5" s="1">
        <v>255.48</v>
      </c>
      <c r="F5" s="1">
        <v>214.19</v>
      </c>
      <c r="G5" s="1">
        <v>427.15</v>
      </c>
    </row>
    <row r="6" spans="1:7" x14ac:dyDescent="0.3">
      <c r="A6" s="3" t="s">
        <v>10</v>
      </c>
      <c r="B6" s="3">
        <v>73.45</v>
      </c>
      <c r="C6" s="3">
        <v>11.67</v>
      </c>
      <c r="D6" s="3">
        <v>15.39</v>
      </c>
      <c r="E6" s="3">
        <v>25.81</v>
      </c>
      <c r="F6" s="3">
        <v>21.64</v>
      </c>
      <c r="G6" s="3">
        <v>43.59</v>
      </c>
    </row>
    <row r="7" spans="1:7" x14ac:dyDescent="0.3">
      <c r="A7" s="1" t="s">
        <v>11</v>
      </c>
      <c r="B7" s="1">
        <v>620.91</v>
      </c>
      <c r="C7" s="1">
        <v>102.1</v>
      </c>
      <c r="D7" s="1">
        <v>142.16999999999999</v>
      </c>
      <c r="E7" s="1">
        <v>248.29</v>
      </c>
      <c r="F7" s="1">
        <v>208.27</v>
      </c>
      <c r="G7" s="1">
        <v>399.48</v>
      </c>
    </row>
    <row r="8" spans="1:7" x14ac:dyDescent="0.3">
      <c r="A8" s="1" t="s">
        <v>12</v>
      </c>
      <c r="B8" s="1">
        <v>62.09</v>
      </c>
      <c r="C8" s="1">
        <v>10.31</v>
      </c>
      <c r="D8" s="1">
        <v>14.36</v>
      </c>
      <c r="E8" s="1">
        <v>25.08</v>
      </c>
      <c r="F8" s="1">
        <v>21.04</v>
      </c>
      <c r="G8" s="1">
        <v>40.76</v>
      </c>
    </row>
    <row r="9" spans="1:7" x14ac:dyDescent="0.3">
      <c r="A9" s="1" t="s">
        <v>13</v>
      </c>
      <c r="B9" s="1">
        <v>-242.9</v>
      </c>
      <c r="C9" s="1">
        <v>-16.02</v>
      </c>
      <c r="D9" s="1">
        <v>17.850000000000001</v>
      </c>
      <c r="E9" s="1">
        <v>-150.19999999999999</v>
      </c>
      <c r="F9" s="1">
        <v>-87.71</v>
      </c>
      <c r="G9" s="1">
        <v>-53.11</v>
      </c>
    </row>
    <row r="10" spans="1:7" x14ac:dyDescent="0.3">
      <c r="A10" s="1" t="s">
        <v>14</v>
      </c>
      <c r="B10" s="1">
        <v>-24.29</v>
      </c>
      <c r="C10" s="1">
        <v>-1.62</v>
      </c>
      <c r="D10" s="1">
        <v>1.8</v>
      </c>
      <c r="E10" s="1">
        <v>-15.17</v>
      </c>
      <c r="F10" s="1">
        <v>-8.86</v>
      </c>
      <c r="G10" s="1">
        <v>-5.42</v>
      </c>
    </row>
    <row r="11" spans="1:7" x14ac:dyDescent="0.3">
      <c r="A11" s="1" t="s">
        <v>15</v>
      </c>
      <c r="B11" s="1">
        <v>217.75</v>
      </c>
      <c r="C11" s="1">
        <v>4.3600000000000003</v>
      </c>
      <c r="D11" s="1">
        <v>0.16</v>
      </c>
      <c r="E11" s="1">
        <v>130.69</v>
      </c>
      <c r="F11" s="1">
        <v>82.07</v>
      </c>
      <c r="G11" s="1">
        <v>12.49</v>
      </c>
    </row>
    <row r="12" spans="1:7" x14ac:dyDescent="0.3">
      <c r="A12" s="1" t="s">
        <v>16</v>
      </c>
      <c r="B12" s="1">
        <v>146.03</v>
      </c>
      <c r="C12" s="1">
        <v>222.5</v>
      </c>
      <c r="D12" s="1">
        <v>221.38</v>
      </c>
      <c r="E12" s="1">
        <v>216.67</v>
      </c>
      <c r="F12" s="1">
        <v>182.24</v>
      </c>
      <c r="G12" s="1">
        <v>141.9</v>
      </c>
    </row>
    <row r="13" spans="1:7" x14ac:dyDescent="0.3">
      <c r="A13" s="1" t="s">
        <v>17</v>
      </c>
      <c r="B13" s="1">
        <v>28.11</v>
      </c>
      <c r="C13" s="1">
        <v>7.07</v>
      </c>
      <c r="D13" s="1">
        <v>9.3800000000000008</v>
      </c>
      <c r="E13" s="1">
        <v>11.23</v>
      </c>
      <c r="F13" s="1">
        <v>16.05</v>
      </c>
      <c r="G13" s="1">
        <v>62.25</v>
      </c>
    </row>
    <row r="14" spans="1:7" x14ac:dyDescent="0.3">
      <c r="A14" s="1" t="s">
        <v>18</v>
      </c>
      <c r="B14" s="1">
        <v>73.569999999999993</v>
      </c>
      <c r="C14" s="1">
        <v>11.83</v>
      </c>
      <c r="D14" s="1">
        <v>12.03</v>
      </c>
      <c r="E14" s="1">
        <v>26.96</v>
      </c>
      <c r="F14" s="1">
        <v>29.89</v>
      </c>
      <c r="G14" s="1">
        <v>78.78</v>
      </c>
    </row>
    <row r="15" spans="1:7" x14ac:dyDescent="0.3">
      <c r="A15" s="1" t="s">
        <v>19</v>
      </c>
      <c r="B15" s="1">
        <v>7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189.01</v>
      </c>
      <c r="C17" s="1">
        <v>43.04</v>
      </c>
      <c r="D17" s="1">
        <v>80.010000000000005</v>
      </c>
      <c r="E17" s="1">
        <v>49.04</v>
      </c>
      <c r="F17" s="1">
        <v>60.28</v>
      </c>
      <c r="G17" s="1">
        <v>173.18</v>
      </c>
    </row>
    <row r="18" spans="1:7" x14ac:dyDescent="0.3">
      <c r="A18" s="1" t="s">
        <v>22</v>
      </c>
      <c r="B18" s="1">
        <v>431.9</v>
      </c>
      <c r="C18" s="1">
        <v>59.06</v>
      </c>
      <c r="D18" s="1">
        <v>62.16</v>
      </c>
      <c r="E18" s="1">
        <v>199.24</v>
      </c>
      <c r="F18" s="1">
        <v>147.99</v>
      </c>
      <c r="G18" s="1">
        <v>226.29</v>
      </c>
    </row>
    <row r="19" spans="1:7" x14ac:dyDescent="0.3">
      <c r="A19" s="1" t="s">
        <v>23</v>
      </c>
      <c r="B19" s="1">
        <v>3</v>
      </c>
      <c r="C19" s="1">
        <v>1</v>
      </c>
      <c r="D19" s="1">
        <v>1</v>
      </c>
      <c r="E19" s="1">
        <v>3</v>
      </c>
      <c r="F19" s="1">
        <v>2</v>
      </c>
      <c r="G19" s="1">
        <v>2</v>
      </c>
    </row>
    <row r="20" spans="1:7" x14ac:dyDescent="0.3">
      <c r="A20" s="1" t="s">
        <v>24</v>
      </c>
      <c r="B20" s="1">
        <v>5.7</v>
      </c>
      <c r="C20" s="1">
        <v>1.3</v>
      </c>
      <c r="D20" s="1">
        <v>1</v>
      </c>
      <c r="E20" s="1">
        <v>6.8</v>
      </c>
      <c r="F20" s="1">
        <v>2.5</v>
      </c>
      <c r="G20" s="1">
        <v>3.4</v>
      </c>
    </row>
    <row r="21" spans="1:7" x14ac:dyDescent="0.3">
      <c r="A21" s="1" t="s">
        <v>25</v>
      </c>
      <c r="B21" s="1">
        <v>4.4000000000000004</v>
      </c>
      <c r="C21" s="1">
        <v>8.6999999999999993</v>
      </c>
      <c r="D21" s="1">
        <v>9</v>
      </c>
      <c r="E21" s="1">
        <v>3.2</v>
      </c>
      <c r="F21" s="1">
        <v>7.5</v>
      </c>
      <c r="G21" s="1">
        <v>6.5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3.6</v>
      </c>
      <c r="C24" s="1">
        <v>0</v>
      </c>
      <c r="D24" s="1">
        <v>0</v>
      </c>
      <c r="E24" s="1">
        <v>1.9</v>
      </c>
      <c r="F24" s="1">
        <v>1.5</v>
      </c>
      <c r="G24" s="1">
        <v>0</v>
      </c>
    </row>
    <row r="25" spans="1:7" x14ac:dyDescent="0.3">
      <c r="A25" s="1" t="s">
        <v>29</v>
      </c>
      <c r="B25" s="1">
        <v>5</v>
      </c>
      <c r="C25" s="1">
        <v>10</v>
      </c>
      <c r="D25" s="1">
        <v>10</v>
      </c>
      <c r="E25" s="1">
        <v>8.1</v>
      </c>
      <c r="F25" s="1">
        <v>8.5</v>
      </c>
      <c r="G25" s="1">
        <v>8.8000000000000007</v>
      </c>
    </row>
    <row r="26" spans="1:7" x14ac:dyDescent="0.3">
      <c r="A26" s="1" t="s">
        <v>30</v>
      </c>
      <c r="B26" s="1">
        <v>1.5</v>
      </c>
      <c r="C26" s="1">
        <v>0</v>
      </c>
      <c r="D26" s="1">
        <v>0</v>
      </c>
      <c r="E26" s="1">
        <v>0</v>
      </c>
      <c r="F26" s="1">
        <v>0</v>
      </c>
      <c r="G26" s="1">
        <v>1.1000000000000001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35.643564356435647</v>
      </c>
      <c r="C29" s="3">
        <f t="shared" ref="C29:G29" si="1">C24/C28*100</f>
        <v>0</v>
      </c>
      <c r="D29" s="3">
        <f t="shared" si="1"/>
        <v>0</v>
      </c>
      <c r="E29" s="3">
        <f t="shared" si="1"/>
        <v>19</v>
      </c>
      <c r="F29" s="3">
        <f t="shared" si="1"/>
        <v>15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49.504950495049506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81</v>
      </c>
      <c r="F30" s="3">
        <f t="shared" si="2"/>
        <v>85</v>
      </c>
      <c r="G30" s="3">
        <f t="shared" si="2"/>
        <v>88.8888888888889</v>
      </c>
    </row>
    <row r="31" spans="1:7" x14ac:dyDescent="0.3">
      <c r="A31" s="3" t="s">
        <v>34</v>
      </c>
      <c r="B31" s="3">
        <f>B26/B28*100</f>
        <v>14.85148514851485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11.111111111111112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-27.92</v>
      </c>
      <c r="C33" s="3">
        <v>-0.77</v>
      </c>
      <c r="D33" s="3">
        <v>-0.06</v>
      </c>
      <c r="E33" s="3">
        <v>-14.06</v>
      </c>
      <c r="F33" s="3">
        <v>-10.14</v>
      </c>
      <c r="G33" s="3">
        <v>1.28</v>
      </c>
    </row>
    <row r="35" spans="1:7" x14ac:dyDescent="0.3">
      <c r="A35" s="3" t="s">
        <v>36</v>
      </c>
      <c r="B35" s="3"/>
      <c r="C35" s="3"/>
      <c r="D35" s="3">
        <f>D33-C33</f>
        <v>0.71</v>
      </c>
      <c r="E35" s="3"/>
      <c r="F35" s="3">
        <f>F33-E33</f>
        <v>3.92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-14</v>
      </c>
      <c r="F37" s="3"/>
      <c r="G37" s="3">
        <f>G33-F33</f>
        <v>11.42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62C82-3FBB-4715-8A5D-CE7043B58F13}">
  <dimension ref="A1:G37"/>
  <sheetViews>
    <sheetView tabSelected="1" zoomScale="70" zoomScaleNormal="70" workbookViewId="0">
      <selection activeCell="K23" sqref="K23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>
        <v>512.51</v>
      </c>
      <c r="C2" s="1">
        <v>503.61</v>
      </c>
      <c r="D2" s="1">
        <v>504.22</v>
      </c>
      <c r="E2" s="1">
        <v>499.02</v>
      </c>
      <c r="F2" s="1">
        <v>507.91</v>
      </c>
      <c r="G2" s="1">
        <v>502.15</v>
      </c>
    </row>
    <row r="3" spans="1:7" x14ac:dyDescent="0.3">
      <c r="A3" s="1" t="s">
        <v>7</v>
      </c>
      <c r="B3" s="1">
        <v>52.13</v>
      </c>
      <c r="C3" s="1">
        <v>52.02</v>
      </c>
      <c r="D3" s="1">
        <v>51.96</v>
      </c>
      <c r="E3" s="1">
        <v>51.52</v>
      </c>
      <c r="F3" s="1">
        <v>51.71</v>
      </c>
      <c r="G3" s="1">
        <v>51.52</v>
      </c>
    </row>
    <row r="4" spans="1:7" x14ac:dyDescent="0.3">
      <c r="A4" s="1" t="s">
        <v>8</v>
      </c>
      <c r="B4" s="1">
        <v>27179.13</v>
      </c>
      <c r="C4" s="1">
        <v>26646.98</v>
      </c>
      <c r="D4" s="1">
        <v>26652.17</v>
      </c>
      <c r="E4" s="1">
        <v>26188.79</v>
      </c>
      <c r="F4" s="1">
        <v>26716.29</v>
      </c>
      <c r="G4" s="1">
        <v>26333.37</v>
      </c>
    </row>
    <row r="5" spans="1:7" x14ac:dyDescent="0.3">
      <c r="A5" s="1" t="s">
        <v>9</v>
      </c>
      <c r="B5" s="1">
        <v>292.39</v>
      </c>
      <c r="C5" s="1">
        <v>172.89</v>
      </c>
      <c r="D5" s="1">
        <v>183.21</v>
      </c>
      <c r="E5" s="1">
        <v>370.23</v>
      </c>
      <c r="F5" s="1">
        <v>186.65</v>
      </c>
      <c r="G5" s="1">
        <v>242.01</v>
      </c>
    </row>
    <row r="6" spans="1:7" x14ac:dyDescent="0.3">
      <c r="A6" s="3" t="s">
        <v>10</v>
      </c>
      <c r="B6" s="3">
        <v>29.24</v>
      </c>
      <c r="C6" s="3">
        <v>17.46</v>
      </c>
      <c r="D6" s="3">
        <v>18.510000000000002</v>
      </c>
      <c r="E6" s="3">
        <v>37.4</v>
      </c>
      <c r="F6" s="3">
        <v>18.850000000000001</v>
      </c>
      <c r="G6" s="3">
        <v>24.69</v>
      </c>
    </row>
    <row r="7" spans="1:7" x14ac:dyDescent="0.3">
      <c r="A7" s="1" t="s">
        <v>11</v>
      </c>
      <c r="B7" s="1">
        <v>277.5</v>
      </c>
      <c r="C7" s="1">
        <v>155.41999999999999</v>
      </c>
      <c r="D7" s="1">
        <v>162.9</v>
      </c>
      <c r="E7" s="1">
        <v>354.43</v>
      </c>
      <c r="F7" s="1">
        <v>173.18</v>
      </c>
      <c r="G7" s="1">
        <v>231.01</v>
      </c>
    </row>
    <row r="8" spans="1:7" x14ac:dyDescent="0.3">
      <c r="A8" s="1" t="s">
        <v>12</v>
      </c>
      <c r="B8" s="1">
        <v>27.75</v>
      </c>
      <c r="C8" s="1">
        <v>15.7</v>
      </c>
      <c r="D8" s="1">
        <v>16.45</v>
      </c>
      <c r="E8" s="1">
        <v>35.799999999999997</v>
      </c>
      <c r="F8" s="1">
        <v>17.489999999999998</v>
      </c>
      <c r="G8" s="1">
        <v>23.57</v>
      </c>
    </row>
    <row r="9" spans="1:7" x14ac:dyDescent="0.3">
      <c r="A9" s="1" t="s">
        <v>13</v>
      </c>
      <c r="B9" s="1">
        <v>25.25</v>
      </c>
      <c r="C9" s="1">
        <v>-28.67</v>
      </c>
      <c r="D9" s="1">
        <v>35.479999999999997</v>
      </c>
      <c r="E9" s="1">
        <v>46.15</v>
      </c>
      <c r="F9" s="1">
        <v>-35.68</v>
      </c>
      <c r="G9" s="1">
        <v>40.07</v>
      </c>
    </row>
    <row r="10" spans="1:7" x14ac:dyDescent="0.3">
      <c r="A10" s="1" t="s">
        <v>14</v>
      </c>
      <c r="B10" s="1">
        <v>2.5299999999999998</v>
      </c>
      <c r="C10" s="1">
        <v>-2.9</v>
      </c>
      <c r="D10" s="1">
        <v>3.58</v>
      </c>
      <c r="E10" s="1">
        <v>4.66</v>
      </c>
      <c r="F10" s="1">
        <v>-3.6</v>
      </c>
      <c r="G10" s="1">
        <v>4.09</v>
      </c>
    </row>
    <row r="11" spans="1:7" x14ac:dyDescent="0.3">
      <c r="A11" s="1" t="s">
        <v>15</v>
      </c>
      <c r="B11" s="1">
        <v>0.14000000000000001</v>
      </c>
      <c r="C11" s="1">
        <v>4.7</v>
      </c>
      <c r="D11" s="1">
        <v>0.99</v>
      </c>
      <c r="E11" s="1">
        <v>10.75</v>
      </c>
      <c r="F11" s="1">
        <v>11.98</v>
      </c>
      <c r="G11" s="1">
        <v>5.8</v>
      </c>
    </row>
    <row r="12" spans="1:7" x14ac:dyDescent="0.3">
      <c r="A12" s="1" t="s">
        <v>16</v>
      </c>
      <c r="B12" s="1">
        <v>337.25</v>
      </c>
      <c r="C12" s="1">
        <v>363.43</v>
      </c>
      <c r="D12" s="1">
        <v>350.51</v>
      </c>
      <c r="E12" s="1">
        <v>356.99</v>
      </c>
      <c r="F12" s="1">
        <v>366.4</v>
      </c>
      <c r="G12" s="1">
        <v>350.49</v>
      </c>
    </row>
    <row r="13" spans="1:7" x14ac:dyDescent="0.3">
      <c r="A13" s="1" t="s">
        <v>17</v>
      </c>
      <c r="B13" s="1">
        <v>16.55</v>
      </c>
      <c r="C13" s="1">
        <v>12.59</v>
      </c>
      <c r="D13" s="1">
        <v>13.02</v>
      </c>
      <c r="E13" s="1">
        <v>14.62</v>
      </c>
      <c r="F13" s="1">
        <v>13.56</v>
      </c>
      <c r="G13" s="1">
        <v>13.26</v>
      </c>
    </row>
    <row r="14" spans="1:7" x14ac:dyDescent="0.3">
      <c r="A14" s="1" t="s">
        <v>18</v>
      </c>
      <c r="B14" s="1">
        <v>36.92</v>
      </c>
      <c r="C14" s="1">
        <v>32.32</v>
      </c>
      <c r="D14" s="1">
        <v>34.700000000000003</v>
      </c>
      <c r="E14" s="1">
        <v>38.9</v>
      </c>
      <c r="F14" s="1">
        <v>34.75</v>
      </c>
      <c r="G14" s="1">
        <v>38.299999999999997</v>
      </c>
    </row>
    <row r="15" spans="1:7" x14ac:dyDescent="0.3">
      <c r="A15" s="1" t="s">
        <v>19</v>
      </c>
      <c r="B15" s="1">
        <v>1</v>
      </c>
      <c r="C15" s="1">
        <v>6</v>
      </c>
      <c r="D15" s="1">
        <v>4</v>
      </c>
      <c r="E15" s="1">
        <v>2</v>
      </c>
      <c r="F15" s="1">
        <v>3</v>
      </c>
      <c r="G15" s="1">
        <v>2</v>
      </c>
    </row>
    <row r="16" spans="1:7" x14ac:dyDescent="0.3">
      <c r="A16" s="1" t="s">
        <v>20</v>
      </c>
      <c r="B16" s="1">
        <v>10</v>
      </c>
      <c r="C16" s="1">
        <v>9.9</v>
      </c>
      <c r="D16" s="1">
        <v>9.9</v>
      </c>
      <c r="E16" s="1">
        <v>9.9</v>
      </c>
      <c r="F16" s="1">
        <v>9.9</v>
      </c>
      <c r="G16" s="1">
        <v>9.8000000000000007</v>
      </c>
    </row>
    <row r="17" spans="1:7" x14ac:dyDescent="0.3">
      <c r="A17" s="1" t="s">
        <v>21</v>
      </c>
      <c r="B17" s="1">
        <v>151.38</v>
      </c>
      <c r="C17" s="1">
        <v>63.37</v>
      </c>
      <c r="D17" s="1">
        <v>99.19</v>
      </c>
      <c r="E17" s="1">
        <v>200.29</v>
      </c>
      <c r="F17" s="1">
        <v>68.75</v>
      </c>
      <c r="G17" s="1">
        <v>135.54</v>
      </c>
    </row>
    <row r="18" spans="1:7" x14ac:dyDescent="0.3">
      <c r="A18" s="1" t="s">
        <v>22</v>
      </c>
      <c r="B18" s="1">
        <v>126.12</v>
      </c>
      <c r="C18" s="1">
        <v>92.04</v>
      </c>
      <c r="D18" s="1">
        <v>63.71</v>
      </c>
      <c r="E18" s="1">
        <v>154.13999999999999</v>
      </c>
      <c r="F18" s="1">
        <v>104.43</v>
      </c>
      <c r="G18" s="1">
        <v>95.47</v>
      </c>
    </row>
    <row r="19" spans="1:7" x14ac:dyDescent="0.3">
      <c r="A19" s="1" t="s">
        <v>23</v>
      </c>
      <c r="B19" s="1">
        <v>1</v>
      </c>
      <c r="C19" s="1">
        <v>1</v>
      </c>
      <c r="D19" s="1">
        <v>2</v>
      </c>
      <c r="E19" s="1">
        <v>0</v>
      </c>
      <c r="F19" s="1">
        <v>1</v>
      </c>
      <c r="G19" s="1">
        <v>2</v>
      </c>
    </row>
    <row r="20" spans="1:7" x14ac:dyDescent="0.3">
      <c r="A20" s="1" t="s">
        <v>24</v>
      </c>
      <c r="B20" s="1">
        <v>1.6</v>
      </c>
      <c r="C20" s="1">
        <v>1</v>
      </c>
      <c r="D20" s="1">
        <v>2.4</v>
      </c>
      <c r="E20" s="1">
        <v>0</v>
      </c>
      <c r="F20" s="1">
        <v>1.1000000000000001</v>
      </c>
      <c r="G20" s="1">
        <v>2.9</v>
      </c>
    </row>
    <row r="21" spans="1:7" x14ac:dyDescent="0.3">
      <c r="A21" s="1" t="s">
        <v>25</v>
      </c>
      <c r="B21" s="1">
        <v>8.5</v>
      </c>
      <c r="C21" s="1">
        <v>9</v>
      </c>
      <c r="D21" s="1">
        <v>7.6</v>
      </c>
      <c r="E21" s="1">
        <v>10</v>
      </c>
      <c r="F21" s="1">
        <v>8.9</v>
      </c>
      <c r="G21" s="1">
        <v>7</v>
      </c>
    </row>
    <row r="22" spans="1:7" x14ac:dyDescent="0.3">
      <c r="A22" s="1" t="s">
        <v>26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 s="1" t="s">
        <v>27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 s="1" t="s">
        <v>28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 s="1" t="s">
        <v>29</v>
      </c>
      <c r="B25" s="1">
        <v>10.1</v>
      </c>
      <c r="C25" s="1">
        <v>10</v>
      </c>
      <c r="D25" s="1">
        <v>10</v>
      </c>
      <c r="E25" s="1">
        <v>10</v>
      </c>
      <c r="F25" s="1">
        <v>10</v>
      </c>
      <c r="G25" s="1">
        <v>9.9</v>
      </c>
    </row>
    <row r="26" spans="1:7" x14ac:dyDescent="0.3">
      <c r="A26" s="1" t="s">
        <v>30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10.1</v>
      </c>
      <c r="C28" s="1">
        <f t="shared" ref="C28:G28" si="0">SUM(C24:C26)</f>
        <v>10</v>
      </c>
      <c r="D28" s="1">
        <f t="shared" si="0"/>
        <v>10</v>
      </c>
      <c r="E28" s="1">
        <f t="shared" si="0"/>
        <v>10</v>
      </c>
      <c r="F28" s="1">
        <f t="shared" si="0"/>
        <v>10</v>
      </c>
      <c r="G28" s="1">
        <f t="shared" si="0"/>
        <v>9.9</v>
      </c>
    </row>
    <row r="29" spans="1:7" x14ac:dyDescent="0.3">
      <c r="A29" s="3" t="s">
        <v>32</v>
      </c>
      <c r="B29" s="3">
        <f>B24/B28*100</f>
        <v>0</v>
      </c>
      <c r="C29" s="3">
        <f t="shared" ref="C29:G29" si="1">C24/C28*100</f>
        <v>0</v>
      </c>
      <c r="D29" s="3">
        <f t="shared" si="1"/>
        <v>0</v>
      </c>
      <c r="E29" s="3">
        <f t="shared" si="1"/>
        <v>0</v>
      </c>
      <c r="F29" s="3">
        <f t="shared" si="1"/>
        <v>0</v>
      </c>
      <c r="G29" s="3">
        <f t="shared" si="1"/>
        <v>0</v>
      </c>
    </row>
    <row r="30" spans="1:7" x14ac:dyDescent="0.3">
      <c r="A30" s="3" t="s">
        <v>33</v>
      </c>
      <c r="B30" s="3">
        <f>B25/B28*100</f>
        <v>100</v>
      </c>
      <c r="C30" s="3">
        <f t="shared" ref="C30:G30" si="2">C25/C28*100</f>
        <v>100</v>
      </c>
      <c r="D30" s="3">
        <f t="shared" si="2"/>
        <v>100</v>
      </c>
      <c r="E30" s="3">
        <f t="shared" si="2"/>
        <v>100</v>
      </c>
      <c r="F30" s="3">
        <f t="shared" si="2"/>
        <v>100</v>
      </c>
      <c r="G30" s="3">
        <f t="shared" si="2"/>
        <v>100</v>
      </c>
    </row>
    <row r="31" spans="1:7" x14ac:dyDescent="0.3">
      <c r="A31" s="3" t="s">
        <v>34</v>
      </c>
      <c r="B31" s="3">
        <f>B26/B28*100</f>
        <v>0</v>
      </c>
      <c r="C31" s="3">
        <f t="shared" ref="C31:G31" si="3">C26/C28*100</f>
        <v>0</v>
      </c>
      <c r="D31" s="3">
        <f t="shared" si="3"/>
        <v>0</v>
      </c>
      <c r="E31" s="3">
        <f t="shared" si="3"/>
        <v>0</v>
      </c>
      <c r="F31" s="3">
        <f t="shared" si="3"/>
        <v>0</v>
      </c>
      <c r="G31" s="3">
        <f t="shared" si="3"/>
        <v>0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>
        <v>0.1</v>
      </c>
      <c r="C33" s="3">
        <v>0.03</v>
      </c>
      <c r="D33" s="3">
        <v>0.06</v>
      </c>
      <c r="E33" s="3">
        <v>0.13</v>
      </c>
      <c r="F33" s="3">
        <v>-0.34</v>
      </c>
      <c r="G33" s="3">
        <v>0.62</v>
      </c>
    </row>
    <row r="35" spans="1:7" x14ac:dyDescent="0.3">
      <c r="A35" s="3" t="s">
        <v>36</v>
      </c>
      <c r="B35" s="3"/>
      <c r="C35" s="3"/>
      <c r="D35" s="3">
        <f>D33-C33</f>
        <v>0.03</v>
      </c>
      <c r="E35" s="3"/>
      <c r="F35" s="3">
        <f>F33-E33</f>
        <v>-0.47000000000000003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7.0000000000000007E-2</v>
      </c>
      <c r="F37" s="3"/>
      <c r="G37" s="3">
        <f>G33-F33</f>
        <v>0.96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23FD4-9332-4B82-A551-10D8BF9C4561}">
  <dimension ref="A1:G37"/>
  <sheetViews>
    <sheetView zoomScale="70" zoomScaleNormal="70" workbookViewId="0">
      <selection activeCell="E17" sqref="E17"/>
    </sheetView>
  </sheetViews>
  <sheetFormatPr defaultRowHeight="14.4" x14ac:dyDescent="0.3"/>
  <cols>
    <col min="1" max="1" width="58.88671875" customWidth="1"/>
    <col min="2" max="7" width="12.6640625" customWidth="1"/>
  </cols>
  <sheetData>
    <row r="1" spans="1:7" x14ac:dyDescent="0.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3">
      <c r="A2" s="1" t="s">
        <v>6</v>
      </c>
      <c r="B2" s="1"/>
      <c r="C2" s="1"/>
      <c r="D2" s="1"/>
      <c r="E2" s="1"/>
      <c r="F2" s="1"/>
      <c r="G2" s="1"/>
    </row>
    <row r="3" spans="1:7" x14ac:dyDescent="0.3">
      <c r="A3" s="1" t="s">
        <v>7</v>
      </c>
      <c r="B3" s="1"/>
      <c r="C3" s="1"/>
      <c r="D3" s="1"/>
      <c r="E3" s="1"/>
      <c r="F3" s="1"/>
      <c r="G3" s="1"/>
    </row>
    <row r="4" spans="1:7" x14ac:dyDescent="0.3">
      <c r="A4" s="1" t="s">
        <v>8</v>
      </c>
      <c r="B4" s="1"/>
      <c r="C4" s="1"/>
      <c r="D4" s="1"/>
      <c r="E4" s="1"/>
      <c r="F4" s="1"/>
      <c r="G4" s="1"/>
    </row>
    <row r="5" spans="1:7" x14ac:dyDescent="0.3">
      <c r="A5" s="1" t="s">
        <v>9</v>
      </c>
      <c r="B5" s="1"/>
      <c r="C5" s="1"/>
      <c r="D5" s="1"/>
      <c r="E5" s="1"/>
      <c r="F5" s="1"/>
      <c r="G5" s="1"/>
    </row>
    <row r="6" spans="1:7" x14ac:dyDescent="0.3">
      <c r="A6" s="3" t="s">
        <v>10</v>
      </c>
      <c r="B6" s="3"/>
      <c r="C6" s="3"/>
      <c r="D6" s="3"/>
      <c r="E6" s="3"/>
      <c r="F6" s="3"/>
      <c r="G6" s="3"/>
    </row>
    <row r="7" spans="1:7" x14ac:dyDescent="0.3">
      <c r="A7" s="1" t="s">
        <v>11</v>
      </c>
      <c r="B7" s="1"/>
      <c r="C7" s="1"/>
      <c r="D7" s="1"/>
      <c r="E7" s="1"/>
      <c r="F7" s="1"/>
      <c r="G7" s="1"/>
    </row>
    <row r="8" spans="1:7" x14ac:dyDescent="0.3">
      <c r="A8" s="1" t="s">
        <v>12</v>
      </c>
      <c r="B8" s="1"/>
      <c r="C8" s="1"/>
      <c r="D8" s="1"/>
      <c r="E8" s="1"/>
      <c r="F8" s="1"/>
      <c r="G8" s="1"/>
    </row>
    <row r="9" spans="1:7" x14ac:dyDescent="0.3">
      <c r="A9" s="1" t="s">
        <v>13</v>
      </c>
      <c r="B9" s="1"/>
      <c r="C9" s="1"/>
      <c r="D9" s="1"/>
      <c r="E9" s="1"/>
      <c r="F9" s="1"/>
      <c r="G9" s="1"/>
    </row>
    <row r="10" spans="1:7" x14ac:dyDescent="0.3">
      <c r="A10" s="1" t="s">
        <v>14</v>
      </c>
      <c r="B10" s="1"/>
      <c r="C10" s="1"/>
      <c r="D10" s="1"/>
      <c r="E10" s="1"/>
      <c r="F10" s="1"/>
      <c r="G10" s="1"/>
    </row>
    <row r="11" spans="1:7" x14ac:dyDescent="0.3">
      <c r="A11" s="1" t="s">
        <v>15</v>
      </c>
      <c r="B11" s="1"/>
      <c r="C11" s="1"/>
      <c r="D11" s="1"/>
      <c r="E11" s="1"/>
      <c r="F11" s="1"/>
      <c r="G11" s="1"/>
    </row>
    <row r="12" spans="1:7" x14ac:dyDescent="0.3">
      <c r="A12" s="1" t="s">
        <v>16</v>
      </c>
      <c r="B12" s="1"/>
      <c r="C12" s="1"/>
      <c r="D12" s="1"/>
      <c r="E12" s="1"/>
      <c r="F12" s="1"/>
      <c r="G12" s="1"/>
    </row>
    <row r="13" spans="1:7" x14ac:dyDescent="0.3">
      <c r="A13" s="1" t="s">
        <v>17</v>
      </c>
      <c r="B13" s="1"/>
      <c r="C13" s="1"/>
      <c r="D13" s="1"/>
      <c r="E13" s="1"/>
      <c r="F13" s="1"/>
      <c r="G13" s="1"/>
    </row>
    <row r="14" spans="1:7" x14ac:dyDescent="0.3">
      <c r="A14" s="1" t="s">
        <v>18</v>
      </c>
      <c r="B14" s="1"/>
      <c r="C14" s="1"/>
      <c r="D14" s="1"/>
      <c r="E14" s="1"/>
      <c r="F14" s="1"/>
      <c r="G14" s="1"/>
    </row>
    <row r="15" spans="1:7" x14ac:dyDescent="0.3">
      <c r="A15" s="1" t="s">
        <v>19</v>
      </c>
      <c r="B15" s="1"/>
      <c r="C15" s="1"/>
      <c r="D15" s="1"/>
      <c r="E15" s="1"/>
      <c r="F15" s="1"/>
      <c r="G15" s="1"/>
    </row>
    <row r="16" spans="1:7" x14ac:dyDescent="0.3">
      <c r="A16" s="1" t="s">
        <v>20</v>
      </c>
      <c r="B16" s="1"/>
      <c r="C16" s="1"/>
      <c r="D16" s="1"/>
      <c r="E16" s="1"/>
      <c r="F16" s="1"/>
      <c r="G16" s="1"/>
    </row>
    <row r="17" spans="1:7" x14ac:dyDescent="0.3">
      <c r="A17" s="1" t="s">
        <v>21</v>
      </c>
      <c r="B17" s="1"/>
      <c r="C17" s="1"/>
      <c r="D17" s="1"/>
      <c r="E17" s="1"/>
      <c r="F17" s="1"/>
      <c r="G17" s="1"/>
    </row>
    <row r="18" spans="1:7" x14ac:dyDescent="0.3">
      <c r="A18" s="1" t="s">
        <v>22</v>
      </c>
      <c r="B18" s="1"/>
      <c r="C18" s="1"/>
      <c r="D18" s="1"/>
      <c r="E18" s="1"/>
      <c r="F18" s="1"/>
      <c r="G18" s="1"/>
    </row>
    <row r="19" spans="1:7" x14ac:dyDescent="0.3">
      <c r="A19" s="1" t="s">
        <v>23</v>
      </c>
      <c r="B19" s="1"/>
      <c r="C19" s="1"/>
      <c r="D19" s="1"/>
      <c r="E19" s="1"/>
      <c r="F19" s="1"/>
      <c r="G19" s="1"/>
    </row>
    <row r="20" spans="1:7" x14ac:dyDescent="0.3">
      <c r="A20" s="1" t="s">
        <v>24</v>
      </c>
      <c r="B20" s="1"/>
      <c r="C20" s="1"/>
      <c r="D20" s="1"/>
      <c r="E20" s="1"/>
      <c r="F20" s="1"/>
      <c r="G20" s="1"/>
    </row>
    <row r="21" spans="1:7" x14ac:dyDescent="0.3">
      <c r="A21" s="1" t="s">
        <v>25</v>
      </c>
      <c r="B21" s="1"/>
      <c r="C21" s="1"/>
      <c r="D21" s="1"/>
      <c r="E21" s="1"/>
      <c r="F21" s="1"/>
      <c r="G21" s="1"/>
    </row>
    <row r="22" spans="1:7" x14ac:dyDescent="0.3">
      <c r="A22" s="1" t="s">
        <v>26</v>
      </c>
      <c r="B22" s="1"/>
      <c r="C22" s="1"/>
      <c r="D22" s="1"/>
      <c r="E22" s="1"/>
      <c r="F22" s="1"/>
      <c r="G22" s="1"/>
    </row>
    <row r="23" spans="1:7" x14ac:dyDescent="0.3">
      <c r="A23" s="1" t="s">
        <v>27</v>
      </c>
      <c r="B23" s="1"/>
      <c r="C23" s="1"/>
      <c r="D23" s="1"/>
      <c r="E23" s="1"/>
      <c r="F23" s="1"/>
      <c r="G23" s="1"/>
    </row>
    <row r="24" spans="1:7" x14ac:dyDescent="0.3">
      <c r="A24" s="1" t="s">
        <v>28</v>
      </c>
      <c r="B24" s="1"/>
      <c r="C24" s="1"/>
      <c r="D24" s="1"/>
      <c r="E24" s="1"/>
      <c r="F24" s="1"/>
      <c r="G24" s="1"/>
    </row>
    <row r="25" spans="1:7" x14ac:dyDescent="0.3">
      <c r="A25" s="1" t="s">
        <v>29</v>
      </c>
      <c r="B25" s="1"/>
      <c r="C25" s="1"/>
      <c r="D25" s="1"/>
      <c r="E25" s="1"/>
      <c r="F25" s="1"/>
      <c r="G25" s="1"/>
    </row>
    <row r="26" spans="1:7" x14ac:dyDescent="0.3">
      <c r="A26" s="1" t="s">
        <v>30</v>
      </c>
      <c r="B26" s="1"/>
      <c r="C26" s="1"/>
      <c r="D26" s="1"/>
      <c r="E26" s="1"/>
      <c r="F26" s="1"/>
      <c r="G26" s="1"/>
    </row>
    <row r="27" spans="1:7" x14ac:dyDescent="0.3">
      <c r="A27" s="1"/>
      <c r="B27" s="1"/>
      <c r="C27" s="1"/>
      <c r="D27" s="1"/>
      <c r="E27" s="1"/>
      <c r="F27" s="1"/>
      <c r="G27" s="1"/>
    </row>
    <row r="28" spans="1:7" x14ac:dyDescent="0.3">
      <c r="A28" s="1" t="s">
        <v>31</v>
      </c>
      <c r="B28" s="1">
        <f>SUM(B24:B26)</f>
        <v>0</v>
      </c>
      <c r="C28" s="1">
        <f t="shared" ref="C28:G28" si="0">SUM(C24:C26)</f>
        <v>0</v>
      </c>
      <c r="D28" s="1">
        <f t="shared" si="0"/>
        <v>0</v>
      </c>
      <c r="E28" s="1">
        <f t="shared" si="0"/>
        <v>0</v>
      </c>
      <c r="F28" s="1">
        <f t="shared" si="0"/>
        <v>0</v>
      </c>
      <c r="G28" s="1">
        <f t="shared" si="0"/>
        <v>0</v>
      </c>
    </row>
    <row r="29" spans="1:7" x14ac:dyDescent="0.3">
      <c r="A29" s="3" t="s">
        <v>32</v>
      </c>
      <c r="B29" s="3" t="e">
        <f>B24/B28*100</f>
        <v>#DIV/0!</v>
      </c>
      <c r="C29" s="3" t="e">
        <f t="shared" ref="C29:G29" si="1">C24/C28*100</f>
        <v>#DIV/0!</v>
      </c>
      <c r="D29" s="3" t="e">
        <f t="shared" si="1"/>
        <v>#DIV/0!</v>
      </c>
      <c r="E29" s="3" t="e">
        <f t="shared" si="1"/>
        <v>#DIV/0!</v>
      </c>
      <c r="F29" s="3" t="e">
        <f t="shared" si="1"/>
        <v>#DIV/0!</v>
      </c>
      <c r="G29" s="3" t="e">
        <f t="shared" si="1"/>
        <v>#DIV/0!</v>
      </c>
    </row>
    <row r="30" spans="1:7" x14ac:dyDescent="0.3">
      <c r="A30" s="3" t="s">
        <v>33</v>
      </c>
      <c r="B30" s="3" t="e">
        <f>B25/B28*100</f>
        <v>#DIV/0!</v>
      </c>
      <c r="C30" s="3" t="e">
        <f t="shared" ref="C30:G30" si="2">C25/C28*100</f>
        <v>#DIV/0!</v>
      </c>
      <c r="D30" s="3" t="e">
        <f t="shared" si="2"/>
        <v>#DIV/0!</v>
      </c>
      <c r="E30" s="3" t="e">
        <f t="shared" si="2"/>
        <v>#DIV/0!</v>
      </c>
      <c r="F30" s="3" t="e">
        <f t="shared" si="2"/>
        <v>#DIV/0!</v>
      </c>
      <c r="G30" s="3" t="e">
        <f t="shared" si="2"/>
        <v>#DIV/0!</v>
      </c>
    </row>
    <row r="31" spans="1:7" x14ac:dyDescent="0.3">
      <c r="A31" s="3" t="s">
        <v>34</v>
      </c>
      <c r="B31" s="3" t="e">
        <f>B26/B28*100</f>
        <v>#DIV/0!</v>
      </c>
      <c r="C31" s="3" t="e">
        <f t="shared" ref="C31:G31" si="3">C26/C28*100</f>
        <v>#DIV/0!</v>
      </c>
      <c r="D31" s="3" t="e">
        <f t="shared" si="3"/>
        <v>#DIV/0!</v>
      </c>
      <c r="E31" s="3" t="e">
        <f t="shared" si="3"/>
        <v>#DIV/0!</v>
      </c>
      <c r="F31" s="3" t="e">
        <f t="shared" si="3"/>
        <v>#DIV/0!</v>
      </c>
      <c r="G31" s="3" t="e">
        <f t="shared" si="3"/>
        <v>#DIV/0!</v>
      </c>
    </row>
    <row r="32" spans="1:7" x14ac:dyDescent="0.3">
      <c r="A32" s="1"/>
      <c r="B32" s="1"/>
      <c r="C32" s="1"/>
      <c r="D32" s="1"/>
      <c r="E32" s="1"/>
      <c r="F32" s="1"/>
      <c r="G32" s="1"/>
    </row>
    <row r="33" spans="1:7" x14ac:dyDescent="0.3">
      <c r="A33" s="3" t="s">
        <v>35</v>
      </c>
      <c r="B33" s="3"/>
      <c r="C33" s="3"/>
      <c r="D33" s="3"/>
      <c r="E33" s="3"/>
      <c r="F33" s="3"/>
      <c r="G33" s="3"/>
    </row>
    <row r="35" spans="1:7" x14ac:dyDescent="0.3">
      <c r="A35" s="3" t="s">
        <v>36</v>
      </c>
      <c r="B35" s="3"/>
      <c r="C35" s="3"/>
      <c r="D35" s="3">
        <f>D33-C33</f>
        <v>0</v>
      </c>
      <c r="E35" s="3"/>
      <c r="F35" s="3">
        <f>F33-E33</f>
        <v>0</v>
      </c>
      <c r="G35" s="3"/>
    </row>
    <row r="37" spans="1:7" x14ac:dyDescent="0.3">
      <c r="A37" s="3" t="s">
        <v>36</v>
      </c>
      <c r="B37" s="3"/>
      <c r="C37" s="3" t="e">
        <f>C33-#REF!</f>
        <v>#REF!</v>
      </c>
      <c r="D37" s="3"/>
      <c r="E37" s="3">
        <f>E33-D33</f>
        <v>0</v>
      </c>
      <c r="F37" s="3"/>
      <c r="G37" s="3">
        <f>G33-F33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240424Bhz001.1</vt:lpstr>
      <vt:lpstr>240424Bhz001.2</vt:lpstr>
      <vt:lpstr>240424Bhz001.3</vt:lpstr>
      <vt:lpstr>240424Bhz002.1</vt:lpstr>
      <vt:lpstr>240424Bhz002.2</vt:lpstr>
      <vt:lpstr>240424Bhz003.1</vt:lpstr>
      <vt:lpstr>240424Bhz003.2</vt:lpstr>
      <vt:lpstr>240424Bhz003.3</vt:lpstr>
      <vt:lpstr>template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2024-05-27T19:23:36Z</dcterms:created>
  <dcterms:modified xsi:type="dcterms:W3CDTF">2024-06-16T01:25:29Z</dcterms:modified>
</cp:coreProperties>
</file>