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450\2024-0729\WormLab Data\"/>
    </mc:Choice>
  </mc:AlternateContent>
  <xr:revisionPtr revIDLastSave="0" documentId="13_ncr:1_{1AFFA309-EA8B-4698-9CD0-4872A88272ED}" xr6:coauthVersionLast="36" xr6:coauthVersionMax="36" xr10:uidLastSave="{00000000-0000-0000-0000-000000000000}"/>
  <bookViews>
    <workbookView xWindow="0" yWindow="0" windowWidth="24360" windowHeight="10935" firstSheet="6" activeTab="11" xr2:uid="{C0C35AA3-8E2E-4973-ABD7-7B930643DB20}"/>
  </bookViews>
  <sheets>
    <sheet name="240729B001.1" sheetId="2" r:id="rId1"/>
    <sheet name="240729B001.2" sheetId="3" r:id="rId2"/>
    <sheet name="240729B001.3" sheetId="4" r:id="rId3"/>
    <sheet name="240729B001.4" sheetId="5" r:id="rId4"/>
    <sheet name="240729B002.1" sheetId="6" r:id="rId5"/>
    <sheet name="240729B002.2" sheetId="7" r:id="rId6"/>
    <sheet name="240729B002.3" sheetId="8" r:id="rId7"/>
    <sheet name="240729B002.4" sheetId="9" r:id="rId8"/>
    <sheet name="240729B003.1" sheetId="10" r:id="rId9"/>
    <sheet name="240729B003.2" sheetId="11" r:id="rId10"/>
    <sheet name="240729B003.3" sheetId="12" r:id="rId11"/>
    <sheet name="template" sheetId="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2" l="1"/>
  <c r="E37" i="12"/>
  <c r="C37" i="12"/>
  <c r="F35" i="12"/>
  <c r="D35" i="12"/>
  <c r="D30" i="12"/>
  <c r="C30" i="12"/>
  <c r="B30" i="12"/>
  <c r="G28" i="12"/>
  <c r="G31" i="12" s="1"/>
  <c r="F28" i="12"/>
  <c r="F31" i="12" s="1"/>
  <c r="E28" i="12"/>
  <c r="E31" i="12" s="1"/>
  <c r="D28" i="12"/>
  <c r="D29" i="12" s="1"/>
  <c r="C28" i="12"/>
  <c r="C29" i="12" s="1"/>
  <c r="B28" i="12"/>
  <c r="B29" i="12" s="1"/>
  <c r="B31" i="11"/>
  <c r="G37" i="11"/>
  <c r="E37" i="11"/>
  <c r="C37" i="11"/>
  <c r="F35" i="11"/>
  <c r="D35" i="11"/>
  <c r="B30" i="11"/>
  <c r="G29" i="11"/>
  <c r="G28" i="11"/>
  <c r="G31" i="11" s="1"/>
  <c r="F28" i="11"/>
  <c r="F31" i="11" s="1"/>
  <c r="E28" i="11"/>
  <c r="E31" i="11" s="1"/>
  <c r="D28" i="11"/>
  <c r="D29" i="11" s="1"/>
  <c r="C28" i="11"/>
  <c r="C29" i="11" s="1"/>
  <c r="B28" i="11"/>
  <c r="B29" i="11" s="1"/>
  <c r="G37" i="10"/>
  <c r="E37" i="10"/>
  <c r="C37" i="10"/>
  <c r="F35" i="10"/>
  <c r="D35" i="10"/>
  <c r="F31" i="10"/>
  <c r="E31" i="10"/>
  <c r="D31" i="10"/>
  <c r="G30" i="10"/>
  <c r="F30" i="10"/>
  <c r="E30" i="10"/>
  <c r="D30" i="10"/>
  <c r="C30" i="10"/>
  <c r="B30" i="10"/>
  <c r="G29" i="10"/>
  <c r="F29" i="10"/>
  <c r="E29" i="10"/>
  <c r="G28" i="10"/>
  <c r="G31" i="10" s="1"/>
  <c r="F28" i="10"/>
  <c r="E28" i="10"/>
  <c r="D28" i="10"/>
  <c r="D29" i="10" s="1"/>
  <c r="C28" i="10"/>
  <c r="C29" i="10" s="1"/>
  <c r="B28" i="10"/>
  <c r="B29" i="10" s="1"/>
  <c r="G37" i="9"/>
  <c r="E37" i="9"/>
  <c r="C37" i="9"/>
  <c r="F35" i="9"/>
  <c r="D35" i="9"/>
  <c r="E31" i="9"/>
  <c r="C31" i="9"/>
  <c r="B31" i="9"/>
  <c r="E30" i="9"/>
  <c r="D30" i="9"/>
  <c r="C30" i="9"/>
  <c r="B30" i="9"/>
  <c r="E29" i="9"/>
  <c r="G28" i="9"/>
  <c r="G31" i="9" s="1"/>
  <c r="F28" i="9"/>
  <c r="F31" i="9" s="1"/>
  <c r="E28" i="9"/>
  <c r="D28" i="9"/>
  <c r="D29" i="9" s="1"/>
  <c r="C28" i="9"/>
  <c r="C29" i="9" s="1"/>
  <c r="B28" i="9"/>
  <c r="B29" i="9" s="1"/>
  <c r="B31" i="8"/>
  <c r="G37" i="8"/>
  <c r="E37" i="8"/>
  <c r="C37" i="8"/>
  <c r="F35" i="8"/>
  <c r="D35" i="8"/>
  <c r="G28" i="8"/>
  <c r="G30" i="8" s="1"/>
  <c r="F28" i="8"/>
  <c r="F30" i="8" s="1"/>
  <c r="E28" i="8"/>
  <c r="E30" i="8" s="1"/>
  <c r="D28" i="8"/>
  <c r="D29" i="8" s="1"/>
  <c r="C28" i="8"/>
  <c r="C29" i="8" s="1"/>
  <c r="B28" i="8"/>
  <c r="B29" i="8" s="1"/>
  <c r="B29" i="7"/>
  <c r="G37" i="7"/>
  <c r="E37" i="7"/>
  <c r="C37" i="7"/>
  <c r="F35" i="7"/>
  <c r="D35" i="7"/>
  <c r="B31" i="7"/>
  <c r="E30" i="7"/>
  <c r="B30" i="7"/>
  <c r="G28" i="7"/>
  <c r="G31" i="7" s="1"/>
  <c r="F28" i="7"/>
  <c r="F31" i="7" s="1"/>
  <c r="E28" i="7"/>
  <c r="E31" i="7" s="1"/>
  <c r="D28" i="7"/>
  <c r="D29" i="7" s="1"/>
  <c r="C28" i="7"/>
  <c r="C29" i="7" s="1"/>
  <c r="B28" i="7"/>
  <c r="G37" i="6"/>
  <c r="E37" i="6"/>
  <c r="C37" i="6"/>
  <c r="F35" i="6"/>
  <c r="D35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C31" i="5"/>
  <c r="D30" i="5"/>
  <c r="C30" i="5"/>
  <c r="B30" i="5"/>
  <c r="F29" i="5"/>
  <c r="G28" i="5"/>
  <c r="G31" i="5" s="1"/>
  <c r="F28" i="5"/>
  <c r="F30" i="5" s="1"/>
  <c r="E28" i="5"/>
  <c r="E29" i="5" s="1"/>
  <c r="D28" i="5"/>
  <c r="D29" i="5" s="1"/>
  <c r="C28" i="5"/>
  <c r="C29" i="5" s="1"/>
  <c r="B28" i="5"/>
  <c r="B29" i="5" s="1"/>
  <c r="G37" i="4"/>
  <c r="E37" i="4"/>
  <c r="C37" i="4"/>
  <c r="F35" i="4"/>
  <c r="D35" i="4"/>
  <c r="B31" i="4"/>
  <c r="E30" i="4"/>
  <c r="D30" i="4"/>
  <c r="B30" i="4"/>
  <c r="F29" i="4"/>
  <c r="E29" i="4"/>
  <c r="D29" i="4"/>
  <c r="C29" i="4"/>
  <c r="G28" i="4"/>
  <c r="G31" i="4" s="1"/>
  <c r="F28" i="4"/>
  <c r="F31" i="4" s="1"/>
  <c r="E28" i="4"/>
  <c r="E31" i="4" s="1"/>
  <c r="D28" i="4"/>
  <c r="D31" i="4" s="1"/>
  <c r="C28" i="4"/>
  <c r="C31" i="4" s="1"/>
  <c r="B28" i="4"/>
  <c r="B29" i="4" s="1"/>
  <c r="G37" i="3"/>
  <c r="E37" i="3"/>
  <c r="C37" i="3"/>
  <c r="F35" i="3"/>
  <c r="D35" i="3"/>
  <c r="C30" i="3"/>
  <c r="B30" i="3"/>
  <c r="B29" i="3"/>
  <c r="G28" i="3"/>
  <c r="G31" i="3" s="1"/>
  <c r="F28" i="3"/>
  <c r="F31" i="3" s="1"/>
  <c r="E28" i="3"/>
  <c r="E31" i="3" s="1"/>
  <c r="D28" i="3"/>
  <c r="D29" i="3" s="1"/>
  <c r="C28" i="3"/>
  <c r="C29" i="3" s="1"/>
  <c r="B28" i="3"/>
  <c r="B31" i="3" s="1"/>
  <c r="G37" i="2"/>
  <c r="E37" i="2"/>
  <c r="C37" i="2"/>
  <c r="F35" i="2"/>
  <c r="D35" i="2"/>
  <c r="B31" i="2"/>
  <c r="G28" i="2"/>
  <c r="G29" i="2" s="1"/>
  <c r="F28" i="2"/>
  <c r="F29" i="2" s="1"/>
  <c r="E28" i="2"/>
  <c r="E29" i="2" s="1"/>
  <c r="D28" i="2"/>
  <c r="D30" i="2" s="1"/>
  <c r="C28" i="2"/>
  <c r="C29" i="2" s="1"/>
  <c r="B28" i="2"/>
  <c r="B29" i="2" s="1"/>
  <c r="G37" i="1"/>
  <c r="E37" i="1"/>
  <c r="C37" i="1"/>
  <c r="F35" i="1"/>
  <c r="D35" i="1"/>
  <c r="F31" i="1"/>
  <c r="D31" i="1"/>
  <c r="C31" i="1"/>
  <c r="B31" i="1"/>
  <c r="F30" i="1"/>
  <c r="G28" i="1"/>
  <c r="G30" i="1" s="1"/>
  <c r="F28" i="1"/>
  <c r="F29" i="1" s="1"/>
  <c r="E28" i="1"/>
  <c r="E30" i="1" s="1"/>
  <c r="D28" i="1"/>
  <c r="D30" i="1" s="1"/>
  <c r="C28" i="1"/>
  <c r="C29" i="1" s="1"/>
  <c r="B28" i="1"/>
  <c r="B29" i="1" s="1"/>
  <c r="E29" i="12" l="1"/>
  <c r="E30" i="12"/>
  <c r="F30" i="12"/>
  <c r="G29" i="12"/>
  <c r="G30" i="12"/>
  <c r="F29" i="12"/>
  <c r="B31" i="12"/>
  <c r="C31" i="12"/>
  <c r="D31" i="12"/>
  <c r="F29" i="11"/>
  <c r="C30" i="11"/>
  <c r="D30" i="11"/>
  <c r="E30" i="11"/>
  <c r="F30" i="11"/>
  <c r="E29" i="11"/>
  <c r="G30" i="11"/>
  <c r="C31" i="11"/>
  <c r="D31" i="11"/>
  <c r="B31" i="10"/>
  <c r="C31" i="10"/>
  <c r="G29" i="9"/>
  <c r="F30" i="9"/>
  <c r="G30" i="9"/>
  <c r="F29" i="9"/>
  <c r="D31" i="9"/>
  <c r="F29" i="8"/>
  <c r="B30" i="8"/>
  <c r="G29" i="8"/>
  <c r="G31" i="8"/>
  <c r="E29" i="8"/>
  <c r="F31" i="8"/>
  <c r="E31" i="8"/>
  <c r="C30" i="8"/>
  <c r="D30" i="8"/>
  <c r="C31" i="8"/>
  <c r="D31" i="8"/>
  <c r="F29" i="7"/>
  <c r="G29" i="7"/>
  <c r="E29" i="7"/>
  <c r="D30" i="7"/>
  <c r="F30" i="7"/>
  <c r="C30" i="7"/>
  <c r="C31" i="7"/>
  <c r="G30" i="7"/>
  <c r="D31" i="7"/>
  <c r="E30" i="5"/>
  <c r="G30" i="5"/>
  <c r="F31" i="5"/>
  <c r="E31" i="5"/>
  <c r="G29" i="5"/>
  <c r="B31" i="5"/>
  <c r="D31" i="5"/>
  <c r="G29" i="4"/>
  <c r="C30" i="4"/>
  <c r="F30" i="4"/>
  <c r="G30" i="4"/>
  <c r="E29" i="3"/>
  <c r="E30" i="3"/>
  <c r="F30" i="3"/>
  <c r="G30" i="3"/>
  <c r="F29" i="3"/>
  <c r="D30" i="3"/>
  <c r="C31" i="3"/>
  <c r="G29" i="3"/>
  <c r="D31" i="3"/>
  <c r="F30" i="2"/>
  <c r="E31" i="2"/>
  <c r="E30" i="2"/>
  <c r="C31" i="2"/>
  <c r="G31" i="2"/>
  <c r="F31" i="2"/>
  <c r="G30" i="2"/>
  <c r="D31" i="2"/>
  <c r="D29" i="2"/>
  <c r="B30" i="2"/>
  <c r="C30" i="2"/>
  <c r="E31" i="1"/>
  <c r="E29" i="1"/>
  <c r="G29" i="1"/>
  <c r="B30" i="1"/>
  <c r="C30" i="1"/>
  <c r="G31" i="1"/>
  <c r="D29" i="1"/>
</calcChain>
</file>

<file path=xl/sharedStrings.xml><?xml version="1.0" encoding="utf-8"?>
<sst xmlns="http://schemas.openxmlformats.org/spreadsheetml/2006/main" count="456" uniqueCount="37">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</sst>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9D23-3229-4EE7-867D-4DE67ED9C42B}">
  <dimension ref="A1:G37"/>
  <sheetViews>
    <sheetView topLeftCell="A7"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473.04</v>
      </c>
      <c r="C2" s="1">
        <v>472.62</v>
      </c>
      <c r="D2" s="1">
        <v>473.02</v>
      </c>
      <c r="E2" s="1">
        <v>471.99</v>
      </c>
      <c r="F2" s="1">
        <v>459.64</v>
      </c>
      <c r="G2" s="1">
        <v>460.8</v>
      </c>
    </row>
    <row r="3" spans="1:7" x14ac:dyDescent="0.25">
      <c r="A3" s="1" t="s">
        <v>7</v>
      </c>
      <c r="B3" s="1">
        <v>39.43</v>
      </c>
      <c r="C3" s="1">
        <v>40.01</v>
      </c>
      <c r="D3" s="1">
        <v>39.69</v>
      </c>
      <c r="E3" s="1">
        <v>40.21</v>
      </c>
      <c r="F3" s="1">
        <v>40.46</v>
      </c>
      <c r="G3" s="1">
        <v>42.36</v>
      </c>
    </row>
    <row r="4" spans="1:7" x14ac:dyDescent="0.25">
      <c r="A4" s="1" t="s">
        <v>8</v>
      </c>
      <c r="B4" s="1">
        <v>18975.650000000001</v>
      </c>
      <c r="C4" s="1">
        <v>19233.22</v>
      </c>
      <c r="D4" s="1">
        <v>19095.650000000001</v>
      </c>
      <c r="E4" s="1">
        <v>19306.990000000002</v>
      </c>
      <c r="F4" s="1">
        <v>18907.080000000002</v>
      </c>
      <c r="G4" s="1">
        <v>19851.66</v>
      </c>
    </row>
    <row r="5" spans="1:7" x14ac:dyDescent="0.25">
      <c r="A5" s="1" t="s">
        <v>9</v>
      </c>
      <c r="B5" s="1">
        <v>49.48</v>
      </c>
      <c r="C5" s="1">
        <v>45.94</v>
      </c>
      <c r="D5" s="1">
        <v>41.51</v>
      </c>
      <c r="E5" s="1">
        <v>60.9</v>
      </c>
      <c r="F5" s="1">
        <v>86.06</v>
      </c>
      <c r="G5" s="1">
        <v>71.92</v>
      </c>
    </row>
    <row r="6" spans="1:7" x14ac:dyDescent="0.25">
      <c r="A6" s="3" t="s">
        <v>10</v>
      </c>
      <c r="B6" s="3">
        <v>4.95</v>
      </c>
      <c r="C6" s="3">
        <v>4.6399999999999997</v>
      </c>
      <c r="D6" s="3">
        <v>4.1900000000000004</v>
      </c>
      <c r="E6" s="3">
        <v>6.15</v>
      </c>
      <c r="F6" s="3">
        <v>8.69</v>
      </c>
      <c r="G6" s="3">
        <v>7.34</v>
      </c>
    </row>
    <row r="7" spans="1:7" x14ac:dyDescent="0.25">
      <c r="A7" s="1" t="s">
        <v>11</v>
      </c>
      <c r="B7" s="1">
        <v>46.75</v>
      </c>
      <c r="C7" s="1">
        <v>38.04</v>
      </c>
      <c r="D7" s="1">
        <v>38.08</v>
      </c>
      <c r="E7" s="1">
        <v>47.51</v>
      </c>
      <c r="F7" s="1">
        <v>82.48</v>
      </c>
      <c r="G7" s="1">
        <v>66.400000000000006</v>
      </c>
    </row>
    <row r="8" spans="1:7" x14ac:dyDescent="0.25">
      <c r="A8" s="1" t="s">
        <v>12</v>
      </c>
      <c r="B8" s="1">
        <v>4.67</v>
      </c>
      <c r="C8" s="1">
        <v>3.84</v>
      </c>
      <c r="D8" s="1">
        <v>3.85</v>
      </c>
      <c r="E8" s="1">
        <v>4.8</v>
      </c>
      <c r="F8" s="1">
        <v>8.33</v>
      </c>
      <c r="G8" s="1">
        <v>6.78</v>
      </c>
    </row>
    <row r="9" spans="1:7" x14ac:dyDescent="0.25">
      <c r="A9" s="1" t="s">
        <v>13</v>
      </c>
      <c r="B9" s="1">
        <v>-3.81</v>
      </c>
      <c r="C9" s="1">
        <v>-2.92</v>
      </c>
      <c r="D9" s="1">
        <v>-4.5</v>
      </c>
      <c r="E9" s="1">
        <v>4.99</v>
      </c>
      <c r="F9" s="1">
        <v>31.12</v>
      </c>
      <c r="G9" s="1">
        <v>-5.96</v>
      </c>
    </row>
    <row r="10" spans="1:7" x14ac:dyDescent="0.25">
      <c r="A10" s="1" t="s">
        <v>14</v>
      </c>
      <c r="B10" s="1">
        <v>-0.38</v>
      </c>
      <c r="C10" s="1">
        <v>-0.28999999999999998</v>
      </c>
      <c r="D10" s="1">
        <v>-0.45</v>
      </c>
      <c r="E10" s="1">
        <v>0.5</v>
      </c>
      <c r="F10" s="1">
        <v>3.14</v>
      </c>
      <c r="G10" s="1">
        <v>-0.61</v>
      </c>
    </row>
    <row r="11" spans="1:7" x14ac:dyDescent="0.25">
      <c r="A11" s="1" t="s">
        <v>15</v>
      </c>
      <c r="B11" s="1">
        <v>2.44</v>
      </c>
      <c r="C11" s="1">
        <v>2.38</v>
      </c>
      <c r="D11" s="1">
        <v>0.1</v>
      </c>
      <c r="E11" s="1">
        <v>1.79</v>
      </c>
      <c r="F11" s="1">
        <v>25.69</v>
      </c>
      <c r="G11" s="1">
        <v>0.71</v>
      </c>
    </row>
    <row r="12" spans="1:7" x14ac:dyDescent="0.25">
      <c r="A12" s="1" t="s">
        <v>16</v>
      </c>
      <c r="B12" s="1">
        <v>326.72000000000003</v>
      </c>
      <c r="C12" s="1">
        <v>318.2</v>
      </c>
      <c r="D12" s="1">
        <v>326.38</v>
      </c>
      <c r="E12" s="1">
        <v>307.38</v>
      </c>
      <c r="F12" s="1">
        <v>310.57</v>
      </c>
      <c r="G12" s="1">
        <v>300.64</v>
      </c>
    </row>
    <row r="13" spans="1:7" x14ac:dyDescent="0.25">
      <c r="A13" s="1" t="s">
        <v>17</v>
      </c>
      <c r="B13" s="1">
        <v>44.35</v>
      </c>
      <c r="C13" s="1">
        <v>44.51</v>
      </c>
      <c r="D13" s="1">
        <v>44.4</v>
      </c>
      <c r="E13" s="1">
        <v>44.01</v>
      </c>
      <c r="F13" s="1">
        <v>40.54</v>
      </c>
      <c r="G13" s="1">
        <v>23.03</v>
      </c>
    </row>
    <row r="14" spans="1:7" x14ac:dyDescent="0.25">
      <c r="A14" s="1" t="s">
        <v>18</v>
      </c>
      <c r="B14" s="1">
        <v>47.15</v>
      </c>
      <c r="C14" s="1">
        <v>46.9</v>
      </c>
      <c r="D14" s="1">
        <v>47.37</v>
      </c>
      <c r="E14" s="1">
        <v>46.95</v>
      </c>
      <c r="F14" s="1">
        <v>48.26</v>
      </c>
      <c r="G14" s="1">
        <v>27.74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21.47</v>
      </c>
      <c r="C17" s="1">
        <v>17.559999999999999</v>
      </c>
      <c r="D17" s="1">
        <v>16.79</v>
      </c>
      <c r="E17" s="1">
        <v>26.25</v>
      </c>
      <c r="F17" s="1">
        <v>56.8</v>
      </c>
      <c r="G17" s="1">
        <v>30.22</v>
      </c>
    </row>
    <row r="18" spans="1:7" x14ac:dyDescent="0.25">
      <c r="A18" s="1" t="s">
        <v>22</v>
      </c>
      <c r="B18" s="1">
        <v>25.28</v>
      </c>
      <c r="C18" s="1">
        <v>20.48</v>
      </c>
      <c r="D18" s="1">
        <v>21.29</v>
      </c>
      <c r="E18" s="1">
        <v>21.26</v>
      </c>
      <c r="F18" s="1">
        <v>25.68</v>
      </c>
      <c r="G18" s="1">
        <v>36.18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0</v>
      </c>
      <c r="F19" s="1">
        <v>2</v>
      </c>
      <c r="G19" s="1">
        <v>2</v>
      </c>
    </row>
    <row r="20" spans="1:7" x14ac:dyDescent="0.25">
      <c r="A20" s="1" t="s">
        <v>24</v>
      </c>
      <c r="B20" s="1">
        <v>2.2999999999999998</v>
      </c>
      <c r="C20" s="1">
        <v>2.1</v>
      </c>
      <c r="D20" s="1">
        <v>1.2</v>
      </c>
      <c r="E20" s="1">
        <v>0</v>
      </c>
      <c r="F20" s="1">
        <v>2.6</v>
      </c>
      <c r="G20" s="1">
        <v>2.2000000000000002</v>
      </c>
    </row>
    <row r="21" spans="1:7" x14ac:dyDescent="0.25">
      <c r="A21" s="1" t="s">
        <v>25</v>
      </c>
      <c r="B21" s="1">
        <v>7.8</v>
      </c>
      <c r="C21" s="1">
        <v>7.9</v>
      </c>
      <c r="D21" s="1">
        <v>8.8000000000000007</v>
      </c>
      <c r="E21" s="1">
        <v>10</v>
      </c>
      <c r="F21" s="1">
        <v>7.4</v>
      </c>
      <c r="G21" s="1">
        <v>7.7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-0.23</v>
      </c>
      <c r="C33" s="3">
        <v>-0.12</v>
      </c>
      <c r="D33" s="3">
        <v>-7.0000000000000007E-2</v>
      </c>
      <c r="E33" s="3">
        <v>0.34</v>
      </c>
      <c r="F33" s="3">
        <v>2.2999999999999998</v>
      </c>
      <c r="G33" s="3">
        <v>0.05</v>
      </c>
    </row>
    <row r="35" spans="1:7" x14ac:dyDescent="0.25">
      <c r="A35" s="3" t="s">
        <v>36</v>
      </c>
      <c r="B35" s="3"/>
      <c r="C35" s="3"/>
      <c r="D35" s="3">
        <f>D33-C33</f>
        <v>4.9999999999999989E-2</v>
      </c>
      <c r="E35" s="3"/>
      <c r="F35" s="3">
        <f>F33-E33</f>
        <v>1.9599999999999997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0.41000000000000003</v>
      </c>
      <c r="F37" s="3"/>
      <c r="G37" s="3">
        <f>G33-F33</f>
        <v>-2.25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A0A6-35E2-47B1-BCBD-FE84D8836511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466.98</v>
      </c>
      <c r="C2" s="1">
        <v>458.89</v>
      </c>
      <c r="D2" s="1">
        <v>448.25</v>
      </c>
      <c r="E2" s="1">
        <v>442.8</v>
      </c>
      <c r="F2" s="1">
        <v>413.63</v>
      </c>
      <c r="G2" s="1">
        <v>334.57</v>
      </c>
    </row>
    <row r="3" spans="1:7" x14ac:dyDescent="0.25">
      <c r="A3" s="1" t="s">
        <v>7</v>
      </c>
      <c r="B3" s="1">
        <v>46.25</v>
      </c>
      <c r="C3" s="1">
        <v>44.77</v>
      </c>
      <c r="D3" s="1">
        <v>44.83</v>
      </c>
      <c r="E3" s="1">
        <v>45.59</v>
      </c>
      <c r="F3" s="1">
        <v>44.94</v>
      </c>
      <c r="G3" s="1">
        <v>35.83</v>
      </c>
    </row>
    <row r="4" spans="1:7" x14ac:dyDescent="0.25">
      <c r="A4" s="1" t="s">
        <v>8</v>
      </c>
      <c r="B4" s="1">
        <v>21968.06</v>
      </c>
      <c r="C4" s="1">
        <v>20874.78</v>
      </c>
      <c r="D4" s="1">
        <v>20435.73</v>
      </c>
      <c r="E4" s="1">
        <v>20532.509999999998</v>
      </c>
      <c r="F4" s="1">
        <v>18893.22</v>
      </c>
      <c r="G4" s="1">
        <v>12193.57</v>
      </c>
    </row>
    <row r="5" spans="1:7" x14ac:dyDescent="0.25">
      <c r="A5" s="1" t="s">
        <v>9</v>
      </c>
      <c r="B5" s="1">
        <v>60.41</v>
      </c>
      <c r="C5" s="1">
        <v>115.74</v>
      </c>
      <c r="D5" s="1">
        <v>101.19</v>
      </c>
      <c r="E5" s="1">
        <v>85.63</v>
      </c>
      <c r="F5" s="1">
        <v>336.56</v>
      </c>
      <c r="G5" s="1">
        <v>119.12</v>
      </c>
    </row>
    <row r="6" spans="1:7" x14ac:dyDescent="0.25">
      <c r="A6" s="3" t="s">
        <v>10</v>
      </c>
      <c r="B6" s="3">
        <v>6.04</v>
      </c>
      <c r="C6" s="3">
        <v>11.69</v>
      </c>
      <c r="D6" s="3">
        <v>10.220000000000001</v>
      </c>
      <c r="E6" s="3">
        <v>8.65</v>
      </c>
      <c r="F6" s="3">
        <v>34</v>
      </c>
      <c r="G6" s="3">
        <v>12.16</v>
      </c>
    </row>
    <row r="7" spans="1:7" x14ac:dyDescent="0.25">
      <c r="A7" s="1" t="s">
        <v>11</v>
      </c>
      <c r="B7" s="1">
        <v>48.63</v>
      </c>
      <c r="C7" s="1">
        <v>108.07</v>
      </c>
      <c r="D7" s="1">
        <v>97.7</v>
      </c>
      <c r="E7" s="1">
        <v>81.260000000000005</v>
      </c>
      <c r="F7" s="1">
        <v>323.83999999999997</v>
      </c>
      <c r="G7" s="1">
        <v>112.51</v>
      </c>
    </row>
    <row r="8" spans="1:7" x14ac:dyDescent="0.25">
      <c r="A8" s="1" t="s">
        <v>12</v>
      </c>
      <c r="B8" s="1">
        <v>4.8600000000000003</v>
      </c>
      <c r="C8" s="1">
        <v>10.92</v>
      </c>
      <c r="D8" s="1">
        <v>9.8699999999999992</v>
      </c>
      <c r="E8" s="1">
        <v>8.2100000000000009</v>
      </c>
      <c r="F8" s="1">
        <v>32.71</v>
      </c>
      <c r="G8" s="1">
        <v>11.48</v>
      </c>
    </row>
    <row r="9" spans="1:7" x14ac:dyDescent="0.25">
      <c r="A9" s="1" t="s">
        <v>13</v>
      </c>
      <c r="B9" s="1">
        <v>4.4800000000000004</v>
      </c>
      <c r="C9" s="1">
        <v>44.14</v>
      </c>
      <c r="D9" s="1">
        <v>-17.96</v>
      </c>
      <c r="E9" s="1">
        <v>-6.53</v>
      </c>
      <c r="F9" s="1">
        <v>282.82</v>
      </c>
      <c r="G9" s="1">
        <v>-10.17</v>
      </c>
    </row>
    <row r="10" spans="1:7" x14ac:dyDescent="0.25">
      <c r="A10" s="1" t="s">
        <v>14</v>
      </c>
      <c r="B10" s="1">
        <v>0.45</v>
      </c>
      <c r="C10" s="1">
        <v>4.46</v>
      </c>
      <c r="D10" s="1">
        <v>-1.81</v>
      </c>
      <c r="E10" s="1">
        <v>-0.66</v>
      </c>
      <c r="F10" s="1">
        <v>28.57</v>
      </c>
      <c r="G10" s="1">
        <v>-1.04</v>
      </c>
    </row>
    <row r="11" spans="1:7" x14ac:dyDescent="0.25">
      <c r="A11" s="1" t="s">
        <v>15</v>
      </c>
      <c r="B11" s="1">
        <v>1.99</v>
      </c>
      <c r="C11" s="1">
        <v>29.12</v>
      </c>
      <c r="D11" s="1">
        <v>1.61</v>
      </c>
      <c r="E11" s="1">
        <v>1.52</v>
      </c>
      <c r="F11" s="1">
        <v>79.14</v>
      </c>
      <c r="G11" s="1">
        <v>3.07</v>
      </c>
    </row>
    <row r="12" spans="1:7" x14ac:dyDescent="0.25">
      <c r="A12" s="1" t="s">
        <v>16</v>
      </c>
      <c r="B12" s="1">
        <v>300.95999999999998</v>
      </c>
      <c r="C12" s="1">
        <v>276.92</v>
      </c>
      <c r="D12" s="1">
        <v>276.14</v>
      </c>
      <c r="E12" s="1">
        <v>278.42</v>
      </c>
      <c r="F12" s="1">
        <v>219.97</v>
      </c>
      <c r="G12" s="1">
        <v>170.07</v>
      </c>
    </row>
    <row r="13" spans="1:7" x14ac:dyDescent="0.25">
      <c r="A13" s="1" t="s">
        <v>17</v>
      </c>
      <c r="B13" s="1">
        <v>33.200000000000003</v>
      </c>
      <c r="C13" s="1">
        <v>17.809999999999999</v>
      </c>
      <c r="D13" s="1">
        <v>8.39</v>
      </c>
      <c r="E13" s="1">
        <v>5.49</v>
      </c>
      <c r="F13" s="1">
        <v>32.54</v>
      </c>
      <c r="G13" s="1">
        <v>16.059999999999999</v>
      </c>
    </row>
    <row r="14" spans="1:7" x14ac:dyDescent="0.25">
      <c r="A14" s="1" t="s">
        <v>18</v>
      </c>
      <c r="B14" s="1">
        <v>37.19</v>
      </c>
      <c r="C14" s="1">
        <v>27.2</v>
      </c>
      <c r="D14" s="1">
        <v>24.96</v>
      </c>
      <c r="E14" s="1">
        <v>11.42</v>
      </c>
      <c r="F14" s="1">
        <v>85.87</v>
      </c>
      <c r="G14" s="1">
        <v>18.55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26.56</v>
      </c>
      <c r="C17" s="1">
        <v>76.099999999999994</v>
      </c>
      <c r="D17" s="1">
        <v>39.869999999999997</v>
      </c>
      <c r="E17" s="1">
        <v>37.369999999999997</v>
      </c>
      <c r="F17" s="1">
        <v>303.33</v>
      </c>
      <c r="G17" s="1">
        <v>51.17</v>
      </c>
    </row>
    <row r="18" spans="1:7" x14ac:dyDescent="0.25">
      <c r="A18" s="1" t="s">
        <v>22</v>
      </c>
      <c r="B18" s="1">
        <v>22.08</v>
      </c>
      <c r="C18" s="1">
        <v>31.97</v>
      </c>
      <c r="D18" s="1">
        <v>57.83</v>
      </c>
      <c r="E18" s="1">
        <v>43.9</v>
      </c>
      <c r="F18" s="1">
        <v>20.51</v>
      </c>
      <c r="G18" s="1">
        <v>61.34</v>
      </c>
    </row>
    <row r="19" spans="1:7" x14ac:dyDescent="0.25">
      <c r="A19" s="1" t="s">
        <v>23</v>
      </c>
      <c r="B19" s="1">
        <v>1</v>
      </c>
      <c r="C19" s="1">
        <v>1</v>
      </c>
      <c r="D19" s="1">
        <v>2</v>
      </c>
      <c r="E19" s="1">
        <v>1</v>
      </c>
      <c r="F19" s="1">
        <v>1</v>
      </c>
      <c r="G19" s="1">
        <v>2</v>
      </c>
    </row>
    <row r="20" spans="1:7" x14ac:dyDescent="0.25">
      <c r="A20" s="1" t="s">
        <v>24</v>
      </c>
      <c r="B20" s="1">
        <v>1.2</v>
      </c>
      <c r="C20" s="1">
        <v>1.1000000000000001</v>
      </c>
      <c r="D20" s="1">
        <v>3.8</v>
      </c>
      <c r="E20" s="1">
        <v>1.4</v>
      </c>
      <c r="F20" s="1">
        <v>1.2</v>
      </c>
      <c r="G20" s="1">
        <v>2.1</v>
      </c>
    </row>
    <row r="21" spans="1:7" x14ac:dyDescent="0.25">
      <c r="A21" s="1" t="s">
        <v>25</v>
      </c>
      <c r="B21" s="1">
        <v>8.9</v>
      </c>
      <c r="C21" s="1">
        <v>8.9</v>
      </c>
      <c r="D21" s="1">
        <v>6.2</v>
      </c>
      <c r="E21" s="1">
        <v>8.6</v>
      </c>
      <c r="F21" s="1">
        <v>8.8000000000000007</v>
      </c>
      <c r="G21" s="1">
        <v>7.8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6.6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3.4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65.999999999999986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34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-0.03</v>
      </c>
      <c r="C33" s="3">
        <v>2.95</v>
      </c>
      <c r="D33" s="3">
        <v>-0.44</v>
      </c>
      <c r="E33" s="3">
        <v>-0.03</v>
      </c>
      <c r="F33" s="3">
        <v>27.95</v>
      </c>
      <c r="G33" s="3">
        <v>-0.33</v>
      </c>
    </row>
    <row r="35" spans="1:7" x14ac:dyDescent="0.25">
      <c r="A35" s="3" t="s">
        <v>36</v>
      </c>
      <c r="B35" s="3"/>
      <c r="C35" s="3"/>
      <c r="D35" s="3">
        <f>D33-C33</f>
        <v>-3.39</v>
      </c>
      <c r="E35" s="3"/>
      <c r="F35" s="3">
        <f>F33-E33</f>
        <v>27.98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0.41000000000000003</v>
      </c>
      <c r="F37" s="3"/>
      <c r="G37" s="3">
        <f>G33-F33</f>
        <v>-28.279999999999998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668E-34B4-4F9E-BB16-60B1F0786629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494.46</v>
      </c>
      <c r="C2" s="1">
        <v>441.57</v>
      </c>
      <c r="D2" s="1">
        <v>457.4</v>
      </c>
      <c r="E2" s="1">
        <v>462.27</v>
      </c>
      <c r="F2" s="1">
        <v>470.24</v>
      </c>
      <c r="G2" s="1">
        <v>386.11</v>
      </c>
    </row>
    <row r="3" spans="1:7" x14ac:dyDescent="0.25">
      <c r="A3" s="1" t="s">
        <v>7</v>
      </c>
      <c r="B3" s="1">
        <v>51.41</v>
      </c>
      <c r="C3" s="1">
        <v>59.9</v>
      </c>
      <c r="D3" s="1">
        <v>64.59</v>
      </c>
      <c r="E3" s="1">
        <v>64.819999999999993</v>
      </c>
      <c r="F3" s="1">
        <v>64.849999999999994</v>
      </c>
      <c r="G3" s="1">
        <v>55.67</v>
      </c>
    </row>
    <row r="4" spans="1:7" x14ac:dyDescent="0.25">
      <c r="A4" s="1" t="s">
        <v>8</v>
      </c>
      <c r="B4" s="1">
        <v>25850.89</v>
      </c>
      <c r="C4" s="1">
        <v>26881.45</v>
      </c>
      <c r="D4" s="1">
        <v>30041.64</v>
      </c>
      <c r="E4" s="1">
        <v>30465.61</v>
      </c>
      <c r="F4" s="1">
        <v>30984.3</v>
      </c>
      <c r="G4" s="1">
        <v>21861.360000000001</v>
      </c>
    </row>
    <row r="5" spans="1:7" x14ac:dyDescent="0.25">
      <c r="A5" s="1" t="s">
        <v>9</v>
      </c>
      <c r="B5" s="1">
        <v>130.01</v>
      </c>
      <c r="C5" s="1">
        <v>205.3</v>
      </c>
      <c r="D5" s="1">
        <v>144.30000000000001</v>
      </c>
      <c r="E5" s="1">
        <v>162.28</v>
      </c>
      <c r="F5" s="1">
        <v>281.73</v>
      </c>
      <c r="G5" s="1">
        <v>281.45999999999998</v>
      </c>
    </row>
    <row r="6" spans="1:7" x14ac:dyDescent="0.25">
      <c r="A6" s="3" t="s">
        <v>10</v>
      </c>
      <c r="B6" s="3">
        <v>13</v>
      </c>
      <c r="C6" s="3">
        <v>20.74</v>
      </c>
      <c r="D6" s="3">
        <v>14.58</v>
      </c>
      <c r="E6" s="3">
        <v>16.39</v>
      </c>
      <c r="F6" s="3">
        <v>28.46</v>
      </c>
      <c r="G6" s="3">
        <v>28.72</v>
      </c>
    </row>
    <row r="7" spans="1:7" x14ac:dyDescent="0.25">
      <c r="A7" s="1" t="s">
        <v>11</v>
      </c>
      <c r="B7" s="1">
        <v>103.26</v>
      </c>
      <c r="C7" s="1">
        <v>164.45</v>
      </c>
      <c r="D7" s="1">
        <v>120.82</v>
      </c>
      <c r="E7" s="1">
        <v>123.6</v>
      </c>
      <c r="F7" s="1">
        <v>233.73</v>
      </c>
      <c r="G7" s="1">
        <v>247.22</v>
      </c>
    </row>
    <row r="8" spans="1:7" x14ac:dyDescent="0.25">
      <c r="A8" s="1" t="s">
        <v>12</v>
      </c>
      <c r="B8" s="1">
        <v>10.33</v>
      </c>
      <c r="C8" s="1">
        <v>16.61</v>
      </c>
      <c r="D8" s="1">
        <v>12.2</v>
      </c>
      <c r="E8" s="1">
        <v>12.48</v>
      </c>
      <c r="F8" s="1">
        <v>23.61</v>
      </c>
      <c r="G8" s="1">
        <v>25.23</v>
      </c>
    </row>
    <row r="9" spans="1:7" x14ac:dyDescent="0.25">
      <c r="A9" s="1" t="s">
        <v>13</v>
      </c>
      <c r="B9" s="1">
        <v>20.46</v>
      </c>
      <c r="C9" s="1">
        <v>44.85</v>
      </c>
      <c r="D9" s="1">
        <v>19.010000000000002</v>
      </c>
      <c r="E9" s="1">
        <v>-24.47</v>
      </c>
      <c r="F9" s="1">
        <v>187.09</v>
      </c>
      <c r="G9" s="1">
        <v>114.93</v>
      </c>
    </row>
    <row r="10" spans="1:7" x14ac:dyDescent="0.25">
      <c r="A10" s="1" t="s">
        <v>14</v>
      </c>
      <c r="B10" s="1">
        <v>2.0499999999999998</v>
      </c>
      <c r="C10" s="1">
        <v>4.53</v>
      </c>
      <c r="D10" s="1">
        <v>1.92</v>
      </c>
      <c r="E10" s="1">
        <v>-2.4700000000000002</v>
      </c>
      <c r="F10" s="1">
        <v>18.899999999999999</v>
      </c>
      <c r="G10" s="1">
        <v>11.73</v>
      </c>
    </row>
    <row r="11" spans="1:7" x14ac:dyDescent="0.25">
      <c r="A11" s="1" t="s">
        <v>15</v>
      </c>
      <c r="B11" s="1">
        <v>0.56999999999999995</v>
      </c>
      <c r="C11" s="1">
        <v>33.47</v>
      </c>
      <c r="D11" s="1">
        <v>20.010000000000002</v>
      </c>
      <c r="E11" s="1">
        <v>7.9</v>
      </c>
      <c r="F11" s="1">
        <v>172.13</v>
      </c>
      <c r="G11" s="1">
        <v>87.17</v>
      </c>
    </row>
    <row r="12" spans="1:7" x14ac:dyDescent="0.25">
      <c r="A12" s="1" t="s">
        <v>16</v>
      </c>
      <c r="B12" s="1">
        <v>307.92</v>
      </c>
      <c r="C12" s="1">
        <v>203.78</v>
      </c>
      <c r="D12" s="1">
        <v>184.51</v>
      </c>
      <c r="E12" s="1">
        <v>179.24</v>
      </c>
      <c r="F12" s="1">
        <v>218.92</v>
      </c>
      <c r="G12" s="1">
        <v>209.64</v>
      </c>
    </row>
    <row r="13" spans="1:7" x14ac:dyDescent="0.25">
      <c r="A13" s="1" t="s">
        <v>17</v>
      </c>
      <c r="B13" s="1">
        <v>29.42</v>
      </c>
      <c r="C13" s="1">
        <v>9.65</v>
      </c>
      <c r="D13" s="1">
        <v>7.94</v>
      </c>
      <c r="E13" s="1">
        <v>9.15</v>
      </c>
      <c r="F13" s="1">
        <v>20.2</v>
      </c>
      <c r="G13" s="1">
        <v>22.8</v>
      </c>
    </row>
    <row r="14" spans="1:7" x14ac:dyDescent="0.25">
      <c r="A14" s="1" t="s">
        <v>18</v>
      </c>
      <c r="B14" s="1">
        <v>43.6</v>
      </c>
      <c r="C14" s="1">
        <v>17.63</v>
      </c>
      <c r="D14" s="1">
        <v>23.11</v>
      </c>
      <c r="E14" s="1">
        <v>18.670000000000002</v>
      </c>
      <c r="F14" s="1">
        <v>45.44</v>
      </c>
      <c r="G14" s="1">
        <v>51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3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61.86</v>
      </c>
      <c r="C17" s="1">
        <v>104.65</v>
      </c>
      <c r="D17" s="1">
        <v>69.91</v>
      </c>
      <c r="E17" s="1">
        <v>49.57</v>
      </c>
      <c r="F17" s="1">
        <v>210.41</v>
      </c>
      <c r="G17" s="1">
        <v>181.07</v>
      </c>
    </row>
    <row r="18" spans="1:7" x14ac:dyDescent="0.25">
      <c r="A18" s="1" t="s">
        <v>22</v>
      </c>
      <c r="B18" s="1">
        <v>41.4</v>
      </c>
      <c r="C18" s="1">
        <v>59.8</v>
      </c>
      <c r="D18" s="1">
        <v>50.91</v>
      </c>
      <c r="E18" s="1">
        <v>74.03</v>
      </c>
      <c r="F18" s="1">
        <v>23.32</v>
      </c>
      <c r="G18" s="1">
        <v>66.150000000000006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2.5</v>
      </c>
      <c r="C20" s="1">
        <v>2.2999999999999998</v>
      </c>
      <c r="D20" s="1">
        <v>1.2</v>
      </c>
      <c r="E20" s="1">
        <v>3.2</v>
      </c>
      <c r="F20" s="1">
        <v>1.5</v>
      </c>
      <c r="G20" s="1">
        <v>0</v>
      </c>
    </row>
    <row r="21" spans="1:7" x14ac:dyDescent="0.25">
      <c r="A21" s="1" t="s">
        <v>25</v>
      </c>
      <c r="B21" s="1">
        <v>7.6</v>
      </c>
      <c r="C21" s="1">
        <v>7.7</v>
      </c>
      <c r="D21" s="1">
        <v>8.8000000000000007</v>
      </c>
      <c r="E21" s="1">
        <v>6.8</v>
      </c>
      <c r="F21" s="1">
        <v>8.5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8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2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80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20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0.35</v>
      </c>
      <c r="C33" s="3">
        <v>4.2699999999999996</v>
      </c>
      <c r="D33" s="3">
        <v>2.12</v>
      </c>
      <c r="E33" s="3">
        <v>0.19</v>
      </c>
      <c r="F33" s="3">
        <v>20.55</v>
      </c>
      <c r="G33" s="3">
        <v>9.91</v>
      </c>
    </row>
    <row r="35" spans="1:7" x14ac:dyDescent="0.25">
      <c r="A35" s="3" t="s">
        <v>36</v>
      </c>
      <c r="B35" s="3"/>
      <c r="C35" s="3"/>
      <c r="D35" s="3">
        <f>D33-C33</f>
        <v>-2.1499999999999995</v>
      </c>
      <c r="E35" s="3"/>
      <c r="F35" s="3">
        <f>F33-E33</f>
        <v>20.36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-1.9300000000000002</v>
      </c>
      <c r="F37" s="3"/>
      <c r="G37" s="3">
        <f>G33-F33</f>
        <v>-10.64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17CB-D3E0-4E5B-8108-CFA68746E2E9}">
  <dimension ref="A1:G37"/>
  <sheetViews>
    <sheetView zoomScale="90" zoomScaleNormal="90" workbookViewId="0">
      <selection activeCell="I14" sqref="I1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333.42</v>
      </c>
      <c r="C2" s="1">
        <v>407.52</v>
      </c>
      <c r="D2" s="1">
        <v>400.9</v>
      </c>
      <c r="E2" s="1">
        <v>394.85</v>
      </c>
      <c r="F2" s="1">
        <v>332.27</v>
      </c>
      <c r="G2" s="1">
        <v>350.44</v>
      </c>
    </row>
    <row r="3" spans="1:7" x14ac:dyDescent="0.25">
      <c r="A3" s="1" t="s">
        <v>7</v>
      </c>
      <c r="B3" s="1">
        <v>44.03</v>
      </c>
      <c r="C3" s="1">
        <v>42.68</v>
      </c>
      <c r="D3" s="1">
        <v>43.53</v>
      </c>
      <c r="E3" s="1">
        <v>43.82</v>
      </c>
      <c r="F3" s="1">
        <v>43.04</v>
      </c>
      <c r="G3" s="1">
        <v>39.950000000000003</v>
      </c>
    </row>
    <row r="4" spans="1:7" x14ac:dyDescent="0.25">
      <c r="A4" s="1" t="s">
        <v>8</v>
      </c>
      <c r="B4" s="1">
        <v>14932.35</v>
      </c>
      <c r="C4" s="1">
        <v>17664.84</v>
      </c>
      <c r="D4" s="1">
        <v>17730.580000000002</v>
      </c>
      <c r="E4" s="1">
        <v>17599.57</v>
      </c>
      <c r="F4" s="1">
        <v>14498.86</v>
      </c>
      <c r="G4" s="1">
        <v>14278.18</v>
      </c>
    </row>
    <row r="5" spans="1:7" x14ac:dyDescent="0.25">
      <c r="A5" s="1" t="s">
        <v>9</v>
      </c>
      <c r="B5" s="1">
        <v>623.49</v>
      </c>
      <c r="C5" s="1">
        <v>105.8</v>
      </c>
      <c r="D5" s="1">
        <v>110.75</v>
      </c>
      <c r="E5" s="1">
        <v>76.23</v>
      </c>
      <c r="F5" s="1">
        <v>619.15</v>
      </c>
      <c r="G5" s="1">
        <v>470.51</v>
      </c>
    </row>
    <row r="6" spans="1:7" x14ac:dyDescent="0.25">
      <c r="A6" s="3" t="s">
        <v>10</v>
      </c>
      <c r="B6" s="3">
        <v>62.35</v>
      </c>
      <c r="C6" s="3">
        <v>10.69</v>
      </c>
      <c r="D6" s="3">
        <v>11.19</v>
      </c>
      <c r="E6" s="3">
        <v>7.7</v>
      </c>
      <c r="F6" s="3">
        <v>62.54</v>
      </c>
      <c r="G6" s="3">
        <v>48.01</v>
      </c>
    </row>
    <row r="7" spans="1:7" x14ac:dyDescent="0.25">
      <c r="A7" s="1" t="s">
        <v>11</v>
      </c>
      <c r="B7" s="1">
        <v>473.83</v>
      </c>
      <c r="C7" s="1">
        <v>99.04</v>
      </c>
      <c r="D7" s="1">
        <v>105.65</v>
      </c>
      <c r="E7" s="1">
        <v>72.8</v>
      </c>
      <c r="F7" s="1">
        <v>530.53</v>
      </c>
      <c r="G7" s="1">
        <v>387.23</v>
      </c>
    </row>
    <row r="8" spans="1:7" x14ac:dyDescent="0.25">
      <c r="A8" s="1" t="s">
        <v>12</v>
      </c>
      <c r="B8" s="1">
        <v>47.38</v>
      </c>
      <c r="C8" s="1">
        <v>10</v>
      </c>
      <c r="D8" s="1">
        <v>10.67</v>
      </c>
      <c r="E8" s="1">
        <v>7.35</v>
      </c>
      <c r="F8" s="1">
        <v>53.59</v>
      </c>
      <c r="G8" s="1">
        <v>39.51</v>
      </c>
    </row>
    <row r="9" spans="1:7" x14ac:dyDescent="0.25">
      <c r="A9" s="1" t="s">
        <v>13</v>
      </c>
      <c r="B9" s="1">
        <v>194.95</v>
      </c>
      <c r="C9" s="1">
        <v>67.38</v>
      </c>
      <c r="D9" s="1">
        <v>-47.38</v>
      </c>
      <c r="E9" s="1">
        <v>-38.159999999999997</v>
      </c>
      <c r="F9" s="1">
        <v>439.1</v>
      </c>
      <c r="G9" s="1">
        <v>226.28</v>
      </c>
    </row>
    <row r="10" spans="1:7" x14ac:dyDescent="0.25">
      <c r="A10" s="1" t="s">
        <v>14</v>
      </c>
      <c r="B10" s="1">
        <v>19.489999999999998</v>
      </c>
      <c r="C10" s="1">
        <v>6.81</v>
      </c>
      <c r="D10" s="1">
        <v>-4.79</v>
      </c>
      <c r="E10" s="1">
        <v>-3.85</v>
      </c>
      <c r="F10" s="1">
        <v>44.35</v>
      </c>
      <c r="G10" s="1">
        <v>23.09</v>
      </c>
    </row>
    <row r="11" spans="1:7" x14ac:dyDescent="0.25">
      <c r="A11" s="1" t="s">
        <v>15</v>
      </c>
      <c r="B11" s="1">
        <v>98.34</v>
      </c>
      <c r="C11" s="1">
        <v>58.99</v>
      </c>
      <c r="D11" s="1">
        <v>40.06</v>
      </c>
      <c r="E11" s="1">
        <v>37.96</v>
      </c>
      <c r="F11" s="1">
        <v>251.09</v>
      </c>
      <c r="G11" s="1">
        <v>148.22999999999999</v>
      </c>
    </row>
    <row r="12" spans="1:7" x14ac:dyDescent="0.25">
      <c r="A12" s="1" t="s">
        <v>16</v>
      </c>
      <c r="B12" s="1">
        <v>119.52</v>
      </c>
      <c r="C12" s="1">
        <v>221.58</v>
      </c>
      <c r="D12" s="1">
        <v>227.79</v>
      </c>
      <c r="E12" s="1">
        <v>244.38</v>
      </c>
      <c r="F12" s="1">
        <v>165.51</v>
      </c>
      <c r="G12" s="1">
        <v>128.09</v>
      </c>
    </row>
    <row r="13" spans="1:7" x14ac:dyDescent="0.25">
      <c r="A13" s="1" t="s">
        <v>17</v>
      </c>
      <c r="B13" s="1">
        <v>35.19</v>
      </c>
      <c r="C13" s="1">
        <v>7.73</v>
      </c>
      <c r="D13" s="1">
        <v>6.65</v>
      </c>
      <c r="E13" s="1">
        <v>3</v>
      </c>
      <c r="F13" s="1">
        <v>24.56</v>
      </c>
      <c r="G13" s="1">
        <v>35.47</v>
      </c>
    </row>
    <row r="14" spans="1:7" x14ac:dyDescent="0.25">
      <c r="A14" s="1" t="s">
        <v>18</v>
      </c>
      <c r="B14" s="1">
        <v>66.58</v>
      </c>
      <c r="C14" s="1">
        <v>17.350000000000001</v>
      </c>
      <c r="D14" s="1">
        <v>11.14</v>
      </c>
      <c r="E14" s="1">
        <v>22.84</v>
      </c>
      <c r="F14" s="1">
        <v>59.63</v>
      </c>
      <c r="G14" s="1">
        <v>72.88</v>
      </c>
    </row>
    <row r="15" spans="1:7" x14ac:dyDescent="0.25">
      <c r="A15" s="1" t="s">
        <v>19</v>
      </c>
      <c r="B15" s="1">
        <v>4</v>
      </c>
      <c r="C15" s="1">
        <v>1</v>
      </c>
      <c r="D15" s="1">
        <v>1</v>
      </c>
      <c r="E15" s="1">
        <v>0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334.39</v>
      </c>
      <c r="C17" s="1">
        <v>83.21</v>
      </c>
      <c r="D17" s="1">
        <v>29.13</v>
      </c>
      <c r="E17" s="1">
        <v>17.32</v>
      </c>
      <c r="F17" s="1">
        <v>484.82</v>
      </c>
      <c r="G17" s="1">
        <v>306.76</v>
      </c>
    </row>
    <row r="18" spans="1:7" x14ac:dyDescent="0.25">
      <c r="A18" s="1" t="s">
        <v>22</v>
      </c>
      <c r="B18" s="1">
        <v>139.44</v>
      </c>
      <c r="C18" s="1">
        <v>15.83</v>
      </c>
      <c r="D18" s="1">
        <v>76.52</v>
      </c>
      <c r="E18" s="1">
        <v>55.48</v>
      </c>
      <c r="F18" s="1">
        <v>45.72</v>
      </c>
      <c r="G18" s="1">
        <v>80.47</v>
      </c>
    </row>
    <row r="19" spans="1:7" x14ac:dyDescent="0.25">
      <c r="A19" s="1" t="s">
        <v>23</v>
      </c>
      <c r="B19" s="1">
        <v>2</v>
      </c>
      <c r="C19" s="1">
        <v>1</v>
      </c>
      <c r="D19" s="1">
        <v>2</v>
      </c>
      <c r="E19" s="1">
        <v>1</v>
      </c>
      <c r="F19" s="1">
        <v>1</v>
      </c>
      <c r="G19" s="1">
        <v>1</v>
      </c>
    </row>
    <row r="20" spans="1:7" x14ac:dyDescent="0.25">
      <c r="A20" s="1" t="s">
        <v>24</v>
      </c>
      <c r="B20" s="1">
        <v>3.7</v>
      </c>
      <c r="C20" s="1">
        <v>3.2</v>
      </c>
      <c r="D20" s="1">
        <v>5.2</v>
      </c>
      <c r="E20" s="1">
        <v>2.2999999999999998</v>
      </c>
      <c r="F20" s="1">
        <v>1.4</v>
      </c>
      <c r="G20" s="1">
        <v>1.1000000000000001</v>
      </c>
    </row>
    <row r="21" spans="1:7" x14ac:dyDescent="0.25">
      <c r="A21" s="1" t="s">
        <v>25</v>
      </c>
      <c r="B21" s="1">
        <v>6.4</v>
      </c>
      <c r="C21" s="1">
        <v>6.8</v>
      </c>
      <c r="D21" s="1">
        <v>4.8</v>
      </c>
      <c r="E21" s="1">
        <v>7.7</v>
      </c>
      <c r="F21" s="1">
        <v>8.6</v>
      </c>
      <c r="G21" s="1">
        <v>8.8000000000000007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6.3</v>
      </c>
      <c r="C25" s="1">
        <v>10</v>
      </c>
      <c r="D25" s="1">
        <v>10</v>
      </c>
      <c r="E25" s="1">
        <v>10</v>
      </c>
      <c r="F25" s="1">
        <v>3.5</v>
      </c>
      <c r="G25" s="1">
        <v>5.9</v>
      </c>
    </row>
    <row r="26" spans="1:7" x14ac:dyDescent="0.25">
      <c r="A26" s="1" t="s">
        <v>30</v>
      </c>
      <c r="B26" s="1">
        <v>2.5</v>
      </c>
      <c r="C26" s="1">
        <v>0</v>
      </c>
      <c r="D26" s="1">
        <v>0</v>
      </c>
      <c r="E26" s="1">
        <v>0</v>
      </c>
      <c r="F26" s="1">
        <v>6.5</v>
      </c>
      <c r="G26" s="1">
        <v>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12.871287128712872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62.376237623762378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35</v>
      </c>
      <c r="G30" s="3">
        <f t="shared" si="2"/>
        <v>59.595959595959599</v>
      </c>
    </row>
    <row r="31" spans="1:7" x14ac:dyDescent="0.25">
      <c r="A31" s="3" t="s">
        <v>34</v>
      </c>
      <c r="B31" s="3">
        <f>B26/B28*100</f>
        <v>24.752475247524753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65</v>
      </c>
      <c r="G31" s="3">
        <f t="shared" si="3"/>
        <v>40.404040404040401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9.42</v>
      </c>
      <c r="C33" s="3">
        <v>5.95</v>
      </c>
      <c r="D33" s="3">
        <v>-4.04</v>
      </c>
      <c r="E33" s="3">
        <v>-3.63</v>
      </c>
      <c r="F33" s="3">
        <v>46.66</v>
      </c>
      <c r="G33" s="3">
        <v>29.7</v>
      </c>
    </row>
    <row r="35" spans="1:7" x14ac:dyDescent="0.25">
      <c r="A35" s="3" t="s">
        <v>36</v>
      </c>
      <c r="B35" s="3"/>
      <c r="C35" s="3"/>
      <c r="D35" s="3">
        <f>D33-C33</f>
        <v>-9.99</v>
      </c>
      <c r="E35" s="3"/>
      <c r="F35" s="3">
        <f>F33-E33</f>
        <v>50.29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0.41000000000000014</v>
      </c>
      <c r="F37" s="3"/>
      <c r="G37" s="3">
        <f>G33-F33</f>
        <v>-16.959999999999997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313C-74F1-47E7-829A-96B37FFF28D4}">
  <dimension ref="A1:G37"/>
  <sheetViews>
    <sheetView topLeftCell="A10" zoomScale="90" zoomScaleNormal="90" workbookViewId="0">
      <selection activeCell="E46" sqref="E4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428.82</v>
      </c>
      <c r="C2" s="1">
        <v>430.04</v>
      </c>
      <c r="D2" s="1">
        <v>430.52</v>
      </c>
      <c r="E2" s="1">
        <v>430.26</v>
      </c>
      <c r="F2" s="1">
        <v>422.45</v>
      </c>
      <c r="G2" s="1">
        <v>437.75</v>
      </c>
    </row>
    <row r="3" spans="1:7" x14ac:dyDescent="0.25">
      <c r="A3" s="1" t="s">
        <v>7</v>
      </c>
      <c r="B3" s="1">
        <v>38.57</v>
      </c>
      <c r="C3" s="1">
        <v>38.46</v>
      </c>
      <c r="D3" s="1">
        <v>38.409999999999997</v>
      </c>
      <c r="E3" s="1">
        <v>38.35</v>
      </c>
      <c r="F3" s="1">
        <v>38.06</v>
      </c>
      <c r="G3" s="1">
        <v>40.799999999999997</v>
      </c>
    </row>
    <row r="4" spans="1:7" x14ac:dyDescent="0.25">
      <c r="A4" s="1" t="s">
        <v>8</v>
      </c>
      <c r="B4" s="1">
        <v>16826.11</v>
      </c>
      <c r="C4" s="1">
        <v>16824.060000000001</v>
      </c>
      <c r="D4" s="1">
        <v>16818.759999999998</v>
      </c>
      <c r="E4" s="1">
        <v>16782.09</v>
      </c>
      <c r="F4" s="1">
        <v>16345.79</v>
      </c>
      <c r="G4" s="1">
        <v>18167</v>
      </c>
    </row>
    <row r="5" spans="1:7" x14ac:dyDescent="0.25">
      <c r="A5" s="1" t="s">
        <v>9</v>
      </c>
      <c r="B5" s="1">
        <v>42.2</v>
      </c>
      <c r="C5" s="1">
        <v>41.38</v>
      </c>
      <c r="D5" s="1">
        <v>42.65</v>
      </c>
      <c r="E5" s="1">
        <v>36.799999999999997</v>
      </c>
      <c r="F5" s="1">
        <v>493.15</v>
      </c>
      <c r="G5" s="1">
        <v>60.48</v>
      </c>
    </row>
    <row r="6" spans="1:7" x14ac:dyDescent="0.25">
      <c r="A6" s="3" t="s">
        <v>10</v>
      </c>
      <c r="B6" s="3">
        <v>4.22</v>
      </c>
      <c r="C6" s="3">
        <v>4.18</v>
      </c>
      <c r="D6" s="3">
        <v>4.3099999999999996</v>
      </c>
      <c r="E6" s="3">
        <v>3.72</v>
      </c>
      <c r="F6" s="3">
        <v>49.81</v>
      </c>
      <c r="G6" s="3">
        <v>6.17</v>
      </c>
    </row>
    <row r="7" spans="1:7" x14ac:dyDescent="0.25">
      <c r="A7" s="1" t="s">
        <v>11</v>
      </c>
      <c r="B7" s="1">
        <v>34.08</v>
      </c>
      <c r="C7" s="1">
        <v>33.520000000000003</v>
      </c>
      <c r="D7" s="1">
        <v>37.26</v>
      </c>
      <c r="E7" s="1">
        <v>34.9</v>
      </c>
      <c r="F7" s="1">
        <v>487.81</v>
      </c>
      <c r="G7" s="1">
        <v>59.29</v>
      </c>
    </row>
    <row r="8" spans="1:7" x14ac:dyDescent="0.25">
      <c r="A8" s="1" t="s">
        <v>12</v>
      </c>
      <c r="B8" s="1">
        <v>3.41</v>
      </c>
      <c r="C8" s="1">
        <v>3.39</v>
      </c>
      <c r="D8" s="1">
        <v>3.76</v>
      </c>
      <c r="E8" s="1">
        <v>3.52</v>
      </c>
      <c r="F8" s="1">
        <v>49.27</v>
      </c>
      <c r="G8" s="1">
        <v>6.05</v>
      </c>
    </row>
    <row r="9" spans="1:7" x14ac:dyDescent="0.25">
      <c r="A9" s="1" t="s">
        <v>13</v>
      </c>
      <c r="B9" s="1">
        <v>-3.22</v>
      </c>
      <c r="C9" s="1">
        <v>-5.04</v>
      </c>
      <c r="D9" s="1">
        <v>4.0199999999999996</v>
      </c>
      <c r="E9" s="1">
        <v>-5.2</v>
      </c>
      <c r="F9" s="1">
        <v>480.67</v>
      </c>
      <c r="G9" s="1">
        <v>5.64</v>
      </c>
    </row>
    <row r="10" spans="1:7" x14ac:dyDescent="0.25">
      <c r="A10" s="1" t="s">
        <v>14</v>
      </c>
      <c r="B10" s="1">
        <v>-0.32</v>
      </c>
      <c r="C10" s="1">
        <v>-0.51</v>
      </c>
      <c r="D10" s="1">
        <v>0.41</v>
      </c>
      <c r="E10" s="1">
        <v>-0.53</v>
      </c>
      <c r="F10" s="1">
        <v>48.55</v>
      </c>
      <c r="G10" s="1">
        <v>0.57999999999999996</v>
      </c>
    </row>
    <row r="11" spans="1:7" x14ac:dyDescent="0.25">
      <c r="A11" s="1" t="s">
        <v>15</v>
      </c>
      <c r="B11" s="1">
        <v>1.54</v>
      </c>
      <c r="C11" s="1">
        <v>1.25</v>
      </c>
      <c r="D11" s="1">
        <v>3.32</v>
      </c>
      <c r="E11" s="1">
        <v>2.34</v>
      </c>
      <c r="F11" s="1">
        <v>410.27</v>
      </c>
      <c r="G11" s="1">
        <v>5.2</v>
      </c>
    </row>
    <row r="12" spans="1:7" x14ac:dyDescent="0.25">
      <c r="A12" s="1" t="s">
        <v>16</v>
      </c>
      <c r="B12" s="1">
        <v>197.38</v>
      </c>
      <c r="C12" s="1">
        <v>200.47</v>
      </c>
      <c r="D12" s="1">
        <v>199.69</v>
      </c>
      <c r="E12" s="1">
        <v>202.69</v>
      </c>
      <c r="F12" s="1">
        <v>230.28</v>
      </c>
      <c r="G12" s="1">
        <v>230.46</v>
      </c>
    </row>
    <row r="13" spans="1:7" x14ac:dyDescent="0.25">
      <c r="A13" s="1" t="s">
        <v>17</v>
      </c>
      <c r="B13" s="1">
        <v>18.510000000000002</v>
      </c>
      <c r="C13" s="1">
        <v>18.59</v>
      </c>
      <c r="D13" s="1">
        <v>18.600000000000001</v>
      </c>
      <c r="E13" s="1">
        <v>18.71</v>
      </c>
      <c r="F13" s="1">
        <v>24.58</v>
      </c>
      <c r="G13" s="1">
        <v>15.97</v>
      </c>
    </row>
    <row r="14" spans="1:7" x14ac:dyDescent="0.25">
      <c r="A14" s="1" t="s">
        <v>18</v>
      </c>
      <c r="B14" s="1">
        <v>21.1</v>
      </c>
      <c r="C14" s="1">
        <v>21.36</v>
      </c>
      <c r="D14" s="1">
        <v>20.65</v>
      </c>
      <c r="E14" s="1">
        <v>20.63</v>
      </c>
      <c r="F14" s="1">
        <v>53.31</v>
      </c>
      <c r="G14" s="1">
        <v>17.09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15.43</v>
      </c>
      <c r="C17" s="1">
        <v>14.24</v>
      </c>
      <c r="D17" s="1">
        <v>20.64</v>
      </c>
      <c r="E17" s="1">
        <v>14.85</v>
      </c>
      <c r="F17" s="1">
        <v>484.24</v>
      </c>
      <c r="G17" s="1">
        <v>32.46</v>
      </c>
    </row>
    <row r="18" spans="1:7" x14ac:dyDescent="0.25">
      <c r="A18" s="1" t="s">
        <v>22</v>
      </c>
      <c r="B18" s="1">
        <v>18.649999999999999</v>
      </c>
      <c r="C18" s="1">
        <v>19.28</v>
      </c>
      <c r="D18" s="1">
        <v>16.62</v>
      </c>
      <c r="E18" s="1">
        <v>20.05</v>
      </c>
      <c r="F18" s="1">
        <v>3.57</v>
      </c>
      <c r="G18" s="1">
        <v>26.82</v>
      </c>
    </row>
    <row r="19" spans="1:7" x14ac:dyDescent="0.25">
      <c r="A19" s="1" t="s">
        <v>23</v>
      </c>
      <c r="B19" s="1">
        <v>2</v>
      </c>
      <c r="C19" s="1">
        <v>2</v>
      </c>
      <c r="D19" s="1">
        <v>2</v>
      </c>
      <c r="E19" s="1">
        <v>2</v>
      </c>
      <c r="F19" s="1">
        <v>1</v>
      </c>
      <c r="G19" s="1">
        <v>1</v>
      </c>
    </row>
    <row r="20" spans="1:7" x14ac:dyDescent="0.25">
      <c r="A20" s="1" t="s">
        <v>24</v>
      </c>
      <c r="B20" s="1">
        <v>2.2000000000000002</v>
      </c>
      <c r="C20" s="1">
        <v>2.9</v>
      </c>
      <c r="D20" s="1">
        <v>2</v>
      </c>
      <c r="E20" s="1">
        <v>2.6</v>
      </c>
      <c r="F20" s="1">
        <v>1</v>
      </c>
      <c r="G20" s="1">
        <v>1.3</v>
      </c>
    </row>
    <row r="21" spans="1:7" x14ac:dyDescent="0.25">
      <c r="A21" s="1" t="s">
        <v>25</v>
      </c>
      <c r="B21" s="1">
        <v>7.9</v>
      </c>
      <c r="C21" s="1">
        <v>7.1</v>
      </c>
      <c r="D21" s="1">
        <v>8</v>
      </c>
      <c r="E21" s="1">
        <v>7.4</v>
      </c>
      <c r="F21" s="1">
        <v>9</v>
      </c>
      <c r="G21" s="1">
        <v>8.6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4.5999999999999996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5.4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46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54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-0.39</v>
      </c>
      <c r="C33" s="3">
        <v>-0.31</v>
      </c>
      <c r="D33" s="3">
        <v>0.36</v>
      </c>
      <c r="E33" s="3">
        <v>-0.17</v>
      </c>
      <c r="F33" s="3">
        <v>47.32</v>
      </c>
      <c r="G33" s="3">
        <v>0.23</v>
      </c>
    </row>
    <row r="35" spans="1:7" x14ac:dyDescent="0.25">
      <c r="A35" s="3" t="s">
        <v>36</v>
      </c>
      <c r="B35" s="3"/>
      <c r="C35" s="3"/>
      <c r="D35" s="3">
        <f>D33-C33</f>
        <v>0.66999999999999993</v>
      </c>
      <c r="E35" s="3"/>
      <c r="F35" s="3">
        <f>F33-E33</f>
        <v>47.49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-0.53</v>
      </c>
      <c r="F37" s="3"/>
      <c r="G37" s="3">
        <f>G33-F33</f>
        <v>-47.09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51E6-C004-4B90-88BE-3236F89A6135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466.83</v>
      </c>
      <c r="C2" s="1">
        <v>473.34</v>
      </c>
      <c r="D2" s="1">
        <v>475.62</v>
      </c>
      <c r="E2" s="1">
        <v>476.3</v>
      </c>
      <c r="F2" s="1">
        <v>450.46</v>
      </c>
      <c r="G2" s="1">
        <v>406.34</v>
      </c>
    </row>
    <row r="3" spans="1:7" x14ac:dyDescent="0.25">
      <c r="A3" s="1" t="s">
        <v>7</v>
      </c>
      <c r="B3" s="1">
        <v>48.55</v>
      </c>
      <c r="C3" s="1">
        <v>49.39</v>
      </c>
      <c r="D3" s="1">
        <v>49.43</v>
      </c>
      <c r="E3" s="1">
        <v>49.68</v>
      </c>
      <c r="F3" s="1">
        <v>54.77</v>
      </c>
      <c r="G3" s="1">
        <v>56.05</v>
      </c>
    </row>
    <row r="4" spans="1:7" x14ac:dyDescent="0.25">
      <c r="A4" s="1" t="s">
        <v>8</v>
      </c>
      <c r="B4" s="1">
        <v>23058.45</v>
      </c>
      <c r="C4" s="1">
        <v>23780.13</v>
      </c>
      <c r="D4" s="1">
        <v>23913.599999999999</v>
      </c>
      <c r="E4" s="1">
        <v>24071.62</v>
      </c>
      <c r="F4" s="1">
        <v>25050.52</v>
      </c>
      <c r="G4" s="1">
        <v>23150.03</v>
      </c>
    </row>
    <row r="5" spans="1:7" x14ac:dyDescent="0.25">
      <c r="A5" s="1" t="s">
        <v>9</v>
      </c>
      <c r="B5" s="1">
        <v>158.85</v>
      </c>
      <c r="C5" s="1">
        <v>77.489999999999995</v>
      </c>
      <c r="D5" s="1">
        <v>86.89</v>
      </c>
      <c r="E5" s="1">
        <v>83.93</v>
      </c>
      <c r="F5" s="1">
        <v>535.03</v>
      </c>
      <c r="G5" s="1">
        <v>505.92</v>
      </c>
    </row>
    <row r="6" spans="1:7" x14ac:dyDescent="0.25">
      <c r="A6" s="3" t="s">
        <v>10</v>
      </c>
      <c r="B6" s="3">
        <v>15.89</v>
      </c>
      <c r="C6" s="3">
        <v>7.83</v>
      </c>
      <c r="D6" s="3">
        <v>8.7799999999999994</v>
      </c>
      <c r="E6" s="3">
        <v>8.48</v>
      </c>
      <c r="F6" s="3">
        <v>54.04</v>
      </c>
      <c r="G6" s="3">
        <v>51.62</v>
      </c>
    </row>
    <row r="7" spans="1:7" x14ac:dyDescent="0.25">
      <c r="A7" s="1" t="s">
        <v>11</v>
      </c>
      <c r="B7" s="1">
        <v>150.06</v>
      </c>
      <c r="C7" s="1">
        <v>62.47</v>
      </c>
      <c r="D7" s="1">
        <v>76.430000000000007</v>
      </c>
      <c r="E7" s="1">
        <v>68.97</v>
      </c>
      <c r="F7" s="1">
        <v>515.42999999999995</v>
      </c>
      <c r="G7" s="1">
        <v>461.24</v>
      </c>
    </row>
    <row r="8" spans="1:7" x14ac:dyDescent="0.25">
      <c r="A8" s="1" t="s">
        <v>12</v>
      </c>
      <c r="B8" s="1">
        <v>15.01</v>
      </c>
      <c r="C8" s="1">
        <v>6.31</v>
      </c>
      <c r="D8" s="1">
        <v>7.72</v>
      </c>
      <c r="E8" s="1">
        <v>6.97</v>
      </c>
      <c r="F8" s="1">
        <v>52.06</v>
      </c>
      <c r="G8" s="1">
        <v>47.06</v>
      </c>
    </row>
    <row r="9" spans="1:7" x14ac:dyDescent="0.25">
      <c r="A9" s="1" t="s">
        <v>13</v>
      </c>
      <c r="B9" s="1">
        <v>122.8</v>
      </c>
      <c r="C9" s="1">
        <v>7.18</v>
      </c>
      <c r="D9" s="1">
        <v>-7.32</v>
      </c>
      <c r="E9" s="1">
        <v>-5.19</v>
      </c>
      <c r="F9" s="1">
        <v>508.11</v>
      </c>
      <c r="G9" s="1">
        <v>-217.24</v>
      </c>
    </row>
    <row r="10" spans="1:7" x14ac:dyDescent="0.25">
      <c r="A10" s="1" t="s">
        <v>14</v>
      </c>
      <c r="B10" s="1">
        <v>12.28</v>
      </c>
      <c r="C10" s="1">
        <v>0.73</v>
      </c>
      <c r="D10" s="1">
        <v>-0.74</v>
      </c>
      <c r="E10" s="1">
        <v>-0.52</v>
      </c>
      <c r="F10" s="1">
        <v>51.32</v>
      </c>
      <c r="G10" s="1">
        <v>-22.17</v>
      </c>
    </row>
    <row r="11" spans="1:7" x14ac:dyDescent="0.25">
      <c r="A11" s="1" t="s">
        <v>15</v>
      </c>
      <c r="B11" s="1">
        <v>110.37</v>
      </c>
      <c r="C11" s="1">
        <v>1.63</v>
      </c>
      <c r="D11" s="1">
        <v>2.06</v>
      </c>
      <c r="E11" s="1">
        <v>2.31</v>
      </c>
      <c r="F11" s="1">
        <v>478.7</v>
      </c>
      <c r="G11" s="1">
        <v>212.38</v>
      </c>
    </row>
    <row r="12" spans="1:7" x14ac:dyDescent="0.25">
      <c r="A12" s="1" t="s">
        <v>16</v>
      </c>
      <c r="B12" s="1">
        <v>258.89999999999998</v>
      </c>
      <c r="C12" s="1">
        <v>189.34</v>
      </c>
      <c r="D12" s="1">
        <v>200.25</v>
      </c>
      <c r="E12" s="1">
        <v>204.73</v>
      </c>
      <c r="F12" s="1">
        <v>244.91</v>
      </c>
      <c r="G12" s="1">
        <v>197.6</v>
      </c>
    </row>
    <row r="13" spans="1:7" x14ac:dyDescent="0.25">
      <c r="A13" s="1" t="s">
        <v>17</v>
      </c>
      <c r="B13" s="1">
        <v>16.88</v>
      </c>
      <c r="C13" s="1">
        <v>48.86</v>
      </c>
      <c r="D13" s="1">
        <v>48.66</v>
      </c>
      <c r="E13" s="1">
        <v>48.52</v>
      </c>
      <c r="F13" s="1">
        <v>28.67</v>
      </c>
      <c r="G13" s="1">
        <v>41.69</v>
      </c>
    </row>
    <row r="14" spans="1:7" x14ac:dyDescent="0.25">
      <c r="A14" s="1" t="s">
        <v>18</v>
      </c>
      <c r="B14" s="1">
        <v>36.54</v>
      </c>
      <c r="C14" s="1">
        <v>52.12</v>
      </c>
      <c r="D14" s="1">
        <v>52.66</v>
      </c>
      <c r="E14" s="1">
        <v>52.07</v>
      </c>
      <c r="F14" s="1">
        <v>60.25</v>
      </c>
      <c r="G14" s="1">
        <v>69.03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136.43</v>
      </c>
      <c r="C17" s="1">
        <v>34.82</v>
      </c>
      <c r="D17" s="1">
        <v>34.549999999999997</v>
      </c>
      <c r="E17" s="1">
        <v>31.89</v>
      </c>
      <c r="F17" s="1">
        <v>511.77</v>
      </c>
      <c r="G17" s="1">
        <v>122</v>
      </c>
    </row>
    <row r="18" spans="1:7" x14ac:dyDescent="0.25">
      <c r="A18" s="1" t="s">
        <v>22</v>
      </c>
      <c r="B18" s="1">
        <v>13.63</v>
      </c>
      <c r="C18" s="1">
        <v>27.65</v>
      </c>
      <c r="D18" s="1">
        <v>41.88</v>
      </c>
      <c r="E18" s="1">
        <v>37.08</v>
      </c>
      <c r="F18" s="1">
        <v>3.66</v>
      </c>
      <c r="G18" s="1">
        <v>339.24</v>
      </c>
    </row>
    <row r="19" spans="1:7" x14ac:dyDescent="0.25">
      <c r="A19" s="1" t="s">
        <v>23</v>
      </c>
      <c r="B19" s="1">
        <v>1</v>
      </c>
      <c r="C19" s="1">
        <v>1</v>
      </c>
      <c r="D19" s="1">
        <v>1</v>
      </c>
      <c r="E19" s="1">
        <v>2</v>
      </c>
      <c r="F19" s="1">
        <v>1</v>
      </c>
      <c r="G19" s="1">
        <v>2</v>
      </c>
    </row>
    <row r="20" spans="1:7" x14ac:dyDescent="0.25">
      <c r="A20" s="1" t="s">
        <v>24</v>
      </c>
      <c r="B20" s="1">
        <v>1</v>
      </c>
      <c r="C20" s="1">
        <v>1.5</v>
      </c>
      <c r="D20" s="1">
        <v>1</v>
      </c>
      <c r="E20" s="1">
        <v>2.6</v>
      </c>
      <c r="F20" s="1">
        <v>1.5</v>
      </c>
      <c r="G20" s="1">
        <v>4</v>
      </c>
    </row>
    <row r="21" spans="1:7" x14ac:dyDescent="0.25">
      <c r="A21" s="1" t="s">
        <v>25</v>
      </c>
      <c r="B21" s="1">
        <v>9.1</v>
      </c>
      <c r="C21" s="1">
        <v>8.5</v>
      </c>
      <c r="D21" s="1">
        <v>9</v>
      </c>
      <c r="E21" s="1">
        <v>7.4</v>
      </c>
      <c r="F21" s="1">
        <v>8.5</v>
      </c>
      <c r="G21" s="1">
        <v>5.9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2.4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3.6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2.2999999999999998</v>
      </c>
      <c r="G25" s="1">
        <v>2.7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7.7</v>
      </c>
      <c r="G26" s="1">
        <v>3.6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36.363636363636367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23</v>
      </c>
      <c r="G30" s="3">
        <f t="shared" si="2"/>
        <v>27.272727272727277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77</v>
      </c>
      <c r="G31" s="3">
        <f t="shared" si="3"/>
        <v>36.363636363636367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11.17</v>
      </c>
      <c r="C33" s="3">
        <v>0.16</v>
      </c>
      <c r="D33" s="3">
        <v>-0.24</v>
      </c>
      <c r="E33" s="3">
        <v>-0.24</v>
      </c>
      <c r="F33" s="3">
        <v>51.61</v>
      </c>
      <c r="G33" s="3">
        <v>-7.74</v>
      </c>
    </row>
    <row r="35" spans="1:7" x14ac:dyDescent="0.25">
      <c r="A35" s="3" t="s">
        <v>36</v>
      </c>
      <c r="B35" s="3"/>
      <c r="C35" s="3"/>
      <c r="D35" s="3">
        <f>D33-C33</f>
        <v>-0.4</v>
      </c>
      <c r="E35" s="3"/>
      <c r="F35" s="3">
        <f>F33-E33</f>
        <v>51.85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-59.35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75AD-6834-4259-981F-6A1975501336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482.55</v>
      </c>
      <c r="C2" s="1">
        <v>482.3</v>
      </c>
      <c r="D2" s="1">
        <v>478.9</v>
      </c>
      <c r="E2" s="1">
        <v>429.77</v>
      </c>
      <c r="F2" s="1">
        <v>429.55</v>
      </c>
      <c r="G2" s="1">
        <v>471.78</v>
      </c>
    </row>
    <row r="3" spans="1:7" x14ac:dyDescent="0.25">
      <c r="A3" s="1" t="s">
        <v>7</v>
      </c>
      <c r="B3" s="1">
        <v>33.950000000000003</v>
      </c>
      <c r="C3" s="1">
        <v>33.979999999999997</v>
      </c>
      <c r="D3" s="1">
        <v>34.33</v>
      </c>
      <c r="E3" s="1">
        <v>36.17</v>
      </c>
      <c r="F3" s="1">
        <v>39.18</v>
      </c>
      <c r="G3" s="1">
        <v>40.51</v>
      </c>
    </row>
    <row r="4" spans="1:7" x14ac:dyDescent="0.25">
      <c r="A4" s="1" t="s">
        <v>8</v>
      </c>
      <c r="B4" s="1">
        <v>16663.09</v>
      </c>
      <c r="C4" s="1">
        <v>16670.419999999998</v>
      </c>
      <c r="D4" s="1">
        <v>16723.16</v>
      </c>
      <c r="E4" s="1">
        <v>15810.67</v>
      </c>
      <c r="F4" s="1">
        <v>17097.14</v>
      </c>
      <c r="G4" s="1">
        <v>19440.009999999998</v>
      </c>
    </row>
    <row r="5" spans="1:7" x14ac:dyDescent="0.25">
      <c r="A5" s="1" t="s">
        <v>9</v>
      </c>
      <c r="B5" s="1">
        <v>130.72</v>
      </c>
      <c r="C5" s="1">
        <v>126.36</v>
      </c>
      <c r="D5" s="1">
        <v>247.12</v>
      </c>
      <c r="E5" s="1">
        <v>145.1</v>
      </c>
      <c r="F5" s="1">
        <v>438.64</v>
      </c>
      <c r="G5" s="1">
        <v>146.88999999999999</v>
      </c>
    </row>
    <row r="6" spans="1:7" x14ac:dyDescent="0.25">
      <c r="A6" s="3" t="s">
        <v>10</v>
      </c>
      <c r="B6" s="3">
        <v>13.07</v>
      </c>
      <c r="C6" s="3">
        <v>12.76</v>
      </c>
      <c r="D6" s="3">
        <v>24.96</v>
      </c>
      <c r="E6" s="3">
        <v>14.66</v>
      </c>
      <c r="F6" s="3">
        <v>44.31</v>
      </c>
      <c r="G6" s="3">
        <v>14.99</v>
      </c>
    </row>
    <row r="7" spans="1:7" x14ac:dyDescent="0.25">
      <c r="A7" s="1" t="s">
        <v>11</v>
      </c>
      <c r="B7" s="1">
        <v>121.76</v>
      </c>
      <c r="C7" s="1">
        <v>118.34</v>
      </c>
      <c r="D7" s="1">
        <v>240.22</v>
      </c>
      <c r="E7" s="1">
        <v>135.44999999999999</v>
      </c>
      <c r="F7" s="1">
        <v>411.94</v>
      </c>
      <c r="G7" s="1">
        <v>136.76</v>
      </c>
    </row>
    <row r="8" spans="1:7" x14ac:dyDescent="0.25">
      <c r="A8" s="1" t="s">
        <v>12</v>
      </c>
      <c r="B8" s="1">
        <v>12.18</v>
      </c>
      <c r="C8" s="1">
        <v>11.95</v>
      </c>
      <c r="D8" s="1">
        <v>24.26</v>
      </c>
      <c r="E8" s="1">
        <v>13.68</v>
      </c>
      <c r="F8" s="1">
        <v>41.61</v>
      </c>
      <c r="G8" s="1">
        <v>13.95</v>
      </c>
    </row>
    <row r="9" spans="1:7" x14ac:dyDescent="0.25">
      <c r="A9" s="1" t="s">
        <v>13</v>
      </c>
      <c r="B9" s="1">
        <v>-12.61</v>
      </c>
      <c r="C9" s="1">
        <v>10.210000000000001</v>
      </c>
      <c r="D9" s="1">
        <v>-89.63</v>
      </c>
      <c r="E9" s="1">
        <v>13.84</v>
      </c>
      <c r="F9" s="1">
        <v>352.68</v>
      </c>
      <c r="G9" s="1">
        <v>18.68</v>
      </c>
    </row>
    <row r="10" spans="1:7" x14ac:dyDescent="0.25">
      <c r="A10" s="1" t="s">
        <v>14</v>
      </c>
      <c r="B10" s="1">
        <v>-1.26</v>
      </c>
      <c r="C10" s="1">
        <v>1.03</v>
      </c>
      <c r="D10" s="1">
        <v>-9.0500000000000007</v>
      </c>
      <c r="E10" s="1">
        <v>1.4</v>
      </c>
      <c r="F10" s="1">
        <v>35.619999999999997</v>
      </c>
      <c r="G10" s="1">
        <v>1.91</v>
      </c>
    </row>
    <row r="11" spans="1:7" x14ac:dyDescent="0.25">
      <c r="A11" s="1" t="s">
        <v>15</v>
      </c>
      <c r="B11" s="1">
        <v>1.78</v>
      </c>
      <c r="C11" s="1">
        <v>2.74</v>
      </c>
      <c r="D11" s="1">
        <v>80.34</v>
      </c>
      <c r="E11" s="1">
        <v>6.71</v>
      </c>
      <c r="F11" s="1">
        <v>254.92</v>
      </c>
      <c r="G11" s="1">
        <v>4.0199999999999996</v>
      </c>
    </row>
    <row r="12" spans="1:7" x14ac:dyDescent="0.25">
      <c r="A12" s="1" t="s">
        <v>16</v>
      </c>
      <c r="B12" s="1">
        <v>284.37</v>
      </c>
      <c r="C12" s="1">
        <v>277.94</v>
      </c>
      <c r="D12" s="1">
        <v>256.10000000000002</v>
      </c>
      <c r="E12" s="1">
        <v>191.72</v>
      </c>
      <c r="F12" s="1">
        <v>182.31</v>
      </c>
      <c r="G12" s="1">
        <v>247.16</v>
      </c>
    </row>
    <row r="13" spans="1:7" x14ac:dyDescent="0.25">
      <c r="A13" s="1" t="s">
        <v>17</v>
      </c>
      <c r="B13" s="1">
        <v>14.02</v>
      </c>
      <c r="C13" s="1">
        <v>14.2</v>
      </c>
      <c r="D13" s="1">
        <v>15.19</v>
      </c>
      <c r="E13" s="1">
        <v>18.77</v>
      </c>
      <c r="F13" s="1">
        <v>31.24</v>
      </c>
      <c r="G13" s="1">
        <v>30.32</v>
      </c>
    </row>
    <row r="14" spans="1:7" x14ac:dyDescent="0.25">
      <c r="A14" s="1" t="s">
        <v>18</v>
      </c>
      <c r="B14" s="1">
        <v>17.29</v>
      </c>
      <c r="C14" s="1">
        <v>16.899999999999999</v>
      </c>
      <c r="D14" s="1">
        <v>21.8</v>
      </c>
      <c r="E14" s="1">
        <v>25</v>
      </c>
      <c r="F14" s="1">
        <v>69.47</v>
      </c>
      <c r="G14" s="1">
        <v>36.31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54.57</v>
      </c>
      <c r="C17" s="1">
        <v>64.27</v>
      </c>
      <c r="D17" s="1">
        <v>75.290000000000006</v>
      </c>
      <c r="E17" s="1">
        <v>74.64</v>
      </c>
      <c r="F17" s="1">
        <v>382.31</v>
      </c>
      <c r="G17" s="1">
        <v>77.72</v>
      </c>
    </row>
    <row r="18" spans="1:7" x14ac:dyDescent="0.25">
      <c r="A18" s="1" t="s">
        <v>22</v>
      </c>
      <c r="B18" s="1">
        <v>67.180000000000007</v>
      </c>
      <c r="C18" s="1">
        <v>54.06</v>
      </c>
      <c r="D18" s="1">
        <v>164.93</v>
      </c>
      <c r="E18" s="1">
        <v>60.8</v>
      </c>
      <c r="F18" s="1">
        <v>29.63</v>
      </c>
      <c r="G18" s="1">
        <v>59.04</v>
      </c>
    </row>
    <row r="19" spans="1:7" x14ac:dyDescent="0.25">
      <c r="A19" s="1" t="s">
        <v>23</v>
      </c>
      <c r="B19" s="1">
        <v>3</v>
      </c>
      <c r="C19" s="1">
        <v>4</v>
      </c>
      <c r="D19" s="1">
        <v>3</v>
      </c>
      <c r="E19" s="1">
        <v>2</v>
      </c>
      <c r="F19" s="1">
        <v>1</v>
      </c>
      <c r="G19" s="1">
        <v>2</v>
      </c>
    </row>
    <row r="20" spans="1:7" x14ac:dyDescent="0.25">
      <c r="A20" s="1" t="s">
        <v>24</v>
      </c>
      <c r="B20" s="1">
        <v>3.4</v>
      </c>
      <c r="C20" s="1">
        <v>4.3</v>
      </c>
      <c r="D20" s="1">
        <v>6.1</v>
      </c>
      <c r="E20" s="1">
        <v>3.3</v>
      </c>
      <c r="F20" s="1">
        <v>1</v>
      </c>
      <c r="G20" s="1">
        <v>2</v>
      </c>
    </row>
    <row r="21" spans="1:7" x14ac:dyDescent="0.25">
      <c r="A21" s="1" t="s">
        <v>25</v>
      </c>
      <c r="B21" s="1">
        <v>6.7</v>
      </c>
      <c r="C21" s="1">
        <v>5.7</v>
      </c>
      <c r="D21" s="1">
        <v>3.9</v>
      </c>
      <c r="E21" s="1">
        <v>6.7</v>
      </c>
      <c r="F21" s="1">
        <v>9</v>
      </c>
      <c r="G21" s="1">
        <v>7.9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5.9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4.0999999999999996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59.000000000000007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41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-0.39</v>
      </c>
      <c r="C33" s="3">
        <v>0.3</v>
      </c>
      <c r="D33" s="3">
        <v>-6.59</v>
      </c>
      <c r="E33" s="3">
        <v>7.0000000000000007E-2</v>
      </c>
      <c r="F33" s="3">
        <v>36.700000000000003</v>
      </c>
      <c r="G33" s="3">
        <v>0.24</v>
      </c>
    </row>
    <row r="35" spans="1:7" x14ac:dyDescent="0.25">
      <c r="A35" s="3" t="s">
        <v>36</v>
      </c>
      <c r="B35" s="3"/>
      <c r="C35" s="3"/>
      <c r="D35" s="3">
        <f>D33-C33</f>
        <v>-6.89</v>
      </c>
      <c r="E35" s="3"/>
      <c r="F35" s="3">
        <f>F33-E33</f>
        <v>36.630000000000003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6.66</v>
      </c>
      <c r="F37" s="3"/>
      <c r="G37" s="3">
        <f>G33-F33</f>
        <v>-36.46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DC39-2312-4B41-AE91-78E746523FC5}">
  <dimension ref="A1:G37"/>
  <sheetViews>
    <sheetView zoomScale="90" zoomScaleNormal="90" workbookViewId="0">
      <selection activeCell="L15" sqref="L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476.94</v>
      </c>
      <c r="C2" s="1">
        <v>385.91</v>
      </c>
      <c r="D2" s="1">
        <v>429.17</v>
      </c>
      <c r="E2" s="1">
        <v>435.86</v>
      </c>
      <c r="F2" s="1">
        <v>413.83</v>
      </c>
      <c r="G2" s="1">
        <v>344.48</v>
      </c>
    </row>
    <row r="3" spans="1:7" x14ac:dyDescent="0.25">
      <c r="A3" s="1" t="s">
        <v>7</v>
      </c>
      <c r="B3" s="1">
        <v>46.41</v>
      </c>
      <c r="C3" s="1">
        <v>48.09</v>
      </c>
      <c r="D3" s="1">
        <v>45.71</v>
      </c>
      <c r="E3" s="1">
        <v>45.28</v>
      </c>
      <c r="F3" s="1">
        <v>45.5</v>
      </c>
      <c r="G3" s="1">
        <v>44.11</v>
      </c>
    </row>
    <row r="4" spans="1:7" x14ac:dyDescent="0.25">
      <c r="A4" s="1" t="s">
        <v>8</v>
      </c>
      <c r="B4" s="1">
        <v>22511.41</v>
      </c>
      <c r="C4" s="1">
        <v>18815.8</v>
      </c>
      <c r="D4" s="1">
        <v>19943.77</v>
      </c>
      <c r="E4" s="1">
        <v>20072.400000000001</v>
      </c>
      <c r="F4" s="1">
        <v>19128.27</v>
      </c>
      <c r="G4" s="1">
        <v>15454.35</v>
      </c>
    </row>
    <row r="5" spans="1:7" x14ac:dyDescent="0.25">
      <c r="A5" s="1" t="s">
        <v>9</v>
      </c>
      <c r="B5" s="1">
        <v>177.75</v>
      </c>
      <c r="C5" s="1">
        <v>320.02999999999997</v>
      </c>
      <c r="D5" s="1">
        <v>112.11</v>
      </c>
      <c r="E5" s="1">
        <v>116.22</v>
      </c>
      <c r="F5" s="1">
        <v>326.77999999999997</v>
      </c>
      <c r="G5" s="1">
        <v>182.15</v>
      </c>
    </row>
    <row r="6" spans="1:7" x14ac:dyDescent="0.25">
      <c r="A6" s="3" t="s">
        <v>10</v>
      </c>
      <c r="B6" s="3">
        <v>17.78</v>
      </c>
      <c r="C6" s="3">
        <v>32.33</v>
      </c>
      <c r="D6" s="3">
        <v>11.32</v>
      </c>
      <c r="E6" s="3">
        <v>11.74</v>
      </c>
      <c r="F6" s="3">
        <v>33.01</v>
      </c>
      <c r="G6" s="3">
        <v>18.59</v>
      </c>
    </row>
    <row r="7" spans="1:7" x14ac:dyDescent="0.25">
      <c r="A7" s="1" t="s">
        <v>11</v>
      </c>
      <c r="B7" s="1">
        <v>173.04</v>
      </c>
      <c r="C7" s="1">
        <v>251.04</v>
      </c>
      <c r="D7" s="1">
        <v>105.96</v>
      </c>
      <c r="E7" s="1">
        <v>111.19</v>
      </c>
      <c r="F7" s="1">
        <v>318.87</v>
      </c>
      <c r="G7" s="1">
        <v>176.25</v>
      </c>
    </row>
    <row r="8" spans="1:7" x14ac:dyDescent="0.25">
      <c r="A8" s="1" t="s">
        <v>12</v>
      </c>
      <c r="B8" s="1">
        <v>17.3</v>
      </c>
      <c r="C8" s="1">
        <v>25.36</v>
      </c>
      <c r="D8" s="1">
        <v>10.7</v>
      </c>
      <c r="E8" s="1">
        <v>11.23</v>
      </c>
      <c r="F8" s="1">
        <v>32.21</v>
      </c>
      <c r="G8" s="1">
        <v>17.98</v>
      </c>
    </row>
    <row r="9" spans="1:7" x14ac:dyDescent="0.25">
      <c r="A9" s="1" t="s">
        <v>13</v>
      </c>
      <c r="B9" s="1">
        <v>-158.54</v>
      </c>
      <c r="C9" s="1">
        <v>108.25</v>
      </c>
      <c r="D9" s="1">
        <v>-20.04</v>
      </c>
      <c r="E9" s="1">
        <v>14.08</v>
      </c>
      <c r="F9" s="1">
        <v>252.47</v>
      </c>
      <c r="G9" s="1">
        <v>-109.82</v>
      </c>
    </row>
    <row r="10" spans="1:7" x14ac:dyDescent="0.25">
      <c r="A10" s="1" t="s">
        <v>14</v>
      </c>
      <c r="B10" s="1">
        <v>-15.85</v>
      </c>
      <c r="C10" s="1">
        <v>10.93</v>
      </c>
      <c r="D10" s="1">
        <v>-2.02</v>
      </c>
      <c r="E10" s="1">
        <v>1.42</v>
      </c>
      <c r="F10" s="1">
        <v>25.5</v>
      </c>
      <c r="G10" s="1">
        <v>-11.21</v>
      </c>
    </row>
    <row r="11" spans="1:7" x14ac:dyDescent="0.25">
      <c r="A11" s="1" t="s">
        <v>15</v>
      </c>
      <c r="B11" s="1">
        <v>157.19999999999999</v>
      </c>
      <c r="C11" s="1">
        <v>95.98</v>
      </c>
      <c r="D11" s="1">
        <v>2.58</v>
      </c>
      <c r="E11" s="1">
        <v>2.13</v>
      </c>
      <c r="F11" s="1">
        <v>223.26</v>
      </c>
      <c r="G11" s="1">
        <v>100.58</v>
      </c>
    </row>
    <row r="12" spans="1:7" x14ac:dyDescent="0.25">
      <c r="A12" s="1" t="s">
        <v>16</v>
      </c>
      <c r="B12" s="1">
        <v>192.52</v>
      </c>
      <c r="C12" s="1">
        <v>163.47</v>
      </c>
      <c r="D12" s="1">
        <v>217.81</v>
      </c>
      <c r="E12" s="1">
        <v>194.42</v>
      </c>
      <c r="F12" s="1">
        <v>208.92</v>
      </c>
      <c r="G12" s="1">
        <v>193.17</v>
      </c>
    </row>
    <row r="13" spans="1:7" x14ac:dyDescent="0.25">
      <c r="A13" s="1" t="s">
        <v>17</v>
      </c>
      <c r="B13" s="1">
        <v>15.17</v>
      </c>
      <c r="C13" s="1">
        <v>27.92</v>
      </c>
      <c r="D13" s="1">
        <v>18.43</v>
      </c>
      <c r="E13" s="1">
        <v>19.13</v>
      </c>
      <c r="F13" s="1">
        <v>17.34</v>
      </c>
      <c r="G13" s="1">
        <v>31.57</v>
      </c>
    </row>
    <row r="14" spans="1:7" x14ac:dyDescent="0.25">
      <c r="A14" s="1" t="s">
        <v>18</v>
      </c>
      <c r="B14" s="1">
        <v>43.03</v>
      </c>
      <c r="C14" s="1">
        <v>71.92</v>
      </c>
      <c r="D14" s="1">
        <v>29.41</v>
      </c>
      <c r="E14" s="1">
        <v>26.61</v>
      </c>
      <c r="F14" s="1">
        <v>40.799999999999997</v>
      </c>
      <c r="G14" s="1">
        <v>37.6</v>
      </c>
    </row>
    <row r="15" spans="1:7" x14ac:dyDescent="0.25">
      <c r="A15" s="1" t="s">
        <v>19</v>
      </c>
      <c r="B15" s="1">
        <v>1</v>
      </c>
      <c r="C15" s="1">
        <v>5</v>
      </c>
      <c r="D15" s="1">
        <v>3</v>
      </c>
      <c r="E15" s="1">
        <v>3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7.25</v>
      </c>
      <c r="C17" s="1">
        <v>179.65</v>
      </c>
      <c r="D17" s="1">
        <v>42.96</v>
      </c>
      <c r="E17" s="1">
        <v>62.63</v>
      </c>
      <c r="F17" s="1">
        <v>285.67</v>
      </c>
      <c r="G17" s="1">
        <v>33.22</v>
      </c>
    </row>
    <row r="18" spans="1:7" x14ac:dyDescent="0.25">
      <c r="A18" s="1" t="s">
        <v>22</v>
      </c>
      <c r="B18" s="1">
        <v>165.79</v>
      </c>
      <c r="C18" s="1">
        <v>71.39</v>
      </c>
      <c r="D18" s="1">
        <v>63</v>
      </c>
      <c r="E18" s="1">
        <v>48.55</v>
      </c>
      <c r="F18" s="1">
        <v>33.200000000000003</v>
      </c>
      <c r="G18" s="1">
        <v>143.03</v>
      </c>
    </row>
    <row r="19" spans="1:7" x14ac:dyDescent="0.25">
      <c r="A19" s="1" t="s">
        <v>23</v>
      </c>
      <c r="B19" s="1">
        <v>1</v>
      </c>
      <c r="C19" s="1">
        <v>3</v>
      </c>
      <c r="D19" s="1">
        <v>1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6.1</v>
      </c>
      <c r="C20" s="1">
        <v>5.0999999999999996</v>
      </c>
      <c r="D20" s="1">
        <v>1</v>
      </c>
      <c r="E20" s="1">
        <v>1.1000000000000001</v>
      </c>
      <c r="F20" s="1">
        <v>0</v>
      </c>
      <c r="G20" s="1">
        <v>3.9</v>
      </c>
    </row>
    <row r="21" spans="1:7" x14ac:dyDescent="0.25">
      <c r="A21" s="1" t="s">
        <v>25</v>
      </c>
      <c r="B21" s="1">
        <v>4</v>
      </c>
      <c r="C21" s="1">
        <v>4.9000000000000004</v>
      </c>
      <c r="D21" s="1">
        <v>9</v>
      </c>
      <c r="E21" s="1">
        <v>8.9</v>
      </c>
      <c r="F21" s="1">
        <v>10</v>
      </c>
      <c r="G21" s="1">
        <v>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2.2000000000000002</v>
      </c>
      <c r="C24" s="1">
        <v>0</v>
      </c>
      <c r="D24" s="1">
        <v>0</v>
      </c>
      <c r="E24" s="1">
        <v>0</v>
      </c>
      <c r="F24" s="1">
        <v>0</v>
      </c>
      <c r="G24" s="1">
        <v>1.8</v>
      </c>
    </row>
    <row r="25" spans="1:7" x14ac:dyDescent="0.25">
      <c r="A25" s="1" t="s">
        <v>29</v>
      </c>
      <c r="B25" s="1">
        <v>7.9</v>
      </c>
      <c r="C25" s="1">
        <v>8.6</v>
      </c>
      <c r="D25" s="1">
        <v>10</v>
      </c>
      <c r="E25" s="1">
        <v>10</v>
      </c>
      <c r="F25" s="1">
        <v>7.1</v>
      </c>
      <c r="G25" s="1">
        <v>8.1</v>
      </c>
    </row>
    <row r="26" spans="1:7" x14ac:dyDescent="0.25">
      <c r="A26" s="1" t="s">
        <v>30</v>
      </c>
      <c r="B26" s="1">
        <v>0</v>
      </c>
      <c r="C26" s="1">
        <v>1.4</v>
      </c>
      <c r="D26" s="1">
        <v>0</v>
      </c>
      <c r="E26" s="1">
        <v>0</v>
      </c>
      <c r="F26" s="1">
        <v>2.9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21.782178217821784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18.181818181818183</v>
      </c>
    </row>
    <row r="30" spans="1:7" x14ac:dyDescent="0.25">
      <c r="A30" s="3" t="s">
        <v>33</v>
      </c>
      <c r="B30" s="3">
        <f>B25/B28*100</f>
        <v>78.217821782178206</v>
      </c>
      <c r="C30" s="3">
        <f t="shared" ref="C30:G30" si="2">C25/C28*100</f>
        <v>86</v>
      </c>
      <c r="D30" s="3">
        <f t="shared" si="2"/>
        <v>100</v>
      </c>
      <c r="E30" s="3">
        <f t="shared" si="2"/>
        <v>100</v>
      </c>
      <c r="F30" s="3">
        <f t="shared" si="2"/>
        <v>71</v>
      </c>
      <c r="G30" s="3">
        <f t="shared" si="2"/>
        <v>81.818181818181813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13.999999999999998</v>
      </c>
      <c r="D31" s="3">
        <f t="shared" si="3"/>
        <v>0</v>
      </c>
      <c r="E31" s="3">
        <f t="shared" si="3"/>
        <v>0</v>
      </c>
      <c r="F31" s="3">
        <f t="shared" si="3"/>
        <v>28.999999999999996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-15.53</v>
      </c>
      <c r="C33" s="3">
        <v>9.64</v>
      </c>
      <c r="D33" s="3">
        <v>0.12</v>
      </c>
      <c r="E33" s="3">
        <v>0.2</v>
      </c>
      <c r="F33" s="3">
        <v>25.23</v>
      </c>
      <c r="G33" s="3">
        <v>-10.06</v>
      </c>
    </row>
    <row r="35" spans="1:7" x14ac:dyDescent="0.25">
      <c r="A35" s="3" t="s">
        <v>36</v>
      </c>
      <c r="B35" s="3"/>
      <c r="C35" s="3"/>
      <c r="D35" s="3">
        <f>D33-C33</f>
        <v>-9.5200000000000014</v>
      </c>
      <c r="E35" s="3"/>
      <c r="F35" s="3">
        <f>F33-E33</f>
        <v>25.03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8.0000000000000016E-2</v>
      </c>
      <c r="F37" s="3"/>
      <c r="G37" s="3">
        <f>G33-F33</f>
        <v>-35.29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1653-ADE1-4B7E-9D43-883220ECE24E}">
  <dimension ref="A1:G37"/>
  <sheetViews>
    <sheetView zoomScale="90" zoomScaleNormal="90" workbookViewId="0">
      <selection activeCell="L32" sqref="L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405.66</v>
      </c>
      <c r="C2" s="1">
        <v>359.09</v>
      </c>
      <c r="D2" s="1">
        <v>373.29</v>
      </c>
      <c r="E2" s="1">
        <v>375.21</v>
      </c>
      <c r="F2" s="1">
        <v>381.17</v>
      </c>
      <c r="G2" s="1">
        <v>387.02</v>
      </c>
    </row>
    <row r="3" spans="1:7" x14ac:dyDescent="0.25">
      <c r="A3" s="1" t="s">
        <v>7</v>
      </c>
      <c r="B3" s="1">
        <v>36.64</v>
      </c>
      <c r="C3" s="1">
        <v>42.45</v>
      </c>
      <c r="D3" s="1">
        <v>44.12</v>
      </c>
      <c r="E3" s="1">
        <v>43.75</v>
      </c>
      <c r="F3" s="1">
        <v>43.27</v>
      </c>
      <c r="G3" s="1">
        <v>40.21</v>
      </c>
    </row>
    <row r="4" spans="1:7" x14ac:dyDescent="0.25">
      <c r="A4" s="1" t="s">
        <v>8</v>
      </c>
      <c r="B4" s="1">
        <v>15116.7</v>
      </c>
      <c r="C4" s="1">
        <v>15484.68</v>
      </c>
      <c r="D4" s="1">
        <v>16754.21</v>
      </c>
      <c r="E4" s="1">
        <v>16696.11</v>
      </c>
      <c r="F4" s="1">
        <v>16748.650000000001</v>
      </c>
      <c r="G4" s="1">
        <v>15858.57</v>
      </c>
    </row>
    <row r="5" spans="1:7" x14ac:dyDescent="0.25">
      <c r="A5" s="1" t="s">
        <v>9</v>
      </c>
      <c r="B5" s="1">
        <v>249.54</v>
      </c>
      <c r="C5" s="1">
        <v>329.9</v>
      </c>
      <c r="D5" s="1">
        <v>255.31</v>
      </c>
      <c r="E5" s="1">
        <v>226.83</v>
      </c>
      <c r="F5" s="1">
        <v>255.56</v>
      </c>
      <c r="G5" s="1">
        <v>622.23</v>
      </c>
    </row>
    <row r="6" spans="1:7" x14ac:dyDescent="0.25">
      <c r="A6" s="3" t="s">
        <v>10</v>
      </c>
      <c r="B6" s="3">
        <v>24.95</v>
      </c>
      <c r="C6" s="3">
        <v>33.32</v>
      </c>
      <c r="D6" s="3">
        <v>25.79</v>
      </c>
      <c r="E6" s="3">
        <v>22.91</v>
      </c>
      <c r="F6" s="3">
        <v>25.81</v>
      </c>
      <c r="G6" s="3">
        <v>63.49</v>
      </c>
    </row>
    <row r="7" spans="1:7" x14ac:dyDescent="0.25">
      <c r="A7" s="1" t="s">
        <v>11</v>
      </c>
      <c r="B7" s="1">
        <v>236.54</v>
      </c>
      <c r="C7" s="1">
        <v>320.12</v>
      </c>
      <c r="D7" s="1">
        <v>245.59</v>
      </c>
      <c r="E7" s="1">
        <v>218.47</v>
      </c>
      <c r="F7" s="1">
        <v>247.64</v>
      </c>
      <c r="G7" s="1">
        <v>600.29999999999995</v>
      </c>
    </row>
    <row r="8" spans="1:7" x14ac:dyDescent="0.25">
      <c r="A8" s="1" t="s">
        <v>12</v>
      </c>
      <c r="B8" s="1">
        <v>23.65</v>
      </c>
      <c r="C8" s="1">
        <v>32.340000000000003</v>
      </c>
      <c r="D8" s="1">
        <v>24.81</v>
      </c>
      <c r="E8" s="1">
        <v>22.07</v>
      </c>
      <c r="F8" s="1">
        <v>25.01</v>
      </c>
      <c r="G8" s="1">
        <v>61.25</v>
      </c>
    </row>
    <row r="9" spans="1:7" x14ac:dyDescent="0.25">
      <c r="A9" s="1" t="s">
        <v>13</v>
      </c>
      <c r="B9" s="1">
        <v>-37.18</v>
      </c>
      <c r="C9" s="1">
        <v>-77.87</v>
      </c>
      <c r="D9" s="1">
        <v>-30.3</v>
      </c>
      <c r="E9" s="1">
        <v>16.2</v>
      </c>
      <c r="F9" s="1">
        <v>50.84</v>
      </c>
      <c r="G9" s="1">
        <v>-344.2</v>
      </c>
    </row>
    <row r="10" spans="1:7" x14ac:dyDescent="0.25">
      <c r="A10" s="1" t="s">
        <v>14</v>
      </c>
      <c r="B10" s="1">
        <v>-3.72</v>
      </c>
      <c r="C10" s="1">
        <v>-7.87</v>
      </c>
      <c r="D10" s="1">
        <v>-3.06</v>
      </c>
      <c r="E10" s="1">
        <v>1.64</v>
      </c>
      <c r="F10" s="1">
        <v>5.14</v>
      </c>
      <c r="G10" s="1">
        <v>-35.119999999999997</v>
      </c>
    </row>
    <row r="11" spans="1:7" x14ac:dyDescent="0.25">
      <c r="A11" s="1" t="s">
        <v>15</v>
      </c>
      <c r="B11" s="1">
        <v>8.74</v>
      </c>
      <c r="C11" s="1">
        <v>26.43</v>
      </c>
      <c r="D11" s="1">
        <v>9.56</v>
      </c>
      <c r="E11" s="1">
        <v>11.66</v>
      </c>
      <c r="F11" s="1">
        <v>18.010000000000002</v>
      </c>
      <c r="G11" s="1">
        <v>248.67</v>
      </c>
    </row>
    <row r="12" spans="1:7" x14ac:dyDescent="0.25">
      <c r="A12" s="1" t="s">
        <v>16</v>
      </c>
      <c r="B12" s="1">
        <v>153.85</v>
      </c>
      <c r="C12" s="1">
        <v>158.13999999999999</v>
      </c>
      <c r="D12" s="1">
        <v>160.49</v>
      </c>
      <c r="E12" s="1">
        <v>157.44</v>
      </c>
      <c r="F12" s="1">
        <v>169.21</v>
      </c>
      <c r="G12" s="1">
        <v>160.6</v>
      </c>
    </row>
    <row r="13" spans="1:7" x14ac:dyDescent="0.25">
      <c r="A13" s="1" t="s">
        <v>17</v>
      </c>
      <c r="B13" s="1">
        <v>53.28</v>
      </c>
      <c r="C13" s="1">
        <v>22.62</v>
      </c>
      <c r="D13" s="1">
        <v>24.59</v>
      </c>
      <c r="E13" s="1">
        <v>23.15</v>
      </c>
      <c r="F13" s="1">
        <v>26.17</v>
      </c>
      <c r="G13" s="1">
        <v>34.19</v>
      </c>
    </row>
    <row r="14" spans="1:7" x14ac:dyDescent="0.25">
      <c r="A14" s="1" t="s">
        <v>18</v>
      </c>
      <c r="B14" s="1">
        <v>62.8</v>
      </c>
      <c r="C14" s="1">
        <v>61.13</v>
      </c>
      <c r="D14" s="1">
        <v>31.94</v>
      </c>
      <c r="E14" s="1">
        <v>28.77</v>
      </c>
      <c r="F14" s="1">
        <v>47.41</v>
      </c>
      <c r="G14" s="1">
        <v>75.14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99.68</v>
      </c>
      <c r="C17" s="1">
        <v>121.13</v>
      </c>
      <c r="D17" s="1">
        <v>107.64</v>
      </c>
      <c r="E17" s="1">
        <v>117.33</v>
      </c>
      <c r="F17" s="1">
        <v>149.24</v>
      </c>
      <c r="G17" s="1">
        <v>128.05000000000001</v>
      </c>
    </row>
    <row r="18" spans="1:7" x14ac:dyDescent="0.25">
      <c r="A18" s="1" t="s">
        <v>22</v>
      </c>
      <c r="B18" s="1">
        <v>136.86000000000001</v>
      </c>
      <c r="C18" s="1">
        <v>199</v>
      </c>
      <c r="D18" s="1">
        <v>137.94999999999999</v>
      </c>
      <c r="E18" s="1">
        <v>101.13</v>
      </c>
      <c r="F18" s="1">
        <v>98.4</v>
      </c>
      <c r="G18" s="1">
        <v>472.25</v>
      </c>
    </row>
    <row r="19" spans="1:7" x14ac:dyDescent="0.25">
      <c r="A19" s="1" t="s">
        <v>23</v>
      </c>
      <c r="B19" s="1">
        <v>1</v>
      </c>
      <c r="C19" s="1">
        <v>1</v>
      </c>
      <c r="D19" s="1">
        <v>4</v>
      </c>
      <c r="E19" s="1">
        <v>1</v>
      </c>
      <c r="F19" s="1">
        <v>1</v>
      </c>
      <c r="G19" s="1">
        <v>1</v>
      </c>
    </row>
    <row r="20" spans="1:7" x14ac:dyDescent="0.25">
      <c r="A20" s="1" t="s">
        <v>24</v>
      </c>
      <c r="B20" s="1">
        <v>1.1000000000000001</v>
      </c>
      <c r="C20" s="1">
        <v>3.2</v>
      </c>
      <c r="D20" s="1">
        <v>4.2</v>
      </c>
      <c r="E20" s="1">
        <v>2.4</v>
      </c>
      <c r="F20" s="1">
        <v>1.4</v>
      </c>
      <c r="G20" s="1">
        <v>4.7</v>
      </c>
    </row>
    <row r="21" spans="1:7" x14ac:dyDescent="0.25">
      <c r="A21" s="1" t="s">
        <v>25</v>
      </c>
      <c r="B21" s="1">
        <v>9</v>
      </c>
      <c r="C21" s="1">
        <v>6.8</v>
      </c>
      <c r="D21" s="1">
        <v>5.8</v>
      </c>
      <c r="E21" s="1">
        <v>7.6</v>
      </c>
      <c r="F21" s="1">
        <v>8.6</v>
      </c>
      <c r="G21" s="1">
        <v>5.2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4.9000000000000004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2.2999999999999998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2.7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49.494949494949495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23.232323232323228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27.272727272727277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-1.73</v>
      </c>
      <c r="C33" s="3">
        <v>-2.42</v>
      </c>
      <c r="D33" s="3">
        <v>0.19</v>
      </c>
      <c r="E33" s="3">
        <v>0.83</v>
      </c>
      <c r="F33" s="3">
        <v>1.87</v>
      </c>
      <c r="G33" s="3">
        <v>-13.79</v>
      </c>
    </row>
    <row r="35" spans="1:7" x14ac:dyDescent="0.25">
      <c r="A35" s="3" t="s">
        <v>36</v>
      </c>
      <c r="B35" s="3"/>
      <c r="C35" s="3"/>
      <c r="D35" s="3">
        <f>D33-C33</f>
        <v>2.61</v>
      </c>
      <c r="E35" s="3"/>
      <c r="F35" s="3">
        <f>F33-E33</f>
        <v>1.04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0.6399999999999999</v>
      </c>
      <c r="F37" s="3"/>
      <c r="G37" s="3">
        <f>G33-F33</f>
        <v>-15.66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1B3-F55D-4F85-B059-494596FEA116}">
  <dimension ref="A1:G37"/>
  <sheetViews>
    <sheetView zoomScale="90" zoomScaleNormal="90" workbookViewId="0">
      <selection activeCell="I36" sqref="I3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348.28</v>
      </c>
      <c r="C2" s="1">
        <v>363.36</v>
      </c>
      <c r="D2" s="1">
        <v>363.85</v>
      </c>
      <c r="E2" s="1">
        <v>365.38</v>
      </c>
      <c r="F2" s="1">
        <v>371.37</v>
      </c>
      <c r="G2" s="1">
        <v>350.75</v>
      </c>
    </row>
    <row r="3" spans="1:7" x14ac:dyDescent="0.25">
      <c r="A3" s="1" t="s">
        <v>7</v>
      </c>
      <c r="B3" s="1">
        <v>43.25</v>
      </c>
      <c r="C3" s="1">
        <v>42.26</v>
      </c>
      <c r="D3" s="1">
        <v>42.4</v>
      </c>
      <c r="E3" s="1">
        <v>42.47</v>
      </c>
      <c r="F3" s="1">
        <v>41.24</v>
      </c>
      <c r="G3" s="1">
        <v>38.340000000000003</v>
      </c>
    </row>
    <row r="4" spans="1:7" x14ac:dyDescent="0.25">
      <c r="A4" s="1" t="s">
        <v>8</v>
      </c>
      <c r="B4" s="1">
        <v>15302.75</v>
      </c>
      <c r="C4" s="1">
        <v>15608.7</v>
      </c>
      <c r="D4" s="1">
        <v>15682.89</v>
      </c>
      <c r="E4" s="1">
        <v>15763.92</v>
      </c>
      <c r="F4" s="1">
        <v>15583.78</v>
      </c>
      <c r="G4" s="1">
        <v>13687.07</v>
      </c>
    </row>
    <row r="5" spans="1:7" x14ac:dyDescent="0.25">
      <c r="A5" s="1" t="s">
        <v>9</v>
      </c>
      <c r="B5" s="1">
        <v>299.86</v>
      </c>
      <c r="C5" s="1">
        <v>253.74</v>
      </c>
      <c r="D5" s="1">
        <v>175.02</v>
      </c>
      <c r="E5" s="1">
        <v>216.18</v>
      </c>
      <c r="F5" s="1">
        <v>296</v>
      </c>
      <c r="G5" s="1">
        <v>341.76</v>
      </c>
    </row>
    <row r="6" spans="1:7" x14ac:dyDescent="0.25">
      <c r="A6" s="3" t="s">
        <v>10</v>
      </c>
      <c r="B6" s="3">
        <v>29.99</v>
      </c>
      <c r="C6" s="3">
        <v>25.63</v>
      </c>
      <c r="D6" s="3">
        <v>17.68</v>
      </c>
      <c r="E6" s="3">
        <v>21.84</v>
      </c>
      <c r="F6" s="3">
        <v>29.9</v>
      </c>
      <c r="G6" s="3">
        <v>34.869999999999997</v>
      </c>
    </row>
    <row r="7" spans="1:7" x14ac:dyDescent="0.25">
      <c r="A7" s="1" t="s">
        <v>11</v>
      </c>
      <c r="B7" s="1">
        <v>290.08999999999997</v>
      </c>
      <c r="C7" s="1">
        <v>243.56</v>
      </c>
      <c r="D7" s="1">
        <v>161.97999999999999</v>
      </c>
      <c r="E7" s="1">
        <v>206.35</v>
      </c>
      <c r="F7" s="1">
        <v>283.39999999999998</v>
      </c>
      <c r="G7" s="1">
        <v>320.58999999999997</v>
      </c>
    </row>
    <row r="8" spans="1:7" x14ac:dyDescent="0.25">
      <c r="A8" s="1" t="s">
        <v>12</v>
      </c>
      <c r="B8" s="1">
        <v>29.01</v>
      </c>
      <c r="C8" s="1">
        <v>24.6</v>
      </c>
      <c r="D8" s="1">
        <v>16.36</v>
      </c>
      <c r="E8" s="1">
        <v>20.84</v>
      </c>
      <c r="F8" s="1">
        <v>28.63</v>
      </c>
      <c r="G8" s="1">
        <v>32.71</v>
      </c>
    </row>
    <row r="9" spans="1:7" x14ac:dyDescent="0.25">
      <c r="A9" s="1" t="s">
        <v>13</v>
      </c>
      <c r="B9" s="1">
        <v>-31.18</v>
      </c>
      <c r="C9" s="1">
        <v>-40.06</v>
      </c>
      <c r="D9" s="1">
        <v>-16.579999999999998</v>
      </c>
      <c r="E9" s="1">
        <v>-24.91</v>
      </c>
      <c r="F9" s="1">
        <v>192.59</v>
      </c>
      <c r="G9" s="1">
        <v>58.97</v>
      </c>
    </row>
    <row r="10" spans="1:7" x14ac:dyDescent="0.25">
      <c r="A10" s="1" t="s">
        <v>14</v>
      </c>
      <c r="B10" s="1">
        <v>-3.12</v>
      </c>
      <c r="C10" s="1">
        <v>-4.05</v>
      </c>
      <c r="D10" s="1">
        <v>-1.67</v>
      </c>
      <c r="E10" s="1">
        <v>-2.52</v>
      </c>
      <c r="F10" s="1">
        <v>19.45</v>
      </c>
      <c r="G10" s="1">
        <v>6.02</v>
      </c>
    </row>
    <row r="11" spans="1:7" x14ac:dyDescent="0.25">
      <c r="A11" s="1" t="s">
        <v>15</v>
      </c>
      <c r="B11" s="1">
        <v>14.91</v>
      </c>
      <c r="C11" s="1">
        <v>9.51</v>
      </c>
      <c r="D11" s="1">
        <v>3.29</v>
      </c>
      <c r="E11" s="1">
        <v>1.95</v>
      </c>
      <c r="F11" s="1">
        <v>172.21</v>
      </c>
      <c r="G11" s="1">
        <v>26.64</v>
      </c>
    </row>
    <row r="12" spans="1:7" x14ac:dyDescent="0.25">
      <c r="A12" s="1" t="s">
        <v>16</v>
      </c>
      <c r="B12" s="1">
        <v>141.69</v>
      </c>
      <c r="C12" s="1">
        <v>152.18</v>
      </c>
      <c r="D12" s="1">
        <v>156.76</v>
      </c>
      <c r="E12" s="1">
        <v>157.25</v>
      </c>
      <c r="F12" s="1">
        <v>168.83</v>
      </c>
      <c r="G12" s="1">
        <v>171.81</v>
      </c>
    </row>
    <row r="13" spans="1:7" x14ac:dyDescent="0.25">
      <c r="A13" s="1" t="s">
        <v>17</v>
      </c>
      <c r="B13" s="1">
        <v>5.91</v>
      </c>
      <c r="C13" s="1">
        <v>3.47</v>
      </c>
      <c r="D13" s="1">
        <v>3.47</v>
      </c>
      <c r="E13" s="1">
        <v>3.5</v>
      </c>
      <c r="F13" s="1">
        <v>14.05</v>
      </c>
      <c r="G13" s="1">
        <v>35.729999999999997</v>
      </c>
    </row>
    <row r="14" spans="1:7" x14ac:dyDescent="0.25">
      <c r="A14" s="1" t="s">
        <v>18</v>
      </c>
      <c r="B14" s="1">
        <v>18.57</v>
      </c>
      <c r="C14" s="1">
        <v>12.37</v>
      </c>
      <c r="D14" s="1">
        <v>13.03</v>
      </c>
      <c r="E14" s="1">
        <v>11.84</v>
      </c>
      <c r="F14" s="1">
        <v>42.01</v>
      </c>
      <c r="G14" s="1">
        <v>42.72</v>
      </c>
    </row>
    <row r="15" spans="1:7" x14ac:dyDescent="0.25">
      <c r="A15" s="1" t="s">
        <v>19</v>
      </c>
      <c r="B15" s="1">
        <v>2</v>
      </c>
      <c r="C15" s="1">
        <v>1</v>
      </c>
      <c r="D15" s="1">
        <v>0</v>
      </c>
      <c r="E15" s="1">
        <v>0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129.46</v>
      </c>
      <c r="C17" s="1">
        <v>101.75</v>
      </c>
      <c r="D17" s="1">
        <v>72.7</v>
      </c>
      <c r="E17" s="1">
        <v>90.72</v>
      </c>
      <c r="F17" s="1">
        <v>237.99</v>
      </c>
      <c r="G17" s="1">
        <v>189.78</v>
      </c>
    </row>
    <row r="18" spans="1:7" x14ac:dyDescent="0.25">
      <c r="A18" s="1" t="s">
        <v>22</v>
      </c>
      <c r="B18" s="1">
        <v>160.63999999999999</v>
      </c>
      <c r="C18" s="1">
        <v>141.81</v>
      </c>
      <c r="D18" s="1">
        <v>89.28</v>
      </c>
      <c r="E18" s="1">
        <v>115.63</v>
      </c>
      <c r="F18" s="1">
        <v>45.4</v>
      </c>
      <c r="G18" s="1">
        <v>130.81</v>
      </c>
    </row>
    <row r="19" spans="1:7" x14ac:dyDescent="0.25">
      <c r="A19" s="1" t="s">
        <v>23</v>
      </c>
      <c r="B19" s="1">
        <v>2</v>
      </c>
      <c r="C19" s="1">
        <v>1</v>
      </c>
      <c r="D19" s="1">
        <v>3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3.2</v>
      </c>
      <c r="C20" s="1">
        <v>2.2999999999999998</v>
      </c>
      <c r="D20" s="1">
        <v>3.4</v>
      </c>
      <c r="E20" s="1">
        <v>1.6</v>
      </c>
      <c r="F20" s="1">
        <v>0</v>
      </c>
      <c r="G20" s="1">
        <v>0</v>
      </c>
    </row>
    <row r="21" spans="1:7" x14ac:dyDescent="0.25">
      <c r="A21" s="1" t="s">
        <v>25</v>
      </c>
      <c r="B21" s="1">
        <v>6.9</v>
      </c>
      <c r="C21" s="1">
        <v>7.7</v>
      </c>
      <c r="D21" s="1">
        <v>6.6</v>
      </c>
      <c r="E21" s="1">
        <v>8.4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8.6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1.4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86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13.999999999999998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-0.52</v>
      </c>
      <c r="C33" s="3">
        <v>-0.79</v>
      </c>
      <c r="D33" s="3">
        <v>-0.25</v>
      </c>
      <c r="E33" s="3">
        <v>-0.74</v>
      </c>
      <c r="F33" s="3">
        <v>18.45</v>
      </c>
      <c r="G33" s="3">
        <v>2.89</v>
      </c>
    </row>
    <row r="35" spans="1:7" x14ac:dyDescent="0.25">
      <c r="A35" s="3" t="s">
        <v>36</v>
      </c>
      <c r="B35" s="3"/>
      <c r="C35" s="3"/>
      <c r="D35" s="3">
        <f>D33-C33</f>
        <v>0.54</v>
      </c>
      <c r="E35" s="3"/>
      <c r="F35" s="3">
        <f>F33-E33</f>
        <v>19.189999999999998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-0.49</v>
      </c>
      <c r="F37" s="3"/>
      <c r="G37" s="3">
        <f>G33-F33</f>
        <v>-15.559999999999999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F25F-D67A-42EA-91B7-CA98715AAC5D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438.42</v>
      </c>
      <c r="C2" s="1">
        <v>440.26</v>
      </c>
      <c r="D2" s="1">
        <v>440.19</v>
      </c>
      <c r="E2" s="1">
        <v>440.51</v>
      </c>
      <c r="F2" s="1">
        <v>434.6</v>
      </c>
      <c r="G2" s="1">
        <v>444.28</v>
      </c>
    </row>
    <row r="3" spans="1:7" x14ac:dyDescent="0.25">
      <c r="A3" s="1" t="s">
        <v>7</v>
      </c>
      <c r="B3" s="1">
        <v>46.83</v>
      </c>
      <c r="C3" s="1">
        <v>46.85</v>
      </c>
      <c r="D3" s="1">
        <v>46.79</v>
      </c>
      <c r="E3" s="1">
        <v>46.81</v>
      </c>
      <c r="F3" s="1">
        <v>48.43</v>
      </c>
      <c r="G3" s="1">
        <v>45.84</v>
      </c>
    </row>
    <row r="4" spans="1:7" x14ac:dyDescent="0.25">
      <c r="A4" s="1" t="s">
        <v>8</v>
      </c>
      <c r="B4" s="1">
        <v>20883.37</v>
      </c>
      <c r="C4" s="1">
        <v>20980.54</v>
      </c>
      <c r="D4" s="1">
        <v>20950.59</v>
      </c>
      <c r="E4" s="1">
        <v>20973.47</v>
      </c>
      <c r="F4" s="1">
        <v>21393.84</v>
      </c>
      <c r="G4" s="1">
        <v>20716.14</v>
      </c>
    </row>
    <row r="5" spans="1:7" x14ac:dyDescent="0.25">
      <c r="A5" s="1" t="s">
        <v>9</v>
      </c>
      <c r="B5" s="1">
        <v>65.8</v>
      </c>
      <c r="C5" s="1">
        <v>59.91</v>
      </c>
      <c r="D5" s="1">
        <v>52.67</v>
      </c>
      <c r="E5" s="1">
        <v>57.05</v>
      </c>
      <c r="F5" s="1">
        <v>205.88</v>
      </c>
      <c r="G5" s="1">
        <v>89.15</v>
      </c>
    </row>
    <row r="6" spans="1:7" x14ac:dyDescent="0.25">
      <c r="A6" s="3" t="s">
        <v>10</v>
      </c>
      <c r="B6" s="3">
        <v>6.58</v>
      </c>
      <c r="C6" s="3">
        <v>6.05</v>
      </c>
      <c r="D6" s="3">
        <v>5.32</v>
      </c>
      <c r="E6" s="3">
        <v>5.76</v>
      </c>
      <c r="F6" s="3">
        <v>20.8</v>
      </c>
      <c r="G6" s="3">
        <v>9.1</v>
      </c>
    </row>
    <row r="7" spans="1:7" x14ac:dyDescent="0.25">
      <c r="A7" s="1" t="s">
        <v>11</v>
      </c>
      <c r="B7" s="1">
        <v>60.93</v>
      </c>
      <c r="C7" s="1">
        <v>54.81</v>
      </c>
      <c r="D7" s="1">
        <v>46.19</v>
      </c>
      <c r="E7" s="1">
        <v>51.18</v>
      </c>
      <c r="F7" s="1">
        <v>201.66</v>
      </c>
      <c r="G7" s="1">
        <v>84.19</v>
      </c>
    </row>
    <row r="8" spans="1:7" x14ac:dyDescent="0.25">
      <c r="A8" s="1" t="s">
        <v>12</v>
      </c>
      <c r="B8" s="1">
        <v>6.09</v>
      </c>
      <c r="C8" s="1">
        <v>5.54</v>
      </c>
      <c r="D8" s="1">
        <v>4.67</v>
      </c>
      <c r="E8" s="1">
        <v>5.17</v>
      </c>
      <c r="F8" s="1">
        <v>20.37</v>
      </c>
      <c r="G8" s="1">
        <v>8.59</v>
      </c>
    </row>
    <row r="9" spans="1:7" x14ac:dyDescent="0.25">
      <c r="A9" s="1" t="s">
        <v>13</v>
      </c>
      <c r="B9" s="1">
        <v>5.95</v>
      </c>
      <c r="C9" s="1">
        <v>4.3099999999999996</v>
      </c>
      <c r="D9" s="1">
        <v>5.95</v>
      </c>
      <c r="E9" s="1">
        <v>-5.58</v>
      </c>
      <c r="F9" s="1">
        <v>180.78</v>
      </c>
      <c r="G9" s="1">
        <v>10.76</v>
      </c>
    </row>
    <row r="10" spans="1:7" x14ac:dyDescent="0.25">
      <c r="A10" s="1" t="s">
        <v>14</v>
      </c>
      <c r="B10" s="1">
        <v>0.6</v>
      </c>
      <c r="C10" s="1">
        <v>0.44</v>
      </c>
      <c r="D10" s="1">
        <v>0.6</v>
      </c>
      <c r="E10" s="1">
        <v>-0.56000000000000005</v>
      </c>
      <c r="F10" s="1">
        <v>18.260000000000002</v>
      </c>
      <c r="G10" s="1">
        <v>1.1000000000000001</v>
      </c>
    </row>
    <row r="11" spans="1:7" x14ac:dyDescent="0.25">
      <c r="A11" s="1" t="s">
        <v>15</v>
      </c>
      <c r="B11" s="1">
        <v>2.25</v>
      </c>
      <c r="C11" s="1">
        <v>0.71</v>
      </c>
      <c r="D11" s="1">
        <v>1.92</v>
      </c>
      <c r="E11" s="1">
        <v>2.2999999999999998</v>
      </c>
      <c r="F11" s="1">
        <v>170.93</v>
      </c>
      <c r="G11" s="1">
        <v>3.83</v>
      </c>
    </row>
    <row r="12" spans="1:7" x14ac:dyDescent="0.25">
      <c r="A12" s="1" t="s">
        <v>16</v>
      </c>
      <c r="B12" s="1">
        <v>221.71</v>
      </c>
      <c r="C12" s="1">
        <v>221.56</v>
      </c>
      <c r="D12" s="1">
        <v>221.87</v>
      </c>
      <c r="E12" s="1">
        <v>222.31</v>
      </c>
      <c r="F12" s="1">
        <v>224.03</v>
      </c>
      <c r="G12" s="1">
        <v>253.77</v>
      </c>
    </row>
    <row r="13" spans="1:7" x14ac:dyDescent="0.25">
      <c r="A13" s="1" t="s">
        <v>17</v>
      </c>
      <c r="B13" s="1">
        <v>19.78</v>
      </c>
      <c r="C13" s="1">
        <v>19.04</v>
      </c>
      <c r="D13" s="1">
        <v>19.14</v>
      </c>
      <c r="E13" s="1">
        <v>19</v>
      </c>
      <c r="F13" s="1">
        <v>14.9</v>
      </c>
      <c r="G13" s="1">
        <v>10.65</v>
      </c>
    </row>
    <row r="14" spans="1:7" x14ac:dyDescent="0.25">
      <c r="A14" s="1" t="s">
        <v>18</v>
      </c>
      <c r="B14" s="1">
        <v>24.79</v>
      </c>
      <c r="C14" s="1">
        <v>24.34</v>
      </c>
      <c r="D14" s="1">
        <v>25.81</v>
      </c>
      <c r="E14" s="1">
        <v>23.77</v>
      </c>
      <c r="F14" s="1">
        <v>32.99</v>
      </c>
      <c r="G14" s="1">
        <v>12.53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33.44</v>
      </c>
      <c r="C17" s="1">
        <v>29.56</v>
      </c>
      <c r="D17" s="1">
        <v>26.07</v>
      </c>
      <c r="E17" s="1">
        <v>22.8</v>
      </c>
      <c r="F17" s="1">
        <v>191.22</v>
      </c>
      <c r="G17" s="1">
        <v>47.48</v>
      </c>
    </row>
    <row r="18" spans="1:7" x14ac:dyDescent="0.25">
      <c r="A18" s="1" t="s">
        <v>22</v>
      </c>
      <c r="B18" s="1">
        <v>27.49</v>
      </c>
      <c r="C18" s="1">
        <v>25.25</v>
      </c>
      <c r="D18" s="1">
        <v>20.12</v>
      </c>
      <c r="E18" s="1">
        <v>28.38</v>
      </c>
      <c r="F18" s="1">
        <v>10.44</v>
      </c>
      <c r="G18" s="1">
        <v>36.72</v>
      </c>
    </row>
    <row r="19" spans="1:7" x14ac:dyDescent="0.25">
      <c r="A19" s="1" t="s">
        <v>23</v>
      </c>
      <c r="B19" s="1">
        <v>1</v>
      </c>
      <c r="C19" s="1">
        <v>2</v>
      </c>
      <c r="D19" s="1">
        <v>3</v>
      </c>
      <c r="E19" s="1">
        <v>3</v>
      </c>
      <c r="F19" s="1">
        <v>0</v>
      </c>
      <c r="G19" s="1">
        <v>1</v>
      </c>
    </row>
    <row r="20" spans="1:7" x14ac:dyDescent="0.25">
      <c r="A20" s="1" t="s">
        <v>24</v>
      </c>
      <c r="B20" s="1">
        <v>1</v>
      </c>
      <c r="C20" s="1">
        <v>2.9</v>
      </c>
      <c r="D20" s="1">
        <v>3.1</v>
      </c>
      <c r="E20" s="1">
        <v>3.7</v>
      </c>
      <c r="F20" s="1">
        <v>0</v>
      </c>
      <c r="G20" s="1">
        <v>1.1000000000000001</v>
      </c>
    </row>
    <row r="21" spans="1:7" x14ac:dyDescent="0.25">
      <c r="A21" s="1" t="s">
        <v>25</v>
      </c>
      <c r="B21" s="1">
        <v>9.1</v>
      </c>
      <c r="C21" s="1">
        <v>7.1</v>
      </c>
      <c r="D21" s="1">
        <v>6.9</v>
      </c>
      <c r="E21" s="1">
        <v>6.3</v>
      </c>
      <c r="F21" s="1">
        <v>10</v>
      </c>
      <c r="G21" s="1">
        <v>8.8000000000000007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8.1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1.9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81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19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0.19</v>
      </c>
      <c r="C33" s="3">
        <v>0.1</v>
      </c>
      <c r="D33" s="3">
        <v>0.22</v>
      </c>
      <c r="E33" s="3">
        <v>-0.16</v>
      </c>
      <c r="F33" s="3">
        <v>17.920000000000002</v>
      </c>
      <c r="G33" s="3">
        <v>0.72</v>
      </c>
    </row>
    <row r="35" spans="1:7" x14ac:dyDescent="0.25">
      <c r="A35" s="3" t="s">
        <v>36</v>
      </c>
      <c r="B35" s="3"/>
      <c r="C35" s="3"/>
      <c r="D35" s="3">
        <f>D33-C33</f>
        <v>0.12</v>
      </c>
      <c r="E35" s="3"/>
      <c r="F35" s="3">
        <f>F33-E33</f>
        <v>18.080000000000002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-0.38</v>
      </c>
      <c r="F37" s="3"/>
      <c r="G37" s="3">
        <f>G33-F33</f>
        <v>-17.200000000000003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E6F0-8979-4782-8D3B-E98C4F975C84}">
  <dimension ref="A1:G37"/>
  <sheetViews>
    <sheetView tabSelected="1" zoomScale="90" zoomScaleNormal="90" workbookViewId="0">
      <selection activeCell="I33" sqref="I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240729B001.1</vt:lpstr>
      <vt:lpstr>240729B001.2</vt:lpstr>
      <vt:lpstr>240729B001.3</vt:lpstr>
      <vt:lpstr>240729B001.4</vt:lpstr>
      <vt:lpstr>240729B002.1</vt:lpstr>
      <vt:lpstr>240729B002.2</vt:lpstr>
      <vt:lpstr>240729B002.3</vt:lpstr>
      <vt:lpstr>240729B002.4</vt:lpstr>
      <vt:lpstr>240729B003.1</vt:lpstr>
      <vt:lpstr>240729B003.2</vt:lpstr>
      <vt:lpstr>240729B003.3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2024-08-09T17:11:18Z</dcterms:created>
  <dcterms:modified xsi:type="dcterms:W3CDTF">2024-08-09T19:47:13Z</dcterms:modified>
</cp:coreProperties>
</file>