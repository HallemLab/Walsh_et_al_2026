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725\WormLab Data\"/>
    </mc:Choice>
  </mc:AlternateContent>
  <xr:revisionPtr revIDLastSave="0" documentId="13_ncr:1_{CAD531C5-39C5-4F2C-995A-6730197B8BF0}" xr6:coauthVersionLast="47" xr6:coauthVersionMax="47" xr10:uidLastSave="{00000000-0000-0000-0000-000000000000}"/>
  <bookViews>
    <workbookView xWindow="1884" yWindow="1884" windowWidth="21036" windowHeight="11256" firstSheet="5" activeTab="10" xr2:uid="{1ACAE385-1E39-4083-B7AF-D96A914D51D0}"/>
  </bookViews>
  <sheets>
    <sheet name="240725B001.1" sheetId="2" r:id="rId1"/>
    <sheet name="240725B001.3" sheetId="3" r:id="rId2"/>
    <sheet name="240725B001.4" sheetId="4" r:id="rId3"/>
    <sheet name="240725B002.1" sheetId="5" r:id="rId4"/>
    <sheet name="240725B002.2" sheetId="6" r:id="rId5"/>
    <sheet name="240725B002.3" sheetId="7" r:id="rId6"/>
    <sheet name="240725B002.4" sheetId="8" r:id="rId7"/>
    <sheet name="240725B003.1" sheetId="9" r:id="rId8"/>
    <sheet name="240725B003.2" sheetId="10" r:id="rId9"/>
    <sheet name="240725B003.3" sheetId="11" r:id="rId10"/>
    <sheet name="240725B003.4" sheetId="12" r:id="rId11"/>
    <sheet name="template" sheetId="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12" l="1"/>
  <c r="E37" i="12"/>
  <c r="C37" i="12"/>
  <c r="F35" i="12"/>
  <c r="D35" i="12"/>
  <c r="G31" i="12"/>
  <c r="F31" i="12"/>
  <c r="E31" i="12"/>
  <c r="B31" i="12"/>
  <c r="G28" i="12"/>
  <c r="G30" i="12" s="1"/>
  <c r="F28" i="12"/>
  <c r="F30" i="12" s="1"/>
  <c r="E28" i="12"/>
  <c r="E30" i="12" s="1"/>
  <c r="D28" i="12"/>
  <c r="D29" i="12" s="1"/>
  <c r="C28" i="12"/>
  <c r="C29" i="12" s="1"/>
  <c r="B28" i="12"/>
  <c r="B30" i="12" s="1"/>
  <c r="G37" i="11"/>
  <c r="E37" i="11"/>
  <c r="C37" i="11"/>
  <c r="F35" i="11"/>
  <c r="D35" i="11"/>
  <c r="C31" i="11"/>
  <c r="C30" i="11"/>
  <c r="B30" i="11"/>
  <c r="C29" i="11"/>
  <c r="B29" i="11"/>
  <c r="G28" i="11"/>
  <c r="G30" i="11" s="1"/>
  <c r="F28" i="11"/>
  <c r="F31" i="11" s="1"/>
  <c r="E28" i="11"/>
  <c r="E31" i="11" s="1"/>
  <c r="D28" i="11"/>
  <c r="D31" i="11" s="1"/>
  <c r="C28" i="11"/>
  <c r="B28" i="11"/>
  <c r="B31" i="11" s="1"/>
  <c r="G37" i="10"/>
  <c r="E37" i="10"/>
  <c r="C37" i="10"/>
  <c r="F35" i="10"/>
  <c r="D35" i="10"/>
  <c r="F31" i="10"/>
  <c r="E31" i="10"/>
  <c r="D31" i="10"/>
  <c r="C31" i="10"/>
  <c r="G28" i="10"/>
  <c r="G31" i="10" s="1"/>
  <c r="F28" i="10"/>
  <c r="F30" i="10" s="1"/>
  <c r="E28" i="10"/>
  <c r="E30" i="10" s="1"/>
  <c r="D28" i="10"/>
  <c r="D30" i="10" s="1"/>
  <c r="C28" i="10"/>
  <c r="C30" i="10" s="1"/>
  <c r="B28" i="10"/>
  <c r="B31" i="10" s="1"/>
  <c r="G37" i="9"/>
  <c r="E37" i="9"/>
  <c r="C37" i="9"/>
  <c r="F35" i="9"/>
  <c r="D35" i="9"/>
  <c r="G31" i="9"/>
  <c r="F31" i="9"/>
  <c r="E31" i="9"/>
  <c r="D31" i="9"/>
  <c r="C31" i="9"/>
  <c r="B31" i="9"/>
  <c r="G30" i="9"/>
  <c r="F30" i="9"/>
  <c r="E30" i="9"/>
  <c r="D30" i="9"/>
  <c r="C30" i="9"/>
  <c r="B30" i="9"/>
  <c r="G29" i="9"/>
  <c r="F29" i="9"/>
  <c r="E29" i="9"/>
  <c r="G28" i="9"/>
  <c r="F28" i="9"/>
  <c r="E28" i="9"/>
  <c r="D28" i="9"/>
  <c r="D29" i="9" s="1"/>
  <c r="C28" i="9"/>
  <c r="C29" i="9" s="1"/>
  <c r="B28" i="9"/>
  <c r="B29" i="9" s="1"/>
  <c r="G37" i="8"/>
  <c r="E37" i="8"/>
  <c r="C37" i="8"/>
  <c r="F35" i="8"/>
  <c r="D35" i="8"/>
  <c r="G31" i="8"/>
  <c r="F31" i="8"/>
  <c r="E31" i="8"/>
  <c r="D31" i="8"/>
  <c r="C31" i="8"/>
  <c r="B31" i="8"/>
  <c r="G30" i="8"/>
  <c r="F30" i="8"/>
  <c r="E30" i="8"/>
  <c r="D30" i="8"/>
  <c r="C30" i="8"/>
  <c r="B30" i="8"/>
  <c r="G29" i="8"/>
  <c r="F29" i="8"/>
  <c r="E29" i="8"/>
  <c r="G28" i="8"/>
  <c r="F28" i="8"/>
  <c r="E28" i="8"/>
  <c r="D28" i="8"/>
  <c r="D29" i="8" s="1"/>
  <c r="C28" i="8"/>
  <c r="C29" i="8" s="1"/>
  <c r="B28" i="8"/>
  <c r="B29" i="8" s="1"/>
  <c r="G37" i="7"/>
  <c r="E37" i="7"/>
  <c r="C37" i="7"/>
  <c r="F35" i="7"/>
  <c r="D35" i="7"/>
  <c r="G31" i="7"/>
  <c r="F31" i="7"/>
  <c r="E31" i="7"/>
  <c r="D31" i="7"/>
  <c r="G28" i="7"/>
  <c r="G30" i="7" s="1"/>
  <c r="F28" i="7"/>
  <c r="F30" i="7" s="1"/>
  <c r="E28" i="7"/>
  <c r="E30" i="7" s="1"/>
  <c r="D28" i="7"/>
  <c r="D29" i="7" s="1"/>
  <c r="C28" i="7"/>
  <c r="C29" i="7" s="1"/>
  <c r="B28" i="7"/>
  <c r="B29" i="7" s="1"/>
  <c r="G37" i="6"/>
  <c r="E37" i="6"/>
  <c r="C37" i="6"/>
  <c r="F35" i="6"/>
  <c r="D35" i="6"/>
  <c r="B31" i="6"/>
  <c r="C30" i="6"/>
  <c r="B30" i="6"/>
  <c r="B29" i="6"/>
  <c r="G28" i="6"/>
  <c r="G31" i="6" s="1"/>
  <c r="F28" i="6"/>
  <c r="F31" i="6" s="1"/>
  <c r="E28" i="6"/>
  <c r="E31" i="6" s="1"/>
  <c r="D28" i="6"/>
  <c r="D31" i="6" s="1"/>
  <c r="C28" i="6"/>
  <c r="C31" i="6" s="1"/>
  <c r="B28" i="6"/>
  <c r="G37" i="5"/>
  <c r="E37" i="5"/>
  <c r="C37" i="5"/>
  <c r="F35" i="5"/>
  <c r="D35" i="5"/>
  <c r="G28" i="5"/>
  <c r="G30" i="5" s="1"/>
  <c r="F28" i="5"/>
  <c r="F30" i="5" s="1"/>
  <c r="E28" i="5"/>
  <c r="E30" i="5" s="1"/>
  <c r="D28" i="5"/>
  <c r="D29" i="5" s="1"/>
  <c r="C28" i="5"/>
  <c r="C29" i="5" s="1"/>
  <c r="B28" i="5"/>
  <c r="B31" i="5" s="1"/>
  <c r="G37" i="4"/>
  <c r="E37" i="4"/>
  <c r="C37" i="4"/>
  <c r="F35" i="4"/>
  <c r="D35" i="4"/>
  <c r="E31" i="4"/>
  <c r="D31" i="4"/>
  <c r="C31" i="4"/>
  <c r="B31" i="4"/>
  <c r="F30" i="4"/>
  <c r="E30" i="4"/>
  <c r="D30" i="4"/>
  <c r="C30" i="4"/>
  <c r="B30" i="4"/>
  <c r="F29" i="4"/>
  <c r="E29" i="4"/>
  <c r="D29" i="4"/>
  <c r="G28" i="4"/>
  <c r="G31" i="4" s="1"/>
  <c r="F28" i="4"/>
  <c r="F31" i="4" s="1"/>
  <c r="E28" i="4"/>
  <c r="D28" i="4"/>
  <c r="C28" i="4"/>
  <c r="C29" i="4" s="1"/>
  <c r="B28" i="4"/>
  <c r="B29" i="4" s="1"/>
  <c r="G37" i="3"/>
  <c r="E37" i="3"/>
  <c r="C37" i="3"/>
  <c r="F35" i="3"/>
  <c r="D35" i="3"/>
  <c r="G31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G28" i="3"/>
  <c r="F28" i="3"/>
  <c r="E28" i="3"/>
  <c r="D28" i="3"/>
  <c r="D29" i="3" s="1"/>
  <c r="C28" i="3"/>
  <c r="C29" i="3" s="1"/>
  <c r="B28" i="3"/>
  <c r="B29" i="3" s="1"/>
  <c r="G37" i="2"/>
  <c r="E37" i="2"/>
  <c r="C37" i="2"/>
  <c r="F35" i="2"/>
  <c r="D35" i="2"/>
  <c r="G31" i="2"/>
  <c r="F31" i="2"/>
  <c r="E31" i="2"/>
  <c r="D31" i="2"/>
  <c r="C31" i="2"/>
  <c r="B31" i="2"/>
  <c r="G30" i="2"/>
  <c r="F30" i="2"/>
  <c r="E30" i="2"/>
  <c r="D30" i="2"/>
  <c r="C30" i="2"/>
  <c r="B30" i="2"/>
  <c r="G29" i="2"/>
  <c r="F29" i="2"/>
  <c r="E29" i="2"/>
  <c r="G28" i="2"/>
  <c r="F28" i="2"/>
  <c r="E28" i="2"/>
  <c r="D28" i="2"/>
  <c r="D29" i="2" s="1"/>
  <c r="C28" i="2"/>
  <c r="C29" i="2" s="1"/>
  <c r="B28" i="2"/>
  <c r="B29" i="2" s="1"/>
  <c r="G37" i="1"/>
  <c r="E37" i="1"/>
  <c r="C37" i="1"/>
  <c r="F35" i="1"/>
  <c r="D35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E29" i="1"/>
  <c r="G28" i="1"/>
  <c r="F28" i="1"/>
  <c r="E28" i="1"/>
  <c r="D28" i="1"/>
  <c r="D29" i="1" s="1"/>
  <c r="C28" i="1"/>
  <c r="C29" i="1" s="1"/>
  <c r="B28" i="1"/>
  <c r="B29" i="1" s="1"/>
  <c r="B29" i="12" l="1"/>
  <c r="E29" i="12"/>
  <c r="F29" i="12"/>
  <c r="G29" i="12"/>
  <c r="C30" i="12"/>
  <c r="D30" i="12"/>
  <c r="C31" i="12"/>
  <c r="D31" i="12"/>
  <c r="D29" i="11"/>
  <c r="E29" i="11"/>
  <c r="F29" i="11"/>
  <c r="G29" i="11"/>
  <c r="D30" i="11"/>
  <c r="G31" i="11"/>
  <c r="F30" i="11"/>
  <c r="E30" i="11"/>
  <c r="B29" i="10"/>
  <c r="C29" i="10"/>
  <c r="D29" i="10"/>
  <c r="E29" i="10"/>
  <c r="F29" i="10"/>
  <c r="B30" i="10"/>
  <c r="G29" i="10"/>
  <c r="G30" i="10"/>
  <c r="E29" i="7"/>
  <c r="F29" i="7"/>
  <c r="G29" i="7"/>
  <c r="B30" i="7"/>
  <c r="C30" i="7"/>
  <c r="D30" i="7"/>
  <c r="B31" i="7"/>
  <c r="C31" i="7"/>
  <c r="C29" i="6"/>
  <c r="D29" i="6"/>
  <c r="E29" i="6"/>
  <c r="D30" i="6"/>
  <c r="E30" i="6"/>
  <c r="F29" i="6"/>
  <c r="G29" i="6"/>
  <c r="F30" i="6"/>
  <c r="G30" i="6"/>
  <c r="B29" i="5"/>
  <c r="E29" i="5"/>
  <c r="F29" i="5"/>
  <c r="G29" i="5"/>
  <c r="B30" i="5"/>
  <c r="E31" i="5"/>
  <c r="F31" i="5"/>
  <c r="G31" i="5"/>
  <c r="C30" i="5"/>
  <c r="D30" i="5"/>
  <c r="C31" i="5"/>
  <c r="D31" i="5"/>
  <c r="G29" i="4"/>
  <c r="G30" i="4"/>
</calcChain>
</file>

<file path=xl/sharedStrings.xml><?xml version="1.0" encoding="utf-8"?>
<sst xmlns="http://schemas.openxmlformats.org/spreadsheetml/2006/main" count="456" uniqueCount="37">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</sst>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EBF00-865D-422D-B829-E1E37A319F18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443.41</v>
      </c>
      <c r="C2" s="1">
        <v>489.98</v>
      </c>
      <c r="D2" s="1">
        <v>429.59</v>
      </c>
      <c r="E2" s="1">
        <v>375.13</v>
      </c>
      <c r="F2" s="1">
        <v>461.84</v>
      </c>
      <c r="G2" s="1">
        <v>470.11</v>
      </c>
    </row>
    <row r="3" spans="1:7" x14ac:dyDescent="0.3">
      <c r="A3" s="1" t="s">
        <v>7</v>
      </c>
      <c r="B3" s="1">
        <v>53.92</v>
      </c>
      <c r="C3" s="1">
        <v>60.15</v>
      </c>
      <c r="D3" s="1">
        <v>55.05</v>
      </c>
      <c r="E3" s="1">
        <v>51.6</v>
      </c>
      <c r="F3" s="1">
        <v>61.06</v>
      </c>
      <c r="G3" s="1">
        <v>57.45</v>
      </c>
    </row>
    <row r="4" spans="1:7" x14ac:dyDescent="0.3">
      <c r="A4" s="1" t="s">
        <v>8</v>
      </c>
      <c r="B4" s="1">
        <v>24317.29</v>
      </c>
      <c r="C4" s="1">
        <v>30001.29</v>
      </c>
      <c r="D4" s="1">
        <v>24021.23</v>
      </c>
      <c r="E4" s="1">
        <v>19686.849999999999</v>
      </c>
      <c r="F4" s="1">
        <v>28879.88</v>
      </c>
      <c r="G4" s="1">
        <v>27411.64</v>
      </c>
    </row>
    <row r="5" spans="1:7" x14ac:dyDescent="0.3">
      <c r="A5" s="1" t="s">
        <v>9</v>
      </c>
      <c r="B5" s="1">
        <v>1585.53</v>
      </c>
      <c r="C5" s="1">
        <v>1275.93</v>
      </c>
      <c r="D5" s="1">
        <v>761.22</v>
      </c>
      <c r="E5" s="1">
        <v>113.9</v>
      </c>
      <c r="F5" s="1">
        <v>990.08</v>
      </c>
      <c r="G5" s="1">
        <v>1756.87</v>
      </c>
    </row>
    <row r="6" spans="1:7" x14ac:dyDescent="0.3">
      <c r="A6" s="3" t="s">
        <v>10</v>
      </c>
      <c r="B6" s="3">
        <v>158.55000000000001</v>
      </c>
      <c r="C6" s="3">
        <v>128.88</v>
      </c>
      <c r="D6" s="3">
        <v>76.89</v>
      </c>
      <c r="E6" s="3">
        <v>11.5</v>
      </c>
      <c r="F6" s="3">
        <v>100.01</v>
      </c>
      <c r="G6" s="3">
        <v>179.27</v>
      </c>
    </row>
    <row r="7" spans="1:7" x14ac:dyDescent="0.3">
      <c r="A7" s="1" t="s">
        <v>11</v>
      </c>
      <c r="B7" s="1">
        <v>1454.39</v>
      </c>
      <c r="C7" s="1">
        <v>1176.5899999999999</v>
      </c>
      <c r="D7" s="1">
        <v>678.98</v>
      </c>
      <c r="E7" s="1">
        <v>101.17</v>
      </c>
      <c r="F7" s="1">
        <v>921.08</v>
      </c>
      <c r="G7" s="1">
        <v>1606.44</v>
      </c>
    </row>
    <row r="8" spans="1:7" x14ac:dyDescent="0.3">
      <c r="A8" s="1" t="s">
        <v>12</v>
      </c>
      <c r="B8" s="1">
        <v>145.44</v>
      </c>
      <c r="C8" s="1">
        <v>118.85</v>
      </c>
      <c r="D8" s="1">
        <v>68.58</v>
      </c>
      <c r="E8" s="1">
        <v>10.220000000000001</v>
      </c>
      <c r="F8" s="1">
        <v>93.04</v>
      </c>
      <c r="G8" s="1">
        <v>163.92</v>
      </c>
    </row>
    <row r="9" spans="1:7" x14ac:dyDescent="0.3">
      <c r="A9" s="1" t="s">
        <v>13</v>
      </c>
      <c r="B9" s="1">
        <v>1064.8800000000001</v>
      </c>
      <c r="C9" s="1">
        <v>1159.46</v>
      </c>
      <c r="D9" s="1">
        <v>647.53</v>
      </c>
      <c r="E9" s="1">
        <v>44.17</v>
      </c>
      <c r="F9" s="1">
        <v>-542.35</v>
      </c>
      <c r="G9" s="1">
        <v>1200.03</v>
      </c>
    </row>
    <row r="10" spans="1:7" x14ac:dyDescent="0.3">
      <c r="A10" s="1" t="s">
        <v>14</v>
      </c>
      <c r="B10" s="1">
        <v>106.49</v>
      </c>
      <c r="C10" s="1">
        <v>117.12</v>
      </c>
      <c r="D10" s="1">
        <v>65.41</v>
      </c>
      <c r="E10" s="1">
        <v>4.46</v>
      </c>
      <c r="F10" s="1">
        <v>-54.78</v>
      </c>
      <c r="G10" s="1">
        <v>122.45</v>
      </c>
    </row>
    <row r="11" spans="1:7" x14ac:dyDescent="0.3">
      <c r="A11" s="1" t="s">
        <v>15</v>
      </c>
      <c r="B11" s="1">
        <v>893.38</v>
      </c>
      <c r="C11" s="1">
        <v>1037.3900000000001</v>
      </c>
      <c r="D11" s="1">
        <v>625.57000000000005</v>
      </c>
      <c r="E11" s="1">
        <v>39.29</v>
      </c>
      <c r="F11" s="1">
        <v>442.81</v>
      </c>
      <c r="G11" s="1">
        <v>733.83</v>
      </c>
    </row>
    <row r="12" spans="1:7" x14ac:dyDescent="0.3">
      <c r="A12" s="1" t="s">
        <v>16</v>
      </c>
      <c r="B12" s="1">
        <v>239.55</v>
      </c>
      <c r="C12" s="1">
        <v>217.46</v>
      </c>
      <c r="D12" s="1">
        <v>228.36</v>
      </c>
      <c r="E12" s="1">
        <v>141.74</v>
      </c>
      <c r="F12" s="1">
        <v>227.6</v>
      </c>
      <c r="G12" s="1">
        <v>233.75</v>
      </c>
    </row>
    <row r="13" spans="1:7" x14ac:dyDescent="0.3">
      <c r="A13" s="1" t="s">
        <v>17</v>
      </c>
      <c r="B13" s="1">
        <v>36.96</v>
      </c>
      <c r="C13" s="1">
        <v>34.72</v>
      </c>
      <c r="D13" s="1">
        <v>22.76</v>
      </c>
      <c r="E13" s="1">
        <v>20.69</v>
      </c>
      <c r="F13" s="1">
        <v>37.79</v>
      </c>
      <c r="G13" s="1">
        <v>38.369999999999997</v>
      </c>
    </row>
    <row r="14" spans="1:7" x14ac:dyDescent="0.3">
      <c r="A14" s="1" t="s">
        <v>18</v>
      </c>
      <c r="B14" s="1">
        <v>90.46</v>
      </c>
      <c r="C14" s="1">
        <v>75.239999999999995</v>
      </c>
      <c r="D14" s="1">
        <v>67.25</v>
      </c>
      <c r="E14" s="1">
        <v>38.65</v>
      </c>
      <c r="F14" s="1">
        <v>91.39</v>
      </c>
      <c r="G14" s="1">
        <v>83.45</v>
      </c>
    </row>
    <row r="15" spans="1:7" x14ac:dyDescent="0.3">
      <c r="A15" s="1" t="s">
        <v>19</v>
      </c>
      <c r="B15" s="1">
        <v>8</v>
      </c>
      <c r="C15" s="1">
        <v>8</v>
      </c>
      <c r="D15" s="1">
        <v>5</v>
      </c>
      <c r="E15" s="1">
        <v>5</v>
      </c>
      <c r="F15" s="1">
        <v>3</v>
      </c>
      <c r="G15" s="1">
        <v>7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1259.6400000000001</v>
      </c>
      <c r="C17" s="1">
        <v>1168.02</v>
      </c>
      <c r="D17" s="1">
        <v>663.26</v>
      </c>
      <c r="E17" s="1">
        <v>72.67</v>
      </c>
      <c r="F17" s="1">
        <v>189.37</v>
      </c>
      <c r="G17" s="1">
        <v>1403.24</v>
      </c>
    </row>
    <row r="18" spans="1:7" x14ac:dyDescent="0.3">
      <c r="A18" s="1" t="s">
        <v>22</v>
      </c>
      <c r="B18" s="1">
        <v>194.76</v>
      </c>
      <c r="C18" s="1">
        <v>8.57</v>
      </c>
      <c r="D18" s="1">
        <v>15.73</v>
      </c>
      <c r="E18" s="1">
        <v>28.5</v>
      </c>
      <c r="F18" s="1">
        <v>731.71</v>
      </c>
      <c r="G18" s="1">
        <v>203.2</v>
      </c>
    </row>
    <row r="19" spans="1:7" x14ac:dyDescent="0.3">
      <c r="A19" s="1" t="s">
        <v>23</v>
      </c>
      <c r="B19" s="1">
        <v>1</v>
      </c>
      <c r="C19" s="1">
        <v>0</v>
      </c>
      <c r="D19" s="1">
        <v>0</v>
      </c>
      <c r="E19" s="1">
        <v>1</v>
      </c>
      <c r="F19" s="1">
        <v>2</v>
      </c>
      <c r="G19" s="1">
        <v>1</v>
      </c>
    </row>
    <row r="20" spans="1:7" x14ac:dyDescent="0.3">
      <c r="A20" s="1" t="s">
        <v>24</v>
      </c>
      <c r="B20" s="1">
        <v>2.5</v>
      </c>
      <c r="C20" s="1">
        <v>0</v>
      </c>
      <c r="D20" s="1">
        <v>0</v>
      </c>
      <c r="E20" s="1">
        <v>1.1000000000000001</v>
      </c>
      <c r="F20" s="1">
        <v>6.2</v>
      </c>
      <c r="G20" s="1">
        <v>2.2999999999999998</v>
      </c>
    </row>
    <row r="21" spans="1:7" x14ac:dyDescent="0.3">
      <c r="A21" s="1" t="s">
        <v>25</v>
      </c>
      <c r="B21" s="1">
        <v>7.6</v>
      </c>
      <c r="C21" s="1">
        <v>10</v>
      </c>
      <c r="D21" s="1">
        <v>10</v>
      </c>
      <c r="E21" s="1">
        <v>8.9</v>
      </c>
      <c r="F21" s="1">
        <v>3.8</v>
      </c>
      <c r="G21" s="1">
        <v>7.6</v>
      </c>
    </row>
    <row r="22" spans="1:7" x14ac:dyDescent="0.3">
      <c r="A22" s="1" t="s">
        <v>26</v>
      </c>
      <c r="B22" s="1">
        <v>1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</row>
    <row r="23" spans="1:7" x14ac:dyDescent="0.3">
      <c r="A23" s="1" t="s">
        <v>27</v>
      </c>
      <c r="B23" s="1">
        <v>2.6</v>
      </c>
      <c r="C23" s="1">
        <v>0</v>
      </c>
      <c r="D23" s="1">
        <v>0</v>
      </c>
      <c r="E23" s="1">
        <v>0</v>
      </c>
      <c r="F23" s="1">
        <v>2.8</v>
      </c>
      <c r="G23" s="1">
        <v>0</v>
      </c>
    </row>
    <row r="24" spans="1:7" x14ac:dyDescent="0.3">
      <c r="A24" s="1" t="s">
        <v>28</v>
      </c>
      <c r="B24" s="1">
        <v>3.2</v>
      </c>
      <c r="C24" s="1">
        <v>0</v>
      </c>
      <c r="D24" s="1">
        <v>0</v>
      </c>
      <c r="E24" s="1">
        <v>0</v>
      </c>
      <c r="F24" s="1">
        <v>5.4</v>
      </c>
      <c r="G24" s="1">
        <v>1.5</v>
      </c>
    </row>
    <row r="25" spans="1:7" x14ac:dyDescent="0.3">
      <c r="A25" s="1" t="s">
        <v>29</v>
      </c>
      <c r="B25" s="1">
        <v>0</v>
      </c>
      <c r="C25" s="1">
        <v>0</v>
      </c>
      <c r="D25" s="1">
        <v>1</v>
      </c>
      <c r="E25" s="1">
        <v>10</v>
      </c>
      <c r="F25" s="1">
        <v>4.5999999999999996</v>
      </c>
      <c r="G25" s="1">
        <v>0</v>
      </c>
    </row>
    <row r="26" spans="1:7" x14ac:dyDescent="0.3">
      <c r="A26" s="1" t="s">
        <v>30</v>
      </c>
      <c r="B26" s="1">
        <v>6.9</v>
      </c>
      <c r="C26" s="1">
        <v>10</v>
      </c>
      <c r="D26" s="1">
        <v>9</v>
      </c>
      <c r="E26" s="1">
        <v>0</v>
      </c>
      <c r="F26" s="1">
        <v>0</v>
      </c>
      <c r="G26" s="1">
        <v>8.4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31.683168316831679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54</v>
      </c>
      <c r="G29" s="3">
        <f t="shared" si="1"/>
        <v>15.151515151515152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10</v>
      </c>
      <c r="E30" s="3">
        <f t="shared" si="2"/>
        <v>100</v>
      </c>
      <c r="F30" s="3">
        <f t="shared" si="2"/>
        <v>46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68.316831683168317</v>
      </c>
      <c r="C31" s="3">
        <f t="shared" ref="C31:G31" si="3">C26/C28*100</f>
        <v>100</v>
      </c>
      <c r="D31" s="3">
        <f t="shared" si="3"/>
        <v>90</v>
      </c>
      <c r="E31" s="3">
        <f t="shared" si="3"/>
        <v>0</v>
      </c>
      <c r="F31" s="3">
        <f t="shared" si="3"/>
        <v>0</v>
      </c>
      <c r="G31" s="3">
        <f t="shared" si="3"/>
        <v>84.848484848484844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89.8</v>
      </c>
      <c r="C33" s="3">
        <v>124.67</v>
      </c>
      <c r="D33" s="3">
        <v>72.83</v>
      </c>
      <c r="E33" s="3">
        <v>5.07</v>
      </c>
      <c r="F33" s="3">
        <v>-50.58</v>
      </c>
      <c r="G33" s="3">
        <v>89.33</v>
      </c>
    </row>
    <row r="35" spans="1:7" x14ac:dyDescent="0.3">
      <c r="A35" s="3" t="s">
        <v>36</v>
      </c>
      <c r="B35" s="3"/>
      <c r="C35" s="3"/>
      <c r="D35" s="3">
        <f>D33-C33</f>
        <v>-51.84</v>
      </c>
      <c r="E35" s="3"/>
      <c r="F35" s="3">
        <f>F33-E33</f>
        <v>-55.65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-67.759999999999991</v>
      </c>
      <c r="F37" s="3"/>
      <c r="G37" s="3">
        <f>G33-F33</f>
        <v>139.91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860B8-AB45-4207-944C-C85BCCBAA790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416.89</v>
      </c>
      <c r="C2" s="1">
        <v>426.79</v>
      </c>
      <c r="D2" s="1">
        <v>403.39</v>
      </c>
      <c r="E2" s="1">
        <v>399.11</v>
      </c>
      <c r="F2" s="1">
        <v>413.51</v>
      </c>
      <c r="G2" s="1">
        <v>376.37</v>
      </c>
    </row>
    <row r="3" spans="1:7" x14ac:dyDescent="0.3">
      <c r="A3" s="1" t="s">
        <v>7</v>
      </c>
      <c r="B3" s="1">
        <v>42.32</v>
      </c>
      <c r="C3" s="1">
        <v>42.31</v>
      </c>
      <c r="D3" s="1">
        <v>42.19</v>
      </c>
      <c r="E3" s="1">
        <v>41.23</v>
      </c>
      <c r="F3" s="1">
        <v>41.45</v>
      </c>
      <c r="G3" s="1">
        <v>41.16</v>
      </c>
    </row>
    <row r="4" spans="1:7" x14ac:dyDescent="0.3">
      <c r="A4" s="1" t="s">
        <v>8</v>
      </c>
      <c r="B4" s="1">
        <v>17953.54</v>
      </c>
      <c r="C4" s="1">
        <v>18343.95</v>
      </c>
      <c r="D4" s="1">
        <v>17339.96</v>
      </c>
      <c r="E4" s="1">
        <v>16732.189999999999</v>
      </c>
      <c r="F4" s="1">
        <v>17403.560000000001</v>
      </c>
      <c r="G4" s="1">
        <v>15756.12</v>
      </c>
    </row>
    <row r="5" spans="1:7" x14ac:dyDescent="0.3">
      <c r="A5" s="1" t="s">
        <v>9</v>
      </c>
      <c r="B5" s="1">
        <v>1295.57</v>
      </c>
      <c r="C5" s="1">
        <v>1428.14</v>
      </c>
      <c r="D5" s="1">
        <v>1072.99</v>
      </c>
      <c r="E5" s="1">
        <v>318.33</v>
      </c>
      <c r="F5" s="1">
        <v>523.94000000000005</v>
      </c>
      <c r="G5" s="1">
        <v>1435.24</v>
      </c>
    </row>
    <row r="6" spans="1:7" x14ac:dyDescent="0.3">
      <c r="A6" s="3" t="s">
        <v>10</v>
      </c>
      <c r="B6" s="3">
        <v>129.56</v>
      </c>
      <c r="C6" s="3">
        <v>144.26</v>
      </c>
      <c r="D6" s="3">
        <v>108.38</v>
      </c>
      <c r="E6" s="3">
        <v>32.15</v>
      </c>
      <c r="F6" s="3">
        <v>52.92</v>
      </c>
      <c r="G6" s="3">
        <v>146.44999999999999</v>
      </c>
    </row>
    <row r="7" spans="1:7" x14ac:dyDescent="0.3">
      <c r="A7" s="1" t="s">
        <v>11</v>
      </c>
      <c r="B7" s="1">
        <v>1243.19</v>
      </c>
      <c r="C7" s="1">
        <v>1379.49</v>
      </c>
      <c r="D7" s="1">
        <v>1030.47</v>
      </c>
      <c r="E7" s="1">
        <v>303.23</v>
      </c>
      <c r="F7" s="1">
        <v>513.70000000000005</v>
      </c>
      <c r="G7" s="1">
        <v>1295.22</v>
      </c>
    </row>
    <row r="8" spans="1:7" x14ac:dyDescent="0.3">
      <c r="A8" s="1" t="s">
        <v>12</v>
      </c>
      <c r="B8" s="1">
        <v>124.32</v>
      </c>
      <c r="C8" s="1">
        <v>139.34</v>
      </c>
      <c r="D8" s="1">
        <v>104.09</v>
      </c>
      <c r="E8" s="1">
        <v>30.63</v>
      </c>
      <c r="F8" s="1">
        <v>51.89</v>
      </c>
      <c r="G8" s="1">
        <v>132.16999999999999</v>
      </c>
    </row>
    <row r="9" spans="1:7" x14ac:dyDescent="0.3">
      <c r="A9" s="1" t="s">
        <v>13</v>
      </c>
      <c r="B9" s="1">
        <v>1210.6400000000001</v>
      </c>
      <c r="C9" s="1">
        <v>1379.49</v>
      </c>
      <c r="D9" s="1">
        <v>1015.75</v>
      </c>
      <c r="E9" s="1">
        <v>205.37</v>
      </c>
      <c r="F9" s="1">
        <v>-199.48</v>
      </c>
      <c r="G9" s="1">
        <v>-488.77</v>
      </c>
    </row>
    <row r="10" spans="1:7" x14ac:dyDescent="0.3">
      <c r="A10" s="1" t="s">
        <v>14</v>
      </c>
      <c r="B10" s="1">
        <v>121.06</v>
      </c>
      <c r="C10" s="1">
        <v>139.34</v>
      </c>
      <c r="D10" s="1">
        <v>102.6</v>
      </c>
      <c r="E10" s="1">
        <v>20.74</v>
      </c>
      <c r="F10" s="1">
        <v>-20.149999999999999</v>
      </c>
      <c r="G10" s="1">
        <v>-49.87</v>
      </c>
    </row>
    <row r="11" spans="1:7" x14ac:dyDescent="0.3">
      <c r="A11" s="1" t="s">
        <v>15</v>
      </c>
      <c r="B11" s="1">
        <v>1044.72</v>
      </c>
      <c r="C11" s="1">
        <v>1212.44</v>
      </c>
      <c r="D11" s="1">
        <v>846.91</v>
      </c>
      <c r="E11" s="1">
        <v>178.81</v>
      </c>
      <c r="F11" s="1">
        <v>58.24</v>
      </c>
      <c r="G11" s="1">
        <v>349.5</v>
      </c>
    </row>
    <row r="12" spans="1:7" x14ac:dyDescent="0.3">
      <c r="A12" s="1" t="s">
        <v>16</v>
      </c>
      <c r="B12" s="1">
        <v>215.26</v>
      </c>
      <c r="C12" s="1">
        <v>232.37</v>
      </c>
      <c r="D12" s="1">
        <v>223.15</v>
      </c>
      <c r="E12" s="1">
        <v>198.26</v>
      </c>
      <c r="F12" s="1">
        <v>232.9</v>
      </c>
      <c r="G12" s="1">
        <v>197.92</v>
      </c>
    </row>
    <row r="13" spans="1:7" x14ac:dyDescent="0.3">
      <c r="A13" s="1" t="s">
        <v>17</v>
      </c>
      <c r="B13" s="1">
        <v>33.03</v>
      </c>
      <c r="C13" s="1">
        <v>27.23</v>
      </c>
      <c r="D13" s="1">
        <v>34.03</v>
      </c>
      <c r="E13" s="1">
        <v>29.27</v>
      </c>
      <c r="F13" s="1">
        <v>15.15</v>
      </c>
      <c r="G13" s="1">
        <v>34.08</v>
      </c>
    </row>
    <row r="14" spans="1:7" x14ac:dyDescent="0.3">
      <c r="A14" s="1" t="s">
        <v>18</v>
      </c>
      <c r="B14" s="1">
        <v>75.2</v>
      </c>
      <c r="C14" s="1">
        <v>58.63</v>
      </c>
      <c r="D14" s="1">
        <v>70.55</v>
      </c>
      <c r="E14" s="1">
        <v>53.72</v>
      </c>
      <c r="F14" s="1">
        <v>42.12</v>
      </c>
      <c r="G14" s="1">
        <v>64.92</v>
      </c>
    </row>
    <row r="15" spans="1:7" x14ac:dyDescent="0.3">
      <c r="A15" s="1" t="s">
        <v>19</v>
      </c>
      <c r="B15" s="1">
        <v>8</v>
      </c>
      <c r="C15" s="1">
        <v>8</v>
      </c>
      <c r="D15" s="1">
        <v>7</v>
      </c>
      <c r="E15" s="1">
        <v>1</v>
      </c>
      <c r="F15" s="1">
        <v>3</v>
      </c>
      <c r="G15" s="1">
        <v>5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1226.92</v>
      </c>
      <c r="C17" s="1">
        <v>1379.49</v>
      </c>
      <c r="D17" s="1">
        <v>1023.11</v>
      </c>
      <c r="E17" s="1">
        <v>254.3</v>
      </c>
      <c r="F17" s="1">
        <v>157.11000000000001</v>
      </c>
      <c r="G17" s="1">
        <v>403.23</v>
      </c>
    </row>
    <row r="18" spans="1:7" x14ac:dyDescent="0.3">
      <c r="A18" s="1" t="s">
        <v>22</v>
      </c>
      <c r="B18" s="1">
        <v>16.28</v>
      </c>
      <c r="C18" s="1">
        <v>0</v>
      </c>
      <c r="D18" s="1">
        <v>7.36</v>
      </c>
      <c r="E18" s="1">
        <v>48.93</v>
      </c>
      <c r="F18" s="1">
        <v>356.59</v>
      </c>
      <c r="G18" s="1">
        <v>892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2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4.7</v>
      </c>
      <c r="G20" s="1">
        <v>5.3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5.3</v>
      </c>
      <c r="G21" s="1">
        <v>4.5999999999999996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2.7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3.9</v>
      </c>
      <c r="G24" s="1">
        <v>3.9</v>
      </c>
    </row>
    <row r="25" spans="1:7" x14ac:dyDescent="0.3">
      <c r="A25" s="1" t="s">
        <v>29</v>
      </c>
      <c r="B25" s="1">
        <v>0</v>
      </c>
      <c r="C25" s="1">
        <v>0</v>
      </c>
      <c r="D25" s="1">
        <v>1.6</v>
      </c>
      <c r="E25" s="1">
        <v>6.8</v>
      </c>
      <c r="F25" s="1">
        <v>4.2</v>
      </c>
      <c r="G25" s="1">
        <v>2.6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8.4</v>
      </c>
      <c r="E26" s="1">
        <v>3.2</v>
      </c>
      <c r="F26" s="1">
        <v>1.9</v>
      </c>
      <c r="G26" s="1">
        <v>3.4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39</v>
      </c>
      <c r="G29" s="3">
        <f t="shared" si="1"/>
        <v>39.393939393939391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16</v>
      </c>
      <c r="E30" s="3">
        <f t="shared" si="2"/>
        <v>68</v>
      </c>
      <c r="F30" s="3">
        <f t="shared" si="2"/>
        <v>42.000000000000007</v>
      </c>
      <c r="G30" s="3">
        <f t="shared" si="2"/>
        <v>26.262626262626267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84.000000000000014</v>
      </c>
      <c r="E31" s="3">
        <f t="shared" si="3"/>
        <v>32</v>
      </c>
      <c r="F31" s="3">
        <f t="shared" si="3"/>
        <v>19</v>
      </c>
      <c r="G31" s="3">
        <f t="shared" si="3"/>
        <v>34.343434343434339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122.09</v>
      </c>
      <c r="C33" s="3">
        <v>144.47999999999999</v>
      </c>
      <c r="D33" s="3">
        <v>106.82</v>
      </c>
      <c r="E33" s="3">
        <v>22.05</v>
      </c>
      <c r="F33" s="3">
        <v>-5.89</v>
      </c>
      <c r="G33" s="3">
        <v>-30.71</v>
      </c>
    </row>
    <row r="35" spans="1:7" x14ac:dyDescent="0.3">
      <c r="A35" s="3" t="s">
        <v>36</v>
      </c>
      <c r="B35" s="3"/>
      <c r="C35" s="3"/>
      <c r="D35" s="3">
        <f>D33-C33</f>
        <v>-37.659999999999997</v>
      </c>
      <c r="E35" s="3"/>
      <c r="F35" s="3">
        <f>F33-E33</f>
        <v>-27.94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-84.77</v>
      </c>
      <c r="F37" s="3"/>
      <c r="G37" s="3">
        <f>G33-F33</f>
        <v>-24.82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F963F-2371-40CD-AEC7-AA536CB2FD46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356.54</v>
      </c>
      <c r="C2" s="1">
        <v>385.28</v>
      </c>
      <c r="D2" s="1">
        <v>378.41</v>
      </c>
      <c r="E2" s="1">
        <v>458.68</v>
      </c>
      <c r="F2" s="1">
        <v>418.16</v>
      </c>
      <c r="G2" s="1">
        <v>372.3</v>
      </c>
    </row>
    <row r="3" spans="1:7" x14ac:dyDescent="0.3">
      <c r="A3" s="1" t="s">
        <v>7</v>
      </c>
      <c r="B3" s="1">
        <v>39.630000000000003</v>
      </c>
      <c r="C3" s="1">
        <v>41.62</v>
      </c>
      <c r="D3" s="1">
        <v>41.12</v>
      </c>
      <c r="E3" s="1">
        <v>44.58</v>
      </c>
      <c r="F3" s="1">
        <v>44.33</v>
      </c>
      <c r="G3" s="1">
        <v>45.16</v>
      </c>
    </row>
    <row r="4" spans="1:7" x14ac:dyDescent="0.3">
      <c r="A4" s="1" t="s">
        <v>8</v>
      </c>
      <c r="B4" s="1">
        <v>14385.74</v>
      </c>
      <c r="C4" s="1">
        <v>16316.23</v>
      </c>
      <c r="D4" s="1">
        <v>15844.17</v>
      </c>
      <c r="E4" s="1">
        <v>20798.12</v>
      </c>
      <c r="F4" s="1">
        <v>18846.259999999998</v>
      </c>
      <c r="G4" s="1">
        <v>17087.37</v>
      </c>
    </row>
    <row r="5" spans="1:7" x14ac:dyDescent="0.3">
      <c r="A5" s="1" t="s">
        <v>9</v>
      </c>
      <c r="B5" s="1">
        <v>1586.55</v>
      </c>
      <c r="C5" s="1">
        <v>1642.09</v>
      </c>
      <c r="D5" s="1">
        <v>1350.53</v>
      </c>
      <c r="E5" s="1">
        <v>221.46</v>
      </c>
      <c r="F5" s="1">
        <v>555.05999999999995</v>
      </c>
      <c r="G5" s="1">
        <v>763.6</v>
      </c>
    </row>
    <row r="6" spans="1:7" x14ac:dyDescent="0.3">
      <c r="A6" s="3" t="s">
        <v>10</v>
      </c>
      <c r="B6" s="3">
        <v>158.66</v>
      </c>
      <c r="C6" s="3">
        <v>165.87</v>
      </c>
      <c r="D6" s="3">
        <v>136.41999999999999</v>
      </c>
      <c r="E6" s="3">
        <v>22.37</v>
      </c>
      <c r="F6" s="3">
        <v>56.07</v>
      </c>
      <c r="G6" s="3">
        <v>77.92</v>
      </c>
    </row>
    <row r="7" spans="1:7" x14ac:dyDescent="0.3">
      <c r="A7" s="1" t="s">
        <v>11</v>
      </c>
      <c r="B7" s="1">
        <v>1444.77</v>
      </c>
      <c r="C7" s="1">
        <v>1479.77</v>
      </c>
      <c r="D7" s="1">
        <v>1286.3</v>
      </c>
      <c r="E7" s="1">
        <v>217.53</v>
      </c>
      <c r="F7" s="1">
        <v>543.23</v>
      </c>
      <c r="G7" s="1">
        <v>658.11</v>
      </c>
    </row>
    <row r="8" spans="1:7" x14ac:dyDescent="0.3">
      <c r="A8" s="1" t="s">
        <v>12</v>
      </c>
      <c r="B8" s="1">
        <v>144.47999999999999</v>
      </c>
      <c r="C8" s="1">
        <v>149.47</v>
      </c>
      <c r="D8" s="1">
        <v>129.93</v>
      </c>
      <c r="E8" s="1">
        <v>21.97</v>
      </c>
      <c r="F8" s="1">
        <v>54.87</v>
      </c>
      <c r="G8" s="1">
        <v>67.150000000000006</v>
      </c>
    </row>
    <row r="9" spans="1:7" x14ac:dyDescent="0.3">
      <c r="A9" s="1" t="s">
        <v>13</v>
      </c>
      <c r="B9" s="1">
        <v>1444.77</v>
      </c>
      <c r="C9" s="1">
        <v>1442.55</v>
      </c>
      <c r="D9" s="1">
        <v>1265.43</v>
      </c>
      <c r="E9" s="1">
        <v>122.74</v>
      </c>
      <c r="F9" s="1">
        <v>285.3</v>
      </c>
      <c r="G9" s="1">
        <v>461.38</v>
      </c>
    </row>
    <row r="10" spans="1:7" x14ac:dyDescent="0.3">
      <c r="A10" s="1" t="s">
        <v>14</v>
      </c>
      <c r="B10" s="1">
        <v>144.47999999999999</v>
      </c>
      <c r="C10" s="1">
        <v>145.71</v>
      </c>
      <c r="D10" s="1">
        <v>127.82</v>
      </c>
      <c r="E10" s="1">
        <v>12.4</v>
      </c>
      <c r="F10" s="1">
        <v>28.82</v>
      </c>
      <c r="G10" s="1">
        <v>47.08</v>
      </c>
    </row>
    <row r="11" spans="1:7" x14ac:dyDescent="0.3">
      <c r="A11" s="1" t="s">
        <v>15</v>
      </c>
      <c r="B11" s="1">
        <v>1345.35</v>
      </c>
      <c r="C11" s="1">
        <v>1281.19</v>
      </c>
      <c r="D11" s="1">
        <v>1169.75</v>
      </c>
      <c r="E11" s="1">
        <v>120.99</v>
      </c>
      <c r="F11" s="1">
        <v>76.94</v>
      </c>
      <c r="G11" s="1">
        <v>278.19</v>
      </c>
    </row>
    <row r="12" spans="1:7" x14ac:dyDescent="0.3">
      <c r="A12" s="1" t="s">
        <v>16</v>
      </c>
      <c r="B12" s="1">
        <v>199.11</v>
      </c>
      <c r="C12" s="1">
        <v>195.61</v>
      </c>
      <c r="D12" s="1">
        <v>198.01</v>
      </c>
      <c r="E12" s="1">
        <v>243.14</v>
      </c>
      <c r="F12" s="1">
        <v>196.41</v>
      </c>
      <c r="G12" s="1">
        <v>161.26</v>
      </c>
    </row>
    <row r="13" spans="1:7" x14ac:dyDescent="0.3">
      <c r="A13" s="1" t="s">
        <v>17</v>
      </c>
      <c r="B13" s="1">
        <v>25.48</v>
      </c>
      <c r="C13" s="1">
        <v>30.37</v>
      </c>
      <c r="D13" s="1">
        <v>24.18</v>
      </c>
      <c r="E13" s="1">
        <v>22.43</v>
      </c>
      <c r="F13" s="1">
        <v>20.82</v>
      </c>
      <c r="G13" s="1">
        <v>30.16</v>
      </c>
    </row>
    <row r="14" spans="1:7" x14ac:dyDescent="0.3">
      <c r="A14" s="1" t="s">
        <v>18</v>
      </c>
      <c r="B14" s="1">
        <v>56.3</v>
      </c>
      <c r="C14" s="1">
        <v>71.94</v>
      </c>
      <c r="D14" s="1">
        <v>53.84</v>
      </c>
      <c r="E14" s="1">
        <v>45.22</v>
      </c>
      <c r="F14" s="1">
        <v>76.959999999999994</v>
      </c>
      <c r="G14" s="1">
        <v>81.44</v>
      </c>
    </row>
    <row r="15" spans="1:7" x14ac:dyDescent="0.3">
      <c r="A15" s="1" t="s">
        <v>19</v>
      </c>
      <c r="B15" s="1">
        <v>8</v>
      </c>
      <c r="C15" s="1">
        <v>9</v>
      </c>
      <c r="D15" s="1">
        <v>7</v>
      </c>
      <c r="E15" s="1">
        <v>1</v>
      </c>
      <c r="F15" s="1">
        <v>3</v>
      </c>
      <c r="G15" s="1">
        <v>3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1444.77</v>
      </c>
      <c r="C17" s="1">
        <v>1461.16</v>
      </c>
      <c r="D17" s="1">
        <v>1275.8699999999999</v>
      </c>
      <c r="E17" s="1">
        <v>170.14</v>
      </c>
      <c r="F17" s="1">
        <v>414.27</v>
      </c>
      <c r="G17" s="1">
        <v>559.74</v>
      </c>
    </row>
    <row r="18" spans="1:7" x14ac:dyDescent="0.3">
      <c r="A18" s="1" t="s">
        <v>22</v>
      </c>
      <c r="B18" s="1">
        <v>0</v>
      </c>
      <c r="C18" s="1">
        <v>18.61</v>
      </c>
      <c r="D18" s="1">
        <v>10.44</v>
      </c>
      <c r="E18" s="1">
        <v>47.4</v>
      </c>
      <c r="F18" s="1">
        <v>128.96</v>
      </c>
      <c r="G18" s="1">
        <v>98.36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2.7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7.3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3.1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8.1999999999999993</v>
      </c>
      <c r="F25" s="1">
        <v>1.7</v>
      </c>
      <c r="G25" s="1">
        <v>6.3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1.8</v>
      </c>
      <c r="F26" s="1">
        <v>5.2</v>
      </c>
      <c r="G26" s="1">
        <v>3.6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31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82</v>
      </c>
      <c r="F30" s="3">
        <f t="shared" si="2"/>
        <v>17</v>
      </c>
      <c r="G30" s="3">
        <f t="shared" si="2"/>
        <v>63.636363636363633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18</v>
      </c>
      <c r="F31" s="3">
        <f t="shared" si="3"/>
        <v>52</v>
      </c>
      <c r="G31" s="3">
        <f t="shared" si="3"/>
        <v>36.363636363636367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155.38999999999999</v>
      </c>
      <c r="C33" s="3">
        <v>163.84</v>
      </c>
      <c r="D33" s="3">
        <v>135.05000000000001</v>
      </c>
      <c r="E33" s="3">
        <v>13.32</v>
      </c>
      <c r="F33" s="3">
        <v>11.04</v>
      </c>
      <c r="G33" s="3">
        <v>38.67</v>
      </c>
    </row>
    <row r="35" spans="1:7" x14ac:dyDescent="0.3">
      <c r="A35" s="3" t="s">
        <v>36</v>
      </c>
      <c r="B35" s="3"/>
      <c r="C35" s="3"/>
      <c r="D35" s="3">
        <f>D33-C33</f>
        <v>-28.789999999999992</v>
      </c>
      <c r="E35" s="3"/>
      <c r="F35" s="3">
        <f>F33-E33</f>
        <v>-2.2800000000000011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-121.73000000000002</v>
      </c>
      <c r="F37" s="3"/>
      <c r="G37" s="3">
        <f>G33-F33</f>
        <v>27.630000000000003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3722A-A03D-49FD-896F-1A19B03527E1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418.55</v>
      </c>
      <c r="C2" s="1">
        <v>451.4</v>
      </c>
      <c r="D2" s="1">
        <v>464.6</v>
      </c>
      <c r="E2" s="1">
        <v>489.35</v>
      </c>
      <c r="F2" s="1">
        <v>476.2</v>
      </c>
      <c r="G2" s="1">
        <v>481.53</v>
      </c>
    </row>
    <row r="3" spans="1:7" x14ac:dyDescent="0.3">
      <c r="A3" s="1" t="s">
        <v>7</v>
      </c>
      <c r="B3" s="1">
        <v>43.15</v>
      </c>
      <c r="C3" s="1">
        <v>49.38</v>
      </c>
      <c r="D3" s="1">
        <v>51.02</v>
      </c>
      <c r="E3" s="1">
        <v>59.39</v>
      </c>
      <c r="F3" s="1">
        <v>58.89</v>
      </c>
      <c r="G3" s="1">
        <v>61.89</v>
      </c>
    </row>
    <row r="4" spans="1:7" x14ac:dyDescent="0.3">
      <c r="A4" s="1" t="s">
        <v>8</v>
      </c>
      <c r="B4" s="1">
        <v>18395.23</v>
      </c>
      <c r="C4" s="1">
        <v>22664.37</v>
      </c>
      <c r="D4" s="1">
        <v>24112.19</v>
      </c>
      <c r="E4" s="1">
        <v>29544.04</v>
      </c>
      <c r="F4" s="1">
        <v>28530.76</v>
      </c>
      <c r="G4" s="1">
        <v>30315.27</v>
      </c>
    </row>
    <row r="5" spans="1:7" x14ac:dyDescent="0.3">
      <c r="A5" s="1" t="s">
        <v>9</v>
      </c>
      <c r="B5" s="1">
        <v>1711.56</v>
      </c>
      <c r="C5" s="1">
        <v>2142.0100000000002</v>
      </c>
      <c r="D5" s="1">
        <v>2604.54</v>
      </c>
      <c r="E5" s="1">
        <v>2333.64</v>
      </c>
      <c r="F5" s="1">
        <v>758.77</v>
      </c>
      <c r="G5" s="1">
        <v>1138.05</v>
      </c>
    </row>
    <row r="6" spans="1:7" x14ac:dyDescent="0.3">
      <c r="A6" s="3" t="s">
        <v>10</v>
      </c>
      <c r="B6" s="3">
        <v>171.16</v>
      </c>
      <c r="C6" s="3">
        <v>216.36</v>
      </c>
      <c r="D6" s="3">
        <v>263.08999999999997</v>
      </c>
      <c r="E6" s="3">
        <v>235.72</v>
      </c>
      <c r="F6" s="3">
        <v>76.64</v>
      </c>
      <c r="G6" s="3">
        <v>116.13</v>
      </c>
    </row>
    <row r="7" spans="1:7" x14ac:dyDescent="0.3">
      <c r="A7" s="1" t="s">
        <v>11</v>
      </c>
      <c r="B7" s="1">
        <v>1592.18</v>
      </c>
      <c r="C7" s="1">
        <v>2044.79</v>
      </c>
      <c r="D7" s="1">
        <v>2490.0700000000002</v>
      </c>
      <c r="E7" s="1">
        <v>2223.21</v>
      </c>
      <c r="F7" s="1">
        <v>748.38</v>
      </c>
      <c r="G7" s="1">
        <v>1094.07</v>
      </c>
    </row>
    <row r="8" spans="1:7" x14ac:dyDescent="0.3">
      <c r="A8" s="1" t="s">
        <v>12</v>
      </c>
      <c r="B8" s="1">
        <v>159.22</v>
      </c>
      <c r="C8" s="1">
        <v>206.54</v>
      </c>
      <c r="D8" s="1">
        <v>251.52</v>
      </c>
      <c r="E8" s="1">
        <v>224.57</v>
      </c>
      <c r="F8" s="1">
        <v>75.59</v>
      </c>
      <c r="G8" s="1">
        <v>111.64</v>
      </c>
    </row>
    <row r="9" spans="1:7" x14ac:dyDescent="0.3">
      <c r="A9" s="1" t="s">
        <v>13</v>
      </c>
      <c r="B9" s="1">
        <v>1592.18</v>
      </c>
      <c r="C9" s="1">
        <v>2044.79</v>
      </c>
      <c r="D9" s="1">
        <v>2490.0700000000002</v>
      </c>
      <c r="E9" s="1">
        <v>2223.21</v>
      </c>
      <c r="F9" s="1">
        <v>482.81</v>
      </c>
      <c r="G9" s="1">
        <v>1087.4100000000001</v>
      </c>
    </row>
    <row r="10" spans="1:7" x14ac:dyDescent="0.3">
      <c r="A10" s="1" t="s">
        <v>14</v>
      </c>
      <c r="B10" s="1">
        <v>159.22</v>
      </c>
      <c r="C10" s="1">
        <v>206.54</v>
      </c>
      <c r="D10" s="1">
        <v>251.52</v>
      </c>
      <c r="E10" s="1">
        <v>224.57</v>
      </c>
      <c r="F10" s="1">
        <v>48.77</v>
      </c>
      <c r="G10" s="1">
        <v>110.96</v>
      </c>
    </row>
    <row r="11" spans="1:7" x14ac:dyDescent="0.3">
      <c r="A11" s="1" t="s">
        <v>15</v>
      </c>
      <c r="B11" s="1">
        <v>1414.34</v>
      </c>
      <c r="C11" s="1">
        <v>1768.37</v>
      </c>
      <c r="D11" s="1">
        <v>2317.79</v>
      </c>
      <c r="E11" s="1">
        <v>2038.62</v>
      </c>
      <c r="F11" s="1">
        <v>299.10000000000002</v>
      </c>
      <c r="G11" s="1">
        <v>868.89</v>
      </c>
    </row>
    <row r="12" spans="1:7" x14ac:dyDescent="0.3">
      <c r="A12" s="1" t="s">
        <v>16</v>
      </c>
      <c r="B12" s="1">
        <v>241.58</v>
      </c>
      <c r="C12" s="1">
        <v>252.58</v>
      </c>
      <c r="D12" s="1">
        <v>269.94</v>
      </c>
      <c r="E12" s="1">
        <v>275.12</v>
      </c>
      <c r="F12" s="1">
        <v>262.82</v>
      </c>
      <c r="G12" s="1">
        <v>249.68</v>
      </c>
    </row>
    <row r="13" spans="1:7" x14ac:dyDescent="0.3">
      <c r="A13" s="1" t="s">
        <v>17</v>
      </c>
      <c r="B13" s="1">
        <v>28.37</v>
      </c>
      <c r="C13" s="1">
        <v>36.67</v>
      </c>
      <c r="D13" s="1">
        <v>35.31</v>
      </c>
      <c r="E13" s="1">
        <v>32.43</v>
      </c>
      <c r="F13" s="1">
        <v>20.21</v>
      </c>
      <c r="G13" s="1">
        <v>38.11</v>
      </c>
    </row>
    <row r="14" spans="1:7" x14ac:dyDescent="0.3">
      <c r="A14" s="1" t="s">
        <v>18</v>
      </c>
      <c r="B14" s="1">
        <v>58.37</v>
      </c>
      <c r="C14" s="1">
        <v>67.52</v>
      </c>
      <c r="D14" s="1">
        <v>62.6</v>
      </c>
      <c r="E14" s="1">
        <v>60.1</v>
      </c>
      <c r="F14" s="1">
        <v>57.66</v>
      </c>
      <c r="G14" s="1">
        <v>65.709999999999994</v>
      </c>
    </row>
    <row r="15" spans="1:7" x14ac:dyDescent="0.3">
      <c r="A15" s="1" t="s">
        <v>19</v>
      </c>
      <c r="B15" s="1">
        <v>10</v>
      </c>
      <c r="C15" s="1">
        <v>9</v>
      </c>
      <c r="D15" s="1">
        <v>9</v>
      </c>
      <c r="E15" s="1">
        <v>13</v>
      </c>
      <c r="F15" s="1">
        <v>3</v>
      </c>
      <c r="G15" s="1">
        <v>5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1592.18</v>
      </c>
      <c r="C17" s="1">
        <v>2044.79</v>
      </c>
      <c r="D17" s="1">
        <v>2490.0700000000002</v>
      </c>
      <c r="E17" s="1">
        <v>2223.21</v>
      </c>
      <c r="F17" s="1">
        <v>615.6</v>
      </c>
      <c r="G17" s="1">
        <v>1090.74</v>
      </c>
    </row>
    <row r="18" spans="1:7" x14ac:dyDescent="0.3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132.79</v>
      </c>
      <c r="G18" s="1">
        <v>3.33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2.2999999999999998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7.7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4.2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5.8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42.000000000000007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57.999999999999993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163.4</v>
      </c>
      <c r="C33" s="3">
        <v>211.36</v>
      </c>
      <c r="D33" s="3">
        <v>255.85</v>
      </c>
      <c r="E33" s="3">
        <v>233.47</v>
      </c>
      <c r="F33" s="3">
        <v>30.95</v>
      </c>
      <c r="G33" s="3">
        <v>116.45</v>
      </c>
    </row>
    <row r="35" spans="1:7" x14ac:dyDescent="0.3">
      <c r="A35" s="3" t="s">
        <v>36</v>
      </c>
      <c r="B35" s="3"/>
      <c r="C35" s="3"/>
      <c r="D35" s="3">
        <f>D33-C33</f>
        <v>44.489999999999981</v>
      </c>
      <c r="E35" s="3"/>
      <c r="F35" s="3">
        <f>F33-E33</f>
        <v>-202.52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-22.379999999999995</v>
      </c>
      <c r="F37" s="3"/>
      <c r="G37" s="3">
        <f>G33-F33</f>
        <v>85.5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6BCC9-E1F7-4918-AB3E-53CF0341870F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453.88</v>
      </c>
      <c r="C2" s="1">
        <v>477.86</v>
      </c>
      <c r="D2" s="1">
        <v>491.89</v>
      </c>
      <c r="E2" s="1">
        <v>464.44</v>
      </c>
      <c r="F2" s="1">
        <v>460.46</v>
      </c>
      <c r="G2" s="1">
        <v>543.58000000000004</v>
      </c>
    </row>
    <row r="3" spans="1:7" x14ac:dyDescent="0.3">
      <c r="A3" s="1" t="s">
        <v>7</v>
      </c>
      <c r="B3" s="1">
        <v>52.08</v>
      </c>
      <c r="C3" s="1">
        <v>60.2</v>
      </c>
      <c r="D3" s="1">
        <v>64.41</v>
      </c>
      <c r="E3" s="1">
        <v>65.92</v>
      </c>
      <c r="F3" s="1">
        <v>64.47</v>
      </c>
      <c r="G3" s="1">
        <v>76.209999999999994</v>
      </c>
    </row>
    <row r="4" spans="1:7" x14ac:dyDescent="0.3">
      <c r="A4" s="1" t="s">
        <v>8</v>
      </c>
      <c r="B4" s="1">
        <v>24034.86</v>
      </c>
      <c r="C4" s="1">
        <v>29302.44</v>
      </c>
      <c r="D4" s="1">
        <v>32211.19</v>
      </c>
      <c r="E4" s="1">
        <v>31120.59</v>
      </c>
      <c r="F4" s="1">
        <v>30334.36</v>
      </c>
      <c r="G4" s="1">
        <v>42135.74</v>
      </c>
    </row>
    <row r="5" spans="1:7" x14ac:dyDescent="0.3">
      <c r="A5" s="1" t="s">
        <v>9</v>
      </c>
      <c r="B5" s="1">
        <v>2072.3000000000002</v>
      </c>
      <c r="C5" s="1">
        <v>2129.44</v>
      </c>
      <c r="D5" s="1">
        <v>1624.98</v>
      </c>
      <c r="E5" s="1">
        <v>324.77999999999997</v>
      </c>
      <c r="F5" s="1">
        <v>807.75</v>
      </c>
      <c r="G5" s="1">
        <v>1853.57</v>
      </c>
    </row>
    <row r="6" spans="1:7" x14ac:dyDescent="0.3">
      <c r="A6" s="3" t="s">
        <v>10</v>
      </c>
      <c r="B6" s="3">
        <v>207.23</v>
      </c>
      <c r="C6" s="3">
        <v>215.09</v>
      </c>
      <c r="D6" s="3">
        <v>164.14</v>
      </c>
      <c r="E6" s="3">
        <v>32.81</v>
      </c>
      <c r="F6" s="3">
        <v>81.59</v>
      </c>
      <c r="G6" s="3">
        <v>189.14</v>
      </c>
    </row>
    <row r="7" spans="1:7" x14ac:dyDescent="0.3">
      <c r="A7" s="1" t="s">
        <v>11</v>
      </c>
      <c r="B7" s="1">
        <v>1958.69</v>
      </c>
      <c r="C7" s="1">
        <v>1986.17</v>
      </c>
      <c r="D7" s="1">
        <v>1542.24</v>
      </c>
      <c r="E7" s="1">
        <v>313.17</v>
      </c>
      <c r="F7" s="1">
        <v>762.72</v>
      </c>
      <c r="G7" s="1">
        <v>1660.22</v>
      </c>
    </row>
    <row r="8" spans="1:7" x14ac:dyDescent="0.3">
      <c r="A8" s="1" t="s">
        <v>12</v>
      </c>
      <c r="B8" s="1">
        <v>195.87</v>
      </c>
      <c r="C8" s="1">
        <v>200.62</v>
      </c>
      <c r="D8" s="1">
        <v>155.78</v>
      </c>
      <c r="E8" s="1">
        <v>31.63</v>
      </c>
      <c r="F8" s="1">
        <v>77.040000000000006</v>
      </c>
      <c r="G8" s="1">
        <v>169.41</v>
      </c>
    </row>
    <row r="9" spans="1:7" x14ac:dyDescent="0.3">
      <c r="A9" s="1" t="s">
        <v>13</v>
      </c>
      <c r="B9" s="1">
        <v>1958.69</v>
      </c>
      <c r="C9" s="1">
        <v>1986.17</v>
      </c>
      <c r="D9" s="1">
        <v>1542.24</v>
      </c>
      <c r="E9" s="1">
        <v>269.82</v>
      </c>
      <c r="F9" s="1">
        <v>-443.9</v>
      </c>
      <c r="G9" s="1">
        <v>1660.22</v>
      </c>
    </row>
    <row r="10" spans="1:7" x14ac:dyDescent="0.3">
      <c r="A10" s="1" t="s">
        <v>14</v>
      </c>
      <c r="B10" s="1">
        <v>195.87</v>
      </c>
      <c r="C10" s="1">
        <v>200.62</v>
      </c>
      <c r="D10" s="1">
        <v>155.78</v>
      </c>
      <c r="E10" s="1">
        <v>27.25</v>
      </c>
      <c r="F10" s="1">
        <v>-44.84</v>
      </c>
      <c r="G10" s="1">
        <v>169.41</v>
      </c>
    </row>
    <row r="11" spans="1:7" x14ac:dyDescent="0.3">
      <c r="A11" s="1" t="s">
        <v>15</v>
      </c>
      <c r="B11" s="1">
        <v>1783.51</v>
      </c>
      <c r="C11" s="1">
        <v>1870.42</v>
      </c>
      <c r="D11" s="1">
        <v>1417.13</v>
      </c>
      <c r="E11" s="1">
        <v>252.16</v>
      </c>
      <c r="F11" s="1">
        <v>152.84</v>
      </c>
      <c r="G11" s="1">
        <v>1625.64</v>
      </c>
    </row>
    <row r="12" spans="1:7" x14ac:dyDescent="0.3">
      <c r="A12" s="1" t="s">
        <v>16</v>
      </c>
      <c r="B12" s="1">
        <v>249.89</v>
      </c>
      <c r="C12" s="1">
        <v>245.49</v>
      </c>
      <c r="D12" s="1">
        <v>253.72</v>
      </c>
      <c r="E12" s="1">
        <v>267.01</v>
      </c>
      <c r="F12" s="1">
        <v>225.55</v>
      </c>
      <c r="G12" s="1">
        <v>288.27</v>
      </c>
    </row>
    <row r="13" spans="1:7" x14ac:dyDescent="0.3">
      <c r="A13" s="1" t="s">
        <v>17</v>
      </c>
      <c r="B13" s="1">
        <v>34.700000000000003</v>
      </c>
      <c r="C13" s="1">
        <v>30.77</v>
      </c>
      <c r="D13" s="1">
        <v>27.84</v>
      </c>
      <c r="E13" s="1">
        <v>11.29</v>
      </c>
      <c r="F13" s="1">
        <v>39.35</v>
      </c>
      <c r="G13" s="1">
        <v>38.35</v>
      </c>
    </row>
    <row r="14" spans="1:7" x14ac:dyDescent="0.3">
      <c r="A14" s="1" t="s">
        <v>18</v>
      </c>
      <c r="B14" s="1">
        <v>62.65</v>
      </c>
      <c r="C14" s="1">
        <v>59.67</v>
      </c>
      <c r="D14" s="1">
        <v>56.88</v>
      </c>
      <c r="E14" s="1">
        <v>43.9</v>
      </c>
      <c r="F14" s="1">
        <v>70.87</v>
      </c>
      <c r="G14" s="1">
        <v>74.849999999999994</v>
      </c>
    </row>
    <row r="15" spans="1:7" x14ac:dyDescent="0.3">
      <c r="A15" s="1" t="s">
        <v>19</v>
      </c>
      <c r="B15" s="1">
        <v>11</v>
      </c>
      <c r="C15" s="1">
        <v>9</v>
      </c>
      <c r="D15" s="1">
        <v>7</v>
      </c>
      <c r="E15" s="1">
        <v>1</v>
      </c>
      <c r="F15" s="1">
        <v>2</v>
      </c>
      <c r="G15" s="1">
        <v>6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1958.69</v>
      </c>
      <c r="C17" s="1">
        <v>1986.17</v>
      </c>
      <c r="D17" s="1">
        <v>1542.24</v>
      </c>
      <c r="E17" s="1">
        <v>291.49</v>
      </c>
      <c r="F17" s="1">
        <v>159.41</v>
      </c>
      <c r="G17" s="1">
        <v>1660.22</v>
      </c>
    </row>
    <row r="18" spans="1:7" x14ac:dyDescent="0.3">
      <c r="A18" s="1" t="s">
        <v>22</v>
      </c>
      <c r="B18" s="1">
        <v>0</v>
      </c>
      <c r="C18" s="1">
        <v>0</v>
      </c>
      <c r="D18" s="1">
        <v>0</v>
      </c>
      <c r="E18" s="1">
        <v>21.68</v>
      </c>
      <c r="F18" s="1">
        <v>603.30999999999995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5.4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4.5999999999999996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4.7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5.6</v>
      </c>
      <c r="F25" s="1">
        <v>1.8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4.4000000000000004</v>
      </c>
      <c r="F26" s="1">
        <v>3.5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47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55.999999999999993</v>
      </c>
      <c r="F30" s="3">
        <f t="shared" si="2"/>
        <v>18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44.000000000000007</v>
      </c>
      <c r="F31" s="3">
        <f t="shared" si="3"/>
        <v>35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202.44</v>
      </c>
      <c r="C33" s="3">
        <v>211.49</v>
      </c>
      <c r="D33" s="3">
        <v>162.15</v>
      </c>
      <c r="E33" s="3">
        <v>27.69</v>
      </c>
      <c r="F33" s="3">
        <v>-15.37</v>
      </c>
      <c r="G33" s="3">
        <v>186.8</v>
      </c>
    </row>
    <row r="35" spans="1:7" x14ac:dyDescent="0.3">
      <c r="A35" s="3" t="s">
        <v>36</v>
      </c>
      <c r="B35" s="3"/>
      <c r="C35" s="3"/>
      <c r="D35" s="3">
        <f>D33-C33</f>
        <v>-49.34</v>
      </c>
      <c r="E35" s="3"/>
      <c r="F35" s="3">
        <f>F33-E33</f>
        <v>-43.06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-134.46</v>
      </c>
      <c r="F37" s="3"/>
      <c r="G37" s="3">
        <f>G33-F33</f>
        <v>202.17000000000002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0F020-B6C7-4053-A71B-C2489919D75C}">
  <dimension ref="A1:G37"/>
  <sheetViews>
    <sheetView zoomScale="70" zoomScaleNormal="70" workbookViewId="0">
      <selection activeCell="K24" sqref="K24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505.67</v>
      </c>
      <c r="C2" s="1">
        <v>522.76</v>
      </c>
      <c r="D2" s="1">
        <v>513.62</v>
      </c>
      <c r="E2" s="1">
        <v>489.66</v>
      </c>
      <c r="F2" s="1">
        <v>512.94000000000005</v>
      </c>
      <c r="G2" s="1">
        <v>511.81</v>
      </c>
    </row>
    <row r="3" spans="1:7" x14ac:dyDescent="0.3">
      <c r="A3" s="1" t="s">
        <v>7</v>
      </c>
      <c r="B3" s="1">
        <v>70.95</v>
      </c>
      <c r="C3" s="1">
        <v>76.17</v>
      </c>
      <c r="D3" s="1">
        <v>75.150000000000006</v>
      </c>
      <c r="E3" s="1">
        <v>71.930000000000007</v>
      </c>
      <c r="F3" s="1">
        <v>80.97</v>
      </c>
      <c r="G3" s="1">
        <v>84.52</v>
      </c>
    </row>
    <row r="4" spans="1:7" x14ac:dyDescent="0.3">
      <c r="A4" s="1" t="s">
        <v>8</v>
      </c>
      <c r="B4" s="1">
        <v>36514.300000000003</v>
      </c>
      <c r="C4" s="1">
        <v>40492.78</v>
      </c>
      <c r="D4" s="1">
        <v>39250.33</v>
      </c>
      <c r="E4" s="1">
        <v>35842.480000000003</v>
      </c>
      <c r="F4" s="1">
        <v>42241.08</v>
      </c>
      <c r="G4" s="1">
        <v>43977.4</v>
      </c>
    </row>
    <row r="5" spans="1:7" x14ac:dyDescent="0.3">
      <c r="A5" s="1" t="s">
        <v>9</v>
      </c>
      <c r="B5" s="1">
        <v>979.92</v>
      </c>
      <c r="C5" s="1">
        <v>1494.38</v>
      </c>
      <c r="D5" s="1">
        <v>1364.46</v>
      </c>
      <c r="E5" s="1">
        <v>430.42</v>
      </c>
      <c r="F5" s="1">
        <v>881.61</v>
      </c>
      <c r="G5" s="1">
        <v>1249.5</v>
      </c>
    </row>
    <row r="6" spans="1:7" x14ac:dyDescent="0.3">
      <c r="A6" s="3" t="s">
        <v>10</v>
      </c>
      <c r="B6" s="3">
        <v>97.99</v>
      </c>
      <c r="C6" s="3">
        <v>150.94999999999999</v>
      </c>
      <c r="D6" s="3">
        <v>137.82</v>
      </c>
      <c r="E6" s="3">
        <v>43.48</v>
      </c>
      <c r="F6" s="3">
        <v>89.05</v>
      </c>
      <c r="G6" s="3">
        <v>127.5</v>
      </c>
    </row>
    <row r="7" spans="1:7" x14ac:dyDescent="0.3">
      <c r="A7" s="1" t="s">
        <v>11</v>
      </c>
      <c r="B7" s="1">
        <v>952.99</v>
      </c>
      <c r="C7" s="1">
        <v>1439.84</v>
      </c>
      <c r="D7" s="1">
        <v>1319.08</v>
      </c>
      <c r="E7" s="1">
        <v>329.52</v>
      </c>
      <c r="F7" s="1">
        <v>808.6</v>
      </c>
      <c r="G7" s="1">
        <v>1175.04</v>
      </c>
    </row>
    <row r="8" spans="1:7" x14ac:dyDescent="0.3">
      <c r="A8" s="1" t="s">
        <v>12</v>
      </c>
      <c r="B8" s="1">
        <v>95.3</v>
      </c>
      <c r="C8" s="1">
        <v>145.44</v>
      </c>
      <c r="D8" s="1">
        <v>133.24</v>
      </c>
      <c r="E8" s="1">
        <v>33.28</v>
      </c>
      <c r="F8" s="1">
        <v>81.680000000000007</v>
      </c>
      <c r="G8" s="1">
        <v>119.9</v>
      </c>
    </row>
    <row r="9" spans="1:7" x14ac:dyDescent="0.3">
      <c r="A9" s="1" t="s">
        <v>13</v>
      </c>
      <c r="B9" s="1">
        <v>647.83000000000004</v>
      </c>
      <c r="C9" s="1">
        <v>1439.84</v>
      </c>
      <c r="D9" s="1">
        <v>1319.08</v>
      </c>
      <c r="E9" s="1">
        <v>46.38</v>
      </c>
      <c r="F9" s="1">
        <v>-595.78</v>
      </c>
      <c r="G9" s="1">
        <v>651.07000000000005</v>
      </c>
    </row>
    <row r="10" spans="1:7" x14ac:dyDescent="0.3">
      <c r="A10" s="1" t="s">
        <v>14</v>
      </c>
      <c r="B10" s="1">
        <v>64.78</v>
      </c>
      <c r="C10" s="1">
        <v>145.44</v>
      </c>
      <c r="D10" s="1">
        <v>133.24</v>
      </c>
      <c r="E10" s="1">
        <v>4.68</v>
      </c>
      <c r="F10" s="1">
        <v>-60.18</v>
      </c>
      <c r="G10" s="1">
        <v>66.44</v>
      </c>
    </row>
    <row r="11" spans="1:7" x14ac:dyDescent="0.3">
      <c r="A11" s="1" t="s">
        <v>15</v>
      </c>
      <c r="B11" s="1">
        <v>586.52</v>
      </c>
      <c r="C11" s="1">
        <v>1293.28</v>
      </c>
      <c r="D11" s="1">
        <v>1204.77</v>
      </c>
      <c r="E11" s="1">
        <v>6.8</v>
      </c>
      <c r="F11" s="1">
        <v>369.18</v>
      </c>
      <c r="G11" s="1">
        <v>791.2</v>
      </c>
    </row>
    <row r="12" spans="1:7" x14ac:dyDescent="0.3">
      <c r="A12" s="1" t="s">
        <v>16</v>
      </c>
      <c r="B12" s="1">
        <v>261.64</v>
      </c>
      <c r="C12" s="1">
        <v>252.29</v>
      </c>
      <c r="D12" s="1">
        <v>279.95</v>
      </c>
      <c r="E12" s="1">
        <v>254.39</v>
      </c>
      <c r="F12" s="1">
        <v>249.45</v>
      </c>
      <c r="G12" s="1">
        <v>224.5</v>
      </c>
    </row>
    <row r="13" spans="1:7" x14ac:dyDescent="0.3">
      <c r="A13" s="1" t="s">
        <v>17</v>
      </c>
      <c r="B13" s="1">
        <v>29.78</v>
      </c>
      <c r="C13" s="1">
        <v>28.93</v>
      </c>
      <c r="D13" s="1">
        <v>23.39</v>
      </c>
      <c r="E13" s="1">
        <v>17.23</v>
      </c>
      <c r="F13" s="1">
        <v>30.82</v>
      </c>
      <c r="G13" s="1">
        <v>39.549999999999997</v>
      </c>
    </row>
    <row r="14" spans="1:7" x14ac:dyDescent="0.3">
      <c r="A14" s="1" t="s">
        <v>18</v>
      </c>
      <c r="B14" s="1">
        <v>93.54</v>
      </c>
      <c r="C14" s="1">
        <v>62.84</v>
      </c>
      <c r="D14" s="1">
        <v>48.02</v>
      </c>
      <c r="E14" s="1">
        <v>55.51</v>
      </c>
      <c r="F14" s="1">
        <v>61.14</v>
      </c>
      <c r="G14" s="1">
        <v>94.96</v>
      </c>
    </row>
    <row r="15" spans="1:7" x14ac:dyDescent="0.3">
      <c r="A15" s="1" t="s">
        <v>19</v>
      </c>
      <c r="B15" s="1">
        <v>3</v>
      </c>
      <c r="C15" s="1">
        <v>4</v>
      </c>
      <c r="D15" s="1">
        <v>4</v>
      </c>
      <c r="E15" s="1">
        <v>5</v>
      </c>
      <c r="F15" s="1">
        <v>4</v>
      </c>
      <c r="G15" s="1">
        <v>6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800.41</v>
      </c>
      <c r="C17" s="1">
        <v>1439.84</v>
      </c>
      <c r="D17" s="1">
        <v>1319.08</v>
      </c>
      <c r="E17" s="1">
        <v>187.95</v>
      </c>
      <c r="F17" s="1">
        <v>106.41</v>
      </c>
      <c r="G17" s="1">
        <v>913.06</v>
      </c>
    </row>
    <row r="18" spans="1:7" x14ac:dyDescent="0.3">
      <c r="A18" s="1" t="s">
        <v>22</v>
      </c>
      <c r="B18" s="1">
        <v>152.58000000000001</v>
      </c>
      <c r="C18" s="1">
        <v>0</v>
      </c>
      <c r="D18" s="1">
        <v>0</v>
      </c>
      <c r="E18" s="1">
        <v>141.57</v>
      </c>
      <c r="F18" s="1">
        <v>702.19</v>
      </c>
      <c r="G18" s="1">
        <v>261.98</v>
      </c>
    </row>
    <row r="19" spans="1:7" x14ac:dyDescent="0.3">
      <c r="A19" s="1" t="s">
        <v>23</v>
      </c>
      <c r="B19" s="1">
        <v>1</v>
      </c>
      <c r="C19" s="1">
        <v>0</v>
      </c>
      <c r="D19" s="1">
        <v>0</v>
      </c>
      <c r="E19" s="1">
        <v>2</v>
      </c>
      <c r="F19" s="1">
        <v>1</v>
      </c>
      <c r="G19" s="1">
        <v>1</v>
      </c>
    </row>
    <row r="20" spans="1:7" x14ac:dyDescent="0.3">
      <c r="A20" s="1" t="s">
        <v>24</v>
      </c>
      <c r="B20" s="1">
        <v>1.7</v>
      </c>
      <c r="C20" s="1">
        <v>0</v>
      </c>
      <c r="D20" s="1">
        <v>0</v>
      </c>
      <c r="E20" s="1">
        <v>2.9</v>
      </c>
      <c r="F20" s="1">
        <v>5.2</v>
      </c>
      <c r="G20" s="1">
        <v>3.4</v>
      </c>
    </row>
    <row r="21" spans="1:7" x14ac:dyDescent="0.3">
      <c r="A21" s="1" t="s">
        <v>25</v>
      </c>
      <c r="B21" s="1">
        <v>8.4</v>
      </c>
      <c r="C21" s="1">
        <v>10</v>
      </c>
      <c r="D21" s="1">
        <v>10</v>
      </c>
      <c r="E21" s="1">
        <v>7.1</v>
      </c>
      <c r="F21" s="1">
        <v>4.8</v>
      </c>
      <c r="G21" s="1">
        <v>6.5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3</v>
      </c>
    </row>
    <row r="24" spans="1:7" x14ac:dyDescent="0.3">
      <c r="A24" s="1" t="s">
        <v>28</v>
      </c>
      <c r="B24" s="1">
        <v>1.8</v>
      </c>
      <c r="C24" s="1">
        <v>0</v>
      </c>
      <c r="D24" s="1">
        <v>0</v>
      </c>
      <c r="E24" s="1">
        <v>0</v>
      </c>
      <c r="F24" s="1">
        <v>5.6</v>
      </c>
      <c r="G24" s="1">
        <v>3.8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10</v>
      </c>
      <c r="F25" s="1">
        <v>0</v>
      </c>
      <c r="G25" s="1">
        <v>0</v>
      </c>
    </row>
    <row r="26" spans="1:7" x14ac:dyDescent="0.3">
      <c r="A26" s="1" t="s">
        <v>30</v>
      </c>
      <c r="B26" s="1">
        <v>8.3000000000000007</v>
      </c>
      <c r="C26" s="1">
        <v>10</v>
      </c>
      <c r="D26" s="1">
        <v>10</v>
      </c>
      <c r="E26" s="1">
        <v>0</v>
      </c>
      <c r="F26" s="1">
        <v>4.4000000000000004</v>
      </c>
      <c r="G26" s="1">
        <v>6.1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3">
      <c r="A29" s="3" t="s">
        <v>32</v>
      </c>
      <c r="B29" s="3">
        <f>B24/B28*100</f>
        <v>17.82178217821782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55.999999999999993</v>
      </c>
      <c r="G29" s="3">
        <f t="shared" si="1"/>
        <v>38.383838383838388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100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82.178217821782169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0</v>
      </c>
      <c r="F31" s="3">
        <f t="shared" si="3"/>
        <v>44.000000000000007</v>
      </c>
      <c r="G31" s="3">
        <f t="shared" si="3"/>
        <v>61.616161616161627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65.510000000000005</v>
      </c>
      <c r="C33" s="3">
        <v>150.08000000000001</v>
      </c>
      <c r="D33" s="3">
        <v>136.87</v>
      </c>
      <c r="E33" s="3">
        <v>0.48</v>
      </c>
      <c r="F33" s="3">
        <v>-42.41</v>
      </c>
      <c r="G33" s="3">
        <v>13.66</v>
      </c>
    </row>
    <row r="35" spans="1:7" x14ac:dyDescent="0.3">
      <c r="A35" s="3" t="s">
        <v>36</v>
      </c>
      <c r="B35" s="3"/>
      <c r="C35" s="3"/>
      <c r="D35" s="3">
        <f>D33-C33</f>
        <v>-13.210000000000008</v>
      </c>
      <c r="E35" s="3"/>
      <c r="F35" s="3">
        <f>F33-E33</f>
        <v>-42.889999999999993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-136.39000000000001</v>
      </c>
      <c r="F37" s="3"/>
      <c r="G37" s="3">
        <f>G33-F33</f>
        <v>56.069999999999993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23392-C4B7-4071-8108-38787830B5FF}">
  <dimension ref="A1:G37"/>
  <sheetViews>
    <sheetView zoomScale="70" zoomScaleNormal="70" workbookViewId="0">
      <selection activeCell="J30" sqref="J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456.91</v>
      </c>
      <c r="C2" s="1">
        <v>422.15</v>
      </c>
      <c r="D2" s="1">
        <v>366.38</v>
      </c>
      <c r="E2" s="1">
        <v>456.43</v>
      </c>
      <c r="F2" s="1">
        <v>432.1</v>
      </c>
      <c r="G2" s="1">
        <v>435.2</v>
      </c>
    </row>
    <row r="3" spans="1:7" x14ac:dyDescent="0.3">
      <c r="A3" s="1" t="s">
        <v>7</v>
      </c>
      <c r="B3" s="1">
        <v>51.88</v>
      </c>
      <c r="C3" s="1">
        <v>56.03</v>
      </c>
      <c r="D3" s="1">
        <v>63.81</v>
      </c>
      <c r="E3" s="1">
        <v>54.59</v>
      </c>
      <c r="F3" s="1">
        <v>58.29</v>
      </c>
      <c r="G3" s="1">
        <v>54.03</v>
      </c>
    </row>
    <row r="4" spans="1:7" x14ac:dyDescent="0.3">
      <c r="A4" s="1" t="s">
        <v>8</v>
      </c>
      <c r="B4" s="1">
        <v>24107.84</v>
      </c>
      <c r="C4" s="1">
        <v>24071.19</v>
      </c>
      <c r="D4" s="1">
        <v>23779.1</v>
      </c>
      <c r="E4" s="1">
        <v>25342.47</v>
      </c>
      <c r="F4" s="1">
        <v>25553.91</v>
      </c>
      <c r="G4" s="1">
        <v>23877.75</v>
      </c>
    </row>
    <row r="5" spans="1:7" x14ac:dyDescent="0.3">
      <c r="A5" s="1" t="s">
        <v>9</v>
      </c>
      <c r="B5" s="1">
        <v>940.67</v>
      </c>
      <c r="C5" s="1">
        <v>633.65</v>
      </c>
      <c r="D5" s="1">
        <v>374.85</v>
      </c>
      <c r="E5" s="1">
        <v>74.63</v>
      </c>
      <c r="F5" s="1">
        <v>660.04</v>
      </c>
      <c r="G5" s="1">
        <v>1144.77</v>
      </c>
    </row>
    <row r="6" spans="1:7" x14ac:dyDescent="0.3">
      <c r="A6" s="3" t="s">
        <v>10</v>
      </c>
      <c r="B6" s="3">
        <v>94.07</v>
      </c>
      <c r="C6" s="3">
        <v>64.010000000000005</v>
      </c>
      <c r="D6" s="3">
        <v>37.86</v>
      </c>
      <c r="E6" s="3">
        <v>7.54</v>
      </c>
      <c r="F6" s="3">
        <v>66.67</v>
      </c>
      <c r="G6" s="3">
        <v>116.81</v>
      </c>
    </row>
    <row r="7" spans="1:7" x14ac:dyDescent="0.3">
      <c r="A7" s="1" t="s">
        <v>11</v>
      </c>
      <c r="B7" s="1">
        <v>920.13</v>
      </c>
      <c r="C7" s="1">
        <v>607.45000000000005</v>
      </c>
      <c r="D7" s="1">
        <v>313.37</v>
      </c>
      <c r="E7" s="1">
        <v>62.09</v>
      </c>
      <c r="F7" s="1">
        <v>648.62</v>
      </c>
      <c r="G7" s="1">
        <v>1118.06</v>
      </c>
    </row>
    <row r="8" spans="1:7" x14ac:dyDescent="0.3">
      <c r="A8" s="1" t="s">
        <v>12</v>
      </c>
      <c r="B8" s="1">
        <v>92.01</v>
      </c>
      <c r="C8" s="1">
        <v>61.36</v>
      </c>
      <c r="D8" s="1">
        <v>31.65</v>
      </c>
      <c r="E8" s="1">
        <v>6.27</v>
      </c>
      <c r="F8" s="1">
        <v>65.52</v>
      </c>
      <c r="G8" s="1">
        <v>114.09</v>
      </c>
    </row>
    <row r="9" spans="1:7" x14ac:dyDescent="0.3">
      <c r="A9" s="1" t="s">
        <v>13</v>
      </c>
      <c r="B9" s="1">
        <v>920.13</v>
      </c>
      <c r="C9" s="1">
        <v>366.69</v>
      </c>
      <c r="D9" s="1">
        <v>245.22</v>
      </c>
      <c r="E9" s="1">
        <v>7.36</v>
      </c>
      <c r="F9" s="1">
        <v>514.22</v>
      </c>
      <c r="G9" s="1">
        <v>1118.06</v>
      </c>
    </row>
    <row r="10" spans="1:7" x14ac:dyDescent="0.3">
      <c r="A10" s="1" t="s">
        <v>14</v>
      </c>
      <c r="B10" s="1">
        <v>92.01</v>
      </c>
      <c r="C10" s="1">
        <v>37.04</v>
      </c>
      <c r="D10" s="1">
        <v>24.77</v>
      </c>
      <c r="E10" s="1">
        <v>0.74</v>
      </c>
      <c r="F10" s="1">
        <v>51.94</v>
      </c>
      <c r="G10" s="1">
        <v>114.09</v>
      </c>
    </row>
    <row r="11" spans="1:7" x14ac:dyDescent="0.3">
      <c r="A11" s="1" t="s">
        <v>15</v>
      </c>
      <c r="B11" s="1">
        <v>780.66</v>
      </c>
      <c r="C11" s="1">
        <v>130.81</v>
      </c>
      <c r="D11" s="1">
        <v>53.67</v>
      </c>
      <c r="E11" s="1">
        <v>2.98</v>
      </c>
      <c r="F11" s="1">
        <v>378.36</v>
      </c>
      <c r="G11" s="1">
        <v>998.69</v>
      </c>
    </row>
    <row r="12" spans="1:7" x14ac:dyDescent="0.3">
      <c r="A12" s="1" t="s">
        <v>16</v>
      </c>
      <c r="B12" s="1">
        <v>250.09</v>
      </c>
      <c r="C12" s="1">
        <v>218.78</v>
      </c>
      <c r="D12" s="1">
        <v>148.78</v>
      </c>
      <c r="E12" s="1">
        <v>183.93</v>
      </c>
      <c r="F12" s="1">
        <v>230.49</v>
      </c>
      <c r="G12" s="1">
        <v>247.8</v>
      </c>
    </row>
    <row r="13" spans="1:7" x14ac:dyDescent="0.3">
      <c r="A13" s="1" t="s">
        <v>17</v>
      </c>
      <c r="B13" s="1">
        <v>34.56</v>
      </c>
      <c r="C13" s="1">
        <v>30.43</v>
      </c>
      <c r="D13" s="1">
        <v>23.96</v>
      </c>
      <c r="E13" s="1">
        <v>46.45</v>
      </c>
      <c r="F13" s="1">
        <v>38.93</v>
      </c>
      <c r="G13" s="1">
        <v>28.74</v>
      </c>
    </row>
    <row r="14" spans="1:7" x14ac:dyDescent="0.3">
      <c r="A14" s="1" t="s">
        <v>18</v>
      </c>
      <c r="B14" s="1">
        <v>61.12</v>
      </c>
      <c r="C14" s="1">
        <v>60.87</v>
      </c>
      <c r="D14" s="1">
        <v>59.18</v>
      </c>
      <c r="E14" s="1">
        <v>50.11</v>
      </c>
      <c r="F14" s="1">
        <v>57.77</v>
      </c>
      <c r="G14" s="1">
        <v>61.9</v>
      </c>
    </row>
    <row r="15" spans="1:7" x14ac:dyDescent="0.3">
      <c r="A15" s="1" t="s">
        <v>19</v>
      </c>
      <c r="B15" s="1">
        <v>6</v>
      </c>
      <c r="C15" s="1">
        <v>3</v>
      </c>
      <c r="D15" s="1">
        <v>2</v>
      </c>
      <c r="E15" s="1">
        <v>1</v>
      </c>
      <c r="F15" s="1">
        <v>3</v>
      </c>
      <c r="G15" s="1">
        <v>6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920.13</v>
      </c>
      <c r="C17" s="1">
        <v>487.07</v>
      </c>
      <c r="D17" s="1">
        <v>279.3</v>
      </c>
      <c r="E17" s="1">
        <v>34.729999999999997</v>
      </c>
      <c r="F17" s="1">
        <v>581.41999999999996</v>
      </c>
      <c r="G17" s="1">
        <v>1118.06</v>
      </c>
    </row>
    <row r="18" spans="1:7" x14ac:dyDescent="0.3">
      <c r="A18" s="1" t="s">
        <v>22</v>
      </c>
      <c r="B18" s="1">
        <v>0</v>
      </c>
      <c r="C18" s="1">
        <v>120.38</v>
      </c>
      <c r="D18" s="1">
        <v>34.08</v>
      </c>
      <c r="E18" s="1">
        <v>27.36</v>
      </c>
      <c r="F18" s="1">
        <v>67.2</v>
      </c>
      <c r="G18" s="1">
        <v>0</v>
      </c>
    </row>
    <row r="19" spans="1:7" x14ac:dyDescent="0.3">
      <c r="A19" s="1" t="s">
        <v>23</v>
      </c>
      <c r="B19" s="1">
        <v>0</v>
      </c>
      <c r="C19" s="1">
        <v>1</v>
      </c>
      <c r="D19" s="1">
        <v>2</v>
      </c>
      <c r="E19" s="1">
        <v>1</v>
      </c>
      <c r="F19" s="1">
        <v>1</v>
      </c>
      <c r="G19" s="1">
        <v>0</v>
      </c>
    </row>
    <row r="20" spans="1:7" x14ac:dyDescent="0.3">
      <c r="A20" s="1" t="s">
        <v>24</v>
      </c>
      <c r="B20" s="1">
        <v>0</v>
      </c>
      <c r="C20" s="1">
        <v>3.3</v>
      </c>
      <c r="D20" s="1">
        <v>2.2000000000000002</v>
      </c>
      <c r="E20" s="1">
        <v>1</v>
      </c>
      <c r="F20" s="1">
        <v>1.7</v>
      </c>
      <c r="G20" s="1">
        <v>0</v>
      </c>
    </row>
    <row r="21" spans="1:7" x14ac:dyDescent="0.3">
      <c r="A21" s="1" t="s">
        <v>25</v>
      </c>
      <c r="B21" s="1">
        <v>10.1</v>
      </c>
      <c r="C21" s="1">
        <v>6.7</v>
      </c>
      <c r="D21" s="1">
        <v>7.8</v>
      </c>
      <c r="E21" s="1">
        <v>9</v>
      </c>
      <c r="F21" s="1">
        <v>8.3000000000000007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3.1</v>
      </c>
      <c r="D24" s="1">
        <v>0</v>
      </c>
      <c r="E24" s="1">
        <v>0</v>
      </c>
      <c r="F24" s="1">
        <v>1.1000000000000001</v>
      </c>
      <c r="G24" s="1">
        <v>0</v>
      </c>
    </row>
    <row r="25" spans="1:7" x14ac:dyDescent="0.3">
      <c r="A25" s="1" t="s">
        <v>29</v>
      </c>
      <c r="B25" s="1">
        <v>0</v>
      </c>
      <c r="C25" s="1">
        <v>2.5</v>
      </c>
      <c r="D25" s="1">
        <v>5.2</v>
      </c>
      <c r="E25" s="1">
        <v>10</v>
      </c>
      <c r="F25" s="1">
        <v>3.5</v>
      </c>
      <c r="G25" s="1">
        <v>0</v>
      </c>
    </row>
    <row r="26" spans="1:7" x14ac:dyDescent="0.3">
      <c r="A26" s="1" t="s">
        <v>30</v>
      </c>
      <c r="B26" s="1">
        <v>10.1</v>
      </c>
      <c r="C26" s="1">
        <v>4.4000000000000004</v>
      </c>
      <c r="D26" s="1">
        <v>4.8</v>
      </c>
      <c r="E26" s="1">
        <v>0</v>
      </c>
      <c r="F26" s="1">
        <v>5.4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31</v>
      </c>
      <c r="D29" s="3">
        <f t="shared" si="1"/>
        <v>0</v>
      </c>
      <c r="E29" s="3">
        <f t="shared" si="1"/>
        <v>0</v>
      </c>
      <c r="F29" s="3">
        <f t="shared" si="1"/>
        <v>11.000000000000002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25</v>
      </c>
      <c r="D30" s="3">
        <f t="shared" si="2"/>
        <v>52</v>
      </c>
      <c r="E30" s="3">
        <f t="shared" si="2"/>
        <v>100</v>
      </c>
      <c r="F30" s="3">
        <f t="shared" si="2"/>
        <v>35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44.000000000000007</v>
      </c>
      <c r="D31" s="3">
        <f t="shared" si="3"/>
        <v>48</v>
      </c>
      <c r="E31" s="3">
        <f t="shared" si="3"/>
        <v>0</v>
      </c>
      <c r="F31" s="3">
        <f t="shared" si="3"/>
        <v>54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93.47</v>
      </c>
      <c r="C33" s="3">
        <v>15.96</v>
      </c>
      <c r="D33" s="3">
        <v>19.79</v>
      </c>
      <c r="E33" s="3">
        <v>0.4</v>
      </c>
      <c r="F33" s="3">
        <v>42.54</v>
      </c>
      <c r="G33" s="3">
        <v>116.24</v>
      </c>
    </row>
    <row r="35" spans="1:7" x14ac:dyDescent="0.3">
      <c r="A35" s="3" t="s">
        <v>36</v>
      </c>
      <c r="B35" s="3"/>
      <c r="C35" s="3"/>
      <c r="D35" s="3">
        <f>D33-C33</f>
        <v>3.8299999999999983</v>
      </c>
      <c r="E35" s="3"/>
      <c r="F35" s="3">
        <f>F33-E33</f>
        <v>42.14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-19.39</v>
      </c>
      <c r="F37" s="3"/>
      <c r="G37" s="3">
        <f>G33-F33</f>
        <v>73.699999999999989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5C41A-BE5C-4173-AABF-60644EBBBBED}">
  <dimension ref="A1:G37"/>
  <sheetViews>
    <sheetView zoomScale="70" zoomScaleNormal="70" workbookViewId="0">
      <selection activeCell="J28" sqref="J28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552.97</v>
      </c>
      <c r="C2" s="1">
        <v>540.14</v>
      </c>
      <c r="D2" s="1">
        <v>539.85</v>
      </c>
      <c r="E2" s="1">
        <v>423.25</v>
      </c>
      <c r="F2" s="1">
        <v>494.6</v>
      </c>
      <c r="G2" s="1">
        <v>489.91</v>
      </c>
    </row>
    <row r="3" spans="1:7" x14ac:dyDescent="0.3">
      <c r="A3" s="1" t="s">
        <v>7</v>
      </c>
      <c r="B3" s="1">
        <v>73.97</v>
      </c>
      <c r="C3" s="1">
        <v>74.03</v>
      </c>
      <c r="D3" s="1">
        <v>65.23</v>
      </c>
      <c r="E3" s="1">
        <v>54.99</v>
      </c>
      <c r="F3" s="1">
        <v>56.19</v>
      </c>
      <c r="G3" s="1">
        <v>51.47</v>
      </c>
    </row>
    <row r="4" spans="1:7" x14ac:dyDescent="0.3">
      <c r="A4" s="1" t="s">
        <v>8</v>
      </c>
      <c r="B4" s="1">
        <v>41627.230000000003</v>
      </c>
      <c r="C4" s="1">
        <v>40646.75</v>
      </c>
      <c r="D4" s="1">
        <v>35818.42</v>
      </c>
      <c r="E4" s="1">
        <v>23636.28</v>
      </c>
      <c r="F4" s="1">
        <v>28260.44</v>
      </c>
      <c r="G4" s="1">
        <v>25670.71</v>
      </c>
    </row>
    <row r="5" spans="1:7" x14ac:dyDescent="0.3">
      <c r="A5" s="1" t="s">
        <v>9</v>
      </c>
      <c r="B5" s="1">
        <v>1276.68</v>
      </c>
      <c r="C5" s="1">
        <v>1294.75</v>
      </c>
      <c r="D5" s="1">
        <v>1612.08</v>
      </c>
      <c r="E5" s="1">
        <v>343.1</v>
      </c>
      <c r="F5" s="1">
        <v>526.21</v>
      </c>
      <c r="G5" s="1">
        <v>1258.96</v>
      </c>
    </row>
    <row r="6" spans="1:7" x14ac:dyDescent="0.3">
      <c r="A6" s="3" t="s">
        <v>10</v>
      </c>
      <c r="B6" s="3">
        <v>127.67</v>
      </c>
      <c r="C6" s="3">
        <v>130.78</v>
      </c>
      <c r="D6" s="3">
        <v>162.84</v>
      </c>
      <c r="E6" s="3">
        <v>34.659999999999997</v>
      </c>
      <c r="F6" s="3">
        <v>53.15</v>
      </c>
      <c r="G6" s="3">
        <v>128.47</v>
      </c>
    </row>
    <row r="7" spans="1:7" x14ac:dyDescent="0.3">
      <c r="A7" s="1" t="s">
        <v>11</v>
      </c>
      <c r="B7" s="1">
        <v>1222.03</v>
      </c>
      <c r="C7" s="1">
        <v>1213.77</v>
      </c>
      <c r="D7" s="1">
        <v>1573.69</v>
      </c>
      <c r="E7" s="1">
        <v>329.29</v>
      </c>
      <c r="F7" s="1">
        <v>499.19</v>
      </c>
      <c r="G7" s="1">
        <v>1237.32</v>
      </c>
    </row>
    <row r="8" spans="1:7" x14ac:dyDescent="0.3">
      <c r="A8" s="1" t="s">
        <v>12</v>
      </c>
      <c r="B8" s="1">
        <v>122.2</v>
      </c>
      <c r="C8" s="1">
        <v>122.6</v>
      </c>
      <c r="D8" s="1">
        <v>158.96</v>
      </c>
      <c r="E8" s="1">
        <v>33.26</v>
      </c>
      <c r="F8" s="1">
        <v>50.42</v>
      </c>
      <c r="G8" s="1">
        <v>126.26</v>
      </c>
    </row>
    <row r="9" spans="1:7" x14ac:dyDescent="0.3">
      <c r="A9" s="1" t="s">
        <v>13</v>
      </c>
      <c r="B9" s="1">
        <v>1222.03</v>
      </c>
      <c r="C9" s="1">
        <v>855.28</v>
      </c>
      <c r="D9" s="1">
        <v>1573.69</v>
      </c>
      <c r="E9" s="1">
        <v>139.94</v>
      </c>
      <c r="F9" s="1">
        <v>-278.74</v>
      </c>
      <c r="G9" s="1">
        <v>1228.42</v>
      </c>
    </row>
    <row r="10" spans="1:7" x14ac:dyDescent="0.3">
      <c r="A10" s="1" t="s">
        <v>14</v>
      </c>
      <c r="B10" s="1">
        <v>122.2</v>
      </c>
      <c r="C10" s="1">
        <v>86.39</v>
      </c>
      <c r="D10" s="1">
        <v>158.96</v>
      </c>
      <c r="E10" s="1">
        <v>14.14</v>
      </c>
      <c r="F10" s="1">
        <v>-28.16</v>
      </c>
      <c r="G10" s="1">
        <v>125.35</v>
      </c>
    </row>
    <row r="11" spans="1:7" x14ac:dyDescent="0.3">
      <c r="A11" s="1" t="s">
        <v>15</v>
      </c>
      <c r="B11" s="1">
        <v>1035.55</v>
      </c>
      <c r="C11" s="1">
        <v>699.6</v>
      </c>
      <c r="D11" s="1">
        <v>1370.36</v>
      </c>
      <c r="E11" s="1">
        <v>110.38</v>
      </c>
      <c r="F11" s="1">
        <v>208.46</v>
      </c>
      <c r="G11" s="1">
        <v>1112.24</v>
      </c>
    </row>
    <row r="12" spans="1:7" x14ac:dyDescent="0.3">
      <c r="A12" s="1" t="s">
        <v>16</v>
      </c>
      <c r="B12" s="1">
        <v>304.07</v>
      </c>
      <c r="C12" s="1">
        <v>270.49</v>
      </c>
      <c r="D12" s="1">
        <v>279.02999999999997</v>
      </c>
      <c r="E12" s="1">
        <v>250.02</v>
      </c>
      <c r="F12" s="1">
        <v>299.19</v>
      </c>
      <c r="G12" s="1">
        <v>257.75</v>
      </c>
    </row>
    <row r="13" spans="1:7" x14ac:dyDescent="0.3">
      <c r="A13" s="1" t="s">
        <v>17</v>
      </c>
      <c r="B13" s="1">
        <v>28.39</v>
      </c>
      <c r="C13" s="1">
        <v>51.69</v>
      </c>
      <c r="D13" s="1">
        <v>32.159999999999997</v>
      </c>
      <c r="E13" s="1">
        <v>23.1</v>
      </c>
      <c r="F13" s="1">
        <v>24.97</v>
      </c>
      <c r="G13" s="1">
        <v>27.32</v>
      </c>
    </row>
    <row r="14" spans="1:7" x14ac:dyDescent="0.3">
      <c r="A14" s="1" t="s">
        <v>18</v>
      </c>
      <c r="B14" s="1">
        <v>76.290000000000006</v>
      </c>
      <c r="C14" s="1">
        <v>109.54</v>
      </c>
      <c r="D14" s="1">
        <v>68.569999999999993</v>
      </c>
      <c r="E14" s="1">
        <v>51.6</v>
      </c>
      <c r="F14" s="1">
        <v>49.94</v>
      </c>
      <c r="G14" s="1">
        <v>66.349999999999994</v>
      </c>
    </row>
    <row r="15" spans="1:7" x14ac:dyDescent="0.3">
      <c r="A15" s="1" t="s">
        <v>19</v>
      </c>
      <c r="B15" s="1">
        <v>5</v>
      </c>
      <c r="C15" s="1">
        <v>6</v>
      </c>
      <c r="D15" s="1">
        <v>5</v>
      </c>
      <c r="E15" s="1">
        <v>2</v>
      </c>
      <c r="F15" s="1">
        <v>5</v>
      </c>
      <c r="G15" s="1">
        <v>2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1222.03</v>
      </c>
      <c r="C17" s="1">
        <v>1034.52</v>
      </c>
      <c r="D17" s="1">
        <v>1573.69</v>
      </c>
      <c r="E17" s="1">
        <v>234.62</v>
      </c>
      <c r="F17" s="1">
        <v>110.23</v>
      </c>
      <c r="G17" s="1">
        <v>1232.8699999999999</v>
      </c>
    </row>
    <row r="18" spans="1:7" x14ac:dyDescent="0.3">
      <c r="A18" s="1" t="s">
        <v>22</v>
      </c>
      <c r="B18" s="1">
        <v>0</v>
      </c>
      <c r="C18" s="1">
        <v>179.24</v>
      </c>
      <c r="D18" s="1">
        <v>0</v>
      </c>
      <c r="E18" s="1">
        <v>94.68</v>
      </c>
      <c r="F18" s="1">
        <v>388.96</v>
      </c>
      <c r="G18" s="1">
        <v>4.45</v>
      </c>
    </row>
    <row r="19" spans="1:7" x14ac:dyDescent="0.3">
      <c r="A19" s="1" t="s">
        <v>23</v>
      </c>
      <c r="B19" s="1">
        <v>0</v>
      </c>
      <c r="C19" s="1">
        <v>1</v>
      </c>
      <c r="D19" s="1">
        <v>0</v>
      </c>
      <c r="E19" s="1">
        <v>1</v>
      </c>
      <c r="F19" s="1">
        <v>3</v>
      </c>
      <c r="G19" s="1">
        <v>0</v>
      </c>
    </row>
    <row r="20" spans="1:7" x14ac:dyDescent="0.3">
      <c r="A20" s="1" t="s">
        <v>24</v>
      </c>
      <c r="B20" s="1">
        <v>0</v>
      </c>
      <c r="C20" s="1">
        <v>2.4</v>
      </c>
      <c r="D20" s="1">
        <v>0</v>
      </c>
      <c r="E20" s="1">
        <v>1.1000000000000001</v>
      </c>
      <c r="F20" s="1">
        <v>7.3</v>
      </c>
      <c r="G20" s="1">
        <v>0</v>
      </c>
    </row>
    <row r="21" spans="1:7" x14ac:dyDescent="0.3">
      <c r="A21" s="1" t="s">
        <v>25</v>
      </c>
      <c r="B21" s="1">
        <v>10.1</v>
      </c>
      <c r="C21" s="1">
        <v>7.6</v>
      </c>
      <c r="D21" s="1">
        <v>10</v>
      </c>
      <c r="E21" s="1">
        <v>8.9</v>
      </c>
      <c r="F21" s="1">
        <v>2.7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2.7</v>
      </c>
      <c r="D24" s="1">
        <v>0</v>
      </c>
      <c r="E24" s="1">
        <v>0</v>
      </c>
      <c r="F24" s="1">
        <v>5.5</v>
      </c>
      <c r="G24" s="1">
        <v>0</v>
      </c>
    </row>
    <row r="25" spans="1:7" x14ac:dyDescent="0.3">
      <c r="A25" s="1" t="s">
        <v>29</v>
      </c>
      <c r="B25" s="1">
        <v>0</v>
      </c>
      <c r="C25" s="1">
        <v>1.1000000000000001</v>
      </c>
      <c r="D25" s="1">
        <v>0</v>
      </c>
      <c r="E25" s="1">
        <v>8.4</v>
      </c>
      <c r="F25" s="1">
        <v>4.5</v>
      </c>
      <c r="G25" s="1">
        <v>0</v>
      </c>
    </row>
    <row r="26" spans="1:7" x14ac:dyDescent="0.3">
      <c r="A26" s="1" t="s">
        <v>30</v>
      </c>
      <c r="B26" s="1">
        <v>10.1</v>
      </c>
      <c r="C26" s="1">
        <v>6.2</v>
      </c>
      <c r="D26" s="1">
        <v>10</v>
      </c>
      <c r="E26" s="1">
        <v>1.6</v>
      </c>
      <c r="F26" s="1">
        <v>0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27</v>
      </c>
      <c r="D29" s="3">
        <f t="shared" si="1"/>
        <v>0</v>
      </c>
      <c r="E29" s="3">
        <f t="shared" si="1"/>
        <v>0</v>
      </c>
      <c r="F29" s="3">
        <f t="shared" si="1"/>
        <v>55.000000000000007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11.000000000000002</v>
      </c>
      <c r="D30" s="3">
        <f t="shared" si="2"/>
        <v>0</v>
      </c>
      <c r="E30" s="3">
        <f t="shared" si="2"/>
        <v>84.000000000000014</v>
      </c>
      <c r="F30" s="3">
        <f t="shared" si="2"/>
        <v>45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62</v>
      </c>
      <c r="D31" s="3">
        <f t="shared" si="3"/>
        <v>100</v>
      </c>
      <c r="E31" s="3">
        <f t="shared" si="3"/>
        <v>16</v>
      </c>
      <c r="F31" s="3">
        <f t="shared" si="3"/>
        <v>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125.47</v>
      </c>
      <c r="C33" s="3">
        <v>58.32</v>
      </c>
      <c r="D33" s="3">
        <v>163.96</v>
      </c>
      <c r="E33" s="3">
        <v>13.07</v>
      </c>
      <c r="F33" s="3">
        <v>-21.08</v>
      </c>
      <c r="G33" s="3">
        <v>125.31</v>
      </c>
    </row>
    <row r="35" spans="1:7" x14ac:dyDescent="0.3">
      <c r="A35" s="3" t="s">
        <v>36</v>
      </c>
      <c r="B35" s="3"/>
      <c r="C35" s="3"/>
      <c r="D35" s="3">
        <f>D33-C33</f>
        <v>105.64000000000001</v>
      </c>
      <c r="E35" s="3"/>
      <c r="F35" s="3">
        <f>F33-E33</f>
        <v>-34.15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-150.89000000000001</v>
      </c>
      <c r="F37" s="3"/>
      <c r="G37" s="3">
        <f>G33-F33</f>
        <v>146.38999999999999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F940A-1E06-4237-A2FB-496975A4C6FA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384.92</v>
      </c>
      <c r="C2" s="1">
        <v>406.82</v>
      </c>
      <c r="D2" s="1">
        <v>415.98</v>
      </c>
      <c r="E2" s="1">
        <v>362.04</v>
      </c>
      <c r="F2" s="1">
        <v>371.08</v>
      </c>
      <c r="G2" s="1">
        <v>389.48</v>
      </c>
    </row>
    <row r="3" spans="1:7" x14ac:dyDescent="0.3">
      <c r="A3" s="1" t="s">
        <v>7</v>
      </c>
      <c r="B3" s="1">
        <v>43.3</v>
      </c>
      <c r="C3" s="1">
        <v>47.35</v>
      </c>
      <c r="D3" s="1">
        <v>48.51</v>
      </c>
      <c r="E3" s="1">
        <v>44.82</v>
      </c>
      <c r="F3" s="1">
        <v>46.98</v>
      </c>
      <c r="G3" s="1">
        <v>52.76</v>
      </c>
    </row>
    <row r="4" spans="1:7" x14ac:dyDescent="0.3">
      <c r="A4" s="1" t="s">
        <v>8</v>
      </c>
      <c r="B4" s="1">
        <v>16946.27</v>
      </c>
      <c r="C4" s="1">
        <v>19570.22</v>
      </c>
      <c r="D4" s="1">
        <v>20508.18</v>
      </c>
      <c r="E4" s="1">
        <v>16506.29</v>
      </c>
      <c r="F4" s="1">
        <v>17722.78</v>
      </c>
      <c r="G4" s="1">
        <v>20926.46</v>
      </c>
    </row>
    <row r="5" spans="1:7" x14ac:dyDescent="0.3">
      <c r="A5" s="1" t="s">
        <v>9</v>
      </c>
      <c r="B5" s="1">
        <v>1509.26</v>
      </c>
      <c r="C5" s="1">
        <v>1657.88</v>
      </c>
      <c r="D5" s="1">
        <v>1251.48</v>
      </c>
      <c r="E5" s="1">
        <v>108.38</v>
      </c>
      <c r="F5" s="1">
        <v>660.28</v>
      </c>
      <c r="G5" s="1">
        <v>1672.25</v>
      </c>
    </row>
    <row r="6" spans="1:7" x14ac:dyDescent="0.3">
      <c r="A6" s="3" t="s">
        <v>10</v>
      </c>
      <c r="B6" s="3">
        <v>150.93</v>
      </c>
      <c r="C6" s="3">
        <v>167.46</v>
      </c>
      <c r="D6" s="3">
        <v>126.41</v>
      </c>
      <c r="E6" s="3">
        <v>10.95</v>
      </c>
      <c r="F6" s="3">
        <v>66.7</v>
      </c>
      <c r="G6" s="3">
        <v>170.64</v>
      </c>
    </row>
    <row r="7" spans="1:7" x14ac:dyDescent="0.3">
      <c r="A7" s="1" t="s">
        <v>11</v>
      </c>
      <c r="B7" s="1">
        <v>1433.52</v>
      </c>
      <c r="C7" s="1">
        <v>1594.85</v>
      </c>
      <c r="D7" s="1">
        <v>1220.76</v>
      </c>
      <c r="E7" s="1">
        <v>100.39</v>
      </c>
      <c r="F7" s="1">
        <v>650.9</v>
      </c>
      <c r="G7" s="1">
        <v>1560.25</v>
      </c>
    </row>
    <row r="8" spans="1:7" x14ac:dyDescent="0.3">
      <c r="A8" s="1" t="s">
        <v>12</v>
      </c>
      <c r="B8" s="1">
        <v>143.35</v>
      </c>
      <c r="C8" s="1">
        <v>161.1</v>
      </c>
      <c r="D8" s="1">
        <v>123.31</v>
      </c>
      <c r="E8" s="1">
        <v>10.14</v>
      </c>
      <c r="F8" s="1">
        <v>65.75</v>
      </c>
      <c r="G8" s="1">
        <v>159.21</v>
      </c>
    </row>
    <row r="9" spans="1:7" x14ac:dyDescent="0.3">
      <c r="A9" s="1" t="s">
        <v>13</v>
      </c>
      <c r="B9" s="1">
        <v>1433.52</v>
      </c>
      <c r="C9" s="1">
        <v>1594.85</v>
      </c>
      <c r="D9" s="1">
        <v>1220.76</v>
      </c>
      <c r="E9" s="1">
        <v>20.53</v>
      </c>
      <c r="F9" s="1">
        <v>-581.57000000000005</v>
      </c>
      <c r="G9" s="1">
        <v>1560.25</v>
      </c>
    </row>
    <row r="10" spans="1:7" x14ac:dyDescent="0.3">
      <c r="A10" s="1" t="s">
        <v>14</v>
      </c>
      <c r="B10" s="1">
        <v>143.35</v>
      </c>
      <c r="C10" s="1">
        <v>161.1</v>
      </c>
      <c r="D10" s="1">
        <v>123.31</v>
      </c>
      <c r="E10" s="1">
        <v>2.0699999999999998</v>
      </c>
      <c r="F10" s="1">
        <v>-58.74</v>
      </c>
      <c r="G10" s="1">
        <v>159.21</v>
      </c>
    </row>
    <row r="11" spans="1:7" x14ac:dyDescent="0.3">
      <c r="A11" s="1" t="s">
        <v>15</v>
      </c>
      <c r="B11" s="1">
        <v>1298.57</v>
      </c>
      <c r="C11" s="1">
        <v>1435.9</v>
      </c>
      <c r="D11" s="1">
        <v>1116.32</v>
      </c>
      <c r="E11" s="1">
        <v>19.850000000000001</v>
      </c>
      <c r="F11" s="1">
        <v>465.81</v>
      </c>
      <c r="G11" s="1">
        <v>1455.48</v>
      </c>
    </row>
    <row r="12" spans="1:7" x14ac:dyDescent="0.3">
      <c r="A12" s="1" t="s">
        <v>16</v>
      </c>
      <c r="B12" s="1">
        <v>220.33</v>
      </c>
      <c r="C12" s="1">
        <v>237.18</v>
      </c>
      <c r="D12" s="1">
        <v>227.37</v>
      </c>
      <c r="E12" s="1">
        <v>222.19</v>
      </c>
      <c r="F12" s="1">
        <v>219.77</v>
      </c>
      <c r="G12" s="1">
        <v>235.88</v>
      </c>
    </row>
    <row r="13" spans="1:7" x14ac:dyDescent="0.3">
      <c r="A13" s="1" t="s">
        <v>17</v>
      </c>
      <c r="B13" s="1">
        <v>29.48</v>
      </c>
      <c r="C13" s="1">
        <v>29.83</v>
      </c>
      <c r="D13" s="1">
        <v>20.78</v>
      </c>
      <c r="E13" s="1">
        <v>18.82</v>
      </c>
      <c r="F13" s="1">
        <v>21.09</v>
      </c>
      <c r="G13" s="1">
        <v>23.62</v>
      </c>
    </row>
    <row r="14" spans="1:7" x14ac:dyDescent="0.3">
      <c r="A14" s="1" t="s">
        <v>18</v>
      </c>
      <c r="B14" s="1">
        <v>52.56</v>
      </c>
      <c r="C14" s="1">
        <v>47.87</v>
      </c>
      <c r="D14" s="1">
        <v>45.15</v>
      </c>
      <c r="E14" s="1">
        <v>23.73</v>
      </c>
      <c r="F14" s="1">
        <v>57.73</v>
      </c>
      <c r="G14" s="1">
        <v>48.37</v>
      </c>
    </row>
    <row r="15" spans="1:7" x14ac:dyDescent="0.3">
      <c r="A15" s="1" t="s">
        <v>19</v>
      </c>
      <c r="B15" s="1">
        <v>9</v>
      </c>
      <c r="C15" s="1">
        <v>11</v>
      </c>
      <c r="D15" s="1">
        <v>5</v>
      </c>
      <c r="E15" s="1">
        <v>1</v>
      </c>
      <c r="F15" s="1">
        <v>5</v>
      </c>
      <c r="G15" s="1">
        <v>10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1433.52</v>
      </c>
      <c r="C17" s="1">
        <v>1594.85</v>
      </c>
      <c r="D17" s="1">
        <v>1220.76</v>
      </c>
      <c r="E17" s="1">
        <v>60.46</v>
      </c>
      <c r="F17" s="1">
        <v>34.67</v>
      </c>
      <c r="G17" s="1">
        <v>1560.25</v>
      </c>
    </row>
    <row r="18" spans="1:7" x14ac:dyDescent="0.3">
      <c r="A18" s="1" t="s">
        <v>22</v>
      </c>
      <c r="B18" s="1">
        <v>0</v>
      </c>
      <c r="C18" s="1">
        <v>0</v>
      </c>
      <c r="D18" s="1">
        <v>0</v>
      </c>
      <c r="E18" s="1">
        <v>39.93</v>
      </c>
      <c r="F18" s="1">
        <v>616.23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2</v>
      </c>
      <c r="F19" s="1">
        <v>1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2.1</v>
      </c>
      <c r="F20" s="1">
        <v>7.8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7.9</v>
      </c>
      <c r="F21" s="1">
        <v>2.2000000000000002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7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10</v>
      </c>
      <c r="F25" s="1">
        <v>3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0</v>
      </c>
      <c r="F26" s="1">
        <v>0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70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100</v>
      </c>
      <c r="F30" s="3">
        <f t="shared" si="2"/>
        <v>30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0</v>
      </c>
      <c r="F31" s="3">
        <f t="shared" si="3"/>
        <v>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145.91</v>
      </c>
      <c r="C33" s="3">
        <v>167.5</v>
      </c>
      <c r="D33" s="3">
        <v>126.82</v>
      </c>
      <c r="E33" s="3">
        <v>2.76</v>
      </c>
      <c r="F33" s="3">
        <v>-53.27</v>
      </c>
      <c r="G33" s="3">
        <v>166.57</v>
      </c>
    </row>
    <row r="35" spans="1:7" x14ac:dyDescent="0.3">
      <c r="A35" s="3" t="s">
        <v>36</v>
      </c>
      <c r="B35" s="3"/>
      <c r="C35" s="3"/>
      <c r="D35" s="3">
        <f>D33-C33</f>
        <v>-40.680000000000007</v>
      </c>
      <c r="E35" s="3"/>
      <c r="F35" s="3">
        <f>F33-E33</f>
        <v>-56.03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-124.05999999999999</v>
      </c>
      <c r="F37" s="3"/>
      <c r="G37" s="3">
        <f>G33-F33</f>
        <v>219.84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0C97B-5E9B-45D5-B4D0-95D1E8428043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437.9</v>
      </c>
      <c r="C2" s="1">
        <v>403.09</v>
      </c>
      <c r="D2" s="1">
        <v>392.32</v>
      </c>
      <c r="E2" s="1">
        <v>416.44</v>
      </c>
      <c r="F2" s="1">
        <v>407.48</v>
      </c>
      <c r="G2" s="1">
        <v>417.36</v>
      </c>
    </row>
    <row r="3" spans="1:7" x14ac:dyDescent="0.3">
      <c r="A3" s="1" t="s">
        <v>7</v>
      </c>
      <c r="B3" s="1">
        <v>48.58</v>
      </c>
      <c r="C3" s="1">
        <v>47.38</v>
      </c>
      <c r="D3" s="1">
        <v>46.35</v>
      </c>
      <c r="E3" s="1">
        <v>46.48</v>
      </c>
      <c r="F3" s="1">
        <v>46.75</v>
      </c>
      <c r="G3" s="1">
        <v>52.55</v>
      </c>
    </row>
    <row r="4" spans="1:7" x14ac:dyDescent="0.3">
      <c r="A4" s="1" t="s">
        <v>8</v>
      </c>
      <c r="B4" s="1">
        <v>21630.77</v>
      </c>
      <c r="C4" s="1">
        <v>19491.46</v>
      </c>
      <c r="D4" s="1">
        <v>18480.64</v>
      </c>
      <c r="E4" s="1">
        <v>19689.54</v>
      </c>
      <c r="F4" s="1">
        <v>19372.78</v>
      </c>
      <c r="G4" s="1">
        <v>22286.06</v>
      </c>
    </row>
    <row r="5" spans="1:7" x14ac:dyDescent="0.3">
      <c r="A5" s="1" t="s">
        <v>9</v>
      </c>
      <c r="B5" s="1">
        <v>1604.38</v>
      </c>
      <c r="C5" s="1">
        <v>1747.37</v>
      </c>
      <c r="D5" s="1">
        <v>1582.83</v>
      </c>
      <c r="E5" s="1">
        <v>122.3</v>
      </c>
      <c r="F5" s="1">
        <v>710.82</v>
      </c>
      <c r="G5" s="1">
        <v>1634.19</v>
      </c>
    </row>
    <row r="6" spans="1:7" x14ac:dyDescent="0.3">
      <c r="A6" s="3" t="s">
        <v>10</v>
      </c>
      <c r="B6" s="3">
        <v>160.44</v>
      </c>
      <c r="C6" s="3">
        <v>176.5</v>
      </c>
      <c r="D6" s="3">
        <v>159.88</v>
      </c>
      <c r="E6" s="3">
        <v>12.35</v>
      </c>
      <c r="F6" s="3">
        <v>71.8</v>
      </c>
      <c r="G6" s="3">
        <v>166.75</v>
      </c>
    </row>
    <row r="7" spans="1:7" x14ac:dyDescent="0.3">
      <c r="A7" s="1" t="s">
        <v>11</v>
      </c>
      <c r="B7" s="1">
        <v>1556.35</v>
      </c>
      <c r="C7" s="1">
        <v>1588.8</v>
      </c>
      <c r="D7" s="1">
        <v>1497.46</v>
      </c>
      <c r="E7" s="1">
        <v>115.23</v>
      </c>
      <c r="F7" s="1">
        <v>689.06</v>
      </c>
      <c r="G7" s="1">
        <v>1508.69</v>
      </c>
    </row>
    <row r="8" spans="1:7" x14ac:dyDescent="0.3">
      <c r="A8" s="1" t="s">
        <v>12</v>
      </c>
      <c r="B8" s="1">
        <v>155.63</v>
      </c>
      <c r="C8" s="1">
        <v>160.47999999999999</v>
      </c>
      <c r="D8" s="1">
        <v>151.26</v>
      </c>
      <c r="E8" s="1">
        <v>11.64</v>
      </c>
      <c r="F8" s="1">
        <v>69.599999999999994</v>
      </c>
      <c r="G8" s="1">
        <v>153.94999999999999</v>
      </c>
    </row>
    <row r="9" spans="1:7" x14ac:dyDescent="0.3">
      <c r="A9" s="1" t="s">
        <v>13</v>
      </c>
      <c r="B9" s="1">
        <v>1556.35</v>
      </c>
      <c r="C9" s="1">
        <v>1577.51</v>
      </c>
      <c r="D9" s="1">
        <v>1497.46</v>
      </c>
      <c r="E9" s="1">
        <v>12.38</v>
      </c>
      <c r="F9" s="1">
        <v>-483.69</v>
      </c>
      <c r="G9" s="1">
        <v>1508.69</v>
      </c>
    </row>
    <row r="10" spans="1:7" x14ac:dyDescent="0.3">
      <c r="A10" s="1" t="s">
        <v>14</v>
      </c>
      <c r="B10" s="1">
        <v>155.63</v>
      </c>
      <c r="C10" s="1">
        <v>159.34</v>
      </c>
      <c r="D10" s="1">
        <v>151.26</v>
      </c>
      <c r="E10" s="1">
        <v>1.25</v>
      </c>
      <c r="F10" s="1">
        <v>-48.86</v>
      </c>
      <c r="G10" s="1">
        <v>153.94999999999999</v>
      </c>
    </row>
    <row r="11" spans="1:7" x14ac:dyDescent="0.3">
      <c r="A11" s="1" t="s">
        <v>15</v>
      </c>
      <c r="B11" s="1">
        <v>1433.82</v>
      </c>
      <c r="C11" s="1">
        <v>1549.84</v>
      </c>
      <c r="D11" s="1">
        <v>1343.14</v>
      </c>
      <c r="E11" s="1">
        <v>7.8</v>
      </c>
      <c r="F11" s="1">
        <v>334.72</v>
      </c>
      <c r="G11" s="1">
        <v>1372</v>
      </c>
    </row>
    <row r="12" spans="1:7" x14ac:dyDescent="0.3">
      <c r="A12" s="1" t="s">
        <v>16</v>
      </c>
      <c r="B12" s="1">
        <v>236.54</v>
      </c>
      <c r="C12" s="1">
        <v>214</v>
      </c>
      <c r="D12" s="1">
        <v>234.2</v>
      </c>
      <c r="E12" s="1">
        <v>281.35000000000002</v>
      </c>
      <c r="F12" s="1">
        <v>275.57</v>
      </c>
      <c r="G12" s="1">
        <v>256.57</v>
      </c>
    </row>
    <row r="13" spans="1:7" x14ac:dyDescent="0.3">
      <c r="A13" s="1" t="s">
        <v>17</v>
      </c>
      <c r="B13" s="1">
        <v>28.04</v>
      </c>
      <c r="C13" s="1">
        <v>24.84</v>
      </c>
      <c r="D13" s="1">
        <v>23.33</v>
      </c>
      <c r="E13" s="1">
        <v>34.93</v>
      </c>
      <c r="F13" s="1">
        <v>18.05</v>
      </c>
      <c r="G13" s="1">
        <v>26.49</v>
      </c>
    </row>
    <row r="14" spans="1:7" x14ac:dyDescent="0.3">
      <c r="A14" s="1" t="s">
        <v>18</v>
      </c>
      <c r="B14" s="1">
        <v>55.77</v>
      </c>
      <c r="C14" s="1">
        <v>70.55</v>
      </c>
      <c r="D14" s="1">
        <v>48.62</v>
      </c>
      <c r="E14" s="1">
        <v>39.24</v>
      </c>
      <c r="F14" s="1">
        <v>55.61</v>
      </c>
      <c r="G14" s="1">
        <v>55.44</v>
      </c>
    </row>
    <row r="15" spans="1:7" x14ac:dyDescent="0.3">
      <c r="A15" s="1" t="s">
        <v>19</v>
      </c>
      <c r="B15" s="1">
        <v>8</v>
      </c>
      <c r="C15" s="1">
        <v>9</v>
      </c>
      <c r="D15" s="1">
        <v>10</v>
      </c>
      <c r="E15" s="1">
        <v>1</v>
      </c>
      <c r="F15" s="1">
        <v>5</v>
      </c>
      <c r="G15" s="1">
        <v>8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1556.35</v>
      </c>
      <c r="C17" s="1">
        <v>1583.15</v>
      </c>
      <c r="D17" s="1">
        <v>1497.46</v>
      </c>
      <c r="E17" s="1">
        <v>63.8</v>
      </c>
      <c r="F17" s="1">
        <v>102.68</v>
      </c>
      <c r="G17" s="1">
        <v>1508.69</v>
      </c>
    </row>
    <row r="18" spans="1:7" x14ac:dyDescent="0.3">
      <c r="A18" s="1" t="s">
        <v>22</v>
      </c>
      <c r="B18" s="1">
        <v>0</v>
      </c>
      <c r="C18" s="1">
        <v>5.64</v>
      </c>
      <c r="D18" s="1">
        <v>0</v>
      </c>
      <c r="E18" s="1">
        <v>51.42</v>
      </c>
      <c r="F18" s="1">
        <v>586.37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1</v>
      </c>
      <c r="F19" s="1">
        <v>2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1</v>
      </c>
      <c r="F20" s="1">
        <v>5.3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9</v>
      </c>
      <c r="F21" s="1">
        <v>4.7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4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10</v>
      </c>
      <c r="F25" s="1">
        <v>4.7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0</v>
      </c>
      <c r="F26" s="1">
        <v>1.3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40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100</v>
      </c>
      <c r="F30" s="3">
        <f t="shared" si="2"/>
        <v>47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0</v>
      </c>
      <c r="F31" s="3">
        <f t="shared" si="3"/>
        <v>13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158.61000000000001</v>
      </c>
      <c r="C33" s="3">
        <v>173.49</v>
      </c>
      <c r="D33" s="3">
        <v>159.88</v>
      </c>
      <c r="E33" s="3">
        <v>1.25</v>
      </c>
      <c r="F33" s="3">
        <v>-36.770000000000003</v>
      </c>
      <c r="G33" s="3">
        <v>165.47</v>
      </c>
    </row>
    <row r="35" spans="1:7" x14ac:dyDescent="0.3">
      <c r="A35" s="3" t="s">
        <v>36</v>
      </c>
      <c r="B35" s="3"/>
      <c r="C35" s="3"/>
      <c r="D35" s="3">
        <f>D33-C33</f>
        <v>-13.610000000000014</v>
      </c>
      <c r="E35" s="3"/>
      <c r="F35" s="3">
        <f>F33-E33</f>
        <v>-38.020000000000003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-158.63</v>
      </c>
      <c r="F37" s="3"/>
      <c r="G37" s="3">
        <f>G33-F33</f>
        <v>202.24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B216E-7FD6-40D4-BAC4-C46FC88ECBC7}">
  <dimension ref="A1:G37"/>
  <sheetViews>
    <sheetView tabSelected="1"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403.88</v>
      </c>
      <c r="C2" s="1">
        <v>456.16</v>
      </c>
      <c r="D2" s="1">
        <v>456.17</v>
      </c>
      <c r="E2" s="1">
        <v>489.94</v>
      </c>
      <c r="F2" s="1">
        <v>454.03</v>
      </c>
      <c r="G2" s="1">
        <v>401.31</v>
      </c>
    </row>
    <row r="3" spans="1:7" x14ac:dyDescent="0.3">
      <c r="A3" s="1" t="s">
        <v>7</v>
      </c>
      <c r="B3" s="1">
        <v>48.33</v>
      </c>
      <c r="C3" s="1">
        <v>50.11</v>
      </c>
      <c r="D3" s="1">
        <v>50.62</v>
      </c>
      <c r="E3" s="1">
        <v>52.32</v>
      </c>
      <c r="F3" s="1">
        <v>52.97</v>
      </c>
      <c r="G3" s="1">
        <v>44.78</v>
      </c>
    </row>
    <row r="4" spans="1:7" x14ac:dyDescent="0.3">
      <c r="A4" s="1" t="s">
        <v>8</v>
      </c>
      <c r="B4" s="1">
        <v>19897.25</v>
      </c>
      <c r="C4" s="1">
        <v>23232.12</v>
      </c>
      <c r="D4" s="1">
        <v>23478.66</v>
      </c>
      <c r="E4" s="1">
        <v>26075.919999999998</v>
      </c>
      <c r="F4" s="1">
        <v>24427.9</v>
      </c>
      <c r="G4" s="1">
        <v>18265.150000000001</v>
      </c>
    </row>
    <row r="5" spans="1:7" x14ac:dyDescent="0.3">
      <c r="A5" s="1" t="s">
        <v>9</v>
      </c>
      <c r="B5" s="1">
        <v>1591.98</v>
      </c>
      <c r="C5" s="1">
        <v>1365.35</v>
      </c>
      <c r="D5" s="1">
        <v>2100.9</v>
      </c>
      <c r="E5" s="1">
        <v>160.12</v>
      </c>
      <c r="F5" s="1">
        <v>769.34</v>
      </c>
      <c r="G5" s="1">
        <v>1415.13</v>
      </c>
    </row>
    <row r="6" spans="1:7" x14ac:dyDescent="0.3">
      <c r="A6" s="3" t="s">
        <v>10</v>
      </c>
      <c r="B6" s="3">
        <v>159.19999999999999</v>
      </c>
      <c r="C6" s="3">
        <v>137.91</v>
      </c>
      <c r="D6" s="3">
        <v>212.21</v>
      </c>
      <c r="E6" s="3">
        <v>16.170000000000002</v>
      </c>
      <c r="F6" s="3">
        <v>77.709999999999994</v>
      </c>
      <c r="G6" s="3">
        <v>144.4</v>
      </c>
    </row>
    <row r="7" spans="1:7" x14ac:dyDescent="0.3">
      <c r="A7" s="1" t="s">
        <v>11</v>
      </c>
      <c r="B7" s="1">
        <v>1497.66</v>
      </c>
      <c r="C7" s="1">
        <v>1354.58</v>
      </c>
      <c r="D7" s="1">
        <v>2070.16</v>
      </c>
      <c r="E7" s="1">
        <v>152.69999999999999</v>
      </c>
      <c r="F7" s="1">
        <v>750.68</v>
      </c>
      <c r="G7" s="1">
        <v>1324.91</v>
      </c>
    </row>
    <row r="8" spans="1:7" x14ac:dyDescent="0.3">
      <c r="A8" s="1" t="s">
        <v>12</v>
      </c>
      <c r="B8" s="1">
        <v>149.77000000000001</v>
      </c>
      <c r="C8" s="1">
        <v>136.83000000000001</v>
      </c>
      <c r="D8" s="1">
        <v>209.11</v>
      </c>
      <c r="E8" s="1">
        <v>15.42</v>
      </c>
      <c r="F8" s="1">
        <v>75.83</v>
      </c>
      <c r="G8" s="1">
        <v>135.19</v>
      </c>
    </row>
    <row r="9" spans="1:7" x14ac:dyDescent="0.3">
      <c r="A9" s="1" t="s">
        <v>13</v>
      </c>
      <c r="B9" s="1">
        <v>1483.12</v>
      </c>
      <c r="C9" s="1">
        <v>1354.58</v>
      </c>
      <c r="D9" s="1">
        <v>2070.16</v>
      </c>
      <c r="E9" s="1">
        <v>133.69999999999999</v>
      </c>
      <c r="F9" s="1">
        <v>467</v>
      </c>
      <c r="G9" s="1">
        <v>1324.91</v>
      </c>
    </row>
    <row r="10" spans="1:7" x14ac:dyDescent="0.3">
      <c r="A10" s="1" t="s">
        <v>14</v>
      </c>
      <c r="B10" s="1">
        <v>148.31</v>
      </c>
      <c r="C10" s="1">
        <v>136.83000000000001</v>
      </c>
      <c r="D10" s="1">
        <v>209.11</v>
      </c>
      <c r="E10" s="1">
        <v>13.5</v>
      </c>
      <c r="F10" s="1">
        <v>47.17</v>
      </c>
      <c r="G10" s="1">
        <v>135.19</v>
      </c>
    </row>
    <row r="11" spans="1:7" x14ac:dyDescent="0.3">
      <c r="A11" s="1" t="s">
        <v>15</v>
      </c>
      <c r="B11" s="1">
        <v>1422.97</v>
      </c>
      <c r="C11" s="1">
        <v>1205.8</v>
      </c>
      <c r="D11" s="1">
        <v>1793.31</v>
      </c>
      <c r="E11" s="1">
        <v>124.69</v>
      </c>
      <c r="F11" s="1">
        <v>239.88</v>
      </c>
      <c r="G11" s="1">
        <v>1280.6300000000001</v>
      </c>
    </row>
    <row r="12" spans="1:7" x14ac:dyDescent="0.3">
      <c r="A12" s="1" t="s">
        <v>16</v>
      </c>
      <c r="B12" s="1">
        <v>229.06</v>
      </c>
      <c r="C12" s="1">
        <v>250.95</v>
      </c>
      <c r="D12" s="1">
        <v>268.67</v>
      </c>
      <c r="E12" s="1">
        <v>270.74</v>
      </c>
      <c r="F12" s="1">
        <v>244.49</v>
      </c>
      <c r="G12" s="1">
        <v>242.82</v>
      </c>
    </row>
    <row r="13" spans="1:7" x14ac:dyDescent="0.3">
      <c r="A13" s="1" t="s">
        <v>17</v>
      </c>
      <c r="B13" s="1">
        <v>21.73</v>
      </c>
      <c r="C13" s="1">
        <v>23.7</v>
      </c>
      <c r="D13" s="1">
        <v>33.64</v>
      </c>
      <c r="E13" s="1">
        <v>24.48</v>
      </c>
      <c r="F13" s="1">
        <v>20.83</v>
      </c>
      <c r="G13" s="1">
        <v>18.46</v>
      </c>
    </row>
    <row r="14" spans="1:7" x14ac:dyDescent="0.3">
      <c r="A14" s="1" t="s">
        <v>18</v>
      </c>
      <c r="B14" s="1">
        <v>61.84</v>
      </c>
      <c r="C14" s="1">
        <v>50.68</v>
      </c>
      <c r="D14" s="1">
        <v>72.23</v>
      </c>
      <c r="E14" s="1">
        <v>32.71</v>
      </c>
      <c r="F14" s="1">
        <v>42.89</v>
      </c>
      <c r="G14" s="1">
        <v>44.84</v>
      </c>
    </row>
    <row r="15" spans="1:7" x14ac:dyDescent="0.3">
      <c r="A15" s="1" t="s">
        <v>19</v>
      </c>
      <c r="B15" s="1">
        <v>6</v>
      </c>
      <c r="C15" s="1">
        <v>4</v>
      </c>
      <c r="D15" s="1">
        <v>10</v>
      </c>
      <c r="E15" s="1">
        <v>0</v>
      </c>
      <c r="F15" s="1">
        <v>2</v>
      </c>
      <c r="G15" s="1">
        <v>9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1490.39</v>
      </c>
      <c r="C17" s="1">
        <v>1354.58</v>
      </c>
      <c r="D17" s="1">
        <v>2070.16</v>
      </c>
      <c r="E17" s="1">
        <v>143.19999999999999</v>
      </c>
      <c r="F17" s="1">
        <v>608.84</v>
      </c>
      <c r="G17" s="1">
        <v>1324.91</v>
      </c>
    </row>
    <row r="18" spans="1:7" x14ac:dyDescent="0.3">
      <c r="A18" s="1" t="s">
        <v>22</v>
      </c>
      <c r="B18" s="1">
        <v>7.27</v>
      </c>
      <c r="C18" s="1">
        <v>0</v>
      </c>
      <c r="D18" s="1">
        <v>0</v>
      </c>
      <c r="E18" s="1">
        <v>9.5</v>
      </c>
      <c r="F18" s="1">
        <v>141.84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3.8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6.2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4.0999999999999996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7.1</v>
      </c>
      <c r="F25" s="1">
        <v>2.2999999999999998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2.9</v>
      </c>
      <c r="F26" s="1">
        <v>3.6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41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71</v>
      </c>
      <c r="F30" s="3">
        <f t="shared" si="2"/>
        <v>23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28.999999999999996</v>
      </c>
      <c r="F31" s="3">
        <f t="shared" si="3"/>
        <v>36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153.26</v>
      </c>
      <c r="C33" s="3">
        <v>137.26</v>
      </c>
      <c r="D33" s="3">
        <v>209.31</v>
      </c>
      <c r="E33" s="3">
        <v>14.87</v>
      </c>
      <c r="F33" s="3">
        <v>16.11</v>
      </c>
      <c r="G33" s="3">
        <v>141.34</v>
      </c>
    </row>
    <row r="35" spans="1:7" x14ac:dyDescent="0.3">
      <c r="A35" s="3" t="s">
        <v>36</v>
      </c>
      <c r="B35" s="3"/>
      <c r="C35" s="3"/>
      <c r="D35" s="3">
        <f>D33-C33</f>
        <v>72.050000000000011</v>
      </c>
      <c r="E35" s="3"/>
      <c r="F35" s="3">
        <f>F33-E33</f>
        <v>1.2400000000000002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-194.44</v>
      </c>
      <c r="F37" s="3"/>
      <c r="G37" s="3">
        <f>G33-F33</f>
        <v>125.23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50680-E487-4261-93A0-6531D791F3FF}">
  <dimension ref="A1:G37"/>
  <sheetViews>
    <sheetView zoomScale="70" zoomScaleNormal="70" workbookViewId="0">
      <selection activeCell="D8" sqref="D8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/>
      <c r="C2" s="1"/>
      <c r="D2" s="1"/>
      <c r="E2" s="1"/>
      <c r="F2" s="1"/>
      <c r="G2" s="1"/>
    </row>
    <row r="3" spans="1:7" x14ac:dyDescent="0.3">
      <c r="A3" s="1" t="s">
        <v>7</v>
      </c>
      <c r="B3" s="1"/>
      <c r="C3" s="1"/>
      <c r="D3" s="1"/>
      <c r="E3" s="1"/>
      <c r="F3" s="1"/>
      <c r="G3" s="1"/>
    </row>
    <row r="4" spans="1:7" x14ac:dyDescent="0.3">
      <c r="A4" s="1" t="s">
        <v>8</v>
      </c>
      <c r="B4" s="1"/>
      <c r="C4" s="1"/>
      <c r="D4" s="1"/>
      <c r="E4" s="1"/>
      <c r="F4" s="1"/>
      <c r="G4" s="1"/>
    </row>
    <row r="5" spans="1:7" x14ac:dyDescent="0.3">
      <c r="A5" s="1" t="s">
        <v>9</v>
      </c>
      <c r="B5" s="1"/>
      <c r="C5" s="1"/>
      <c r="D5" s="1"/>
      <c r="E5" s="1"/>
      <c r="F5" s="1"/>
      <c r="G5" s="1"/>
    </row>
    <row r="6" spans="1:7" x14ac:dyDescent="0.3">
      <c r="A6" s="3" t="s">
        <v>10</v>
      </c>
      <c r="B6" s="3"/>
      <c r="C6" s="3"/>
      <c r="D6" s="3"/>
      <c r="E6" s="3"/>
      <c r="F6" s="3"/>
      <c r="G6" s="3"/>
    </row>
    <row r="7" spans="1:7" x14ac:dyDescent="0.3">
      <c r="A7" s="1" t="s">
        <v>11</v>
      </c>
      <c r="B7" s="1"/>
      <c r="C7" s="1"/>
      <c r="D7" s="1"/>
      <c r="E7" s="1"/>
      <c r="F7" s="1"/>
      <c r="G7" s="1"/>
    </row>
    <row r="8" spans="1:7" x14ac:dyDescent="0.3">
      <c r="A8" s="1" t="s">
        <v>12</v>
      </c>
      <c r="B8" s="1"/>
      <c r="C8" s="1"/>
      <c r="D8" s="1"/>
      <c r="E8" s="1"/>
      <c r="F8" s="1"/>
      <c r="G8" s="1"/>
    </row>
    <row r="9" spans="1:7" x14ac:dyDescent="0.3">
      <c r="A9" s="1" t="s">
        <v>13</v>
      </c>
      <c r="B9" s="1"/>
      <c r="C9" s="1"/>
      <c r="D9" s="1"/>
      <c r="E9" s="1"/>
      <c r="F9" s="1"/>
      <c r="G9" s="1"/>
    </row>
    <row r="10" spans="1:7" x14ac:dyDescent="0.3">
      <c r="A10" s="1" t="s">
        <v>14</v>
      </c>
      <c r="B10" s="1"/>
      <c r="C10" s="1"/>
      <c r="D10" s="1"/>
      <c r="E10" s="1"/>
      <c r="F10" s="1"/>
      <c r="G10" s="1"/>
    </row>
    <row r="11" spans="1:7" x14ac:dyDescent="0.3">
      <c r="A11" s="1" t="s">
        <v>15</v>
      </c>
      <c r="B11" s="1"/>
      <c r="C11" s="1"/>
      <c r="D11" s="1"/>
      <c r="E11" s="1"/>
      <c r="F11" s="1"/>
      <c r="G11" s="1"/>
    </row>
    <row r="12" spans="1:7" x14ac:dyDescent="0.3">
      <c r="A12" s="1" t="s">
        <v>16</v>
      </c>
      <c r="B12" s="1"/>
      <c r="C12" s="1"/>
      <c r="D12" s="1"/>
      <c r="E12" s="1"/>
      <c r="F12" s="1"/>
      <c r="G12" s="1"/>
    </row>
    <row r="13" spans="1:7" x14ac:dyDescent="0.3">
      <c r="A13" s="1" t="s">
        <v>17</v>
      </c>
      <c r="B13" s="1"/>
      <c r="C13" s="1"/>
      <c r="D13" s="1"/>
      <c r="E13" s="1"/>
      <c r="F13" s="1"/>
      <c r="G13" s="1"/>
    </row>
    <row r="14" spans="1:7" x14ac:dyDescent="0.3">
      <c r="A14" s="1" t="s">
        <v>18</v>
      </c>
      <c r="B14" s="1"/>
      <c r="C14" s="1"/>
      <c r="D14" s="1"/>
      <c r="E14" s="1"/>
      <c r="F14" s="1"/>
      <c r="G14" s="1"/>
    </row>
    <row r="15" spans="1:7" x14ac:dyDescent="0.3">
      <c r="A15" s="1" t="s">
        <v>19</v>
      </c>
      <c r="B15" s="1"/>
      <c r="C15" s="1"/>
      <c r="D15" s="1"/>
      <c r="E15" s="1"/>
      <c r="F15" s="1"/>
      <c r="G15" s="1"/>
    </row>
    <row r="16" spans="1:7" x14ac:dyDescent="0.3">
      <c r="A16" s="1" t="s">
        <v>20</v>
      </c>
      <c r="B16" s="1"/>
      <c r="C16" s="1"/>
      <c r="D16" s="1"/>
      <c r="E16" s="1"/>
      <c r="F16" s="1"/>
      <c r="G16" s="1"/>
    </row>
    <row r="17" spans="1:7" x14ac:dyDescent="0.3">
      <c r="A17" s="1" t="s">
        <v>21</v>
      </c>
      <c r="B17" s="1"/>
      <c r="C17" s="1"/>
      <c r="D17" s="1"/>
      <c r="E17" s="1"/>
      <c r="F17" s="1"/>
      <c r="G17" s="1"/>
    </row>
    <row r="18" spans="1:7" x14ac:dyDescent="0.3">
      <c r="A18" s="1" t="s">
        <v>22</v>
      </c>
      <c r="B18" s="1"/>
      <c r="C18" s="1"/>
      <c r="D18" s="1"/>
      <c r="E18" s="1"/>
      <c r="F18" s="1"/>
      <c r="G18" s="1"/>
    </row>
    <row r="19" spans="1:7" x14ac:dyDescent="0.3">
      <c r="A19" s="1" t="s">
        <v>23</v>
      </c>
      <c r="B19" s="1"/>
      <c r="C19" s="1"/>
      <c r="D19" s="1"/>
      <c r="E19" s="1"/>
      <c r="F19" s="1"/>
      <c r="G19" s="1"/>
    </row>
    <row r="20" spans="1:7" x14ac:dyDescent="0.3">
      <c r="A20" s="1" t="s">
        <v>24</v>
      </c>
      <c r="B20" s="1"/>
      <c r="C20" s="1"/>
      <c r="D20" s="1"/>
      <c r="E20" s="1"/>
      <c r="F20" s="1"/>
      <c r="G20" s="1"/>
    </row>
    <row r="21" spans="1:7" x14ac:dyDescent="0.3">
      <c r="A21" s="1" t="s">
        <v>25</v>
      </c>
      <c r="B21" s="1"/>
      <c r="C21" s="1"/>
      <c r="D21" s="1"/>
      <c r="E21" s="1"/>
      <c r="F21" s="1"/>
      <c r="G21" s="1"/>
    </row>
    <row r="22" spans="1:7" x14ac:dyDescent="0.3">
      <c r="A22" s="1" t="s">
        <v>26</v>
      </c>
      <c r="B22" s="1"/>
      <c r="C22" s="1"/>
      <c r="D22" s="1"/>
      <c r="E22" s="1"/>
      <c r="F22" s="1"/>
      <c r="G22" s="1"/>
    </row>
    <row r="23" spans="1:7" x14ac:dyDescent="0.3">
      <c r="A23" s="1" t="s">
        <v>27</v>
      </c>
      <c r="B23" s="1"/>
      <c r="C23" s="1"/>
      <c r="D23" s="1"/>
      <c r="E23" s="1"/>
      <c r="F23" s="1"/>
      <c r="G23" s="1"/>
    </row>
    <row r="24" spans="1:7" x14ac:dyDescent="0.3">
      <c r="A24" s="1" t="s">
        <v>28</v>
      </c>
      <c r="B24" s="1"/>
      <c r="C24" s="1"/>
      <c r="D24" s="1"/>
      <c r="E24" s="1"/>
      <c r="F24" s="1"/>
      <c r="G24" s="1"/>
    </row>
    <row r="25" spans="1:7" x14ac:dyDescent="0.3">
      <c r="A25" s="1" t="s">
        <v>29</v>
      </c>
      <c r="B25" s="1"/>
      <c r="C25" s="1"/>
      <c r="D25" s="1"/>
      <c r="E25" s="1"/>
      <c r="F25" s="1"/>
      <c r="G25" s="1"/>
    </row>
    <row r="26" spans="1:7" x14ac:dyDescent="0.3">
      <c r="A26" s="1" t="s">
        <v>30</v>
      </c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3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3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3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/>
      <c r="C33" s="3"/>
      <c r="D33" s="3"/>
      <c r="E33" s="3"/>
      <c r="F33" s="3"/>
      <c r="G33" s="3"/>
    </row>
    <row r="35" spans="1:7" x14ac:dyDescent="0.3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240725B001.1</vt:lpstr>
      <vt:lpstr>240725B001.3</vt:lpstr>
      <vt:lpstr>240725B001.4</vt:lpstr>
      <vt:lpstr>240725B002.1</vt:lpstr>
      <vt:lpstr>240725B002.2</vt:lpstr>
      <vt:lpstr>240725B002.3</vt:lpstr>
      <vt:lpstr>240725B002.4</vt:lpstr>
      <vt:lpstr>240725B003.1</vt:lpstr>
      <vt:lpstr>240725B003.2</vt:lpstr>
      <vt:lpstr>240725B003.3</vt:lpstr>
      <vt:lpstr>240725B003.4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2024-08-26T15:59:01Z</dcterms:created>
  <dcterms:modified xsi:type="dcterms:W3CDTF">2024-08-27T05:38:39Z</dcterms:modified>
</cp:coreProperties>
</file>