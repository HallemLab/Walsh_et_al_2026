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731\WormLab Data\"/>
    </mc:Choice>
  </mc:AlternateContent>
  <xr:revisionPtr revIDLastSave="0" documentId="13_ncr:1_{D8FDA573-AF25-48F8-9E5C-8EA61714F4AE}" xr6:coauthVersionLast="47" xr6:coauthVersionMax="47" xr10:uidLastSave="{00000000-0000-0000-0000-000000000000}"/>
  <bookViews>
    <workbookView xWindow="1296" yWindow="1020" windowWidth="21036" windowHeight="11256" firstSheet="5" activeTab="10" xr2:uid="{AA9BABA2-0747-4BB6-8B4E-B23F0FBDBAE9}"/>
  </bookViews>
  <sheets>
    <sheet name="240731B001.1" sheetId="2" r:id="rId1"/>
    <sheet name="240731B001.2" sheetId="3" r:id="rId2"/>
    <sheet name="240731B001.3" sheetId="4" r:id="rId3"/>
    <sheet name="240731B001.4" sheetId="5" r:id="rId4"/>
    <sheet name="240731B002.1" sheetId="6" r:id="rId5"/>
    <sheet name="240731B002.2" sheetId="7" r:id="rId6"/>
    <sheet name="240731B002.3" sheetId="8" r:id="rId7"/>
    <sheet name="240731B003.1" sheetId="9" r:id="rId8"/>
    <sheet name="240731B003.2" sheetId="10" r:id="rId9"/>
    <sheet name="240731B003.3" sheetId="11" r:id="rId10"/>
    <sheet name="240731B003.4" sheetId="12" r:id="rId11"/>
    <sheet name="template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2" l="1"/>
  <c r="E37" i="12"/>
  <c r="C37" i="12"/>
  <c r="F35" i="12"/>
  <c r="D35" i="12"/>
  <c r="G28" i="12"/>
  <c r="G30" i="12" s="1"/>
  <c r="F28" i="12"/>
  <c r="F30" i="12" s="1"/>
  <c r="E28" i="12"/>
  <c r="E30" i="12" s="1"/>
  <c r="D28" i="12"/>
  <c r="D31" i="12" s="1"/>
  <c r="C28" i="12"/>
  <c r="C31" i="12" s="1"/>
  <c r="B28" i="12"/>
  <c r="B31" i="12" s="1"/>
  <c r="G37" i="11"/>
  <c r="E37" i="11"/>
  <c r="C37" i="11"/>
  <c r="F35" i="11"/>
  <c r="D35" i="11"/>
  <c r="G28" i="11"/>
  <c r="G30" i="11" s="1"/>
  <c r="F28" i="11"/>
  <c r="F30" i="11" s="1"/>
  <c r="E28" i="11"/>
  <c r="E30" i="11" s="1"/>
  <c r="D28" i="11"/>
  <c r="D29" i="11" s="1"/>
  <c r="C28" i="11"/>
  <c r="C29" i="11" s="1"/>
  <c r="B28" i="11"/>
  <c r="B31" i="11" s="1"/>
  <c r="G37" i="10"/>
  <c r="E37" i="10"/>
  <c r="C37" i="10"/>
  <c r="F35" i="10"/>
  <c r="D35" i="10"/>
  <c r="D31" i="10"/>
  <c r="C31" i="10"/>
  <c r="B31" i="10"/>
  <c r="D30" i="10"/>
  <c r="C30" i="10"/>
  <c r="B30" i="10"/>
  <c r="E29" i="10"/>
  <c r="D29" i="10"/>
  <c r="C29" i="10"/>
  <c r="B29" i="10"/>
  <c r="G28" i="10"/>
  <c r="G30" i="10" s="1"/>
  <c r="F28" i="10"/>
  <c r="F31" i="10" s="1"/>
  <c r="E28" i="10"/>
  <c r="E31" i="10" s="1"/>
  <c r="D28" i="10"/>
  <c r="C28" i="10"/>
  <c r="B28" i="10"/>
  <c r="G37" i="9"/>
  <c r="E37" i="9"/>
  <c r="C37" i="9"/>
  <c r="F35" i="9"/>
  <c r="D35" i="9"/>
  <c r="C31" i="9"/>
  <c r="B31" i="9"/>
  <c r="C30" i="9"/>
  <c r="B30" i="9"/>
  <c r="C29" i="9"/>
  <c r="B29" i="9"/>
  <c r="G28" i="9"/>
  <c r="G30" i="9" s="1"/>
  <c r="F28" i="9"/>
  <c r="F30" i="9" s="1"/>
  <c r="E28" i="9"/>
  <c r="E31" i="9" s="1"/>
  <c r="D28" i="9"/>
  <c r="D29" i="9" s="1"/>
  <c r="C28" i="9"/>
  <c r="B28" i="9"/>
  <c r="G37" i="8"/>
  <c r="E37" i="8"/>
  <c r="C37" i="8"/>
  <c r="F35" i="8"/>
  <c r="D35" i="8"/>
  <c r="G28" i="8"/>
  <c r="G31" i="8" s="1"/>
  <c r="F28" i="8"/>
  <c r="F31" i="8" s="1"/>
  <c r="E28" i="8"/>
  <c r="E31" i="8" s="1"/>
  <c r="D28" i="8"/>
  <c r="D30" i="8" s="1"/>
  <c r="C28" i="8"/>
  <c r="C31" i="8" s="1"/>
  <c r="B28" i="8"/>
  <c r="B31" i="8" s="1"/>
  <c r="G37" i="7"/>
  <c r="E37" i="7"/>
  <c r="C37" i="7"/>
  <c r="F35" i="7"/>
  <c r="D35" i="7"/>
  <c r="G28" i="7"/>
  <c r="G30" i="7" s="1"/>
  <c r="F28" i="7"/>
  <c r="F30" i="7" s="1"/>
  <c r="E28" i="7"/>
  <c r="E30" i="7" s="1"/>
  <c r="D28" i="7"/>
  <c r="D31" i="7" s="1"/>
  <c r="C28" i="7"/>
  <c r="C31" i="7" s="1"/>
  <c r="B28" i="7"/>
  <c r="B31" i="7" s="1"/>
  <c r="G37" i="6"/>
  <c r="E37" i="6"/>
  <c r="C37" i="6"/>
  <c r="F35" i="6"/>
  <c r="D35" i="6"/>
  <c r="G28" i="6"/>
  <c r="G30" i="6" s="1"/>
  <c r="F28" i="6"/>
  <c r="F30" i="6" s="1"/>
  <c r="E28" i="6"/>
  <c r="E31" i="6" s="1"/>
  <c r="D28" i="6"/>
  <c r="D29" i="6" s="1"/>
  <c r="C28" i="6"/>
  <c r="C31" i="6" s="1"/>
  <c r="B28" i="6"/>
  <c r="B31" i="6" s="1"/>
  <c r="G37" i="5"/>
  <c r="E37" i="5"/>
  <c r="C37" i="5"/>
  <c r="F35" i="5"/>
  <c r="D35" i="5"/>
  <c r="F31" i="5"/>
  <c r="E31" i="5"/>
  <c r="D31" i="5"/>
  <c r="C31" i="5"/>
  <c r="B31" i="5"/>
  <c r="F30" i="5"/>
  <c r="E30" i="5"/>
  <c r="D30" i="5"/>
  <c r="C30" i="5"/>
  <c r="B30" i="5"/>
  <c r="F29" i="5"/>
  <c r="E29" i="5"/>
  <c r="G28" i="5"/>
  <c r="G31" i="5" s="1"/>
  <c r="F28" i="5"/>
  <c r="E28" i="5"/>
  <c r="D28" i="5"/>
  <c r="D29" i="5" s="1"/>
  <c r="C28" i="5"/>
  <c r="C29" i="5" s="1"/>
  <c r="B28" i="5"/>
  <c r="B29" i="5" s="1"/>
  <c r="G37" i="4"/>
  <c r="E37" i="4"/>
  <c r="C37" i="4"/>
  <c r="F35" i="4"/>
  <c r="D35" i="4"/>
  <c r="G28" i="4"/>
  <c r="G30" i="4" s="1"/>
  <c r="F28" i="4"/>
  <c r="F30" i="4" s="1"/>
  <c r="E28" i="4"/>
  <c r="E30" i="4" s="1"/>
  <c r="D28" i="4"/>
  <c r="D31" i="4" s="1"/>
  <c r="C28" i="4"/>
  <c r="C31" i="4" s="1"/>
  <c r="B28" i="4"/>
  <c r="B31" i="4" s="1"/>
  <c r="G37" i="3"/>
  <c r="E37" i="3"/>
  <c r="C37" i="3"/>
  <c r="F35" i="3"/>
  <c r="D35" i="3"/>
  <c r="C31" i="3"/>
  <c r="B31" i="3"/>
  <c r="B29" i="3"/>
  <c r="G28" i="3"/>
  <c r="G31" i="3" s="1"/>
  <c r="F28" i="3"/>
  <c r="F30" i="3" s="1"/>
  <c r="E28" i="3"/>
  <c r="E30" i="3" s="1"/>
  <c r="D28" i="3"/>
  <c r="D29" i="3" s="1"/>
  <c r="C28" i="3"/>
  <c r="C29" i="3" s="1"/>
  <c r="B28" i="3"/>
  <c r="B30" i="3" s="1"/>
  <c r="G37" i="2"/>
  <c r="E37" i="2"/>
  <c r="C37" i="2"/>
  <c r="F35" i="2"/>
  <c r="D35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G28" i="2"/>
  <c r="F28" i="2"/>
  <c r="E28" i="2"/>
  <c r="D28" i="2"/>
  <c r="C28" i="2"/>
  <c r="C29" i="2" s="1"/>
  <c r="B28" i="2"/>
  <c r="B29" i="2" s="1"/>
  <c r="G37" i="1"/>
  <c r="E37" i="1"/>
  <c r="C37" i="1"/>
  <c r="F35" i="1"/>
  <c r="D35" i="1"/>
  <c r="G31" i="1"/>
  <c r="F31" i="1"/>
  <c r="E31" i="1"/>
  <c r="D31" i="1"/>
  <c r="B31" i="1"/>
  <c r="G30" i="1"/>
  <c r="F30" i="1"/>
  <c r="E30" i="1"/>
  <c r="D30" i="1"/>
  <c r="B30" i="1"/>
  <c r="G29" i="1"/>
  <c r="G28" i="1"/>
  <c r="F28" i="1"/>
  <c r="F29" i="1" s="1"/>
  <c r="E28" i="1"/>
  <c r="E29" i="1" s="1"/>
  <c r="D28" i="1"/>
  <c r="D29" i="1" s="1"/>
  <c r="C28" i="1"/>
  <c r="C31" i="1" s="1"/>
  <c r="B28" i="1"/>
  <c r="B29" i="1" s="1"/>
  <c r="B29" i="12" l="1"/>
  <c r="B30" i="12"/>
  <c r="E31" i="12"/>
  <c r="F31" i="12"/>
  <c r="G31" i="12"/>
  <c r="C29" i="12"/>
  <c r="D29" i="12"/>
  <c r="E29" i="12"/>
  <c r="F29" i="12"/>
  <c r="G29" i="12"/>
  <c r="C30" i="12"/>
  <c r="D30" i="12"/>
  <c r="B29" i="11"/>
  <c r="E29" i="11"/>
  <c r="F29" i="11"/>
  <c r="G29" i="11"/>
  <c r="B30" i="11"/>
  <c r="E31" i="11"/>
  <c r="F31" i="11"/>
  <c r="G31" i="11"/>
  <c r="C30" i="11"/>
  <c r="D30" i="11"/>
  <c r="C31" i="11"/>
  <c r="D31" i="11"/>
  <c r="F29" i="10"/>
  <c r="G29" i="10"/>
  <c r="G31" i="10"/>
  <c r="E30" i="10"/>
  <c r="F30" i="10"/>
  <c r="E29" i="9"/>
  <c r="F29" i="9"/>
  <c r="G29" i="9"/>
  <c r="F31" i="9"/>
  <c r="G31" i="9"/>
  <c r="D30" i="9"/>
  <c r="E30" i="9"/>
  <c r="D31" i="9"/>
  <c r="D31" i="8"/>
  <c r="B29" i="8"/>
  <c r="C29" i="8"/>
  <c r="D29" i="8"/>
  <c r="E29" i="8"/>
  <c r="F29" i="8"/>
  <c r="G29" i="8"/>
  <c r="B30" i="8"/>
  <c r="C30" i="8"/>
  <c r="E30" i="8"/>
  <c r="F30" i="8"/>
  <c r="G30" i="8"/>
  <c r="B29" i="7"/>
  <c r="B30" i="7"/>
  <c r="E31" i="7"/>
  <c r="F31" i="7"/>
  <c r="G31" i="7"/>
  <c r="C29" i="7"/>
  <c r="D29" i="7"/>
  <c r="E29" i="7"/>
  <c r="F29" i="7"/>
  <c r="G29" i="7"/>
  <c r="C30" i="7"/>
  <c r="D30" i="7"/>
  <c r="B29" i="6"/>
  <c r="C29" i="6"/>
  <c r="B30" i="6"/>
  <c r="C30" i="6"/>
  <c r="F31" i="6"/>
  <c r="G31" i="6"/>
  <c r="E29" i="6"/>
  <c r="F29" i="6"/>
  <c r="G29" i="6"/>
  <c r="D30" i="6"/>
  <c r="E30" i="6"/>
  <c r="D31" i="6"/>
  <c r="G29" i="5"/>
  <c r="G30" i="5"/>
  <c r="B29" i="4"/>
  <c r="D29" i="4"/>
  <c r="B30" i="4"/>
  <c r="E31" i="4"/>
  <c r="F31" i="4"/>
  <c r="G31" i="4"/>
  <c r="C29" i="4"/>
  <c r="E29" i="4"/>
  <c r="F29" i="4"/>
  <c r="G29" i="4"/>
  <c r="C30" i="4"/>
  <c r="D30" i="4"/>
  <c r="G30" i="3"/>
  <c r="F31" i="3"/>
  <c r="E29" i="3"/>
  <c r="F29" i="3"/>
  <c r="G29" i="3"/>
  <c r="D31" i="3"/>
  <c r="E31" i="3"/>
  <c r="C30" i="3"/>
  <c r="D30" i="3"/>
  <c r="C29" i="1"/>
  <c r="C30" i="1"/>
</calcChain>
</file>

<file path=xl/sharedStrings.xml><?xml version="1.0" encoding="utf-8"?>
<sst xmlns="http://schemas.openxmlformats.org/spreadsheetml/2006/main" count="456" uniqueCount="37">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</sst>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2D54-665E-44CC-8DF9-F1ECE89EE1F0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421.67</v>
      </c>
      <c r="C2" s="1">
        <v>434.28</v>
      </c>
      <c r="D2" s="1">
        <v>430.27</v>
      </c>
      <c r="E2" s="1">
        <v>389.4</v>
      </c>
      <c r="F2" s="1">
        <v>421.81</v>
      </c>
      <c r="G2" s="1">
        <v>440.99</v>
      </c>
    </row>
    <row r="3" spans="1:7" x14ac:dyDescent="0.3">
      <c r="A3" s="1" t="s">
        <v>7</v>
      </c>
      <c r="B3" s="1">
        <v>45.02</v>
      </c>
      <c r="C3" s="1">
        <v>46.12</v>
      </c>
      <c r="D3" s="1">
        <v>47.04</v>
      </c>
      <c r="E3" s="1">
        <v>46.21</v>
      </c>
      <c r="F3" s="1">
        <v>47.97</v>
      </c>
      <c r="G3" s="1">
        <v>52.17</v>
      </c>
    </row>
    <row r="4" spans="1:7" x14ac:dyDescent="0.3">
      <c r="A4" s="1" t="s">
        <v>8</v>
      </c>
      <c r="B4" s="1">
        <v>19305.43</v>
      </c>
      <c r="C4" s="1">
        <v>20410.150000000001</v>
      </c>
      <c r="D4" s="1">
        <v>20610.84</v>
      </c>
      <c r="E4" s="1">
        <v>18307.990000000002</v>
      </c>
      <c r="F4" s="1">
        <v>20553.07</v>
      </c>
      <c r="G4" s="1">
        <v>23403.8</v>
      </c>
    </row>
    <row r="5" spans="1:7" x14ac:dyDescent="0.3">
      <c r="A5" s="1" t="s">
        <v>9</v>
      </c>
      <c r="B5" s="1">
        <v>1797.06</v>
      </c>
      <c r="C5" s="1">
        <v>2005.09</v>
      </c>
      <c r="D5" s="1">
        <v>1720.08</v>
      </c>
      <c r="E5" s="1">
        <v>81.52</v>
      </c>
      <c r="F5" s="1">
        <v>711.35</v>
      </c>
      <c r="G5" s="1">
        <v>1223.8699999999999</v>
      </c>
    </row>
    <row r="6" spans="1:7" x14ac:dyDescent="0.3">
      <c r="A6" s="3" t="s">
        <v>10</v>
      </c>
      <c r="B6" s="3">
        <v>179.71</v>
      </c>
      <c r="C6" s="3">
        <v>202.53</v>
      </c>
      <c r="D6" s="3">
        <v>173.75</v>
      </c>
      <c r="E6" s="3">
        <v>8.23</v>
      </c>
      <c r="F6" s="3">
        <v>71.849999999999994</v>
      </c>
      <c r="G6" s="3">
        <v>124.88</v>
      </c>
    </row>
    <row r="7" spans="1:7" x14ac:dyDescent="0.3">
      <c r="A7" s="1" t="s">
        <v>11</v>
      </c>
      <c r="B7" s="1">
        <v>1635.52</v>
      </c>
      <c r="C7" s="1">
        <v>1936.53</v>
      </c>
      <c r="D7" s="1">
        <v>1668.15</v>
      </c>
      <c r="E7" s="1">
        <v>70.97</v>
      </c>
      <c r="F7" s="1">
        <v>687.11</v>
      </c>
      <c r="G7" s="1">
        <v>1174.43</v>
      </c>
    </row>
    <row r="8" spans="1:7" x14ac:dyDescent="0.3">
      <c r="A8" s="1" t="s">
        <v>12</v>
      </c>
      <c r="B8" s="1">
        <v>163.55000000000001</v>
      </c>
      <c r="C8" s="1">
        <v>195.61</v>
      </c>
      <c r="D8" s="1">
        <v>168.5</v>
      </c>
      <c r="E8" s="1">
        <v>7.17</v>
      </c>
      <c r="F8" s="1">
        <v>69.41</v>
      </c>
      <c r="G8" s="1">
        <v>119.84</v>
      </c>
    </row>
    <row r="9" spans="1:7" x14ac:dyDescent="0.3">
      <c r="A9" s="1" t="s">
        <v>13</v>
      </c>
      <c r="B9" s="1">
        <v>1196.72</v>
      </c>
      <c r="C9" s="1">
        <v>1936.53</v>
      </c>
      <c r="D9" s="1">
        <v>1668.15</v>
      </c>
      <c r="E9" s="1">
        <v>28.87</v>
      </c>
      <c r="F9" s="1">
        <v>332.87</v>
      </c>
      <c r="G9" s="1">
        <v>589.03</v>
      </c>
    </row>
    <row r="10" spans="1:7" x14ac:dyDescent="0.3">
      <c r="A10" s="1" t="s">
        <v>14</v>
      </c>
      <c r="B10" s="1">
        <v>119.67</v>
      </c>
      <c r="C10" s="1">
        <v>195.61</v>
      </c>
      <c r="D10" s="1">
        <v>168.5</v>
      </c>
      <c r="E10" s="1">
        <v>2.92</v>
      </c>
      <c r="F10" s="1">
        <v>33.619999999999997</v>
      </c>
      <c r="G10" s="1">
        <v>60.1</v>
      </c>
    </row>
    <row r="11" spans="1:7" x14ac:dyDescent="0.3">
      <c r="A11" s="1" t="s">
        <v>15</v>
      </c>
      <c r="B11" s="1">
        <v>722.36</v>
      </c>
      <c r="C11" s="1">
        <v>1784.69</v>
      </c>
      <c r="D11" s="1">
        <v>1572.34</v>
      </c>
      <c r="E11" s="1">
        <v>25.58</v>
      </c>
      <c r="F11" s="1">
        <v>63.57</v>
      </c>
      <c r="G11" s="1">
        <v>182.73</v>
      </c>
    </row>
    <row r="12" spans="1:7" x14ac:dyDescent="0.3">
      <c r="A12" s="1" t="s">
        <v>16</v>
      </c>
      <c r="B12" s="1">
        <v>237.62</v>
      </c>
      <c r="C12" s="1">
        <v>268.54000000000002</v>
      </c>
      <c r="D12" s="1">
        <v>264.16000000000003</v>
      </c>
      <c r="E12" s="1">
        <v>208.72</v>
      </c>
      <c r="F12" s="1">
        <v>245.24</v>
      </c>
      <c r="G12" s="1">
        <v>247.14</v>
      </c>
    </row>
    <row r="13" spans="1:7" x14ac:dyDescent="0.3">
      <c r="A13" s="1" t="s">
        <v>17</v>
      </c>
      <c r="B13" s="1">
        <v>33.32</v>
      </c>
      <c r="C13" s="1">
        <v>26.53</v>
      </c>
      <c r="D13" s="1">
        <v>23.77</v>
      </c>
      <c r="E13" s="1">
        <v>11.98</v>
      </c>
      <c r="F13" s="1">
        <v>25.24</v>
      </c>
      <c r="G13" s="1">
        <v>32.64</v>
      </c>
    </row>
    <row r="14" spans="1:7" x14ac:dyDescent="0.3">
      <c r="A14" s="1" t="s">
        <v>18</v>
      </c>
      <c r="B14" s="1">
        <v>79.819999999999993</v>
      </c>
      <c r="C14" s="1">
        <v>61.38</v>
      </c>
      <c r="D14" s="1">
        <v>52.12</v>
      </c>
      <c r="E14" s="1">
        <v>16.2</v>
      </c>
      <c r="F14" s="1">
        <v>46.94</v>
      </c>
      <c r="G14" s="1">
        <v>65.5</v>
      </c>
    </row>
    <row r="15" spans="1:7" x14ac:dyDescent="0.3">
      <c r="A15" s="1" t="s">
        <v>19</v>
      </c>
      <c r="B15" s="1">
        <v>8</v>
      </c>
      <c r="C15" s="1">
        <v>10</v>
      </c>
      <c r="D15" s="1">
        <v>7</v>
      </c>
      <c r="E15" s="1">
        <v>0</v>
      </c>
      <c r="F15" s="1">
        <v>3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1416.12</v>
      </c>
      <c r="C17" s="1">
        <v>1936.53</v>
      </c>
      <c r="D17" s="1">
        <v>1668.15</v>
      </c>
      <c r="E17" s="1">
        <v>49.92</v>
      </c>
      <c r="F17" s="1">
        <v>509.99</v>
      </c>
      <c r="G17" s="1">
        <v>881.73</v>
      </c>
    </row>
    <row r="18" spans="1:7" x14ac:dyDescent="0.3">
      <c r="A18" s="1" t="s">
        <v>22</v>
      </c>
      <c r="B18" s="1">
        <v>219.4</v>
      </c>
      <c r="C18" s="1">
        <v>0</v>
      </c>
      <c r="D18" s="1">
        <v>0</v>
      </c>
      <c r="E18" s="1">
        <v>21.05</v>
      </c>
      <c r="F18" s="1">
        <v>177.12</v>
      </c>
      <c r="G18" s="1">
        <v>292.7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1">
        <v>2</v>
      </c>
    </row>
    <row r="20" spans="1:7" x14ac:dyDescent="0.3">
      <c r="A20" s="1" t="s">
        <v>24</v>
      </c>
      <c r="B20" s="1">
        <v>2.7</v>
      </c>
      <c r="C20" s="1">
        <v>0</v>
      </c>
      <c r="D20" s="1">
        <v>0</v>
      </c>
      <c r="E20" s="1">
        <v>0</v>
      </c>
      <c r="F20" s="1">
        <v>3.2</v>
      </c>
      <c r="G20" s="1">
        <v>2.7</v>
      </c>
    </row>
    <row r="21" spans="1:7" x14ac:dyDescent="0.3">
      <c r="A21" s="1" t="s">
        <v>25</v>
      </c>
      <c r="B21" s="1">
        <v>7.4</v>
      </c>
      <c r="C21" s="1">
        <v>10</v>
      </c>
      <c r="D21" s="1">
        <v>10</v>
      </c>
      <c r="E21" s="1">
        <v>10</v>
      </c>
      <c r="F21" s="1">
        <v>6.8</v>
      </c>
      <c r="G21" s="1">
        <v>7.2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3</v>
      </c>
      <c r="C24" s="1">
        <v>0</v>
      </c>
      <c r="D24" s="1">
        <v>0</v>
      </c>
      <c r="E24" s="1">
        <v>0</v>
      </c>
      <c r="F24" s="1">
        <v>3</v>
      </c>
      <c r="G24" s="1">
        <v>1.3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2.8</v>
      </c>
      <c r="G25" s="1">
        <v>0</v>
      </c>
    </row>
    <row r="26" spans="1:7" x14ac:dyDescent="0.3">
      <c r="A26" s="1" t="s">
        <v>30</v>
      </c>
      <c r="B26" s="1">
        <v>7.1</v>
      </c>
      <c r="C26" s="1">
        <v>10</v>
      </c>
      <c r="D26" s="1">
        <v>10</v>
      </c>
      <c r="E26" s="1">
        <v>0</v>
      </c>
      <c r="F26" s="1">
        <v>4.2</v>
      </c>
      <c r="G26" s="1">
        <v>8.6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29.702970297029701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30</v>
      </c>
      <c r="G29" s="3">
        <f t="shared" si="1"/>
        <v>13.131313131313133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27.999999999999996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70.297029702970292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42.000000000000007</v>
      </c>
      <c r="G31" s="3">
        <f t="shared" si="3"/>
        <v>86.868686868686865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75.59</v>
      </c>
      <c r="C33" s="3">
        <v>201.33</v>
      </c>
      <c r="D33" s="3">
        <v>174.11</v>
      </c>
      <c r="E33" s="3">
        <v>3.09</v>
      </c>
      <c r="F33" s="3">
        <v>5.81</v>
      </c>
      <c r="G33" s="3">
        <v>30.57</v>
      </c>
    </row>
    <row r="35" spans="1:7" x14ac:dyDescent="0.3">
      <c r="A35" s="3" t="s">
        <v>36</v>
      </c>
      <c r="B35" s="3"/>
      <c r="C35" s="3"/>
      <c r="D35" s="3">
        <f>D33-C33</f>
        <v>-27.22</v>
      </c>
      <c r="E35" s="3"/>
      <c r="F35" s="3">
        <f>F33-E33</f>
        <v>2.7199999999999998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-171.02</v>
      </c>
      <c r="F37" s="3"/>
      <c r="G37" s="3">
        <f>G33-F33</f>
        <v>24.76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264D-ACA3-4D56-81EE-25583A25E93E}">
  <dimension ref="A1:G37"/>
  <sheetViews>
    <sheetView zoomScale="70" zoomScaleNormal="70" workbookViewId="0">
      <selection activeCell="M8" sqref="M8:M18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411.56</v>
      </c>
      <c r="C2" s="1">
        <v>441.18</v>
      </c>
      <c r="D2" s="1">
        <v>433.09</v>
      </c>
      <c r="E2" s="1">
        <v>393.47</v>
      </c>
      <c r="F2" s="1">
        <v>436.76</v>
      </c>
      <c r="G2" s="1">
        <v>479.58</v>
      </c>
    </row>
    <row r="3" spans="1:7" x14ac:dyDescent="0.3">
      <c r="A3" s="1" t="s">
        <v>7</v>
      </c>
      <c r="B3" s="1">
        <v>51.97</v>
      </c>
      <c r="C3" s="1">
        <v>52.09</v>
      </c>
      <c r="D3" s="1">
        <v>49.04</v>
      </c>
      <c r="E3" s="1">
        <v>52.35</v>
      </c>
      <c r="F3" s="1">
        <v>50.3</v>
      </c>
      <c r="G3" s="1">
        <v>53.95</v>
      </c>
    </row>
    <row r="4" spans="1:7" x14ac:dyDescent="0.3">
      <c r="A4" s="1" t="s">
        <v>8</v>
      </c>
      <c r="B4" s="1">
        <v>21727.82</v>
      </c>
      <c r="C4" s="1">
        <v>23358.42</v>
      </c>
      <c r="D4" s="1">
        <v>21552.21</v>
      </c>
      <c r="E4" s="1">
        <v>20931.62</v>
      </c>
      <c r="F4" s="1">
        <v>22398.55</v>
      </c>
      <c r="G4" s="1">
        <v>26322.58</v>
      </c>
    </row>
    <row r="5" spans="1:7" x14ac:dyDescent="0.3">
      <c r="A5" s="1" t="s">
        <v>9</v>
      </c>
      <c r="B5" s="1">
        <v>1065.9000000000001</v>
      </c>
      <c r="C5" s="1">
        <v>1551.9</v>
      </c>
      <c r="D5" s="1">
        <v>1274.47</v>
      </c>
      <c r="E5" s="1">
        <v>1132.28</v>
      </c>
      <c r="F5" s="1">
        <v>857.94</v>
      </c>
      <c r="G5" s="1">
        <v>1491.21</v>
      </c>
    </row>
    <row r="6" spans="1:7" x14ac:dyDescent="0.3">
      <c r="A6" s="3" t="s">
        <v>10</v>
      </c>
      <c r="B6" s="3">
        <v>106.59</v>
      </c>
      <c r="C6" s="3">
        <v>156.76</v>
      </c>
      <c r="D6" s="3">
        <v>128.72999999999999</v>
      </c>
      <c r="E6" s="3">
        <v>114.37</v>
      </c>
      <c r="F6" s="3">
        <v>86.66</v>
      </c>
      <c r="G6" s="3">
        <v>152.16</v>
      </c>
    </row>
    <row r="7" spans="1:7" x14ac:dyDescent="0.3">
      <c r="A7" s="1" t="s">
        <v>11</v>
      </c>
      <c r="B7" s="1">
        <v>1009.96</v>
      </c>
      <c r="C7" s="1">
        <v>1487.23</v>
      </c>
      <c r="D7" s="1">
        <v>1172.97</v>
      </c>
      <c r="E7" s="1">
        <v>943.77</v>
      </c>
      <c r="F7" s="1">
        <v>791.48</v>
      </c>
      <c r="G7" s="1">
        <v>1467.12</v>
      </c>
    </row>
    <row r="8" spans="1:7" x14ac:dyDescent="0.3">
      <c r="A8" s="1" t="s">
        <v>12</v>
      </c>
      <c r="B8" s="1">
        <v>101</v>
      </c>
      <c r="C8" s="1">
        <v>150.22999999999999</v>
      </c>
      <c r="D8" s="1">
        <v>118.48</v>
      </c>
      <c r="E8" s="1">
        <v>95.33</v>
      </c>
      <c r="F8" s="1">
        <v>79.95</v>
      </c>
      <c r="G8" s="1">
        <v>149.71</v>
      </c>
    </row>
    <row r="9" spans="1:7" x14ac:dyDescent="0.3">
      <c r="A9" s="1" t="s">
        <v>13</v>
      </c>
      <c r="B9" s="1">
        <v>884.47</v>
      </c>
      <c r="C9" s="1">
        <v>1487.23</v>
      </c>
      <c r="D9" s="1">
        <v>1172.97</v>
      </c>
      <c r="E9" s="1">
        <v>-471.43</v>
      </c>
      <c r="F9" s="1">
        <v>612.86</v>
      </c>
      <c r="G9" s="1">
        <v>1467.12</v>
      </c>
    </row>
    <row r="10" spans="1:7" x14ac:dyDescent="0.3">
      <c r="A10" s="1" t="s">
        <v>14</v>
      </c>
      <c r="B10" s="1">
        <v>88.45</v>
      </c>
      <c r="C10" s="1">
        <v>150.22999999999999</v>
      </c>
      <c r="D10" s="1">
        <v>118.48</v>
      </c>
      <c r="E10" s="1">
        <v>-47.62</v>
      </c>
      <c r="F10" s="1">
        <v>61.9</v>
      </c>
      <c r="G10" s="1">
        <v>149.71</v>
      </c>
    </row>
    <row r="11" spans="1:7" x14ac:dyDescent="0.3">
      <c r="A11" s="1" t="s">
        <v>15</v>
      </c>
      <c r="B11" s="1">
        <v>658.96</v>
      </c>
      <c r="C11" s="1">
        <v>1315.19</v>
      </c>
      <c r="D11" s="1">
        <v>817.82</v>
      </c>
      <c r="E11" s="1">
        <v>113.4</v>
      </c>
      <c r="F11" s="1">
        <v>460.97</v>
      </c>
      <c r="G11" s="1">
        <v>1270.8800000000001</v>
      </c>
    </row>
    <row r="12" spans="1:7" x14ac:dyDescent="0.3">
      <c r="A12" s="1" t="s">
        <v>16</v>
      </c>
      <c r="B12" s="1">
        <v>210.22</v>
      </c>
      <c r="C12" s="1">
        <v>242.17</v>
      </c>
      <c r="D12" s="1">
        <v>216.91</v>
      </c>
      <c r="E12" s="1">
        <v>171.09</v>
      </c>
      <c r="F12" s="1">
        <v>204.24</v>
      </c>
      <c r="G12" s="1">
        <v>254.28</v>
      </c>
    </row>
    <row r="13" spans="1:7" x14ac:dyDescent="0.3">
      <c r="A13" s="1" t="s">
        <v>17</v>
      </c>
      <c r="B13" s="1">
        <v>30.93</v>
      </c>
      <c r="C13" s="1">
        <v>33.04</v>
      </c>
      <c r="D13" s="1">
        <v>36.270000000000003</v>
      </c>
      <c r="E13" s="1">
        <v>41.53</v>
      </c>
      <c r="F13" s="1">
        <v>32.909999999999997</v>
      </c>
      <c r="G13" s="1">
        <v>29.68</v>
      </c>
    </row>
    <row r="14" spans="1:7" x14ac:dyDescent="0.3">
      <c r="A14" s="1" t="s">
        <v>18</v>
      </c>
      <c r="B14" s="1">
        <v>60.15</v>
      </c>
      <c r="C14" s="1">
        <v>63.37</v>
      </c>
      <c r="D14" s="1">
        <v>80.03</v>
      </c>
      <c r="E14" s="1">
        <v>78.37</v>
      </c>
      <c r="F14" s="1">
        <v>73.12</v>
      </c>
      <c r="G14" s="1">
        <v>56.83</v>
      </c>
    </row>
    <row r="15" spans="1:7" x14ac:dyDescent="0.3">
      <c r="A15" s="1" t="s">
        <v>19</v>
      </c>
      <c r="B15" s="1">
        <v>8</v>
      </c>
      <c r="C15" s="1">
        <v>10</v>
      </c>
      <c r="D15" s="1">
        <v>5</v>
      </c>
      <c r="E15" s="1">
        <v>7</v>
      </c>
      <c r="F15" s="1">
        <v>3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947.21</v>
      </c>
      <c r="C17" s="1">
        <v>1487.23</v>
      </c>
      <c r="D17" s="1">
        <v>1172.97</v>
      </c>
      <c r="E17" s="1">
        <v>236.17</v>
      </c>
      <c r="F17" s="1">
        <v>702.17</v>
      </c>
      <c r="G17" s="1">
        <v>1467.12</v>
      </c>
    </row>
    <row r="18" spans="1:7" x14ac:dyDescent="0.3">
      <c r="A18" s="1" t="s">
        <v>22</v>
      </c>
      <c r="B18" s="1">
        <v>62.74</v>
      </c>
      <c r="C18" s="1">
        <v>0</v>
      </c>
      <c r="D18" s="1">
        <v>0</v>
      </c>
      <c r="E18" s="1">
        <v>707.6</v>
      </c>
      <c r="F18" s="1">
        <v>89.31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3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5.4</v>
      </c>
      <c r="F20" s="1">
        <v>1.8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4.5999999999999996</v>
      </c>
      <c r="F21" s="1">
        <v>8.1999999999999993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2.2999999999999998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3.3</v>
      </c>
      <c r="F24" s="1">
        <v>1.1000000000000001</v>
      </c>
      <c r="G24" s="1">
        <v>0</v>
      </c>
    </row>
    <row r="25" spans="1:7" x14ac:dyDescent="0.3">
      <c r="A25" s="1" t="s">
        <v>29</v>
      </c>
      <c r="B25" s="1">
        <v>2.2999999999999998</v>
      </c>
      <c r="C25" s="1">
        <v>0</v>
      </c>
      <c r="D25" s="1">
        <v>0</v>
      </c>
      <c r="E25" s="1">
        <v>4.8</v>
      </c>
      <c r="F25" s="1">
        <v>0</v>
      </c>
      <c r="G25" s="1">
        <v>0</v>
      </c>
    </row>
    <row r="26" spans="1:7" x14ac:dyDescent="0.3">
      <c r="A26" s="1" t="s">
        <v>30</v>
      </c>
      <c r="B26" s="1">
        <v>7.8</v>
      </c>
      <c r="C26" s="1">
        <v>10</v>
      </c>
      <c r="D26" s="1">
        <v>10</v>
      </c>
      <c r="E26" s="1">
        <v>1.9</v>
      </c>
      <c r="F26" s="1">
        <v>8.9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32.999999999999993</v>
      </c>
      <c r="F29" s="3">
        <f t="shared" si="1"/>
        <v>11.000000000000002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22.772277227722771</v>
      </c>
      <c r="C30" s="3">
        <f t="shared" ref="C30:G30" si="2">C25/C28*100</f>
        <v>0</v>
      </c>
      <c r="D30" s="3">
        <f t="shared" si="2"/>
        <v>0</v>
      </c>
      <c r="E30" s="3">
        <f t="shared" si="2"/>
        <v>48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77.227722772277232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19</v>
      </c>
      <c r="F31" s="3">
        <f t="shared" si="3"/>
        <v>89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90.84</v>
      </c>
      <c r="C33" s="3">
        <v>154.5</v>
      </c>
      <c r="D33" s="3">
        <v>128.28</v>
      </c>
      <c r="E33" s="3">
        <v>-20.3</v>
      </c>
      <c r="F33" s="3">
        <v>43.4</v>
      </c>
      <c r="G33" s="3">
        <v>150.75</v>
      </c>
    </row>
    <row r="35" spans="1:7" x14ac:dyDescent="0.3">
      <c r="A35" s="3" t="s">
        <v>36</v>
      </c>
      <c r="B35" s="3"/>
      <c r="C35" s="3"/>
      <c r="D35" s="3">
        <f>D33-C33</f>
        <v>-26.22</v>
      </c>
      <c r="E35" s="3"/>
      <c r="F35" s="3">
        <f>F33-E33</f>
        <v>63.7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-148.58000000000001</v>
      </c>
      <c r="F37" s="3"/>
      <c r="G37" s="3">
        <f>G33-F33</f>
        <v>107.35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D52D-A6D6-43ED-A437-742E307DD8BF}">
  <dimension ref="A1:G37"/>
  <sheetViews>
    <sheetView zoomScale="70" zoomScaleNormal="70" workbookViewId="0">
      <selection activeCell="L21" sqref="L21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372.93</v>
      </c>
      <c r="C2" s="1">
        <v>390.4</v>
      </c>
      <c r="D2" s="1">
        <v>398.88</v>
      </c>
      <c r="E2" s="1">
        <v>384.41</v>
      </c>
      <c r="F2" s="1">
        <v>393.13</v>
      </c>
      <c r="G2" s="1">
        <v>392.54</v>
      </c>
    </row>
    <row r="3" spans="1:7" x14ac:dyDescent="0.3">
      <c r="A3" s="1" t="s">
        <v>7</v>
      </c>
      <c r="B3" s="1">
        <v>39.17</v>
      </c>
      <c r="C3" s="1">
        <v>42.89</v>
      </c>
      <c r="D3" s="1">
        <v>38.950000000000003</v>
      </c>
      <c r="E3" s="1">
        <v>46.09</v>
      </c>
      <c r="F3" s="1">
        <v>44.97</v>
      </c>
      <c r="G3" s="1">
        <v>44.26</v>
      </c>
    </row>
    <row r="4" spans="1:7" x14ac:dyDescent="0.3">
      <c r="A4" s="1" t="s">
        <v>8</v>
      </c>
      <c r="B4" s="1">
        <v>14820.36</v>
      </c>
      <c r="C4" s="1">
        <v>17013.810000000001</v>
      </c>
      <c r="D4" s="1">
        <v>15770.95</v>
      </c>
      <c r="E4" s="1">
        <v>18014.310000000001</v>
      </c>
      <c r="F4" s="1">
        <v>17987.96</v>
      </c>
      <c r="G4" s="1">
        <v>17695.09</v>
      </c>
    </row>
    <row r="5" spans="1:7" x14ac:dyDescent="0.3">
      <c r="A5" s="1" t="s">
        <v>9</v>
      </c>
      <c r="B5" s="1">
        <v>1540.61</v>
      </c>
      <c r="C5" s="1">
        <v>1576.69</v>
      </c>
      <c r="D5" s="1">
        <v>2445.62</v>
      </c>
      <c r="E5" s="1">
        <v>122.23</v>
      </c>
      <c r="F5" s="1">
        <v>446.03</v>
      </c>
      <c r="G5" s="1">
        <v>1087.99</v>
      </c>
    </row>
    <row r="6" spans="1:7" x14ac:dyDescent="0.3">
      <c r="A6" s="3" t="s">
        <v>10</v>
      </c>
      <c r="B6" s="3">
        <v>154.06</v>
      </c>
      <c r="C6" s="3">
        <v>159.26</v>
      </c>
      <c r="D6" s="3">
        <v>247.03</v>
      </c>
      <c r="E6" s="3">
        <v>12.35</v>
      </c>
      <c r="F6" s="3">
        <v>45.05</v>
      </c>
      <c r="G6" s="3">
        <v>111.02</v>
      </c>
    </row>
    <row r="7" spans="1:7" x14ac:dyDescent="0.3">
      <c r="A7" s="1" t="s">
        <v>11</v>
      </c>
      <c r="B7" s="1">
        <v>1408.68</v>
      </c>
      <c r="C7" s="1">
        <v>1513.21</v>
      </c>
      <c r="D7" s="1">
        <v>2297.5700000000002</v>
      </c>
      <c r="E7" s="1">
        <v>115.33</v>
      </c>
      <c r="F7" s="1">
        <v>434.74</v>
      </c>
      <c r="G7" s="1">
        <v>1029.8800000000001</v>
      </c>
    </row>
    <row r="8" spans="1:7" x14ac:dyDescent="0.3">
      <c r="A8" s="1" t="s">
        <v>12</v>
      </c>
      <c r="B8" s="1">
        <v>140.87</v>
      </c>
      <c r="C8" s="1">
        <v>152.85</v>
      </c>
      <c r="D8" s="1">
        <v>232.08</v>
      </c>
      <c r="E8" s="1">
        <v>11.65</v>
      </c>
      <c r="F8" s="1">
        <v>43.91</v>
      </c>
      <c r="G8" s="1">
        <v>105.09</v>
      </c>
    </row>
    <row r="9" spans="1:7" x14ac:dyDescent="0.3">
      <c r="A9" s="1" t="s">
        <v>13</v>
      </c>
      <c r="B9" s="1">
        <v>604.85</v>
      </c>
      <c r="C9" s="1">
        <v>1068.19</v>
      </c>
      <c r="D9" s="1">
        <v>2297.5700000000002</v>
      </c>
      <c r="E9" s="1">
        <v>11.46</v>
      </c>
      <c r="F9" s="1">
        <v>178.76</v>
      </c>
      <c r="G9" s="1">
        <v>726.21</v>
      </c>
    </row>
    <row r="10" spans="1:7" x14ac:dyDescent="0.3">
      <c r="A10" s="1" t="s">
        <v>14</v>
      </c>
      <c r="B10" s="1">
        <v>60.48</v>
      </c>
      <c r="C10" s="1">
        <v>107.9</v>
      </c>
      <c r="D10" s="1">
        <v>232.08</v>
      </c>
      <c r="E10" s="1">
        <v>1.1599999999999999</v>
      </c>
      <c r="F10" s="1">
        <v>18.059999999999999</v>
      </c>
      <c r="G10" s="1">
        <v>74.099999999999994</v>
      </c>
    </row>
    <row r="11" spans="1:7" x14ac:dyDescent="0.3">
      <c r="A11" s="1" t="s">
        <v>15</v>
      </c>
      <c r="B11" s="1">
        <v>188.71</v>
      </c>
      <c r="C11" s="1">
        <v>865.26</v>
      </c>
      <c r="D11" s="1">
        <v>2192.69</v>
      </c>
      <c r="E11" s="1">
        <v>9.2899999999999991</v>
      </c>
      <c r="F11" s="1">
        <v>29.13</v>
      </c>
      <c r="G11" s="1">
        <v>381.09</v>
      </c>
    </row>
    <row r="12" spans="1:7" x14ac:dyDescent="0.3">
      <c r="A12" s="1" t="s">
        <v>16</v>
      </c>
      <c r="B12" s="1">
        <v>221.53</v>
      </c>
      <c r="C12" s="1">
        <v>222.1</v>
      </c>
      <c r="D12" s="1">
        <v>241.05</v>
      </c>
      <c r="E12" s="1">
        <v>276.5</v>
      </c>
      <c r="F12" s="1">
        <v>234.12</v>
      </c>
      <c r="G12" s="1">
        <v>233.15</v>
      </c>
    </row>
    <row r="13" spans="1:7" x14ac:dyDescent="0.3">
      <c r="A13" s="1" t="s">
        <v>17</v>
      </c>
      <c r="B13" s="1">
        <v>29.01</v>
      </c>
      <c r="C13" s="1">
        <v>32.369999999999997</v>
      </c>
      <c r="D13" s="1">
        <v>26.74</v>
      </c>
      <c r="E13" s="1">
        <v>22.03</v>
      </c>
      <c r="F13" s="1">
        <v>26.11</v>
      </c>
      <c r="G13" s="1">
        <v>21.54</v>
      </c>
    </row>
    <row r="14" spans="1:7" x14ac:dyDescent="0.3">
      <c r="A14" s="1" t="s">
        <v>18</v>
      </c>
      <c r="B14" s="1">
        <v>58.68</v>
      </c>
      <c r="C14" s="1">
        <v>65.12</v>
      </c>
      <c r="D14" s="1">
        <v>54.94</v>
      </c>
      <c r="E14" s="1">
        <v>32.15</v>
      </c>
      <c r="F14" s="1">
        <v>55.58</v>
      </c>
      <c r="G14" s="1">
        <v>53.8</v>
      </c>
    </row>
    <row r="15" spans="1:7" x14ac:dyDescent="0.3">
      <c r="A15" s="1" t="s">
        <v>19</v>
      </c>
      <c r="B15" s="1">
        <v>7</v>
      </c>
      <c r="C15" s="1">
        <v>6</v>
      </c>
      <c r="D15" s="1">
        <v>11</v>
      </c>
      <c r="E15" s="1">
        <v>1</v>
      </c>
      <c r="F15" s="1">
        <v>3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1006.76</v>
      </c>
      <c r="C17" s="1">
        <v>1290.7</v>
      </c>
      <c r="D17" s="1">
        <v>2297.5700000000002</v>
      </c>
      <c r="E17" s="1">
        <v>63.39</v>
      </c>
      <c r="F17" s="1">
        <v>306.75</v>
      </c>
      <c r="G17" s="1">
        <v>878.05</v>
      </c>
    </row>
    <row r="18" spans="1:7" x14ac:dyDescent="0.3">
      <c r="A18" s="1" t="s">
        <v>22</v>
      </c>
      <c r="B18" s="1">
        <v>401.91</v>
      </c>
      <c r="C18" s="1">
        <v>222.51</v>
      </c>
      <c r="D18" s="1">
        <v>0</v>
      </c>
      <c r="E18" s="1">
        <v>51.94</v>
      </c>
      <c r="F18" s="1">
        <v>127.99</v>
      </c>
      <c r="G18" s="1">
        <v>151.83000000000001</v>
      </c>
    </row>
    <row r="19" spans="1:7" x14ac:dyDescent="0.3">
      <c r="A19" s="1" t="s">
        <v>23</v>
      </c>
      <c r="B19" s="1">
        <v>1</v>
      </c>
      <c r="C19" s="1">
        <v>1</v>
      </c>
      <c r="D19" s="1">
        <v>0</v>
      </c>
      <c r="E19" s="1">
        <v>1</v>
      </c>
      <c r="F19" s="1">
        <v>1</v>
      </c>
      <c r="G19" s="1">
        <v>1</v>
      </c>
    </row>
    <row r="20" spans="1:7" x14ac:dyDescent="0.3">
      <c r="A20" s="1" t="s">
        <v>24</v>
      </c>
      <c r="B20" s="1">
        <v>2.5</v>
      </c>
      <c r="C20" s="1">
        <v>2</v>
      </c>
      <c r="D20" s="1">
        <v>0</v>
      </c>
      <c r="E20" s="1">
        <v>1.1000000000000001</v>
      </c>
      <c r="F20" s="1">
        <v>4.3</v>
      </c>
      <c r="G20" s="1">
        <v>2.6</v>
      </c>
    </row>
    <row r="21" spans="1:7" x14ac:dyDescent="0.3">
      <c r="A21" s="1" t="s">
        <v>25</v>
      </c>
      <c r="B21" s="1">
        <v>7.6</v>
      </c>
      <c r="C21" s="1">
        <v>8</v>
      </c>
      <c r="D21" s="1">
        <v>10</v>
      </c>
      <c r="E21" s="1">
        <v>8.9</v>
      </c>
      <c r="F21" s="1">
        <v>5.7</v>
      </c>
      <c r="G21" s="1">
        <v>7.3</v>
      </c>
    </row>
    <row r="22" spans="1:7" x14ac:dyDescent="0.3">
      <c r="A22" s="1" t="s">
        <v>26</v>
      </c>
      <c r="B22" s="1">
        <v>1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2.2999999999999998</v>
      </c>
      <c r="C23" s="1">
        <v>2.5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2.4</v>
      </c>
      <c r="C24" s="1">
        <v>2.1</v>
      </c>
      <c r="D24" s="1">
        <v>0</v>
      </c>
      <c r="E24" s="1">
        <v>0</v>
      </c>
      <c r="F24" s="1">
        <v>2.8</v>
      </c>
      <c r="G24" s="1">
        <v>3.3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3.7</v>
      </c>
      <c r="G25" s="1">
        <v>0</v>
      </c>
    </row>
    <row r="26" spans="1:7" x14ac:dyDescent="0.3">
      <c r="A26" s="1" t="s">
        <v>30</v>
      </c>
      <c r="B26" s="1">
        <v>7.7</v>
      </c>
      <c r="C26" s="1">
        <v>7.9</v>
      </c>
      <c r="D26" s="1">
        <v>10</v>
      </c>
      <c r="E26" s="1">
        <v>0</v>
      </c>
      <c r="F26" s="1">
        <v>3.5</v>
      </c>
      <c r="G26" s="1">
        <v>6.6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23.762376237623762</v>
      </c>
      <c r="C29" s="3">
        <f t="shared" ref="C29:G29" si="1">C24/C28*100</f>
        <v>21.000000000000004</v>
      </c>
      <c r="D29" s="3">
        <f t="shared" si="1"/>
        <v>0</v>
      </c>
      <c r="E29" s="3">
        <f t="shared" si="1"/>
        <v>0</v>
      </c>
      <c r="F29" s="3">
        <f t="shared" si="1"/>
        <v>27.999999999999996</v>
      </c>
      <c r="G29" s="3">
        <f t="shared" si="1"/>
        <v>33.333333333333336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37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76.237623762376245</v>
      </c>
      <c r="C31" s="3">
        <f t="shared" ref="C31:G31" si="3">C26/C28*100</f>
        <v>79</v>
      </c>
      <c r="D31" s="3">
        <f t="shared" si="3"/>
        <v>100</v>
      </c>
      <c r="E31" s="3">
        <f t="shared" si="3"/>
        <v>0</v>
      </c>
      <c r="F31" s="3">
        <f t="shared" si="3"/>
        <v>35</v>
      </c>
      <c r="G31" s="3">
        <f t="shared" si="3"/>
        <v>66.666666666666671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45.82</v>
      </c>
      <c r="C33" s="3">
        <v>85.75</v>
      </c>
      <c r="D33" s="3">
        <v>244.84</v>
      </c>
      <c r="E33" s="3">
        <v>0.88</v>
      </c>
      <c r="F33" s="3">
        <v>1.25</v>
      </c>
      <c r="G33" s="3">
        <v>46.93</v>
      </c>
    </row>
    <row r="35" spans="1:7" x14ac:dyDescent="0.3">
      <c r="A35" s="3" t="s">
        <v>36</v>
      </c>
      <c r="B35" s="3"/>
      <c r="C35" s="3"/>
      <c r="D35" s="3">
        <f>D33-C33</f>
        <v>159.09</v>
      </c>
      <c r="E35" s="3"/>
      <c r="F35" s="3">
        <f>F33-E33</f>
        <v>0.37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-243.96</v>
      </c>
      <c r="F37" s="3"/>
      <c r="G37" s="3">
        <f>G33-F33</f>
        <v>45.68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06B9-13C1-46FC-9FF3-C26956CC4FCA}">
  <dimension ref="A1:G37"/>
  <sheetViews>
    <sheetView zoomScale="70" zoomScaleNormal="70" workbookViewId="0">
      <selection activeCell="K18" sqref="K18:K28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373.12</v>
      </c>
      <c r="C2" s="1">
        <v>322.72000000000003</v>
      </c>
      <c r="D2" s="1">
        <v>394.21</v>
      </c>
      <c r="E2" s="1">
        <v>440.62</v>
      </c>
      <c r="F2" s="1">
        <v>420.99</v>
      </c>
      <c r="G2" s="1">
        <v>386.95</v>
      </c>
    </row>
    <row r="3" spans="1:7" x14ac:dyDescent="0.3">
      <c r="A3" s="1" t="s">
        <v>7</v>
      </c>
      <c r="B3" s="1">
        <v>38.94</v>
      </c>
      <c r="C3" s="1">
        <v>34.83</v>
      </c>
      <c r="D3" s="1">
        <v>38.74</v>
      </c>
      <c r="E3" s="1">
        <v>38.479999999999997</v>
      </c>
      <c r="F3" s="1">
        <v>40.130000000000003</v>
      </c>
      <c r="G3" s="1">
        <v>39.89</v>
      </c>
    </row>
    <row r="4" spans="1:7" x14ac:dyDescent="0.3">
      <c r="A4" s="1" t="s">
        <v>8</v>
      </c>
      <c r="B4" s="1">
        <v>14709.16</v>
      </c>
      <c r="C4" s="1">
        <v>11360.81</v>
      </c>
      <c r="D4" s="1">
        <v>15753.75</v>
      </c>
      <c r="E4" s="1">
        <v>17247.79</v>
      </c>
      <c r="F4" s="1">
        <v>17207.349999999999</v>
      </c>
      <c r="G4" s="1">
        <v>15656.87</v>
      </c>
    </row>
    <row r="5" spans="1:7" x14ac:dyDescent="0.3">
      <c r="A5" s="1" t="s">
        <v>9</v>
      </c>
      <c r="B5" s="1">
        <v>1727.18</v>
      </c>
      <c r="C5" s="1">
        <v>1544.95</v>
      </c>
      <c r="D5" s="1">
        <v>1907.51</v>
      </c>
      <c r="E5" s="1">
        <v>77.86</v>
      </c>
      <c r="F5" s="1">
        <v>740.73</v>
      </c>
      <c r="G5" s="1">
        <v>1555.99</v>
      </c>
    </row>
    <row r="6" spans="1:7" x14ac:dyDescent="0.3">
      <c r="A6" s="3" t="s">
        <v>10</v>
      </c>
      <c r="B6" s="3">
        <v>172.72</v>
      </c>
      <c r="C6" s="3">
        <v>156.06</v>
      </c>
      <c r="D6" s="3">
        <v>192.68</v>
      </c>
      <c r="E6" s="3">
        <v>7.86</v>
      </c>
      <c r="F6" s="3">
        <v>74.819999999999993</v>
      </c>
      <c r="G6" s="3">
        <v>158.77000000000001</v>
      </c>
    </row>
    <row r="7" spans="1:7" x14ac:dyDescent="0.3">
      <c r="A7" s="1" t="s">
        <v>11</v>
      </c>
      <c r="B7" s="1">
        <v>1614.72</v>
      </c>
      <c r="C7" s="1">
        <v>1506.27</v>
      </c>
      <c r="D7" s="1">
        <v>1801.57</v>
      </c>
      <c r="E7" s="1">
        <v>74.38</v>
      </c>
      <c r="F7" s="1">
        <v>720.03</v>
      </c>
      <c r="G7" s="1">
        <v>1502.69</v>
      </c>
    </row>
    <row r="8" spans="1:7" x14ac:dyDescent="0.3">
      <c r="A8" s="1" t="s">
        <v>12</v>
      </c>
      <c r="B8" s="1">
        <v>161.47</v>
      </c>
      <c r="C8" s="1">
        <v>152.15</v>
      </c>
      <c r="D8" s="1">
        <v>181.98</v>
      </c>
      <c r="E8" s="1">
        <v>7.51</v>
      </c>
      <c r="F8" s="1">
        <v>72.73</v>
      </c>
      <c r="G8" s="1">
        <v>153.34</v>
      </c>
    </row>
    <row r="9" spans="1:7" x14ac:dyDescent="0.3">
      <c r="A9" s="1" t="s">
        <v>13</v>
      </c>
      <c r="B9" s="1">
        <v>1009.08</v>
      </c>
      <c r="C9" s="1">
        <v>1506.27</v>
      </c>
      <c r="D9" s="1">
        <v>1801.57</v>
      </c>
      <c r="E9" s="1">
        <v>8.8699999999999992</v>
      </c>
      <c r="F9" s="1">
        <v>518.53</v>
      </c>
      <c r="G9" s="1">
        <v>1493.34</v>
      </c>
    </row>
    <row r="10" spans="1:7" x14ac:dyDescent="0.3">
      <c r="A10" s="1" t="s">
        <v>14</v>
      </c>
      <c r="B10" s="1">
        <v>100.91</v>
      </c>
      <c r="C10" s="1">
        <v>152.15</v>
      </c>
      <c r="D10" s="1">
        <v>181.98</v>
      </c>
      <c r="E10" s="1">
        <v>0.9</v>
      </c>
      <c r="F10" s="1">
        <v>52.38</v>
      </c>
      <c r="G10" s="1">
        <v>152.38</v>
      </c>
    </row>
    <row r="11" spans="1:7" x14ac:dyDescent="0.3">
      <c r="A11" s="1" t="s">
        <v>15</v>
      </c>
      <c r="B11" s="1">
        <v>686.64</v>
      </c>
      <c r="C11" s="1">
        <v>1230.32</v>
      </c>
      <c r="D11" s="1">
        <v>1297.8900000000001</v>
      </c>
      <c r="E11" s="1">
        <v>2.68</v>
      </c>
      <c r="F11" s="1">
        <v>257.8</v>
      </c>
      <c r="G11" s="1">
        <v>1022.75</v>
      </c>
    </row>
    <row r="12" spans="1:7" x14ac:dyDescent="0.3">
      <c r="A12" s="1" t="s">
        <v>16</v>
      </c>
      <c r="B12" s="1">
        <v>215.79</v>
      </c>
      <c r="C12" s="1">
        <v>191.77</v>
      </c>
      <c r="D12" s="1">
        <v>222.62</v>
      </c>
      <c r="E12" s="1">
        <v>260.81</v>
      </c>
      <c r="F12" s="1">
        <v>253.11</v>
      </c>
      <c r="G12" s="1">
        <v>214.3</v>
      </c>
    </row>
    <row r="13" spans="1:7" x14ac:dyDescent="0.3">
      <c r="A13" s="1" t="s">
        <v>17</v>
      </c>
      <c r="B13" s="1">
        <v>28.87</v>
      </c>
      <c r="C13" s="1">
        <v>24.56</v>
      </c>
      <c r="D13" s="1">
        <v>29.01</v>
      </c>
      <c r="E13" s="1">
        <v>2.88</v>
      </c>
      <c r="F13" s="1">
        <v>22.66</v>
      </c>
      <c r="G13" s="1">
        <v>37.78</v>
      </c>
    </row>
    <row r="14" spans="1:7" x14ac:dyDescent="0.3">
      <c r="A14" s="1" t="s">
        <v>18</v>
      </c>
      <c r="B14" s="1">
        <v>68.400000000000006</v>
      </c>
      <c r="C14" s="1">
        <v>46.24</v>
      </c>
      <c r="D14" s="1">
        <v>64.17</v>
      </c>
      <c r="E14" s="1">
        <v>11.56</v>
      </c>
      <c r="F14" s="1">
        <v>60.23</v>
      </c>
      <c r="G14" s="1">
        <v>74.98</v>
      </c>
    </row>
    <row r="15" spans="1:7" x14ac:dyDescent="0.3">
      <c r="A15" s="1" t="s">
        <v>19</v>
      </c>
      <c r="B15" s="1">
        <v>10</v>
      </c>
      <c r="C15" s="1">
        <v>8</v>
      </c>
      <c r="D15" s="1">
        <v>8</v>
      </c>
      <c r="E15" s="1">
        <v>0</v>
      </c>
      <c r="F15" s="1">
        <v>5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1311.9</v>
      </c>
      <c r="C17" s="1">
        <v>1506.27</v>
      </c>
      <c r="D17" s="1">
        <v>1801.57</v>
      </c>
      <c r="E17" s="1">
        <v>41.62</v>
      </c>
      <c r="F17" s="1">
        <v>619.28</v>
      </c>
      <c r="G17" s="1">
        <v>1498.02</v>
      </c>
    </row>
    <row r="18" spans="1:7" x14ac:dyDescent="0.3">
      <c r="A18" s="1" t="s">
        <v>22</v>
      </c>
      <c r="B18" s="1">
        <v>302.82</v>
      </c>
      <c r="C18" s="1">
        <v>0</v>
      </c>
      <c r="D18" s="1">
        <v>0</v>
      </c>
      <c r="E18" s="1">
        <v>32.76</v>
      </c>
      <c r="F18" s="1">
        <v>100.75</v>
      </c>
      <c r="G18" s="1">
        <v>4.68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3">
      <c r="A20" s="1" t="s">
        <v>24</v>
      </c>
      <c r="B20" s="1">
        <v>2.2000000000000002</v>
      </c>
      <c r="C20" s="1">
        <v>0</v>
      </c>
      <c r="D20" s="1">
        <v>0</v>
      </c>
      <c r="E20" s="1">
        <v>1.3</v>
      </c>
      <c r="F20" s="1">
        <v>2.9</v>
      </c>
      <c r="G20" s="1">
        <v>0</v>
      </c>
    </row>
    <row r="21" spans="1:7" x14ac:dyDescent="0.3">
      <c r="A21" s="1" t="s">
        <v>25</v>
      </c>
      <c r="B21" s="1">
        <v>7.9</v>
      </c>
      <c r="C21" s="1">
        <v>10</v>
      </c>
      <c r="D21" s="1">
        <v>10</v>
      </c>
      <c r="E21" s="1">
        <v>8.6999999999999993</v>
      </c>
      <c r="F21" s="1">
        <v>7.1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3.3</v>
      </c>
      <c r="C24" s="1">
        <v>0</v>
      </c>
      <c r="D24" s="1">
        <v>0</v>
      </c>
      <c r="E24" s="1">
        <v>0</v>
      </c>
      <c r="F24" s="1">
        <v>3.4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1.6</v>
      </c>
      <c r="G25" s="1">
        <v>0</v>
      </c>
    </row>
    <row r="26" spans="1:7" x14ac:dyDescent="0.3">
      <c r="A26" s="1" t="s">
        <v>30</v>
      </c>
      <c r="B26" s="1">
        <v>6.8</v>
      </c>
      <c r="C26" s="1">
        <v>10</v>
      </c>
      <c r="D26" s="1">
        <v>10</v>
      </c>
      <c r="E26" s="1">
        <v>0</v>
      </c>
      <c r="F26" s="1">
        <v>5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32.673267326732677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34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16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67.32673267326733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50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74.989999999999995</v>
      </c>
      <c r="C33" s="3">
        <v>157.1</v>
      </c>
      <c r="D33" s="3">
        <v>191.57</v>
      </c>
      <c r="E33" s="3">
        <v>0.17</v>
      </c>
      <c r="F33" s="3">
        <v>29.52</v>
      </c>
      <c r="G33" s="3">
        <v>153.80000000000001</v>
      </c>
    </row>
    <row r="35" spans="1:7" x14ac:dyDescent="0.3">
      <c r="A35" s="3" t="s">
        <v>36</v>
      </c>
      <c r="B35" s="3"/>
      <c r="C35" s="3"/>
      <c r="D35" s="3">
        <f>D33-C33</f>
        <v>34.47</v>
      </c>
      <c r="E35" s="3"/>
      <c r="F35" s="3">
        <f>F33-E33</f>
        <v>29.349999999999998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-191.4</v>
      </c>
      <c r="F37" s="3"/>
      <c r="G37" s="3">
        <f>G33-F33</f>
        <v>124.28000000000002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55A3-925A-4F1C-A02B-B76CE3171642}">
  <dimension ref="A1:G37"/>
  <sheetViews>
    <sheetView zoomScale="70" zoomScaleNormal="70" workbookViewId="0">
      <selection activeCell="K17" sqref="K17:K2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474.15</v>
      </c>
      <c r="C2" s="1">
        <v>411.68</v>
      </c>
      <c r="D2" s="1">
        <v>421.79</v>
      </c>
      <c r="E2" s="1">
        <v>471.49</v>
      </c>
      <c r="F2" s="1">
        <v>474.87</v>
      </c>
      <c r="G2" s="1">
        <v>494.75</v>
      </c>
    </row>
    <row r="3" spans="1:7" x14ac:dyDescent="0.3">
      <c r="A3" s="1" t="s">
        <v>7</v>
      </c>
      <c r="B3" s="1">
        <v>44.46</v>
      </c>
      <c r="C3" s="1">
        <v>39.42</v>
      </c>
      <c r="D3" s="1">
        <v>41.8</v>
      </c>
      <c r="E3" s="1">
        <v>46.67</v>
      </c>
      <c r="F3" s="1">
        <v>47.29</v>
      </c>
      <c r="G3" s="1">
        <v>47.56</v>
      </c>
    </row>
    <row r="4" spans="1:7" x14ac:dyDescent="0.3">
      <c r="A4" s="1" t="s">
        <v>8</v>
      </c>
      <c r="B4" s="1">
        <v>21414.33</v>
      </c>
      <c r="C4" s="1">
        <v>16491.04</v>
      </c>
      <c r="D4" s="1">
        <v>17906.29</v>
      </c>
      <c r="E4" s="1">
        <v>22371.71</v>
      </c>
      <c r="F4" s="1">
        <v>22802.62</v>
      </c>
      <c r="G4" s="1">
        <v>23927.23</v>
      </c>
    </row>
    <row r="5" spans="1:7" x14ac:dyDescent="0.3">
      <c r="A5" s="1" t="s">
        <v>9</v>
      </c>
      <c r="B5" s="1">
        <v>1877.66</v>
      </c>
      <c r="C5" s="1">
        <v>2075.0500000000002</v>
      </c>
      <c r="D5" s="1">
        <v>2549.15</v>
      </c>
      <c r="E5" s="1">
        <v>2062.69</v>
      </c>
      <c r="F5" s="1">
        <v>911.84</v>
      </c>
      <c r="G5" s="1">
        <v>2193.89</v>
      </c>
    </row>
    <row r="6" spans="1:7" x14ac:dyDescent="0.3">
      <c r="A6" s="3" t="s">
        <v>10</v>
      </c>
      <c r="B6" s="3">
        <v>187.77</v>
      </c>
      <c r="C6" s="3">
        <v>209.6</v>
      </c>
      <c r="D6" s="3">
        <v>257.49</v>
      </c>
      <c r="E6" s="3">
        <v>208.35</v>
      </c>
      <c r="F6" s="3">
        <v>92.11</v>
      </c>
      <c r="G6" s="3">
        <v>223.87</v>
      </c>
    </row>
    <row r="7" spans="1:7" x14ac:dyDescent="0.3">
      <c r="A7" s="1" t="s">
        <v>11</v>
      </c>
      <c r="B7" s="1">
        <v>1783.76</v>
      </c>
      <c r="C7" s="1">
        <v>1841.06</v>
      </c>
      <c r="D7" s="1">
        <v>2336.1999999999998</v>
      </c>
      <c r="E7" s="1">
        <v>1974.71</v>
      </c>
      <c r="F7" s="1">
        <v>881.49</v>
      </c>
      <c r="G7" s="1">
        <v>2135.63</v>
      </c>
    </row>
    <row r="8" spans="1:7" x14ac:dyDescent="0.3">
      <c r="A8" s="1" t="s">
        <v>12</v>
      </c>
      <c r="B8" s="1">
        <v>178.38</v>
      </c>
      <c r="C8" s="1">
        <v>185.97</v>
      </c>
      <c r="D8" s="1">
        <v>235.98</v>
      </c>
      <c r="E8" s="1">
        <v>199.47</v>
      </c>
      <c r="F8" s="1">
        <v>89.04</v>
      </c>
      <c r="G8" s="1">
        <v>217.92</v>
      </c>
    </row>
    <row r="9" spans="1:7" x14ac:dyDescent="0.3">
      <c r="A9" s="1" t="s">
        <v>13</v>
      </c>
      <c r="B9" s="1">
        <v>1254.4100000000001</v>
      </c>
      <c r="C9" s="1">
        <v>1841.06</v>
      </c>
      <c r="D9" s="1">
        <v>2336.1999999999998</v>
      </c>
      <c r="E9" s="1">
        <v>1974.71</v>
      </c>
      <c r="F9" s="1">
        <v>698.88</v>
      </c>
      <c r="G9" s="1">
        <v>2135.63</v>
      </c>
    </row>
    <row r="10" spans="1:7" x14ac:dyDescent="0.3">
      <c r="A10" s="1" t="s">
        <v>14</v>
      </c>
      <c r="B10" s="1">
        <v>125.44</v>
      </c>
      <c r="C10" s="1">
        <v>185.97</v>
      </c>
      <c r="D10" s="1">
        <v>235.98</v>
      </c>
      <c r="E10" s="1">
        <v>199.47</v>
      </c>
      <c r="F10" s="1">
        <v>70.59</v>
      </c>
      <c r="G10" s="1">
        <v>217.92</v>
      </c>
    </row>
    <row r="11" spans="1:7" x14ac:dyDescent="0.3">
      <c r="A11" s="1" t="s">
        <v>15</v>
      </c>
      <c r="B11" s="1">
        <v>690.96</v>
      </c>
      <c r="C11" s="1">
        <v>1887.51</v>
      </c>
      <c r="D11" s="1">
        <v>2010.98</v>
      </c>
      <c r="E11" s="1">
        <v>1710.35</v>
      </c>
      <c r="F11" s="1">
        <v>547.53</v>
      </c>
      <c r="G11" s="1">
        <v>1955.27</v>
      </c>
    </row>
    <row r="12" spans="1:7" x14ac:dyDescent="0.3">
      <c r="A12" s="1" t="s">
        <v>16</v>
      </c>
      <c r="B12" s="1">
        <v>268.33</v>
      </c>
      <c r="C12" s="1">
        <v>242.36</v>
      </c>
      <c r="D12" s="1">
        <v>238.3</v>
      </c>
      <c r="E12" s="1">
        <v>279.68</v>
      </c>
      <c r="F12" s="1">
        <v>261.8</v>
      </c>
      <c r="G12" s="1">
        <v>276.93</v>
      </c>
    </row>
    <row r="13" spans="1:7" x14ac:dyDescent="0.3">
      <c r="A13" s="1" t="s">
        <v>17</v>
      </c>
      <c r="B13" s="1">
        <v>34.15</v>
      </c>
      <c r="C13" s="1">
        <v>20.36</v>
      </c>
      <c r="D13" s="1">
        <v>36.65</v>
      </c>
      <c r="E13" s="1">
        <v>33.119999999999997</v>
      </c>
      <c r="F13" s="1">
        <v>30.07</v>
      </c>
      <c r="G13" s="1">
        <v>29.52</v>
      </c>
    </row>
    <row r="14" spans="1:7" x14ac:dyDescent="0.3">
      <c r="A14" s="1" t="s">
        <v>18</v>
      </c>
      <c r="B14" s="1">
        <v>85.15</v>
      </c>
      <c r="C14" s="1">
        <v>48.98</v>
      </c>
      <c r="D14" s="1">
        <v>67.95</v>
      </c>
      <c r="E14" s="1">
        <v>80.92</v>
      </c>
      <c r="F14" s="1">
        <v>64.709999999999994</v>
      </c>
      <c r="G14" s="1">
        <v>55.83</v>
      </c>
    </row>
    <row r="15" spans="1:7" x14ac:dyDescent="0.3">
      <c r="A15" s="1" t="s">
        <v>19</v>
      </c>
      <c r="B15" s="1">
        <v>6</v>
      </c>
      <c r="C15" s="1">
        <v>10</v>
      </c>
      <c r="D15" s="1">
        <v>11</v>
      </c>
      <c r="E15" s="1">
        <v>9</v>
      </c>
      <c r="F15" s="1">
        <v>4</v>
      </c>
      <c r="G15" s="1">
        <v>9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1519.09</v>
      </c>
      <c r="C17" s="1">
        <v>1841.06</v>
      </c>
      <c r="D17" s="1">
        <v>2336.1999999999998</v>
      </c>
      <c r="E17" s="1">
        <v>1974.71</v>
      </c>
      <c r="F17" s="1">
        <v>790.18</v>
      </c>
      <c r="G17" s="1">
        <v>2135.63</v>
      </c>
    </row>
    <row r="18" spans="1:7" x14ac:dyDescent="0.3">
      <c r="A18" s="1" t="s">
        <v>22</v>
      </c>
      <c r="B18" s="1">
        <v>264.68</v>
      </c>
      <c r="C18" s="1">
        <v>0</v>
      </c>
      <c r="D18" s="1">
        <v>0</v>
      </c>
      <c r="E18" s="1">
        <v>0</v>
      </c>
      <c r="F18" s="1">
        <v>91.3</v>
      </c>
      <c r="G18" s="1">
        <v>0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2.4</v>
      </c>
      <c r="C20" s="1">
        <v>0</v>
      </c>
      <c r="D20" s="1">
        <v>0</v>
      </c>
      <c r="E20" s="1">
        <v>0</v>
      </c>
      <c r="F20" s="1">
        <v>2.8</v>
      </c>
      <c r="G20" s="1">
        <v>0</v>
      </c>
    </row>
    <row r="21" spans="1:7" x14ac:dyDescent="0.3">
      <c r="A21" s="1" t="s">
        <v>25</v>
      </c>
      <c r="B21" s="1">
        <v>7.7</v>
      </c>
      <c r="C21" s="1">
        <v>10</v>
      </c>
      <c r="D21" s="1">
        <v>10</v>
      </c>
      <c r="E21" s="1">
        <v>10</v>
      </c>
      <c r="F21" s="1">
        <v>7.2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5.9</v>
      </c>
      <c r="G25" s="1">
        <v>0</v>
      </c>
    </row>
    <row r="26" spans="1:7" x14ac:dyDescent="0.3">
      <c r="A26" s="1" t="s">
        <v>30</v>
      </c>
      <c r="B26" s="1">
        <v>8.1</v>
      </c>
      <c r="C26" s="1">
        <v>10</v>
      </c>
      <c r="D26" s="1">
        <v>10</v>
      </c>
      <c r="E26" s="1">
        <v>10</v>
      </c>
      <c r="F26" s="1">
        <v>4.0999999999999996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19.801980198019802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59.000000000000007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80.198019801980209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41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79.790000000000006</v>
      </c>
      <c r="C33" s="3">
        <v>208.07</v>
      </c>
      <c r="D33" s="3">
        <v>254.04</v>
      </c>
      <c r="E33" s="3">
        <v>207.36</v>
      </c>
      <c r="F33" s="3">
        <v>57.75</v>
      </c>
      <c r="G33" s="3">
        <v>221.55</v>
      </c>
    </row>
    <row r="35" spans="1:7" x14ac:dyDescent="0.3">
      <c r="A35" s="3" t="s">
        <v>36</v>
      </c>
      <c r="B35" s="3"/>
      <c r="C35" s="3"/>
      <c r="D35" s="3">
        <f>D33-C33</f>
        <v>45.97</v>
      </c>
      <c r="E35" s="3"/>
      <c r="F35" s="3">
        <f>F33-E33</f>
        <v>-149.61000000000001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-46.679999999999978</v>
      </c>
      <c r="F37" s="3"/>
      <c r="G37" s="3">
        <f>G33-F33</f>
        <v>163.80000000000001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85DC-B732-44B6-B115-3F03D08A3562}">
  <dimension ref="A1:G37"/>
  <sheetViews>
    <sheetView zoomScale="70" zoomScaleNormal="70" workbookViewId="0">
      <selection activeCell="I33" sqref="I33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546.08000000000004</v>
      </c>
      <c r="C2" s="1">
        <v>527.80999999999995</v>
      </c>
      <c r="D2" s="1">
        <v>511.92</v>
      </c>
      <c r="E2" s="1">
        <v>492.91</v>
      </c>
      <c r="F2" s="1">
        <v>523.92999999999995</v>
      </c>
      <c r="G2" s="1">
        <v>541.32000000000005</v>
      </c>
    </row>
    <row r="3" spans="1:7" x14ac:dyDescent="0.3">
      <c r="A3" s="1" t="s">
        <v>7</v>
      </c>
      <c r="B3" s="1">
        <v>58.83</v>
      </c>
      <c r="C3" s="1">
        <v>56.94</v>
      </c>
      <c r="D3" s="1">
        <v>50.56</v>
      </c>
      <c r="E3" s="1">
        <v>49.65</v>
      </c>
      <c r="F3" s="1">
        <v>56.99</v>
      </c>
      <c r="G3" s="1">
        <v>57.04</v>
      </c>
    </row>
    <row r="4" spans="1:7" x14ac:dyDescent="0.3">
      <c r="A4" s="1" t="s">
        <v>8</v>
      </c>
      <c r="B4" s="1">
        <v>32704.34</v>
      </c>
      <c r="C4" s="1">
        <v>30549.16</v>
      </c>
      <c r="D4" s="1">
        <v>26302.77</v>
      </c>
      <c r="E4" s="1">
        <v>24851.96</v>
      </c>
      <c r="F4" s="1">
        <v>30402.69</v>
      </c>
      <c r="G4" s="1">
        <v>31401.79</v>
      </c>
    </row>
    <row r="5" spans="1:7" x14ac:dyDescent="0.3">
      <c r="A5" s="1" t="s">
        <v>9</v>
      </c>
      <c r="B5" s="1">
        <v>2227.0100000000002</v>
      </c>
      <c r="C5" s="1">
        <v>1534.87</v>
      </c>
      <c r="D5" s="1">
        <v>1625.61</v>
      </c>
      <c r="E5" s="1">
        <v>376.6</v>
      </c>
      <c r="F5" s="1">
        <v>870.23</v>
      </c>
      <c r="G5" s="1">
        <v>1248.72</v>
      </c>
    </row>
    <row r="6" spans="1:7" x14ac:dyDescent="0.3">
      <c r="A6" s="3" t="s">
        <v>10</v>
      </c>
      <c r="B6" s="3">
        <v>222.7</v>
      </c>
      <c r="C6" s="3">
        <v>155.04</v>
      </c>
      <c r="D6" s="3">
        <v>164.2</v>
      </c>
      <c r="E6" s="3">
        <v>38.04</v>
      </c>
      <c r="F6" s="3">
        <v>87.9</v>
      </c>
      <c r="G6" s="3">
        <v>127.42</v>
      </c>
    </row>
    <row r="7" spans="1:7" x14ac:dyDescent="0.3">
      <c r="A7" s="1" t="s">
        <v>11</v>
      </c>
      <c r="B7" s="1">
        <v>2181.37</v>
      </c>
      <c r="C7" s="1">
        <v>1512.34</v>
      </c>
      <c r="D7" s="1">
        <v>1535.22</v>
      </c>
      <c r="E7" s="1">
        <v>369.62</v>
      </c>
      <c r="F7" s="1">
        <v>854.83</v>
      </c>
      <c r="G7" s="1">
        <v>1220.55</v>
      </c>
    </row>
    <row r="8" spans="1:7" x14ac:dyDescent="0.3">
      <c r="A8" s="1" t="s">
        <v>12</v>
      </c>
      <c r="B8" s="1">
        <v>218.14</v>
      </c>
      <c r="C8" s="1">
        <v>152.76</v>
      </c>
      <c r="D8" s="1">
        <v>155.07</v>
      </c>
      <c r="E8" s="1">
        <v>37.340000000000003</v>
      </c>
      <c r="F8" s="1">
        <v>86.35</v>
      </c>
      <c r="G8" s="1">
        <v>124.55</v>
      </c>
    </row>
    <row r="9" spans="1:7" x14ac:dyDescent="0.3">
      <c r="A9" s="1" t="s">
        <v>13</v>
      </c>
      <c r="B9" s="1">
        <v>2181.37</v>
      </c>
      <c r="C9" s="1">
        <v>1507.86</v>
      </c>
      <c r="D9" s="1">
        <v>1535.22</v>
      </c>
      <c r="E9" s="1">
        <v>39.11</v>
      </c>
      <c r="F9" s="1">
        <v>636.66</v>
      </c>
      <c r="G9" s="1">
        <v>1169.57</v>
      </c>
    </row>
    <row r="10" spans="1:7" x14ac:dyDescent="0.3">
      <c r="A10" s="1" t="s">
        <v>14</v>
      </c>
      <c r="B10" s="1">
        <v>218.14</v>
      </c>
      <c r="C10" s="1">
        <v>152.31</v>
      </c>
      <c r="D10" s="1">
        <v>155.07</v>
      </c>
      <c r="E10" s="1">
        <v>3.95</v>
      </c>
      <c r="F10" s="1">
        <v>64.31</v>
      </c>
      <c r="G10" s="1">
        <v>119.34</v>
      </c>
    </row>
    <row r="11" spans="1:7" x14ac:dyDescent="0.3">
      <c r="A11" s="1" t="s">
        <v>15</v>
      </c>
      <c r="B11" s="1">
        <v>1954.71</v>
      </c>
      <c r="C11" s="1">
        <v>1084.77</v>
      </c>
      <c r="D11" s="1">
        <v>1437.38</v>
      </c>
      <c r="E11" s="1">
        <v>12.66</v>
      </c>
      <c r="F11" s="1">
        <v>404.87</v>
      </c>
      <c r="G11" s="1">
        <v>830.62</v>
      </c>
    </row>
    <row r="12" spans="1:7" x14ac:dyDescent="0.3">
      <c r="A12" s="1" t="s">
        <v>16</v>
      </c>
      <c r="B12" s="1">
        <v>302.10000000000002</v>
      </c>
      <c r="C12" s="1">
        <v>281.10000000000002</v>
      </c>
      <c r="D12" s="1">
        <v>266.95</v>
      </c>
      <c r="E12" s="1">
        <v>325.10000000000002</v>
      </c>
      <c r="F12" s="1">
        <v>280.67</v>
      </c>
      <c r="G12" s="1">
        <v>317.49</v>
      </c>
    </row>
    <row r="13" spans="1:7" x14ac:dyDescent="0.3">
      <c r="A13" s="1" t="s">
        <v>17</v>
      </c>
      <c r="B13" s="1">
        <v>26.61</v>
      </c>
      <c r="C13" s="1">
        <v>34.44</v>
      </c>
      <c r="D13" s="1">
        <v>26.93</v>
      </c>
      <c r="E13" s="1">
        <v>18.2</v>
      </c>
      <c r="F13" s="1">
        <v>23.7</v>
      </c>
      <c r="G13" s="1">
        <v>42.92</v>
      </c>
    </row>
    <row r="14" spans="1:7" x14ac:dyDescent="0.3">
      <c r="A14" s="1" t="s">
        <v>18</v>
      </c>
      <c r="B14" s="1">
        <v>56.35</v>
      </c>
      <c r="C14" s="1">
        <v>83.66</v>
      </c>
      <c r="D14" s="1">
        <v>60.04</v>
      </c>
      <c r="E14" s="1">
        <v>24.09</v>
      </c>
      <c r="F14" s="1">
        <v>69.680000000000007</v>
      </c>
      <c r="G14" s="1">
        <v>95.36</v>
      </c>
    </row>
    <row r="15" spans="1:7" x14ac:dyDescent="0.3">
      <c r="A15" s="1" t="s">
        <v>19</v>
      </c>
      <c r="B15" s="1">
        <v>3</v>
      </c>
      <c r="C15" s="1">
        <v>6</v>
      </c>
      <c r="D15" s="1">
        <v>5</v>
      </c>
      <c r="E15" s="1">
        <v>0</v>
      </c>
      <c r="F15" s="1">
        <v>4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2181.37</v>
      </c>
      <c r="C17" s="1">
        <v>1510.1</v>
      </c>
      <c r="D17" s="1">
        <v>1535.22</v>
      </c>
      <c r="E17" s="1">
        <v>204.36</v>
      </c>
      <c r="F17" s="1">
        <v>745.74</v>
      </c>
      <c r="G17" s="1">
        <v>1195.06</v>
      </c>
    </row>
    <row r="18" spans="1:7" x14ac:dyDescent="0.3">
      <c r="A18" s="1" t="s">
        <v>22</v>
      </c>
      <c r="B18" s="1">
        <v>0</v>
      </c>
      <c r="C18" s="1">
        <v>2.2400000000000002</v>
      </c>
      <c r="D18" s="1">
        <v>0</v>
      </c>
      <c r="E18" s="1">
        <v>165.25</v>
      </c>
      <c r="F18" s="1">
        <v>109.09</v>
      </c>
      <c r="G18" s="1">
        <v>25.49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2.7</v>
      </c>
      <c r="F20" s="1">
        <v>2.1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7.3</v>
      </c>
      <c r="F21" s="1">
        <v>7.9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</v>
      </c>
      <c r="G24" s="1">
        <v>1.1000000000000001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2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0</v>
      </c>
      <c r="F26" s="1">
        <v>6</v>
      </c>
      <c r="G26" s="1">
        <v>8.8000000000000007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20</v>
      </c>
      <c r="G29" s="3">
        <f t="shared" si="1"/>
        <v>11.111111111111112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20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60</v>
      </c>
      <c r="G31" s="3">
        <f t="shared" si="3"/>
        <v>88.8888888888889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220.44</v>
      </c>
      <c r="C33" s="3">
        <v>155.22</v>
      </c>
      <c r="D33" s="3">
        <v>160.09</v>
      </c>
      <c r="E33" s="3">
        <v>0.88</v>
      </c>
      <c r="F33" s="3">
        <v>43.19</v>
      </c>
      <c r="G33" s="3">
        <v>110.69</v>
      </c>
    </row>
    <row r="35" spans="1:7" x14ac:dyDescent="0.3">
      <c r="A35" s="3" t="s">
        <v>36</v>
      </c>
      <c r="B35" s="3"/>
      <c r="C35" s="3"/>
      <c r="D35" s="3">
        <f>D33-C33</f>
        <v>4.8700000000000045</v>
      </c>
      <c r="E35" s="3"/>
      <c r="F35" s="3">
        <f>F33-E33</f>
        <v>42.309999999999995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-159.21</v>
      </c>
      <c r="F37" s="3"/>
      <c r="G37" s="3">
        <f>G33-F33</f>
        <v>67.5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3582-4E82-4D38-9555-8AFFF1F5D034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415.51</v>
      </c>
      <c r="C2" s="1">
        <v>365.06</v>
      </c>
      <c r="D2" s="1">
        <v>373.37</v>
      </c>
      <c r="E2" s="1">
        <v>422.44</v>
      </c>
      <c r="F2" s="1">
        <v>432.86</v>
      </c>
      <c r="G2" s="1">
        <v>437.43</v>
      </c>
    </row>
    <row r="3" spans="1:7" x14ac:dyDescent="0.3">
      <c r="A3" s="1" t="s">
        <v>7</v>
      </c>
      <c r="B3" s="1">
        <v>39.07</v>
      </c>
      <c r="C3" s="1">
        <v>36.58</v>
      </c>
      <c r="D3" s="1">
        <v>36.729999999999997</v>
      </c>
      <c r="E3" s="1">
        <v>41.18</v>
      </c>
      <c r="F3" s="1">
        <v>42.95</v>
      </c>
      <c r="G3" s="1">
        <v>42.46</v>
      </c>
    </row>
    <row r="4" spans="1:7" x14ac:dyDescent="0.3">
      <c r="A4" s="1" t="s">
        <v>8</v>
      </c>
      <c r="B4" s="1">
        <v>16512.919999999998</v>
      </c>
      <c r="C4" s="1">
        <v>13565.82</v>
      </c>
      <c r="D4" s="1">
        <v>13922.97</v>
      </c>
      <c r="E4" s="1">
        <v>17692.7</v>
      </c>
      <c r="F4" s="1">
        <v>18874.55</v>
      </c>
      <c r="G4" s="1">
        <v>18903.27</v>
      </c>
    </row>
    <row r="5" spans="1:7" x14ac:dyDescent="0.3">
      <c r="A5" s="1" t="s">
        <v>9</v>
      </c>
      <c r="B5" s="1">
        <v>1233.42</v>
      </c>
      <c r="C5" s="1">
        <v>1592.75</v>
      </c>
      <c r="D5" s="1">
        <v>1658.72</v>
      </c>
      <c r="E5" s="1">
        <v>1434.17</v>
      </c>
      <c r="F5" s="1">
        <v>986.72</v>
      </c>
      <c r="G5" s="1">
        <v>1521.09</v>
      </c>
    </row>
    <row r="6" spans="1:7" x14ac:dyDescent="0.3">
      <c r="A6" s="3" t="s">
        <v>10</v>
      </c>
      <c r="B6" s="3">
        <v>123.34</v>
      </c>
      <c r="C6" s="3">
        <v>160.88</v>
      </c>
      <c r="D6" s="3">
        <v>167.55</v>
      </c>
      <c r="E6" s="3">
        <v>144.87</v>
      </c>
      <c r="F6" s="3">
        <v>99.67</v>
      </c>
      <c r="G6" s="3">
        <v>155.21</v>
      </c>
    </row>
    <row r="7" spans="1:7" x14ac:dyDescent="0.3">
      <c r="A7" s="1" t="s">
        <v>11</v>
      </c>
      <c r="B7" s="1">
        <v>1181.05</v>
      </c>
      <c r="C7" s="1">
        <v>1479.52</v>
      </c>
      <c r="D7" s="1">
        <v>1537.86</v>
      </c>
      <c r="E7" s="1">
        <v>1401.02</v>
      </c>
      <c r="F7" s="1">
        <v>959.88</v>
      </c>
      <c r="G7" s="1">
        <v>1500.17</v>
      </c>
    </row>
    <row r="8" spans="1:7" x14ac:dyDescent="0.3">
      <c r="A8" s="1" t="s">
        <v>12</v>
      </c>
      <c r="B8" s="1">
        <v>118.1</v>
      </c>
      <c r="C8" s="1">
        <v>149.44999999999999</v>
      </c>
      <c r="D8" s="1">
        <v>155.34</v>
      </c>
      <c r="E8" s="1">
        <v>141.52000000000001</v>
      </c>
      <c r="F8" s="1">
        <v>96.96</v>
      </c>
      <c r="G8" s="1">
        <v>153.08000000000001</v>
      </c>
    </row>
    <row r="9" spans="1:7" x14ac:dyDescent="0.3">
      <c r="A9" s="1" t="s">
        <v>13</v>
      </c>
      <c r="B9" s="1">
        <v>1181.05</v>
      </c>
      <c r="C9" s="1">
        <v>1479.52</v>
      </c>
      <c r="D9" s="1">
        <v>1537.86</v>
      </c>
      <c r="E9" s="1">
        <v>1401.02</v>
      </c>
      <c r="F9" s="1">
        <v>-330.3</v>
      </c>
      <c r="G9" s="1">
        <v>1500.17</v>
      </c>
    </row>
    <row r="10" spans="1:7" x14ac:dyDescent="0.3">
      <c r="A10" s="1" t="s">
        <v>14</v>
      </c>
      <c r="B10" s="1">
        <v>118.1</v>
      </c>
      <c r="C10" s="1">
        <v>149.44999999999999</v>
      </c>
      <c r="D10" s="1">
        <v>155.34</v>
      </c>
      <c r="E10" s="1">
        <v>141.52000000000001</v>
      </c>
      <c r="F10" s="1">
        <v>-33.36</v>
      </c>
      <c r="G10" s="1">
        <v>153.08000000000001</v>
      </c>
    </row>
    <row r="11" spans="1:7" x14ac:dyDescent="0.3">
      <c r="A11" s="1" t="s">
        <v>15</v>
      </c>
      <c r="B11" s="1">
        <v>944.9</v>
      </c>
      <c r="C11" s="1">
        <v>1394.16</v>
      </c>
      <c r="D11" s="1">
        <v>1484.58</v>
      </c>
      <c r="E11" s="1">
        <v>1147.5899999999999</v>
      </c>
      <c r="F11" s="1">
        <v>199.98</v>
      </c>
      <c r="G11" s="1">
        <v>1114.8399999999999</v>
      </c>
    </row>
    <row r="12" spans="1:7" x14ac:dyDescent="0.3">
      <c r="A12" s="1" t="s">
        <v>16</v>
      </c>
      <c r="B12" s="1">
        <v>236.77</v>
      </c>
      <c r="C12" s="1">
        <v>224.8</v>
      </c>
      <c r="D12" s="1">
        <v>233.69</v>
      </c>
      <c r="E12" s="1">
        <v>253.62</v>
      </c>
      <c r="F12" s="1">
        <v>277.12</v>
      </c>
      <c r="G12" s="1">
        <v>253.07</v>
      </c>
    </row>
    <row r="13" spans="1:7" x14ac:dyDescent="0.3">
      <c r="A13" s="1" t="s">
        <v>17</v>
      </c>
      <c r="B13" s="1">
        <v>28.26</v>
      </c>
      <c r="C13" s="1">
        <v>22.96</v>
      </c>
      <c r="D13" s="1">
        <v>19.5</v>
      </c>
      <c r="E13" s="1">
        <v>29.19</v>
      </c>
      <c r="F13" s="1">
        <v>29.76</v>
      </c>
      <c r="G13" s="1">
        <v>30.21</v>
      </c>
    </row>
    <row r="14" spans="1:7" x14ac:dyDescent="0.3">
      <c r="A14" s="1" t="s">
        <v>18</v>
      </c>
      <c r="B14" s="1">
        <v>71</v>
      </c>
      <c r="C14" s="1">
        <v>55.98</v>
      </c>
      <c r="D14" s="1">
        <v>44.62</v>
      </c>
      <c r="E14" s="1">
        <v>68.09</v>
      </c>
      <c r="F14" s="1">
        <v>78.94</v>
      </c>
      <c r="G14" s="1">
        <v>59.34</v>
      </c>
    </row>
    <row r="15" spans="1:7" x14ac:dyDescent="0.3">
      <c r="A15" s="1" t="s">
        <v>19</v>
      </c>
      <c r="B15" s="1">
        <v>6</v>
      </c>
      <c r="C15" s="1">
        <v>8</v>
      </c>
      <c r="D15" s="1">
        <v>9</v>
      </c>
      <c r="E15" s="1">
        <v>6</v>
      </c>
      <c r="F15" s="1">
        <v>6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1181.05</v>
      </c>
      <c r="C17" s="1">
        <v>1479.52</v>
      </c>
      <c r="D17" s="1">
        <v>1537.86</v>
      </c>
      <c r="E17" s="1">
        <v>1401.02</v>
      </c>
      <c r="F17" s="1">
        <v>314.79000000000002</v>
      </c>
      <c r="G17" s="1">
        <v>1500.17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645.09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3.9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6.1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1.2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2.8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6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12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27.999999999999996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60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121.11</v>
      </c>
      <c r="C33" s="3">
        <v>159.33000000000001</v>
      </c>
      <c r="D33" s="3">
        <v>165.33</v>
      </c>
      <c r="E33" s="3">
        <v>144.76</v>
      </c>
      <c r="F33" s="3">
        <v>-11.66</v>
      </c>
      <c r="G33" s="3">
        <v>155.38</v>
      </c>
    </row>
    <row r="35" spans="1:7" x14ac:dyDescent="0.3">
      <c r="A35" s="3" t="s">
        <v>36</v>
      </c>
      <c r="B35" s="3"/>
      <c r="C35" s="3"/>
      <c r="D35" s="3">
        <f>D33-C33</f>
        <v>6</v>
      </c>
      <c r="E35" s="3"/>
      <c r="F35" s="3">
        <f>F33-E33</f>
        <v>-156.41999999999999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-20.570000000000022</v>
      </c>
      <c r="F37" s="3"/>
      <c r="G37" s="3">
        <f>G33-F33</f>
        <v>167.04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E47D-36FD-4E15-95F6-D585E937B1F5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424.34</v>
      </c>
      <c r="C2" s="1">
        <v>463.16</v>
      </c>
      <c r="D2" s="1">
        <v>413.94</v>
      </c>
      <c r="E2" s="1">
        <v>323.72000000000003</v>
      </c>
      <c r="F2" s="1">
        <v>400.71</v>
      </c>
      <c r="G2" s="1">
        <v>414.25</v>
      </c>
    </row>
    <row r="3" spans="1:7" x14ac:dyDescent="0.3">
      <c r="A3" s="1" t="s">
        <v>7</v>
      </c>
      <c r="B3" s="1">
        <v>42.98</v>
      </c>
      <c r="C3" s="1">
        <v>45.35</v>
      </c>
      <c r="D3" s="1">
        <v>42.61</v>
      </c>
      <c r="E3" s="1">
        <v>40.880000000000003</v>
      </c>
      <c r="F3" s="1">
        <v>40.4</v>
      </c>
      <c r="G3" s="1">
        <v>40.99</v>
      </c>
    </row>
    <row r="4" spans="1:7" x14ac:dyDescent="0.3">
      <c r="A4" s="1" t="s">
        <v>8</v>
      </c>
      <c r="B4" s="1">
        <v>18590.900000000001</v>
      </c>
      <c r="C4" s="1">
        <v>21368.17</v>
      </c>
      <c r="D4" s="1">
        <v>17932.240000000002</v>
      </c>
      <c r="E4" s="1">
        <v>13463.3</v>
      </c>
      <c r="F4" s="1">
        <v>16458.14</v>
      </c>
      <c r="G4" s="1">
        <v>17269.71</v>
      </c>
    </row>
    <row r="5" spans="1:7" x14ac:dyDescent="0.3">
      <c r="A5" s="1" t="s">
        <v>9</v>
      </c>
      <c r="B5" s="1">
        <v>1407.19</v>
      </c>
      <c r="C5" s="1">
        <v>1486.91</v>
      </c>
      <c r="D5" s="1">
        <v>2054.7800000000002</v>
      </c>
      <c r="E5" s="1">
        <v>185.68</v>
      </c>
      <c r="F5" s="1">
        <v>693.68</v>
      </c>
      <c r="G5" s="1">
        <v>1647.23</v>
      </c>
    </row>
    <row r="6" spans="1:7" x14ac:dyDescent="0.3">
      <c r="A6" s="3" t="s">
        <v>10</v>
      </c>
      <c r="B6" s="3">
        <v>140.72</v>
      </c>
      <c r="C6" s="3">
        <v>150.19</v>
      </c>
      <c r="D6" s="3">
        <v>207.55</v>
      </c>
      <c r="E6" s="3">
        <v>18.760000000000002</v>
      </c>
      <c r="F6" s="3">
        <v>70.069999999999993</v>
      </c>
      <c r="G6" s="3">
        <v>168.08</v>
      </c>
    </row>
    <row r="7" spans="1:7" x14ac:dyDescent="0.3">
      <c r="A7" s="1" t="s">
        <v>11</v>
      </c>
      <c r="B7" s="1">
        <v>1354.17</v>
      </c>
      <c r="C7" s="1">
        <v>1466.44</v>
      </c>
      <c r="D7" s="1">
        <v>1951.35</v>
      </c>
      <c r="E7" s="1">
        <v>173.22</v>
      </c>
      <c r="F7" s="1">
        <v>681.39</v>
      </c>
      <c r="G7" s="1">
        <v>1608.69</v>
      </c>
    </row>
    <row r="8" spans="1:7" x14ac:dyDescent="0.3">
      <c r="A8" s="1" t="s">
        <v>12</v>
      </c>
      <c r="B8" s="1">
        <v>135.41999999999999</v>
      </c>
      <c r="C8" s="1">
        <v>148.13</v>
      </c>
      <c r="D8" s="1">
        <v>197.11</v>
      </c>
      <c r="E8" s="1">
        <v>17.5</v>
      </c>
      <c r="F8" s="1">
        <v>68.83</v>
      </c>
      <c r="G8" s="1">
        <v>164.15</v>
      </c>
    </row>
    <row r="9" spans="1:7" x14ac:dyDescent="0.3">
      <c r="A9" s="1" t="s">
        <v>13</v>
      </c>
      <c r="B9" s="1">
        <v>1354.17</v>
      </c>
      <c r="C9" s="1">
        <v>1385.7</v>
      </c>
      <c r="D9" s="1">
        <v>1542.75</v>
      </c>
      <c r="E9" s="1">
        <v>87.55</v>
      </c>
      <c r="F9" s="1">
        <v>404.07</v>
      </c>
      <c r="G9" s="1">
        <v>1608.69</v>
      </c>
    </row>
    <row r="10" spans="1:7" x14ac:dyDescent="0.3">
      <c r="A10" s="1" t="s">
        <v>14</v>
      </c>
      <c r="B10" s="1">
        <v>135.41999999999999</v>
      </c>
      <c r="C10" s="1">
        <v>139.97</v>
      </c>
      <c r="D10" s="1">
        <v>155.83000000000001</v>
      </c>
      <c r="E10" s="1">
        <v>8.84</v>
      </c>
      <c r="F10" s="1">
        <v>40.82</v>
      </c>
      <c r="G10" s="1">
        <v>164.15</v>
      </c>
    </row>
    <row r="11" spans="1:7" x14ac:dyDescent="0.3">
      <c r="A11" s="1" t="s">
        <v>15</v>
      </c>
      <c r="B11" s="1">
        <v>1169.92</v>
      </c>
      <c r="C11" s="1">
        <v>1116.97</v>
      </c>
      <c r="D11" s="1">
        <v>1148.45</v>
      </c>
      <c r="E11" s="1">
        <v>82.56</v>
      </c>
      <c r="F11" s="1">
        <v>209.93</v>
      </c>
      <c r="G11" s="1">
        <v>1434.36</v>
      </c>
    </row>
    <row r="12" spans="1:7" x14ac:dyDescent="0.3">
      <c r="A12" s="1" t="s">
        <v>16</v>
      </c>
      <c r="B12" s="1">
        <v>257.70999999999998</v>
      </c>
      <c r="C12" s="1">
        <v>263.02999999999997</v>
      </c>
      <c r="D12" s="1">
        <v>239.55</v>
      </c>
      <c r="E12" s="1">
        <v>221.51</v>
      </c>
      <c r="F12" s="1">
        <v>234.78</v>
      </c>
      <c r="G12" s="1">
        <v>262.79000000000002</v>
      </c>
    </row>
    <row r="13" spans="1:7" x14ac:dyDescent="0.3">
      <c r="A13" s="1" t="s">
        <v>17</v>
      </c>
      <c r="B13" s="1">
        <v>24</v>
      </c>
      <c r="C13" s="1">
        <v>31.15</v>
      </c>
      <c r="D13" s="1">
        <v>40.4</v>
      </c>
      <c r="E13" s="1">
        <v>12.41</v>
      </c>
      <c r="F13" s="1">
        <v>25.72</v>
      </c>
      <c r="G13" s="1">
        <v>25.21</v>
      </c>
    </row>
    <row r="14" spans="1:7" x14ac:dyDescent="0.3">
      <c r="A14" s="1" t="s">
        <v>18</v>
      </c>
      <c r="B14" s="1">
        <v>58.98</v>
      </c>
      <c r="C14" s="1">
        <v>55.82</v>
      </c>
      <c r="D14" s="1">
        <v>70.19</v>
      </c>
      <c r="E14" s="1">
        <v>25</v>
      </c>
      <c r="F14" s="1">
        <v>55.71</v>
      </c>
      <c r="G14" s="1">
        <v>56.11</v>
      </c>
    </row>
    <row r="15" spans="1:7" x14ac:dyDescent="0.3">
      <c r="A15" s="1" t="s">
        <v>19</v>
      </c>
      <c r="B15" s="1">
        <v>5</v>
      </c>
      <c r="C15" s="1">
        <v>9</v>
      </c>
      <c r="D15" s="1">
        <v>6</v>
      </c>
      <c r="E15" s="1">
        <v>2</v>
      </c>
      <c r="F15" s="1">
        <v>4</v>
      </c>
      <c r="G15" s="1">
        <v>9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1354.17</v>
      </c>
      <c r="C17" s="1">
        <v>1426.07</v>
      </c>
      <c r="D17" s="1">
        <v>1747.05</v>
      </c>
      <c r="E17" s="1">
        <v>130.38999999999999</v>
      </c>
      <c r="F17" s="1">
        <v>542.73</v>
      </c>
      <c r="G17" s="1">
        <v>1608.69</v>
      </c>
    </row>
    <row r="18" spans="1:7" x14ac:dyDescent="0.3">
      <c r="A18" s="1" t="s">
        <v>22</v>
      </c>
      <c r="B18" s="1">
        <v>0</v>
      </c>
      <c r="C18" s="1">
        <v>40.369999999999997</v>
      </c>
      <c r="D18" s="1">
        <v>204.3</v>
      </c>
      <c r="E18" s="1">
        <v>42.84</v>
      </c>
      <c r="F18" s="1">
        <v>138.66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1</v>
      </c>
      <c r="E19" s="1">
        <v>1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1.3</v>
      </c>
      <c r="E20" s="1">
        <v>1.1000000000000001</v>
      </c>
      <c r="F20" s="1">
        <v>3.1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8.6999999999999993</v>
      </c>
      <c r="E21" s="1">
        <v>8.9</v>
      </c>
      <c r="F21" s="1">
        <v>6.9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2.6</v>
      </c>
      <c r="E24" s="1">
        <v>0</v>
      </c>
      <c r="F24" s="1">
        <v>3.4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8</v>
      </c>
      <c r="F25" s="1">
        <v>1.2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7.4</v>
      </c>
      <c r="E26" s="1">
        <v>2</v>
      </c>
      <c r="F26" s="1">
        <v>5.4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26</v>
      </c>
      <c r="E29" s="3">
        <f t="shared" si="1"/>
        <v>0</v>
      </c>
      <c r="F29" s="3">
        <f t="shared" si="1"/>
        <v>34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80</v>
      </c>
      <c r="F30" s="3">
        <f t="shared" si="2"/>
        <v>12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74</v>
      </c>
      <c r="E31" s="3">
        <f t="shared" si="3"/>
        <v>20</v>
      </c>
      <c r="F31" s="3">
        <f t="shared" si="3"/>
        <v>54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136.84</v>
      </c>
      <c r="C33" s="3">
        <v>135.61000000000001</v>
      </c>
      <c r="D33" s="3">
        <v>146.04</v>
      </c>
      <c r="E33" s="3">
        <v>9.44</v>
      </c>
      <c r="F33" s="3">
        <v>14.55</v>
      </c>
      <c r="G33" s="3">
        <v>165.05</v>
      </c>
    </row>
    <row r="35" spans="1:7" x14ac:dyDescent="0.3">
      <c r="A35" s="3" t="s">
        <v>36</v>
      </c>
      <c r="B35" s="3"/>
      <c r="C35" s="3"/>
      <c r="D35" s="3">
        <f>D33-C33</f>
        <v>10.429999999999978</v>
      </c>
      <c r="E35" s="3"/>
      <c r="F35" s="3">
        <f>F33-E33</f>
        <v>5.1100000000000012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-136.6</v>
      </c>
      <c r="F37" s="3"/>
      <c r="G37" s="3">
        <f>G33-F33</f>
        <v>150.5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0941-2AC3-40DA-A420-013375039A6E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502.61</v>
      </c>
      <c r="C2" s="1">
        <v>506.42</v>
      </c>
      <c r="D2" s="1">
        <v>508</v>
      </c>
      <c r="E2" s="1">
        <v>511.66</v>
      </c>
      <c r="F2" s="1">
        <v>503.27</v>
      </c>
      <c r="G2" s="1">
        <v>546.37</v>
      </c>
    </row>
    <row r="3" spans="1:7" x14ac:dyDescent="0.3">
      <c r="A3" s="1" t="s">
        <v>7</v>
      </c>
      <c r="B3" s="1">
        <v>46.98</v>
      </c>
      <c r="C3" s="1">
        <v>46.72</v>
      </c>
      <c r="D3" s="1">
        <v>46.61</v>
      </c>
      <c r="E3" s="1">
        <v>46.34</v>
      </c>
      <c r="F3" s="1">
        <v>49.8</v>
      </c>
      <c r="G3" s="1">
        <v>57.55</v>
      </c>
    </row>
    <row r="4" spans="1:7" x14ac:dyDescent="0.3">
      <c r="A4" s="1" t="s">
        <v>8</v>
      </c>
      <c r="B4" s="1">
        <v>24020.62</v>
      </c>
      <c r="C4" s="1">
        <v>24065.81</v>
      </c>
      <c r="D4" s="1">
        <v>24085.08</v>
      </c>
      <c r="E4" s="1">
        <v>24119.65</v>
      </c>
      <c r="F4" s="1">
        <v>25481.86</v>
      </c>
      <c r="G4" s="1">
        <v>31998.1</v>
      </c>
    </row>
    <row r="5" spans="1:7" x14ac:dyDescent="0.3">
      <c r="A5" s="1" t="s">
        <v>9</v>
      </c>
      <c r="B5" s="1">
        <v>134.62</v>
      </c>
      <c r="C5" s="1">
        <v>117.73</v>
      </c>
      <c r="D5" s="1">
        <v>136.29</v>
      </c>
      <c r="E5" s="1">
        <v>131.41999999999999</v>
      </c>
      <c r="F5" s="1">
        <v>433.69</v>
      </c>
      <c r="G5" s="1">
        <v>1698.86</v>
      </c>
    </row>
    <row r="6" spans="1:7" x14ac:dyDescent="0.3">
      <c r="A6" s="3" t="s">
        <v>10</v>
      </c>
      <c r="B6" s="3">
        <v>13.46</v>
      </c>
      <c r="C6" s="3">
        <v>11.89</v>
      </c>
      <c r="D6" s="3">
        <v>13.77</v>
      </c>
      <c r="E6" s="3">
        <v>13.27</v>
      </c>
      <c r="F6" s="3">
        <v>43.81</v>
      </c>
      <c r="G6" s="3">
        <v>173.35</v>
      </c>
    </row>
    <row r="7" spans="1:7" x14ac:dyDescent="0.3">
      <c r="A7" s="1" t="s">
        <v>11</v>
      </c>
      <c r="B7" s="1">
        <v>129.82</v>
      </c>
      <c r="C7" s="1">
        <v>110.57</v>
      </c>
      <c r="D7" s="1">
        <v>132.96</v>
      </c>
      <c r="E7" s="1">
        <v>125.9</v>
      </c>
      <c r="F7" s="1">
        <v>429.26</v>
      </c>
      <c r="G7" s="1">
        <v>1649.64</v>
      </c>
    </row>
    <row r="8" spans="1:7" x14ac:dyDescent="0.3">
      <c r="A8" s="1" t="s">
        <v>12</v>
      </c>
      <c r="B8" s="1">
        <v>12.98</v>
      </c>
      <c r="C8" s="1">
        <v>11.17</v>
      </c>
      <c r="D8" s="1">
        <v>13.43</v>
      </c>
      <c r="E8" s="1">
        <v>12.72</v>
      </c>
      <c r="F8" s="1">
        <v>43.36</v>
      </c>
      <c r="G8" s="1">
        <v>168.33</v>
      </c>
    </row>
    <row r="9" spans="1:7" x14ac:dyDescent="0.3">
      <c r="A9" s="1" t="s">
        <v>13</v>
      </c>
      <c r="B9" s="1">
        <v>11</v>
      </c>
      <c r="C9" s="1">
        <v>-9.52</v>
      </c>
      <c r="D9" s="1">
        <v>13.15</v>
      </c>
      <c r="E9" s="1">
        <v>-11.74</v>
      </c>
      <c r="F9" s="1">
        <v>288.55</v>
      </c>
      <c r="G9" s="1">
        <v>1649.64</v>
      </c>
    </row>
    <row r="10" spans="1:7" x14ac:dyDescent="0.3">
      <c r="A10" s="1" t="s">
        <v>14</v>
      </c>
      <c r="B10" s="1">
        <v>1.1000000000000001</v>
      </c>
      <c r="C10" s="1">
        <v>-0.96</v>
      </c>
      <c r="D10" s="1">
        <v>1.33</v>
      </c>
      <c r="E10" s="1">
        <v>-1.19</v>
      </c>
      <c r="F10" s="1">
        <v>29.15</v>
      </c>
      <c r="G10" s="1">
        <v>168.33</v>
      </c>
    </row>
    <row r="11" spans="1:7" x14ac:dyDescent="0.3">
      <c r="A11" s="1" t="s">
        <v>15</v>
      </c>
      <c r="B11" s="1">
        <v>3.54</v>
      </c>
      <c r="C11" s="1">
        <v>4.04</v>
      </c>
      <c r="D11" s="1">
        <v>0.99</v>
      </c>
      <c r="E11" s="1">
        <v>3.72</v>
      </c>
      <c r="F11" s="1">
        <v>190.84</v>
      </c>
      <c r="G11" s="1">
        <v>1532.2</v>
      </c>
    </row>
    <row r="12" spans="1:7" x14ac:dyDescent="0.3">
      <c r="A12" s="1" t="s">
        <v>16</v>
      </c>
      <c r="B12" s="1">
        <v>220.37</v>
      </c>
      <c r="C12" s="1">
        <v>232.19</v>
      </c>
      <c r="D12" s="1">
        <v>238.14</v>
      </c>
      <c r="E12" s="1">
        <v>249.04</v>
      </c>
      <c r="F12" s="1">
        <v>272.47000000000003</v>
      </c>
      <c r="G12" s="1">
        <v>288.81</v>
      </c>
    </row>
    <row r="13" spans="1:7" x14ac:dyDescent="0.3">
      <c r="A13" s="1" t="s">
        <v>17</v>
      </c>
      <c r="B13" s="1">
        <v>20.28</v>
      </c>
      <c r="C13" s="1">
        <v>19.61</v>
      </c>
      <c r="D13" s="1">
        <v>19.079999999999998</v>
      </c>
      <c r="E13" s="1">
        <v>18.91</v>
      </c>
      <c r="F13" s="1">
        <v>8.8699999999999992</v>
      </c>
      <c r="G13" s="1">
        <v>27.13</v>
      </c>
    </row>
    <row r="14" spans="1:7" x14ac:dyDescent="0.3">
      <c r="A14" s="1" t="s">
        <v>18</v>
      </c>
      <c r="B14" s="1">
        <v>23.36</v>
      </c>
      <c r="C14" s="1">
        <v>22.32</v>
      </c>
      <c r="D14" s="1">
        <v>20.98</v>
      </c>
      <c r="E14" s="1">
        <v>21.52</v>
      </c>
      <c r="F14" s="1">
        <v>25.47</v>
      </c>
      <c r="G14" s="1">
        <v>59.87</v>
      </c>
    </row>
    <row r="15" spans="1:7" x14ac:dyDescent="0.3">
      <c r="A15" s="1" t="s">
        <v>19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70.41</v>
      </c>
      <c r="C17" s="1">
        <v>50.53</v>
      </c>
      <c r="D17" s="1">
        <v>73.05</v>
      </c>
      <c r="E17" s="1">
        <v>57.08</v>
      </c>
      <c r="F17" s="1">
        <v>358.9</v>
      </c>
      <c r="G17" s="1">
        <v>1649.64</v>
      </c>
    </row>
    <row r="18" spans="1:7" x14ac:dyDescent="0.3">
      <c r="A18" s="1" t="s">
        <v>22</v>
      </c>
      <c r="B18" s="1">
        <v>59.41</v>
      </c>
      <c r="C18" s="1">
        <v>60.04</v>
      </c>
      <c r="D18" s="1">
        <v>59.91</v>
      </c>
      <c r="E18" s="1">
        <v>68.819999999999993</v>
      </c>
      <c r="F18" s="1">
        <v>70.349999999999994</v>
      </c>
      <c r="G18" s="1">
        <v>0</v>
      </c>
    </row>
    <row r="19" spans="1:7" x14ac:dyDescent="0.3">
      <c r="A19" s="1" t="s">
        <v>23</v>
      </c>
      <c r="B19" s="1">
        <v>2</v>
      </c>
      <c r="C19" s="1">
        <v>1</v>
      </c>
      <c r="D19" s="1">
        <v>2</v>
      </c>
      <c r="E19" s="1">
        <v>1</v>
      </c>
      <c r="F19" s="1">
        <v>1</v>
      </c>
      <c r="G19" s="1">
        <v>0</v>
      </c>
    </row>
    <row r="20" spans="1:7" x14ac:dyDescent="0.3">
      <c r="A20" s="1" t="s">
        <v>24</v>
      </c>
      <c r="B20" s="1">
        <v>2.8</v>
      </c>
      <c r="C20" s="1">
        <v>1</v>
      </c>
      <c r="D20" s="1">
        <v>2.2000000000000002</v>
      </c>
      <c r="E20" s="1">
        <v>1.4</v>
      </c>
      <c r="F20" s="1">
        <v>3.1</v>
      </c>
      <c r="G20" s="1">
        <v>0</v>
      </c>
    </row>
    <row r="21" spans="1:7" x14ac:dyDescent="0.3">
      <c r="A21" s="1" t="s">
        <v>25</v>
      </c>
      <c r="B21" s="1">
        <v>7.3</v>
      </c>
      <c r="C21" s="1">
        <v>9</v>
      </c>
      <c r="D21" s="1">
        <v>7.8</v>
      </c>
      <c r="E21" s="1">
        <v>8.6</v>
      </c>
      <c r="F21" s="1">
        <v>6.9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2.2000000000000002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3.6</v>
      </c>
      <c r="G25" s="1">
        <v>0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4.2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22.000000000000004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36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42.000000000000007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-0.26</v>
      </c>
      <c r="C33" s="3">
        <v>-0.03</v>
      </c>
      <c r="D33" s="3">
        <v>0.35</v>
      </c>
      <c r="E33" s="3">
        <v>0.06</v>
      </c>
      <c r="F33" s="3">
        <v>18.52</v>
      </c>
      <c r="G33" s="3">
        <v>170.34</v>
      </c>
    </row>
    <row r="35" spans="1:7" x14ac:dyDescent="0.3">
      <c r="A35" s="3" t="s">
        <v>36</v>
      </c>
      <c r="B35" s="3"/>
      <c r="C35" s="3"/>
      <c r="D35" s="3">
        <f>D33-C33</f>
        <v>0.38</v>
      </c>
      <c r="E35" s="3"/>
      <c r="F35" s="3">
        <f>F33-E33</f>
        <v>18.46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-0.28999999999999998</v>
      </c>
      <c r="F37" s="3"/>
      <c r="G37" s="3">
        <f>G33-F33</f>
        <v>151.82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1864-2ED6-434A-8277-99F25A8D20B9}">
  <dimension ref="A1:G37"/>
  <sheetViews>
    <sheetView zoomScale="70" zoomScaleNormal="70" workbookViewId="0">
      <selection activeCell="M24" sqref="M24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496.54</v>
      </c>
      <c r="C2" s="1">
        <v>520.85</v>
      </c>
      <c r="D2" s="1">
        <v>543.19000000000005</v>
      </c>
      <c r="E2" s="1">
        <v>560.76</v>
      </c>
      <c r="F2" s="1">
        <v>535.11</v>
      </c>
      <c r="G2" s="1">
        <v>503.35</v>
      </c>
    </row>
    <row r="3" spans="1:7" x14ac:dyDescent="0.3">
      <c r="A3" s="1" t="s">
        <v>7</v>
      </c>
      <c r="B3" s="1">
        <v>53.36</v>
      </c>
      <c r="C3" s="1">
        <v>53.28</v>
      </c>
      <c r="D3" s="1">
        <v>61.79</v>
      </c>
      <c r="E3" s="1">
        <v>63.97</v>
      </c>
      <c r="F3" s="1">
        <v>62.41</v>
      </c>
      <c r="G3" s="1">
        <v>55.93</v>
      </c>
    </row>
    <row r="4" spans="1:7" x14ac:dyDescent="0.3">
      <c r="A4" s="1" t="s">
        <v>8</v>
      </c>
      <c r="B4" s="1">
        <v>26932.639999999999</v>
      </c>
      <c r="C4" s="1">
        <v>28179.56</v>
      </c>
      <c r="D4" s="1">
        <v>34178.35</v>
      </c>
      <c r="E4" s="1">
        <v>36486.83</v>
      </c>
      <c r="F4" s="1">
        <v>33957.879999999997</v>
      </c>
      <c r="G4" s="1">
        <v>28584.32</v>
      </c>
    </row>
    <row r="5" spans="1:7" x14ac:dyDescent="0.3">
      <c r="A5" s="1" t="s">
        <v>9</v>
      </c>
      <c r="B5" s="1">
        <v>1417.64</v>
      </c>
      <c r="C5" s="1">
        <v>953.54</v>
      </c>
      <c r="D5" s="1">
        <v>674.38</v>
      </c>
      <c r="E5" s="1">
        <v>128.41999999999999</v>
      </c>
      <c r="F5" s="1">
        <v>909.7</v>
      </c>
      <c r="G5" s="1">
        <v>1095.25</v>
      </c>
    </row>
    <row r="6" spans="1:7" x14ac:dyDescent="0.3">
      <c r="A6" s="3" t="s">
        <v>10</v>
      </c>
      <c r="B6" s="3">
        <v>141.76</v>
      </c>
      <c r="C6" s="3">
        <v>96.32</v>
      </c>
      <c r="D6" s="3">
        <v>68.12</v>
      </c>
      <c r="E6" s="3">
        <v>12.97</v>
      </c>
      <c r="F6" s="3">
        <v>91.89</v>
      </c>
      <c r="G6" s="3">
        <v>111.76</v>
      </c>
    </row>
    <row r="7" spans="1:7" x14ac:dyDescent="0.3">
      <c r="A7" s="1" t="s">
        <v>11</v>
      </c>
      <c r="B7" s="1">
        <v>1393.26</v>
      </c>
      <c r="C7" s="1">
        <v>933.19</v>
      </c>
      <c r="D7" s="1">
        <v>655.64</v>
      </c>
      <c r="E7" s="1">
        <v>115.72</v>
      </c>
      <c r="F7" s="1">
        <v>890.61</v>
      </c>
      <c r="G7" s="1">
        <v>983.67</v>
      </c>
    </row>
    <row r="8" spans="1:7" x14ac:dyDescent="0.3">
      <c r="A8" s="1" t="s">
        <v>12</v>
      </c>
      <c r="B8" s="1">
        <v>139.33000000000001</v>
      </c>
      <c r="C8" s="1">
        <v>94.26</v>
      </c>
      <c r="D8" s="1">
        <v>66.23</v>
      </c>
      <c r="E8" s="1">
        <v>11.69</v>
      </c>
      <c r="F8" s="1">
        <v>89.96</v>
      </c>
      <c r="G8" s="1">
        <v>100.37</v>
      </c>
    </row>
    <row r="9" spans="1:7" x14ac:dyDescent="0.3">
      <c r="A9" s="1" t="s">
        <v>13</v>
      </c>
      <c r="B9" s="1">
        <v>1393.26</v>
      </c>
      <c r="C9" s="1">
        <v>359.72</v>
      </c>
      <c r="D9" s="1">
        <v>627.96</v>
      </c>
      <c r="E9" s="1">
        <v>-9.58</v>
      </c>
      <c r="F9" s="1">
        <v>-633.04999999999995</v>
      </c>
      <c r="G9" s="1">
        <v>877.9</v>
      </c>
    </row>
    <row r="10" spans="1:7" x14ac:dyDescent="0.3">
      <c r="A10" s="1" t="s">
        <v>14</v>
      </c>
      <c r="B10" s="1">
        <v>139.33000000000001</v>
      </c>
      <c r="C10" s="1">
        <v>36.340000000000003</v>
      </c>
      <c r="D10" s="1">
        <v>63.43</v>
      </c>
      <c r="E10" s="1">
        <v>-0.97</v>
      </c>
      <c r="F10" s="1">
        <v>-63.94</v>
      </c>
      <c r="G10" s="1">
        <v>89.58</v>
      </c>
    </row>
    <row r="11" spans="1:7" x14ac:dyDescent="0.3">
      <c r="A11" s="1" t="s">
        <v>15</v>
      </c>
      <c r="B11" s="1">
        <v>1184.19</v>
      </c>
      <c r="C11" s="1">
        <v>177.42</v>
      </c>
      <c r="D11" s="1">
        <v>491.56</v>
      </c>
      <c r="E11" s="1">
        <v>3.13</v>
      </c>
      <c r="F11" s="1">
        <v>417.2</v>
      </c>
      <c r="G11" s="1">
        <v>669</v>
      </c>
    </row>
    <row r="12" spans="1:7" x14ac:dyDescent="0.3">
      <c r="A12" s="1" t="s">
        <v>16</v>
      </c>
      <c r="B12" s="1">
        <v>289.27999999999997</v>
      </c>
      <c r="C12" s="1">
        <v>290.77</v>
      </c>
      <c r="D12" s="1">
        <v>297.54000000000002</v>
      </c>
      <c r="E12" s="1">
        <v>314.95999999999998</v>
      </c>
      <c r="F12" s="1">
        <v>284.58</v>
      </c>
      <c r="G12" s="1">
        <v>219.39</v>
      </c>
    </row>
    <row r="13" spans="1:7" x14ac:dyDescent="0.3">
      <c r="A13" s="1" t="s">
        <v>17</v>
      </c>
      <c r="B13" s="1">
        <v>31.69</v>
      </c>
      <c r="C13" s="1">
        <v>37.81</v>
      </c>
      <c r="D13" s="1">
        <v>29.18</v>
      </c>
      <c r="E13" s="1">
        <v>32.36</v>
      </c>
      <c r="F13" s="1">
        <v>35.49</v>
      </c>
      <c r="G13" s="1">
        <v>44.23</v>
      </c>
    </row>
    <row r="14" spans="1:7" x14ac:dyDescent="0.3">
      <c r="A14" s="1" t="s">
        <v>18</v>
      </c>
      <c r="B14" s="1">
        <v>67.42</v>
      </c>
      <c r="C14" s="1">
        <v>83.21</v>
      </c>
      <c r="D14" s="1">
        <v>76.56</v>
      </c>
      <c r="E14" s="1">
        <v>38.090000000000003</v>
      </c>
      <c r="F14" s="1">
        <v>110.14</v>
      </c>
      <c r="G14" s="1">
        <v>97.12</v>
      </c>
    </row>
    <row r="15" spans="1:7" x14ac:dyDescent="0.3">
      <c r="A15" s="1" t="s">
        <v>19</v>
      </c>
      <c r="B15" s="1">
        <v>6</v>
      </c>
      <c r="C15" s="1">
        <v>4</v>
      </c>
      <c r="D15" s="1">
        <v>1</v>
      </c>
      <c r="E15" s="1">
        <v>0</v>
      </c>
      <c r="F15" s="1">
        <v>2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1393.26</v>
      </c>
      <c r="C17" s="1">
        <v>646.46</v>
      </c>
      <c r="D17" s="1">
        <v>641.79999999999995</v>
      </c>
      <c r="E17" s="1">
        <v>53.07</v>
      </c>
      <c r="F17" s="1">
        <v>128.78</v>
      </c>
      <c r="G17" s="1">
        <v>930.79</v>
      </c>
    </row>
    <row r="18" spans="1:7" x14ac:dyDescent="0.3">
      <c r="A18" s="1" t="s">
        <v>22</v>
      </c>
      <c r="B18" s="1">
        <v>0</v>
      </c>
      <c r="C18" s="1">
        <v>286.74</v>
      </c>
      <c r="D18" s="1">
        <v>13.84</v>
      </c>
      <c r="E18" s="1">
        <v>62.65</v>
      </c>
      <c r="F18" s="1">
        <v>761.83</v>
      </c>
      <c r="G18" s="1">
        <v>52.88</v>
      </c>
    </row>
    <row r="19" spans="1:7" x14ac:dyDescent="0.3">
      <c r="A19" s="1" t="s">
        <v>23</v>
      </c>
      <c r="B19" s="1">
        <v>0</v>
      </c>
      <c r="C19" s="1">
        <v>1</v>
      </c>
      <c r="D19" s="1">
        <v>1</v>
      </c>
      <c r="E19" s="1">
        <v>2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2.2999999999999998</v>
      </c>
      <c r="D20" s="1">
        <v>1</v>
      </c>
      <c r="E20" s="1">
        <v>2.9</v>
      </c>
      <c r="F20" s="1">
        <v>5.8</v>
      </c>
      <c r="G20" s="1">
        <v>0</v>
      </c>
    </row>
    <row r="21" spans="1:7" x14ac:dyDescent="0.3">
      <c r="A21" s="1" t="s">
        <v>25</v>
      </c>
      <c r="B21" s="1">
        <v>10.1</v>
      </c>
      <c r="C21" s="1">
        <v>7.7</v>
      </c>
      <c r="D21" s="1">
        <v>9</v>
      </c>
      <c r="E21" s="1">
        <v>7.1</v>
      </c>
      <c r="F21" s="1">
        <v>4.2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2.2000000000000002</v>
      </c>
      <c r="D24" s="1">
        <v>0</v>
      </c>
      <c r="E24" s="1">
        <v>0</v>
      </c>
      <c r="F24" s="1">
        <v>6.2</v>
      </c>
      <c r="G24" s="1">
        <v>2.8</v>
      </c>
    </row>
    <row r="25" spans="1:7" x14ac:dyDescent="0.3">
      <c r="A25" s="1" t="s">
        <v>29</v>
      </c>
      <c r="B25" s="1">
        <v>0</v>
      </c>
      <c r="C25" s="1">
        <v>0</v>
      </c>
      <c r="D25" s="1">
        <v>4.0999999999999996</v>
      </c>
      <c r="E25" s="1">
        <v>10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7.8</v>
      </c>
      <c r="D26" s="1">
        <v>5.9</v>
      </c>
      <c r="E26" s="1">
        <v>0</v>
      </c>
      <c r="F26" s="1">
        <v>3.8</v>
      </c>
      <c r="G26" s="1">
        <v>7.1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22.000000000000004</v>
      </c>
      <c r="D29" s="3">
        <f t="shared" si="1"/>
        <v>0</v>
      </c>
      <c r="E29" s="3">
        <f t="shared" si="1"/>
        <v>0</v>
      </c>
      <c r="F29" s="3">
        <f t="shared" si="1"/>
        <v>62</v>
      </c>
      <c r="G29" s="3">
        <f t="shared" si="1"/>
        <v>28.282828282828287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41</v>
      </c>
      <c r="E30" s="3">
        <f t="shared" si="2"/>
        <v>100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78</v>
      </c>
      <c r="D31" s="3">
        <f t="shared" si="3"/>
        <v>59.000000000000007</v>
      </c>
      <c r="E31" s="3">
        <f t="shared" si="3"/>
        <v>0</v>
      </c>
      <c r="F31" s="3">
        <f t="shared" si="3"/>
        <v>38</v>
      </c>
      <c r="G31" s="3">
        <f t="shared" si="3"/>
        <v>71.717171717171723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139.97999999999999</v>
      </c>
      <c r="C33" s="3">
        <v>22.65</v>
      </c>
      <c r="D33" s="3">
        <v>65.8</v>
      </c>
      <c r="E33" s="3">
        <v>7.0000000000000007E-2</v>
      </c>
      <c r="F33" s="3">
        <v>-40.9</v>
      </c>
      <c r="G33" s="3">
        <v>76.98</v>
      </c>
    </row>
    <row r="35" spans="1:7" x14ac:dyDescent="0.3">
      <c r="A35" s="3" t="s">
        <v>36</v>
      </c>
      <c r="B35" s="3"/>
      <c r="C35" s="3"/>
      <c r="D35" s="3">
        <f>D33-C33</f>
        <v>43.15</v>
      </c>
      <c r="E35" s="3"/>
      <c r="F35" s="3">
        <f>F33-E33</f>
        <v>-40.97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-65.73</v>
      </c>
      <c r="F37" s="3"/>
      <c r="G37" s="3">
        <f>G33-F33</f>
        <v>117.88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9768-830E-4C29-93DA-028869FC6542}">
  <dimension ref="A1:G37"/>
  <sheetViews>
    <sheetView tabSelected="1" zoomScale="70" zoomScaleNormal="70" workbookViewId="0">
      <selection activeCell="N19" sqref="N19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445.81</v>
      </c>
      <c r="C2" s="1">
        <v>503.2</v>
      </c>
      <c r="D2" s="1">
        <v>500.57</v>
      </c>
      <c r="E2" s="1">
        <v>472.48</v>
      </c>
      <c r="F2" s="1">
        <v>472.66</v>
      </c>
      <c r="G2" s="1">
        <v>433.37</v>
      </c>
    </row>
    <row r="3" spans="1:7" x14ac:dyDescent="0.3">
      <c r="A3" s="1" t="s">
        <v>7</v>
      </c>
      <c r="B3" s="1">
        <v>47.83</v>
      </c>
      <c r="C3" s="1">
        <v>58.59</v>
      </c>
      <c r="D3" s="1">
        <v>58.5</v>
      </c>
      <c r="E3" s="1">
        <v>54.78</v>
      </c>
      <c r="F3" s="1">
        <v>55.3</v>
      </c>
      <c r="G3" s="1">
        <v>46.31</v>
      </c>
    </row>
    <row r="4" spans="1:7" x14ac:dyDescent="0.3">
      <c r="A4" s="1" t="s">
        <v>8</v>
      </c>
      <c r="B4" s="1">
        <v>21684.400000000001</v>
      </c>
      <c r="C4" s="1">
        <v>29984.41</v>
      </c>
      <c r="D4" s="1">
        <v>29786.959999999999</v>
      </c>
      <c r="E4" s="1">
        <v>26330.29</v>
      </c>
      <c r="F4" s="1">
        <v>26585.59</v>
      </c>
      <c r="G4" s="1">
        <v>20396.8</v>
      </c>
    </row>
    <row r="5" spans="1:7" x14ac:dyDescent="0.3">
      <c r="A5" s="1" t="s">
        <v>9</v>
      </c>
      <c r="B5" s="1">
        <v>2141.84</v>
      </c>
      <c r="C5" s="1">
        <v>2159.14</v>
      </c>
      <c r="D5" s="1">
        <v>2477.2600000000002</v>
      </c>
      <c r="E5" s="1">
        <v>2180.4899999999998</v>
      </c>
      <c r="F5" s="1">
        <v>1012.56</v>
      </c>
      <c r="G5" s="1">
        <v>2103.02</v>
      </c>
    </row>
    <row r="6" spans="1:7" x14ac:dyDescent="0.3">
      <c r="A6" s="3" t="s">
        <v>10</v>
      </c>
      <c r="B6" s="3">
        <v>214.18</v>
      </c>
      <c r="C6" s="3">
        <v>218.1</v>
      </c>
      <c r="D6" s="3">
        <v>250.23</v>
      </c>
      <c r="E6" s="3">
        <v>220.25</v>
      </c>
      <c r="F6" s="3">
        <v>102.28</v>
      </c>
      <c r="G6" s="3">
        <v>214.59</v>
      </c>
    </row>
    <row r="7" spans="1:7" x14ac:dyDescent="0.3">
      <c r="A7" s="1" t="s">
        <v>11</v>
      </c>
      <c r="B7" s="1">
        <v>2059.19</v>
      </c>
      <c r="C7" s="1">
        <v>2121.38</v>
      </c>
      <c r="D7" s="1">
        <v>2407.6799999999998</v>
      </c>
      <c r="E7" s="1">
        <v>2125.41</v>
      </c>
      <c r="F7" s="1">
        <v>998.81</v>
      </c>
      <c r="G7" s="1">
        <v>2022.83</v>
      </c>
    </row>
    <row r="8" spans="1:7" x14ac:dyDescent="0.3">
      <c r="A8" s="1" t="s">
        <v>12</v>
      </c>
      <c r="B8" s="1">
        <v>205.92</v>
      </c>
      <c r="C8" s="1">
        <v>214.28</v>
      </c>
      <c r="D8" s="1">
        <v>243.2</v>
      </c>
      <c r="E8" s="1">
        <v>214.69</v>
      </c>
      <c r="F8" s="1">
        <v>100.89</v>
      </c>
      <c r="G8" s="1">
        <v>206.41</v>
      </c>
    </row>
    <row r="9" spans="1:7" x14ac:dyDescent="0.3">
      <c r="A9" s="1" t="s">
        <v>13</v>
      </c>
      <c r="B9" s="1">
        <v>2059.19</v>
      </c>
      <c r="C9" s="1">
        <v>2121.38</v>
      </c>
      <c r="D9" s="1">
        <v>2407.6799999999998</v>
      </c>
      <c r="E9" s="1">
        <v>2125.41</v>
      </c>
      <c r="F9" s="1">
        <v>849.11</v>
      </c>
      <c r="G9" s="1">
        <v>2022.83</v>
      </c>
    </row>
    <row r="10" spans="1:7" x14ac:dyDescent="0.3">
      <c r="A10" s="1" t="s">
        <v>14</v>
      </c>
      <c r="B10" s="1">
        <v>205.92</v>
      </c>
      <c r="C10" s="1">
        <v>214.28</v>
      </c>
      <c r="D10" s="1">
        <v>243.2</v>
      </c>
      <c r="E10" s="1">
        <v>214.69</v>
      </c>
      <c r="F10" s="1">
        <v>85.77</v>
      </c>
      <c r="G10" s="1">
        <v>206.41</v>
      </c>
    </row>
    <row r="11" spans="1:7" x14ac:dyDescent="0.3">
      <c r="A11" s="1" t="s">
        <v>15</v>
      </c>
      <c r="B11" s="1">
        <v>1964.42</v>
      </c>
      <c r="C11" s="1">
        <v>1947.97</v>
      </c>
      <c r="D11" s="1">
        <v>2088.5100000000002</v>
      </c>
      <c r="E11" s="1">
        <v>1977.89</v>
      </c>
      <c r="F11" s="1">
        <v>675.94</v>
      </c>
      <c r="G11" s="1">
        <v>1948.96</v>
      </c>
    </row>
    <row r="12" spans="1:7" x14ac:dyDescent="0.3">
      <c r="A12" s="1" t="s">
        <v>16</v>
      </c>
      <c r="B12" s="1">
        <v>273.64999999999998</v>
      </c>
      <c r="C12" s="1">
        <v>273.01</v>
      </c>
      <c r="D12" s="1">
        <v>292.11</v>
      </c>
      <c r="E12" s="1">
        <v>275.22000000000003</v>
      </c>
      <c r="F12" s="1">
        <v>257.98</v>
      </c>
      <c r="G12" s="1">
        <v>267.72000000000003</v>
      </c>
    </row>
    <row r="13" spans="1:7" x14ac:dyDescent="0.3">
      <c r="A13" s="1" t="s">
        <v>17</v>
      </c>
      <c r="B13" s="1">
        <v>22.65</v>
      </c>
      <c r="C13" s="1">
        <v>26.87</v>
      </c>
      <c r="D13" s="1">
        <v>37.090000000000003</v>
      </c>
      <c r="E13" s="1">
        <v>25.96</v>
      </c>
      <c r="F13" s="1">
        <v>24.63</v>
      </c>
      <c r="G13" s="1">
        <v>22.62</v>
      </c>
    </row>
    <row r="14" spans="1:7" x14ac:dyDescent="0.3">
      <c r="A14" s="1" t="s">
        <v>18</v>
      </c>
      <c r="B14" s="1">
        <v>56.83</v>
      </c>
      <c r="C14" s="1">
        <v>58.8</v>
      </c>
      <c r="D14" s="1">
        <v>85.01</v>
      </c>
      <c r="E14" s="1">
        <v>59.27</v>
      </c>
      <c r="F14" s="1">
        <v>52.74</v>
      </c>
      <c r="G14" s="1">
        <v>51.67</v>
      </c>
    </row>
    <row r="15" spans="1:7" x14ac:dyDescent="0.3">
      <c r="A15" s="1" t="s">
        <v>19</v>
      </c>
      <c r="B15" s="1">
        <v>9</v>
      </c>
      <c r="C15" s="1">
        <v>8</v>
      </c>
      <c r="D15" s="1">
        <v>11</v>
      </c>
      <c r="E15" s="1">
        <v>10</v>
      </c>
      <c r="F15" s="1">
        <v>4</v>
      </c>
      <c r="G15" s="1">
        <v>9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2059.19</v>
      </c>
      <c r="C17" s="1">
        <v>2121.38</v>
      </c>
      <c r="D17" s="1">
        <v>2407.6799999999998</v>
      </c>
      <c r="E17" s="1">
        <v>2125.41</v>
      </c>
      <c r="F17" s="1">
        <v>923.96</v>
      </c>
      <c r="G17" s="1">
        <v>2022.83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74.849999999999994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2.4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5.6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24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55.999999999999993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207.63</v>
      </c>
      <c r="C33" s="3">
        <v>215.03</v>
      </c>
      <c r="D33" s="3">
        <v>245.95</v>
      </c>
      <c r="E33" s="3">
        <v>220.39</v>
      </c>
      <c r="F33" s="3">
        <v>71.92</v>
      </c>
      <c r="G33" s="3">
        <v>213.89</v>
      </c>
    </row>
    <row r="35" spans="1:7" x14ac:dyDescent="0.3">
      <c r="A35" s="3" t="s">
        <v>36</v>
      </c>
      <c r="B35" s="3"/>
      <c r="C35" s="3"/>
      <c r="D35" s="3">
        <f>D33-C33</f>
        <v>30.919999999999987</v>
      </c>
      <c r="E35" s="3"/>
      <c r="F35" s="3">
        <f>F33-E33</f>
        <v>-148.46999999999997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-25.560000000000002</v>
      </c>
      <c r="F37" s="3"/>
      <c r="G37" s="3">
        <f>G33-F33</f>
        <v>141.96999999999997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0807-1BB8-44B9-922A-F68605B01B62}">
  <dimension ref="A1:G37"/>
  <sheetViews>
    <sheetView zoomScale="70" zoomScaleNormal="70" workbookViewId="0">
      <selection activeCell="K20" sqref="K20:K25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240731B001.1</vt:lpstr>
      <vt:lpstr>240731B001.2</vt:lpstr>
      <vt:lpstr>240731B001.3</vt:lpstr>
      <vt:lpstr>240731B001.4</vt:lpstr>
      <vt:lpstr>240731B002.1</vt:lpstr>
      <vt:lpstr>240731B002.2</vt:lpstr>
      <vt:lpstr>240731B002.3</vt:lpstr>
      <vt:lpstr>240731B003.1</vt:lpstr>
      <vt:lpstr>240731B003.2</vt:lpstr>
      <vt:lpstr>240731B003.3</vt:lpstr>
      <vt:lpstr>240731B003.4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2024-08-29T16:09:37Z</dcterms:created>
  <dcterms:modified xsi:type="dcterms:W3CDTF">2024-08-29T17:34:53Z</dcterms:modified>
</cp:coreProperties>
</file>