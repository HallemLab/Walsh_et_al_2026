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havioral Assays\Acute Shift Assays\C. elegans\2023-0221\"/>
    </mc:Choice>
  </mc:AlternateContent>
  <xr:revisionPtr revIDLastSave="0" documentId="13_ncr:1_{F5C6B227-1D97-4D76-808A-4BFE7367CA87}" xr6:coauthVersionLast="36" xr6:coauthVersionMax="36" xr10:uidLastSave="{00000000-0000-0000-0000-000000000000}"/>
  <bookViews>
    <workbookView xWindow="0" yWindow="0" windowWidth="24255" windowHeight="10035" firstSheet="4" activeTab="10" xr2:uid="{CA6E53B9-A1F0-4D25-9BC0-1A28ADD6C0E1}"/>
  </bookViews>
  <sheets>
    <sheet name="230221B001.1" sheetId="2" r:id="rId1"/>
    <sheet name="230221B001.2" sheetId="3" r:id="rId2"/>
    <sheet name="230221B001.3" sheetId="4" r:id="rId3"/>
    <sheet name="230221B001.4" sheetId="5" r:id="rId4"/>
    <sheet name="230221B002.1" sheetId="6" r:id="rId5"/>
    <sheet name="230221B002.2" sheetId="7" r:id="rId6"/>
    <sheet name="230221B002.3" sheetId="8" r:id="rId7"/>
    <sheet name="230221B002.4" sheetId="9" r:id="rId8"/>
    <sheet name="230221B003.1" sheetId="10" r:id="rId9"/>
    <sheet name="230221B003.2" sheetId="11" r:id="rId10"/>
    <sheet name="230221B003.3" sheetId="12" r:id="rId11"/>
    <sheet name="template" sheetId="1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2" l="1"/>
  <c r="D35" i="12"/>
  <c r="G28" i="12"/>
  <c r="G30" i="12" s="1"/>
  <c r="F28" i="12"/>
  <c r="F30" i="12" s="1"/>
  <c r="E28" i="12"/>
  <c r="E31" i="12" s="1"/>
  <c r="D28" i="12"/>
  <c r="D31" i="12" s="1"/>
  <c r="C28" i="12"/>
  <c r="C31" i="12" s="1"/>
  <c r="B28" i="12"/>
  <c r="B31" i="12" s="1"/>
  <c r="F35" i="11"/>
  <c r="D35" i="11"/>
  <c r="G28" i="11"/>
  <c r="G30" i="11" s="1"/>
  <c r="F28" i="11"/>
  <c r="F31" i="11" s="1"/>
  <c r="E28" i="11"/>
  <c r="E31" i="11" s="1"/>
  <c r="D28" i="11"/>
  <c r="D29" i="11" s="1"/>
  <c r="C28" i="11"/>
  <c r="C29" i="11" s="1"/>
  <c r="B28" i="11"/>
  <c r="B29" i="11" s="1"/>
  <c r="F35" i="10"/>
  <c r="D35" i="10"/>
  <c r="G28" i="10"/>
  <c r="G31" i="10" s="1"/>
  <c r="F28" i="10"/>
  <c r="F31" i="10" s="1"/>
  <c r="E28" i="10"/>
  <c r="E31" i="10" s="1"/>
  <c r="D28" i="10"/>
  <c r="D30" i="10" s="1"/>
  <c r="C28" i="10"/>
  <c r="C29" i="10" s="1"/>
  <c r="B28" i="10"/>
  <c r="B29" i="10" s="1"/>
  <c r="F35" i="9"/>
  <c r="D35" i="9"/>
  <c r="G28" i="9"/>
  <c r="G30" i="9" s="1"/>
  <c r="F28" i="9"/>
  <c r="F31" i="9" s="1"/>
  <c r="E28" i="9"/>
  <c r="E31" i="9" s="1"/>
  <c r="D28" i="9"/>
  <c r="D31" i="9" s="1"/>
  <c r="C28" i="9"/>
  <c r="C31" i="9" s="1"/>
  <c r="B28" i="9"/>
  <c r="B31" i="9" s="1"/>
  <c r="F35" i="8"/>
  <c r="D35" i="8"/>
  <c r="G28" i="8"/>
  <c r="G30" i="8" s="1"/>
  <c r="F28" i="8"/>
  <c r="F31" i="8" s="1"/>
  <c r="E28" i="8"/>
  <c r="E31" i="8" s="1"/>
  <c r="D28" i="8"/>
  <c r="D31" i="8" s="1"/>
  <c r="C28" i="8"/>
  <c r="C30" i="8" s="1"/>
  <c r="B28" i="8"/>
  <c r="B30" i="8" s="1"/>
  <c r="F35" i="7"/>
  <c r="D35" i="7"/>
  <c r="G28" i="7"/>
  <c r="G31" i="7" s="1"/>
  <c r="F28" i="7"/>
  <c r="F30" i="7" s="1"/>
  <c r="E28" i="7"/>
  <c r="E31" i="7" s="1"/>
  <c r="D28" i="7"/>
  <c r="D30" i="7" s="1"/>
  <c r="C28" i="7"/>
  <c r="C31" i="7" s="1"/>
  <c r="B28" i="7"/>
  <c r="B31" i="7" s="1"/>
  <c r="F35" i="6"/>
  <c r="D35" i="6"/>
  <c r="G28" i="6"/>
  <c r="G30" i="6" s="1"/>
  <c r="F28" i="6"/>
  <c r="F30" i="6" s="1"/>
  <c r="E28" i="6"/>
  <c r="E30" i="6" s="1"/>
  <c r="D28" i="6"/>
  <c r="D31" i="6" s="1"/>
  <c r="C28" i="6"/>
  <c r="C31" i="6" s="1"/>
  <c r="B28" i="6"/>
  <c r="B30" i="6" s="1"/>
  <c r="F35" i="5"/>
  <c r="D35" i="5"/>
  <c r="G28" i="5"/>
  <c r="G31" i="5" s="1"/>
  <c r="F28" i="5"/>
  <c r="F31" i="5" s="1"/>
  <c r="E28" i="5"/>
  <c r="E29" i="5" s="1"/>
  <c r="D28" i="5"/>
  <c r="D31" i="5" s="1"/>
  <c r="C28" i="5"/>
  <c r="C31" i="5" s="1"/>
  <c r="B28" i="5"/>
  <c r="B29" i="5" s="1"/>
  <c r="F35" i="4"/>
  <c r="D35" i="4"/>
  <c r="G28" i="4"/>
  <c r="G31" i="4" s="1"/>
  <c r="F28" i="4"/>
  <c r="F31" i="4" s="1"/>
  <c r="E28" i="4"/>
  <c r="E29" i="4" s="1"/>
  <c r="D28" i="4"/>
  <c r="D31" i="4" s="1"/>
  <c r="C28" i="4"/>
  <c r="C31" i="4" s="1"/>
  <c r="B28" i="4"/>
  <c r="B31" i="4" s="1"/>
  <c r="F35" i="3"/>
  <c r="D35" i="3"/>
  <c r="G28" i="3"/>
  <c r="G29" i="3" s="1"/>
  <c r="F28" i="3"/>
  <c r="F29" i="3" s="1"/>
  <c r="E28" i="3"/>
  <c r="E29" i="3" s="1"/>
  <c r="D28" i="3"/>
  <c r="D29" i="3" s="1"/>
  <c r="C28" i="3"/>
  <c r="C29" i="3" s="1"/>
  <c r="B28" i="3"/>
  <c r="B30" i="3" s="1"/>
  <c r="F35" i="2"/>
  <c r="D35" i="2"/>
  <c r="G28" i="2"/>
  <c r="G31" i="2" s="1"/>
  <c r="F28" i="2"/>
  <c r="F31" i="2" s="1"/>
  <c r="E28" i="2"/>
  <c r="E31" i="2" s="1"/>
  <c r="D28" i="2"/>
  <c r="D31" i="2" s="1"/>
  <c r="C28" i="2"/>
  <c r="C31" i="2" s="1"/>
  <c r="B28" i="2"/>
  <c r="B31" i="2" s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G28" i="1"/>
  <c r="F28" i="1"/>
  <c r="E28" i="1"/>
  <c r="E29" i="1" s="1"/>
  <c r="D28" i="1"/>
  <c r="D29" i="1" s="1"/>
  <c r="C28" i="1"/>
  <c r="C29" i="1" s="1"/>
  <c r="B28" i="1"/>
  <c r="B29" i="1" s="1"/>
  <c r="G29" i="11" l="1"/>
  <c r="C30" i="11"/>
  <c r="B31" i="11"/>
  <c r="E29" i="11"/>
  <c r="B30" i="11"/>
  <c r="D30" i="11"/>
  <c r="E30" i="11"/>
  <c r="C31" i="11"/>
  <c r="D31" i="11"/>
  <c r="D29" i="10"/>
  <c r="C30" i="10"/>
  <c r="D31" i="10"/>
  <c r="B30" i="10"/>
  <c r="C31" i="10"/>
  <c r="D29" i="5"/>
  <c r="C30" i="5"/>
  <c r="D30" i="5"/>
  <c r="C29" i="5"/>
  <c r="B30" i="5"/>
  <c r="B31" i="5"/>
  <c r="G31" i="3"/>
  <c r="C29" i="2"/>
  <c r="D29" i="2"/>
  <c r="B29" i="2"/>
  <c r="E29" i="2"/>
  <c r="D30" i="2"/>
  <c r="B30" i="2"/>
  <c r="C30" i="2"/>
  <c r="F29" i="2"/>
  <c r="B29" i="12"/>
  <c r="C29" i="12"/>
  <c r="C30" i="12"/>
  <c r="F31" i="12"/>
  <c r="B30" i="12"/>
  <c r="G31" i="12"/>
  <c r="D29" i="12"/>
  <c r="F29" i="12"/>
  <c r="D30" i="12"/>
  <c r="E29" i="12"/>
  <c r="G29" i="12"/>
  <c r="E30" i="12"/>
  <c r="F29" i="11"/>
  <c r="F30" i="11"/>
  <c r="G31" i="11"/>
  <c r="G29" i="10"/>
  <c r="F29" i="10"/>
  <c r="F30" i="10"/>
  <c r="E30" i="10"/>
  <c r="G30" i="10"/>
  <c r="B31" i="10"/>
  <c r="E29" i="10"/>
  <c r="B29" i="9"/>
  <c r="C29" i="9"/>
  <c r="D29" i="9"/>
  <c r="B30" i="9"/>
  <c r="C30" i="9"/>
  <c r="D30" i="9"/>
  <c r="G31" i="9"/>
  <c r="E29" i="9"/>
  <c r="G29" i="9"/>
  <c r="E30" i="9"/>
  <c r="F30" i="9"/>
  <c r="F29" i="9"/>
  <c r="B29" i="8"/>
  <c r="C29" i="8"/>
  <c r="D29" i="8"/>
  <c r="D30" i="8"/>
  <c r="B31" i="8"/>
  <c r="C31" i="8"/>
  <c r="G31" i="8"/>
  <c r="G29" i="8"/>
  <c r="E29" i="8"/>
  <c r="F29" i="8"/>
  <c r="E30" i="8"/>
  <c r="F30" i="8"/>
  <c r="D29" i="7"/>
  <c r="E29" i="7"/>
  <c r="C29" i="7"/>
  <c r="F29" i="7"/>
  <c r="B30" i="7"/>
  <c r="B29" i="7"/>
  <c r="C30" i="7"/>
  <c r="E30" i="7"/>
  <c r="G30" i="7"/>
  <c r="F31" i="7"/>
  <c r="G29" i="7"/>
  <c r="D31" i="7"/>
  <c r="B31" i="6"/>
  <c r="B29" i="6"/>
  <c r="G31" i="6"/>
  <c r="F31" i="6"/>
  <c r="E31" i="6"/>
  <c r="C29" i="6"/>
  <c r="D29" i="6"/>
  <c r="E29" i="6"/>
  <c r="F29" i="6"/>
  <c r="G29" i="6"/>
  <c r="C30" i="6"/>
  <c r="D30" i="6"/>
  <c r="F29" i="5"/>
  <c r="G29" i="5"/>
  <c r="F30" i="5"/>
  <c r="E30" i="5"/>
  <c r="G30" i="5"/>
  <c r="E31" i="5"/>
  <c r="D30" i="4"/>
  <c r="C29" i="4"/>
  <c r="E30" i="4"/>
  <c r="D29" i="4"/>
  <c r="C30" i="4"/>
  <c r="E31" i="4"/>
  <c r="B29" i="4"/>
  <c r="B30" i="4"/>
  <c r="F29" i="4"/>
  <c r="G29" i="4"/>
  <c r="F30" i="4"/>
  <c r="G30" i="4"/>
  <c r="F30" i="3"/>
  <c r="G30" i="3"/>
  <c r="D31" i="3"/>
  <c r="D30" i="3"/>
  <c r="C31" i="3"/>
  <c r="E31" i="3"/>
  <c r="C30" i="3"/>
  <c r="E30" i="3"/>
  <c r="B31" i="3"/>
  <c r="F31" i="3"/>
  <c r="B29" i="3"/>
  <c r="G29" i="2"/>
  <c r="F30" i="2"/>
  <c r="G30" i="2"/>
  <c r="E30" i="2"/>
</calcChain>
</file>

<file path=xl/sharedStrings.xml><?xml version="1.0" encoding="utf-8"?>
<sst xmlns="http://schemas.openxmlformats.org/spreadsheetml/2006/main" count="444" uniqueCount="37">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</sst>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D677-06A1-43FE-80C1-D7A3CF826634}">
  <dimension ref="A1:G35"/>
  <sheetViews>
    <sheetView topLeftCell="A13" workbookViewId="0">
      <selection activeCell="L34" sqref="L3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349.95</v>
      </c>
      <c r="C2" s="1">
        <v>299.99</v>
      </c>
      <c r="D2" s="1">
        <v>300.45999999999998</v>
      </c>
      <c r="E2" s="1">
        <v>297.41000000000003</v>
      </c>
      <c r="F2" s="1">
        <v>313.42</v>
      </c>
      <c r="G2" s="1">
        <v>320.68</v>
      </c>
    </row>
    <row r="3" spans="1:7" x14ac:dyDescent="0.25">
      <c r="A3" s="1" t="s">
        <v>7</v>
      </c>
      <c r="B3" s="1">
        <v>30.1</v>
      </c>
      <c r="C3" s="1">
        <v>24.57</v>
      </c>
      <c r="D3" s="1">
        <v>25.68</v>
      </c>
      <c r="E3" s="1">
        <v>24.6</v>
      </c>
      <c r="F3" s="1">
        <v>27.33</v>
      </c>
      <c r="G3" s="1">
        <v>29.87</v>
      </c>
    </row>
    <row r="4" spans="1:7" x14ac:dyDescent="0.25">
      <c r="A4" s="1" t="s">
        <v>8</v>
      </c>
      <c r="B4" s="1">
        <v>10680</v>
      </c>
      <c r="C4" s="1">
        <v>7497.76</v>
      </c>
      <c r="D4" s="1">
        <v>7837.22</v>
      </c>
      <c r="E4" s="1">
        <v>7441.5</v>
      </c>
      <c r="F4" s="1">
        <v>8692.44</v>
      </c>
      <c r="G4" s="1">
        <v>9723.1200000000008</v>
      </c>
    </row>
    <row r="5" spans="1:7" x14ac:dyDescent="0.25">
      <c r="A5" s="1" t="s">
        <v>9</v>
      </c>
      <c r="B5" s="1">
        <v>1456.85</v>
      </c>
      <c r="C5" s="1">
        <v>950.86</v>
      </c>
      <c r="D5" s="1">
        <v>1499.74</v>
      </c>
      <c r="E5" s="1">
        <v>338.51</v>
      </c>
      <c r="F5" s="1">
        <v>637.76</v>
      </c>
      <c r="G5" s="1">
        <v>1070.97</v>
      </c>
    </row>
    <row r="6" spans="1:7" x14ac:dyDescent="0.25">
      <c r="A6" s="3" t="s">
        <v>10</v>
      </c>
      <c r="B6" s="3">
        <v>145.68</v>
      </c>
      <c r="C6" s="3">
        <v>96.05</v>
      </c>
      <c r="D6" s="3">
        <v>151.49</v>
      </c>
      <c r="E6" s="3">
        <v>34.19</v>
      </c>
      <c r="F6" s="3">
        <v>64.42</v>
      </c>
      <c r="G6" s="3">
        <v>108.18</v>
      </c>
    </row>
    <row r="7" spans="1:7" x14ac:dyDescent="0.25">
      <c r="A7" s="1" t="s">
        <v>11</v>
      </c>
      <c r="B7" s="1">
        <v>1361.89</v>
      </c>
      <c r="C7" s="1">
        <v>913.74</v>
      </c>
      <c r="D7" s="1">
        <v>1433.2</v>
      </c>
      <c r="E7" s="1">
        <v>333.78</v>
      </c>
      <c r="F7" s="1">
        <v>624.33000000000004</v>
      </c>
      <c r="G7" s="1">
        <v>987.4</v>
      </c>
    </row>
    <row r="8" spans="1:7" x14ac:dyDescent="0.25">
      <c r="A8" s="1" t="s">
        <v>12</v>
      </c>
      <c r="B8" s="1">
        <v>136.19</v>
      </c>
      <c r="C8" s="1">
        <v>92.3</v>
      </c>
      <c r="D8" s="1">
        <v>144.77000000000001</v>
      </c>
      <c r="E8" s="1">
        <v>33.71</v>
      </c>
      <c r="F8" s="1">
        <v>63.06</v>
      </c>
      <c r="G8" s="1">
        <v>99.74</v>
      </c>
    </row>
    <row r="9" spans="1:7" x14ac:dyDescent="0.25">
      <c r="A9" s="1" t="s">
        <v>13</v>
      </c>
      <c r="B9" s="1">
        <v>1361.89</v>
      </c>
      <c r="C9" s="1">
        <v>913.74</v>
      </c>
      <c r="D9" s="1">
        <v>1433.2</v>
      </c>
      <c r="E9" s="1">
        <v>330.42</v>
      </c>
      <c r="F9" s="1">
        <v>-499.6</v>
      </c>
      <c r="G9" s="1">
        <v>698.34</v>
      </c>
    </row>
    <row r="10" spans="1:7" x14ac:dyDescent="0.25">
      <c r="A10" s="1" t="s">
        <v>14</v>
      </c>
      <c r="B10" s="1">
        <v>136.19</v>
      </c>
      <c r="C10" s="1">
        <v>92.3</v>
      </c>
      <c r="D10" s="1">
        <v>144.77000000000001</v>
      </c>
      <c r="E10" s="1">
        <v>33.380000000000003</v>
      </c>
      <c r="F10" s="1">
        <v>-50.46</v>
      </c>
      <c r="G10" s="1">
        <v>70.540000000000006</v>
      </c>
    </row>
    <row r="11" spans="1:7" x14ac:dyDescent="0.25">
      <c r="A11" s="1" t="s">
        <v>15</v>
      </c>
      <c r="B11" s="1">
        <v>1252</v>
      </c>
      <c r="C11" s="1">
        <v>865.05</v>
      </c>
      <c r="D11" s="1">
        <v>1324.23</v>
      </c>
      <c r="E11" s="1">
        <v>298.57</v>
      </c>
      <c r="F11" s="1">
        <v>399.7</v>
      </c>
      <c r="G11" s="1">
        <v>255.87</v>
      </c>
    </row>
    <row r="12" spans="1:7" x14ac:dyDescent="0.25">
      <c r="A12" s="1" t="s">
        <v>16</v>
      </c>
      <c r="B12" s="1">
        <v>212.75</v>
      </c>
      <c r="C12" s="1">
        <v>171.4</v>
      </c>
      <c r="D12" s="1">
        <v>170.82</v>
      </c>
      <c r="E12" s="1">
        <v>177.62</v>
      </c>
      <c r="F12" s="1">
        <v>196.41</v>
      </c>
      <c r="G12" s="1">
        <v>186.98</v>
      </c>
    </row>
    <row r="13" spans="1:7" x14ac:dyDescent="0.25">
      <c r="A13" s="1" t="s">
        <v>17</v>
      </c>
      <c r="B13" s="1">
        <v>25.63</v>
      </c>
      <c r="C13" s="1">
        <v>15.63</v>
      </c>
      <c r="D13" s="1">
        <v>21.67</v>
      </c>
      <c r="E13" s="1">
        <v>19.84</v>
      </c>
      <c r="F13" s="1">
        <v>24.1</v>
      </c>
      <c r="G13" s="1">
        <v>24.94</v>
      </c>
    </row>
    <row r="14" spans="1:7" x14ac:dyDescent="0.25">
      <c r="A14" s="1" t="s">
        <v>18</v>
      </c>
      <c r="B14" s="1">
        <v>55.91</v>
      </c>
      <c r="C14" s="1">
        <v>39.28</v>
      </c>
      <c r="D14" s="1">
        <v>40.75</v>
      </c>
      <c r="E14" s="1">
        <v>34.659999999999997</v>
      </c>
      <c r="F14" s="1">
        <v>52.7</v>
      </c>
      <c r="G14" s="1">
        <v>53.57</v>
      </c>
    </row>
    <row r="15" spans="1:7" x14ac:dyDescent="0.25">
      <c r="A15" s="1" t="s">
        <v>19</v>
      </c>
      <c r="B15" s="1">
        <v>9</v>
      </c>
      <c r="C15" s="1">
        <v>8</v>
      </c>
      <c r="D15" s="1">
        <v>9</v>
      </c>
      <c r="E15" s="1">
        <v>3</v>
      </c>
      <c r="F15" s="1">
        <v>6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1361.89</v>
      </c>
      <c r="C17" s="1">
        <v>913.74</v>
      </c>
      <c r="D17" s="1">
        <v>1433.2</v>
      </c>
      <c r="E17" s="1">
        <v>332.1</v>
      </c>
      <c r="F17" s="1">
        <v>62.37</v>
      </c>
      <c r="G17" s="1">
        <v>842.87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1.68</v>
      </c>
      <c r="F18" s="1">
        <v>561.96</v>
      </c>
      <c r="G18" s="1">
        <v>144.53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7.8</v>
      </c>
      <c r="G20" s="1">
        <v>1.5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2.2000000000000002</v>
      </c>
      <c r="G21" s="1">
        <v>8.5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7</v>
      </c>
      <c r="G24" s="1">
        <v>1.4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6.4</v>
      </c>
      <c r="F25" s="1">
        <v>3</v>
      </c>
      <c r="G25" s="1">
        <v>2.6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3.6</v>
      </c>
      <c r="F26" s="1">
        <v>0</v>
      </c>
      <c r="G26" s="1">
        <v>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70</v>
      </c>
      <c r="G29" s="3">
        <f t="shared" si="1"/>
        <v>13.999999999999998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64</v>
      </c>
      <c r="F30" s="3">
        <f t="shared" si="2"/>
        <v>30</v>
      </c>
      <c r="G30" s="3">
        <f t="shared" si="2"/>
        <v>26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36</v>
      </c>
      <c r="F31" s="3">
        <f t="shared" si="3"/>
        <v>0</v>
      </c>
      <c r="G31" s="3">
        <f t="shared" si="3"/>
        <v>60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143.72999999999999</v>
      </c>
      <c r="C33" s="3">
        <v>95.66</v>
      </c>
      <c r="D33" s="3">
        <v>149.44999999999999</v>
      </c>
      <c r="E33" s="3">
        <v>33.51</v>
      </c>
      <c r="F33" s="3">
        <v>-48.55</v>
      </c>
      <c r="G33" s="3">
        <v>70.47</v>
      </c>
    </row>
    <row r="35" spans="1:7" x14ac:dyDescent="0.25">
      <c r="A35" s="3" t="s">
        <v>36</v>
      </c>
      <c r="B35" s="3"/>
      <c r="C35" s="3"/>
      <c r="D35" s="3">
        <f>D33-C33</f>
        <v>53.789999999999992</v>
      </c>
      <c r="E35" s="3"/>
      <c r="F35" s="3">
        <f>F33-E33</f>
        <v>-82.06</v>
      </c>
      <c r="G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F264-2A72-4090-8DD2-EBCB232E256E}">
  <dimension ref="A1:G35"/>
  <sheetViews>
    <sheetView topLeftCell="A10" workbookViewId="0">
      <selection activeCell="K24" sqref="K2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407.94</v>
      </c>
      <c r="C2" s="1">
        <v>401.78</v>
      </c>
      <c r="D2" s="1">
        <v>407.47</v>
      </c>
      <c r="E2" s="1">
        <v>424.16</v>
      </c>
      <c r="F2" s="1">
        <v>409.89</v>
      </c>
      <c r="G2" s="1">
        <v>392.78</v>
      </c>
    </row>
    <row r="3" spans="1:7" x14ac:dyDescent="0.25">
      <c r="A3" s="1" t="s">
        <v>7</v>
      </c>
      <c r="B3" s="1">
        <v>38.44</v>
      </c>
      <c r="C3" s="1">
        <v>38.81</v>
      </c>
      <c r="D3" s="1">
        <v>40.51</v>
      </c>
      <c r="E3" s="1">
        <v>41.07</v>
      </c>
      <c r="F3" s="1">
        <v>42.53</v>
      </c>
      <c r="G3" s="1">
        <v>43.62</v>
      </c>
    </row>
    <row r="4" spans="1:7" x14ac:dyDescent="0.25">
      <c r="A4" s="1" t="s">
        <v>8</v>
      </c>
      <c r="B4" s="1">
        <v>15957.55</v>
      </c>
      <c r="C4" s="1">
        <v>15858.19</v>
      </c>
      <c r="D4" s="1">
        <v>16802.580000000002</v>
      </c>
      <c r="E4" s="1">
        <v>17698.89</v>
      </c>
      <c r="F4" s="1">
        <v>17700.939999999999</v>
      </c>
      <c r="G4" s="1">
        <v>17398.23</v>
      </c>
    </row>
    <row r="5" spans="1:7" x14ac:dyDescent="0.25">
      <c r="A5" s="1" t="s">
        <v>9</v>
      </c>
      <c r="B5" s="1">
        <v>1452.52</v>
      </c>
      <c r="C5" s="1">
        <v>1472.41</v>
      </c>
      <c r="D5" s="1">
        <v>1963.02</v>
      </c>
      <c r="E5" s="1">
        <v>374.5</v>
      </c>
      <c r="F5" s="1">
        <v>467.57</v>
      </c>
      <c r="G5" s="1">
        <v>1351.43</v>
      </c>
    </row>
    <row r="6" spans="1:7" x14ac:dyDescent="0.25">
      <c r="A6" s="3" t="s">
        <v>10</v>
      </c>
      <c r="B6" s="3">
        <v>145.25</v>
      </c>
      <c r="C6" s="3">
        <v>148.72999999999999</v>
      </c>
      <c r="D6" s="3">
        <v>198.28</v>
      </c>
      <c r="E6" s="3">
        <v>37.83</v>
      </c>
      <c r="F6" s="3">
        <v>47.23</v>
      </c>
      <c r="G6" s="3">
        <v>136.51</v>
      </c>
    </row>
    <row r="7" spans="1:7" x14ac:dyDescent="0.25">
      <c r="A7" s="1" t="s">
        <v>11</v>
      </c>
      <c r="B7" s="1">
        <v>1424.56</v>
      </c>
      <c r="C7" s="1">
        <v>1418.46</v>
      </c>
      <c r="D7" s="1">
        <v>1837.02</v>
      </c>
      <c r="E7" s="1">
        <v>362.62</v>
      </c>
      <c r="F7" s="1">
        <v>453.71</v>
      </c>
      <c r="G7" s="1">
        <v>1258.24</v>
      </c>
    </row>
    <row r="8" spans="1:7" x14ac:dyDescent="0.25">
      <c r="A8" s="1" t="s">
        <v>12</v>
      </c>
      <c r="B8" s="1">
        <v>142.46</v>
      </c>
      <c r="C8" s="1">
        <v>143.28</v>
      </c>
      <c r="D8" s="1">
        <v>185.56</v>
      </c>
      <c r="E8" s="1">
        <v>36.630000000000003</v>
      </c>
      <c r="F8" s="1">
        <v>45.83</v>
      </c>
      <c r="G8" s="1">
        <v>127.09</v>
      </c>
    </row>
    <row r="9" spans="1:7" x14ac:dyDescent="0.25">
      <c r="A9" s="1" t="s">
        <v>13</v>
      </c>
      <c r="B9" s="1">
        <v>1424.56</v>
      </c>
      <c r="C9" s="1">
        <v>1418.46</v>
      </c>
      <c r="D9" s="1">
        <v>1833.65</v>
      </c>
      <c r="E9" s="1">
        <v>340.59</v>
      </c>
      <c r="F9" s="1">
        <v>-329.52</v>
      </c>
      <c r="G9" s="1">
        <v>1034.3499999999999</v>
      </c>
    </row>
    <row r="10" spans="1:7" x14ac:dyDescent="0.25">
      <c r="A10" s="1" t="s">
        <v>14</v>
      </c>
      <c r="B10" s="1">
        <v>142.46</v>
      </c>
      <c r="C10" s="1">
        <v>143.28</v>
      </c>
      <c r="D10" s="1">
        <v>185.22</v>
      </c>
      <c r="E10" s="1">
        <v>34.4</v>
      </c>
      <c r="F10" s="1">
        <v>-33.28</v>
      </c>
      <c r="G10" s="1">
        <v>104.48</v>
      </c>
    </row>
    <row r="11" spans="1:7" x14ac:dyDescent="0.25">
      <c r="A11" s="1" t="s">
        <v>15</v>
      </c>
      <c r="B11" s="1">
        <v>1044.6600000000001</v>
      </c>
      <c r="C11" s="1">
        <v>1279.53</v>
      </c>
      <c r="D11" s="1">
        <v>1709.49</v>
      </c>
      <c r="E11" s="1">
        <v>285.04000000000002</v>
      </c>
      <c r="F11" s="1">
        <v>196.55</v>
      </c>
      <c r="G11" s="1">
        <v>870</v>
      </c>
    </row>
    <row r="12" spans="1:7" x14ac:dyDescent="0.25">
      <c r="A12" s="1" t="s">
        <v>16</v>
      </c>
      <c r="B12" s="1">
        <v>224.02</v>
      </c>
      <c r="C12" s="1">
        <v>215.82</v>
      </c>
      <c r="D12" s="1">
        <v>246.79</v>
      </c>
      <c r="E12" s="1">
        <v>218.25</v>
      </c>
      <c r="F12" s="1">
        <v>224.25</v>
      </c>
      <c r="G12" s="1">
        <v>207.41</v>
      </c>
    </row>
    <row r="13" spans="1:7" x14ac:dyDescent="0.25">
      <c r="A13" s="1" t="s">
        <v>17</v>
      </c>
      <c r="B13" s="1">
        <v>29.38</v>
      </c>
      <c r="C13" s="1">
        <v>25.54</v>
      </c>
      <c r="D13" s="1">
        <v>26.14</v>
      </c>
      <c r="E13" s="1">
        <v>22.08</v>
      </c>
      <c r="F13" s="1">
        <v>26.1</v>
      </c>
      <c r="G13" s="1">
        <v>26.4</v>
      </c>
    </row>
    <row r="14" spans="1:7" x14ac:dyDescent="0.25">
      <c r="A14" s="1" t="s">
        <v>18</v>
      </c>
      <c r="B14" s="1">
        <v>65.69</v>
      </c>
      <c r="C14" s="1">
        <v>57.43</v>
      </c>
      <c r="D14" s="1">
        <v>57.63</v>
      </c>
      <c r="E14" s="1">
        <v>48.57</v>
      </c>
      <c r="F14" s="1">
        <v>46.55</v>
      </c>
      <c r="G14" s="1">
        <v>65.98</v>
      </c>
    </row>
    <row r="15" spans="1:7" x14ac:dyDescent="0.25">
      <c r="A15" s="1" t="s">
        <v>19</v>
      </c>
      <c r="B15" s="1">
        <v>7</v>
      </c>
      <c r="C15" s="1">
        <v>8</v>
      </c>
      <c r="D15" s="1">
        <v>8</v>
      </c>
      <c r="E15" s="1">
        <v>3</v>
      </c>
      <c r="F15" s="1">
        <v>3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1424.56</v>
      </c>
      <c r="C17" s="1">
        <v>1418.46</v>
      </c>
      <c r="D17" s="1">
        <v>1835.34</v>
      </c>
      <c r="E17" s="1">
        <v>351.61</v>
      </c>
      <c r="F17" s="1">
        <v>62.1</v>
      </c>
      <c r="G17" s="1">
        <v>1146.29</v>
      </c>
    </row>
    <row r="18" spans="1:7" x14ac:dyDescent="0.25">
      <c r="A18" s="1" t="s">
        <v>22</v>
      </c>
      <c r="B18" s="1">
        <v>0</v>
      </c>
      <c r="C18" s="1">
        <v>0</v>
      </c>
      <c r="D18" s="1">
        <v>1.68</v>
      </c>
      <c r="E18" s="1">
        <v>11.01</v>
      </c>
      <c r="F18" s="1">
        <v>391.61</v>
      </c>
      <c r="G18" s="1">
        <v>111.95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8.3000000000000007</v>
      </c>
      <c r="G20" s="1">
        <v>1.7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1.7</v>
      </c>
      <c r="G21" s="1">
        <v>8.3000000000000007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4.5999999999999996</v>
      </c>
      <c r="G24" s="1">
        <v>1.5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4.7</v>
      </c>
      <c r="F25" s="1">
        <v>3.8</v>
      </c>
      <c r="G25" s="1">
        <v>3.6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5.3</v>
      </c>
      <c r="F26" s="1">
        <v>1.6</v>
      </c>
      <c r="G26" s="1">
        <v>4.9000000000000004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9.9999999999999982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46</v>
      </c>
      <c r="G29" s="3">
        <f t="shared" si="1"/>
        <v>15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47</v>
      </c>
      <c r="F30" s="3">
        <f t="shared" si="2"/>
        <v>38.000000000000007</v>
      </c>
      <c r="G30" s="3">
        <f t="shared" si="2"/>
        <v>36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53</v>
      </c>
      <c r="F31" s="3">
        <f t="shared" si="3"/>
        <v>16.000000000000004</v>
      </c>
      <c r="G31" s="3">
        <f t="shared" si="3"/>
        <v>49.000000000000007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141.59</v>
      </c>
      <c r="C33" s="3">
        <v>147.26</v>
      </c>
      <c r="D33" s="3">
        <v>194.97</v>
      </c>
      <c r="E33" s="3">
        <v>35.770000000000003</v>
      </c>
      <c r="F33" s="3">
        <v>-25.38</v>
      </c>
      <c r="G33" s="3">
        <v>87.78</v>
      </c>
    </row>
    <row r="35" spans="1:7" x14ac:dyDescent="0.25">
      <c r="A35" s="3" t="s">
        <v>36</v>
      </c>
      <c r="B35" s="3"/>
      <c r="C35" s="3"/>
      <c r="D35" s="3">
        <f>D33-C33</f>
        <v>47.710000000000008</v>
      </c>
      <c r="E35" s="3"/>
      <c r="F35" s="3">
        <f>F33-E33</f>
        <v>-61.150000000000006</v>
      </c>
      <c r="G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C5ED-2282-4EA5-BDC4-4964E83F39AE}">
  <dimension ref="A1:G35"/>
  <sheetViews>
    <sheetView topLeftCell="A13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415.08</v>
      </c>
      <c r="C2" s="1">
        <v>428.79</v>
      </c>
      <c r="D2" s="1">
        <v>427.85</v>
      </c>
      <c r="E2" s="1">
        <v>399.78</v>
      </c>
      <c r="F2" s="1">
        <v>388.95</v>
      </c>
      <c r="G2" s="1">
        <v>444.31</v>
      </c>
    </row>
    <row r="3" spans="1:7" x14ac:dyDescent="0.25">
      <c r="A3" s="1" t="s">
        <v>7</v>
      </c>
      <c r="B3" s="1">
        <v>37.83</v>
      </c>
      <c r="C3" s="1">
        <v>39.9</v>
      </c>
      <c r="D3" s="1">
        <v>40.380000000000003</v>
      </c>
      <c r="E3" s="1">
        <v>37.24</v>
      </c>
      <c r="F3" s="1">
        <v>37.39</v>
      </c>
      <c r="G3" s="1">
        <v>43.21</v>
      </c>
    </row>
    <row r="4" spans="1:7" x14ac:dyDescent="0.25">
      <c r="A4" s="1" t="s">
        <v>8</v>
      </c>
      <c r="B4" s="1">
        <v>15939.91</v>
      </c>
      <c r="C4" s="1">
        <v>17412.36</v>
      </c>
      <c r="D4" s="1">
        <v>17570.88</v>
      </c>
      <c r="E4" s="1">
        <v>15109.25</v>
      </c>
      <c r="F4" s="1">
        <v>14760.37</v>
      </c>
      <c r="G4" s="1">
        <v>19537.759999999998</v>
      </c>
    </row>
    <row r="5" spans="1:7" x14ac:dyDescent="0.25">
      <c r="A5" s="1" t="s">
        <v>9</v>
      </c>
      <c r="B5" s="1">
        <v>1414.75</v>
      </c>
      <c r="C5" s="1">
        <v>2234.91</v>
      </c>
      <c r="D5" s="1">
        <v>2610.9699999999998</v>
      </c>
      <c r="E5" s="1">
        <v>1793.33</v>
      </c>
      <c r="F5" s="1">
        <v>934.88</v>
      </c>
      <c r="G5" s="1">
        <v>1452.92</v>
      </c>
    </row>
    <row r="6" spans="1:7" x14ac:dyDescent="0.25">
      <c r="A6" s="3" t="s">
        <v>10</v>
      </c>
      <c r="B6" s="3">
        <v>141.47999999999999</v>
      </c>
      <c r="C6" s="3">
        <v>225.75</v>
      </c>
      <c r="D6" s="3">
        <v>263.73</v>
      </c>
      <c r="E6" s="3">
        <v>181.14</v>
      </c>
      <c r="F6" s="3">
        <v>94.43</v>
      </c>
      <c r="G6" s="3">
        <v>146.76</v>
      </c>
    </row>
    <row r="7" spans="1:7" x14ac:dyDescent="0.25">
      <c r="A7" s="1" t="s">
        <v>11</v>
      </c>
      <c r="B7" s="1">
        <v>1336.67</v>
      </c>
      <c r="C7" s="1">
        <v>2076.0700000000002</v>
      </c>
      <c r="D7" s="1">
        <v>2397.5700000000002</v>
      </c>
      <c r="E7" s="1">
        <v>1647.69</v>
      </c>
      <c r="F7" s="1">
        <v>885.58</v>
      </c>
      <c r="G7" s="1">
        <v>1409.32</v>
      </c>
    </row>
    <row r="8" spans="1:7" x14ac:dyDescent="0.25">
      <c r="A8" s="1" t="s">
        <v>12</v>
      </c>
      <c r="B8" s="1">
        <v>133.66999999999999</v>
      </c>
      <c r="C8" s="1">
        <v>209.7</v>
      </c>
      <c r="D8" s="1">
        <v>242.18</v>
      </c>
      <c r="E8" s="1">
        <v>166.43</v>
      </c>
      <c r="F8" s="1">
        <v>89.45</v>
      </c>
      <c r="G8" s="1">
        <v>142.36000000000001</v>
      </c>
    </row>
    <row r="9" spans="1:7" x14ac:dyDescent="0.25">
      <c r="A9" s="1" t="s">
        <v>13</v>
      </c>
      <c r="B9" s="1">
        <v>1330.24</v>
      </c>
      <c r="C9" s="1">
        <v>2076.0700000000002</v>
      </c>
      <c r="D9" s="1">
        <v>2397.5700000000002</v>
      </c>
      <c r="E9" s="1">
        <v>1620.95</v>
      </c>
      <c r="F9" s="1">
        <v>703.03</v>
      </c>
      <c r="G9" s="1">
        <v>1409.32</v>
      </c>
    </row>
    <row r="10" spans="1:7" x14ac:dyDescent="0.25">
      <c r="A10" s="1" t="s">
        <v>14</v>
      </c>
      <c r="B10" s="1">
        <v>133.02000000000001</v>
      </c>
      <c r="C10" s="1">
        <v>209.7</v>
      </c>
      <c r="D10" s="1">
        <v>242.18</v>
      </c>
      <c r="E10" s="1">
        <v>163.72999999999999</v>
      </c>
      <c r="F10" s="1">
        <v>71.010000000000005</v>
      </c>
      <c r="G10" s="1">
        <v>142.36000000000001</v>
      </c>
    </row>
    <row r="11" spans="1:7" x14ac:dyDescent="0.25">
      <c r="A11" s="1" t="s">
        <v>15</v>
      </c>
      <c r="B11" s="1">
        <v>845.46</v>
      </c>
      <c r="C11" s="1">
        <v>1659.61</v>
      </c>
      <c r="D11" s="1">
        <v>1859.6</v>
      </c>
      <c r="E11" s="1">
        <v>1089.98</v>
      </c>
      <c r="F11" s="1">
        <v>504.28</v>
      </c>
      <c r="G11" s="1">
        <v>1044.77</v>
      </c>
    </row>
    <row r="12" spans="1:7" x14ac:dyDescent="0.25">
      <c r="A12" s="1" t="s">
        <v>16</v>
      </c>
      <c r="B12" s="1">
        <v>230.92</v>
      </c>
      <c r="C12" s="1">
        <v>235.58</v>
      </c>
      <c r="D12" s="1">
        <v>246.13</v>
      </c>
      <c r="E12" s="1">
        <v>230.32</v>
      </c>
      <c r="F12" s="1">
        <v>218.57</v>
      </c>
      <c r="G12" s="1">
        <v>237.11</v>
      </c>
    </row>
    <row r="13" spans="1:7" x14ac:dyDescent="0.25">
      <c r="A13" s="1" t="s">
        <v>17</v>
      </c>
      <c r="B13" s="1">
        <v>36.32</v>
      </c>
      <c r="C13" s="1">
        <v>37.200000000000003</v>
      </c>
      <c r="D13" s="1">
        <v>35.880000000000003</v>
      </c>
      <c r="E13" s="1">
        <v>32.29</v>
      </c>
      <c r="F13" s="1">
        <v>27.65</v>
      </c>
      <c r="G13" s="1">
        <v>35.119999999999997</v>
      </c>
    </row>
    <row r="14" spans="1:7" x14ac:dyDescent="0.25">
      <c r="A14" s="1" t="s">
        <v>18</v>
      </c>
      <c r="B14" s="1">
        <v>73.58</v>
      </c>
      <c r="C14" s="1">
        <v>76.12</v>
      </c>
      <c r="D14" s="1">
        <v>79.33</v>
      </c>
      <c r="E14" s="1">
        <v>79.63</v>
      </c>
      <c r="F14" s="1">
        <v>61.48</v>
      </c>
      <c r="G14" s="1">
        <v>77.739999999999995</v>
      </c>
    </row>
    <row r="15" spans="1:7" x14ac:dyDescent="0.25">
      <c r="A15" s="1" t="s">
        <v>19</v>
      </c>
      <c r="B15" s="1">
        <v>8</v>
      </c>
      <c r="C15" s="1">
        <v>11</v>
      </c>
      <c r="D15" s="1">
        <v>8</v>
      </c>
      <c r="E15" s="1">
        <v>8</v>
      </c>
      <c r="F15" s="1">
        <v>4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1333.46</v>
      </c>
      <c r="C17" s="1">
        <v>2076.0700000000002</v>
      </c>
      <c r="D17" s="1">
        <v>2397.5700000000002</v>
      </c>
      <c r="E17" s="1">
        <v>1634.32</v>
      </c>
      <c r="F17" s="1">
        <v>794.3</v>
      </c>
      <c r="G17" s="1">
        <v>1409.32</v>
      </c>
    </row>
    <row r="18" spans="1:7" x14ac:dyDescent="0.25">
      <c r="A18" s="1" t="s">
        <v>22</v>
      </c>
      <c r="B18" s="1">
        <v>3.21</v>
      </c>
      <c r="C18" s="1">
        <v>0</v>
      </c>
      <c r="D18" s="1">
        <v>0</v>
      </c>
      <c r="E18" s="1">
        <v>13.37</v>
      </c>
      <c r="F18" s="1">
        <v>91.27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1.8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8.1999999999999993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1.2</v>
      </c>
      <c r="F24" s="1">
        <v>1.5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7.8</v>
      </c>
      <c r="F26" s="1">
        <v>8.5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12</v>
      </c>
      <c r="F29" s="3">
        <f t="shared" si="1"/>
        <v>15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78</v>
      </c>
      <c r="F31" s="3">
        <f t="shared" si="3"/>
        <v>85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138.43</v>
      </c>
      <c r="C33" s="3">
        <v>225.21</v>
      </c>
      <c r="D33" s="3">
        <v>256.24</v>
      </c>
      <c r="E33" s="3">
        <v>173.82</v>
      </c>
      <c r="F33" s="3">
        <v>58.51</v>
      </c>
      <c r="G33" s="3">
        <v>145.75</v>
      </c>
    </row>
    <row r="35" spans="1:7" x14ac:dyDescent="0.25">
      <c r="A35" s="3" t="s">
        <v>36</v>
      </c>
      <c r="B35" s="3"/>
      <c r="C35" s="3"/>
      <c r="D35" s="3">
        <f>D33-C33</f>
        <v>31.03</v>
      </c>
      <c r="E35" s="3"/>
      <c r="F35" s="3">
        <f>F33-E33</f>
        <v>-115.31</v>
      </c>
      <c r="G3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299A-1B93-4662-BE9C-39EEDC60A920}">
  <dimension ref="A1:G35"/>
  <sheetViews>
    <sheetView topLeftCell="A10" workbookViewId="0">
      <selection activeCell="K23" sqref="K2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276.69</v>
      </c>
      <c r="C2" s="1">
        <v>333.69</v>
      </c>
      <c r="D2" s="1">
        <v>338.42</v>
      </c>
      <c r="E2" s="1">
        <v>336.16</v>
      </c>
      <c r="F2" s="1">
        <v>290.66000000000003</v>
      </c>
      <c r="G2" s="1">
        <v>279.99</v>
      </c>
    </row>
    <row r="3" spans="1:7" x14ac:dyDescent="0.25">
      <c r="A3" s="1" t="s">
        <v>7</v>
      </c>
      <c r="B3" s="1">
        <v>29.09</v>
      </c>
      <c r="C3" s="1">
        <v>34.380000000000003</v>
      </c>
      <c r="D3" s="1">
        <v>33.17</v>
      </c>
      <c r="E3" s="1">
        <v>34.54</v>
      </c>
      <c r="F3" s="1">
        <v>33.51</v>
      </c>
      <c r="G3" s="1">
        <v>31.17</v>
      </c>
    </row>
    <row r="4" spans="1:7" x14ac:dyDescent="0.25">
      <c r="A4" s="1" t="s">
        <v>8</v>
      </c>
      <c r="B4" s="1">
        <v>8167.7</v>
      </c>
      <c r="C4" s="1">
        <v>11650.92</v>
      </c>
      <c r="D4" s="1">
        <v>11423.34</v>
      </c>
      <c r="E4" s="1">
        <v>11829.23</v>
      </c>
      <c r="F4" s="1">
        <v>9953.42</v>
      </c>
      <c r="G4" s="1">
        <v>8963.42</v>
      </c>
    </row>
    <row r="5" spans="1:7" x14ac:dyDescent="0.25">
      <c r="A5" s="1" t="s">
        <v>9</v>
      </c>
      <c r="B5" s="1">
        <v>2400.5300000000002</v>
      </c>
      <c r="C5" s="1">
        <v>2152.0100000000002</v>
      </c>
      <c r="D5" s="1">
        <v>672.02</v>
      </c>
      <c r="E5" s="1">
        <v>351.98</v>
      </c>
      <c r="F5" s="1">
        <v>1151.47</v>
      </c>
      <c r="G5" s="1">
        <v>1943.81</v>
      </c>
    </row>
    <row r="6" spans="1:7" x14ac:dyDescent="0.25">
      <c r="A6" s="3" t="s">
        <v>10</v>
      </c>
      <c r="B6" s="3">
        <v>240.05</v>
      </c>
      <c r="C6" s="3">
        <v>217.37</v>
      </c>
      <c r="D6" s="3">
        <v>67.88</v>
      </c>
      <c r="E6" s="3">
        <v>35.549999999999997</v>
      </c>
      <c r="F6" s="3">
        <v>116.31</v>
      </c>
      <c r="G6" s="3">
        <v>196.34</v>
      </c>
    </row>
    <row r="7" spans="1:7" x14ac:dyDescent="0.25">
      <c r="A7" s="1" t="s">
        <v>11</v>
      </c>
      <c r="B7" s="1">
        <v>2251.19</v>
      </c>
      <c r="C7" s="1">
        <v>1986.01</v>
      </c>
      <c r="D7" s="1">
        <v>661.76</v>
      </c>
      <c r="E7" s="1">
        <v>342.1</v>
      </c>
      <c r="F7" s="1">
        <v>1060.47</v>
      </c>
      <c r="G7" s="1">
        <v>1797.77</v>
      </c>
    </row>
    <row r="8" spans="1:7" x14ac:dyDescent="0.25">
      <c r="A8" s="1" t="s">
        <v>12</v>
      </c>
      <c r="B8" s="1">
        <v>225.12</v>
      </c>
      <c r="C8" s="1">
        <v>200.61</v>
      </c>
      <c r="D8" s="1">
        <v>66.84</v>
      </c>
      <c r="E8" s="1">
        <v>34.56</v>
      </c>
      <c r="F8" s="1">
        <v>107.12</v>
      </c>
      <c r="G8" s="1">
        <v>181.59</v>
      </c>
    </row>
    <row r="9" spans="1:7" x14ac:dyDescent="0.25">
      <c r="A9" s="1" t="s">
        <v>13</v>
      </c>
      <c r="B9" s="1">
        <v>2251.19</v>
      </c>
      <c r="C9" s="1">
        <v>1986.01</v>
      </c>
      <c r="D9" s="1">
        <v>530.09</v>
      </c>
      <c r="E9" s="1">
        <v>159.03</v>
      </c>
      <c r="F9" s="1">
        <v>-470.03</v>
      </c>
      <c r="G9" s="1">
        <v>1085.78</v>
      </c>
    </row>
    <row r="10" spans="1:7" x14ac:dyDescent="0.25">
      <c r="A10" s="1" t="s">
        <v>14</v>
      </c>
      <c r="B10" s="1">
        <v>225.12</v>
      </c>
      <c r="C10" s="1">
        <v>200.61</v>
      </c>
      <c r="D10" s="1">
        <v>53.54</v>
      </c>
      <c r="E10" s="1">
        <v>16.059999999999999</v>
      </c>
      <c r="F10" s="1">
        <v>-47.48</v>
      </c>
      <c r="G10" s="1">
        <v>109.68</v>
      </c>
    </row>
    <row r="11" spans="1:7" x14ac:dyDescent="0.25">
      <c r="A11" s="1" t="s">
        <v>15</v>
      </c>
      <c r="B11" s="1">
        <v>2009.82</v>
      </c>
      <c r="C11" s="1">
        <v>1871.3</v>
      </c>
      <c r="D11" s="1">
        <v>473.31</v>
      </c>
      <c r="E11" s="1">
        <v>160.63999999999999</v>
      </c>
      <c r="F11" s="1">
        <v>212.6</v>
      </c>
      <c r="G11" s="1">
        <v>762.82</v>
      </c>
    </row>
    <row r="12" spans="1:7" x14ac:dyDescent="0.25">
      <c r="A12" s="1" t="s">
        <v>16</v>
      </c>
      <c r="B12" s="1">
        <v>156.06</v>
      </c>
      <c r="C12" s="1">
        <v>184.2</v>
      </c>
      <c r="D12" s="1">
        <v>184.61</v>
      </c>
      <c r="E12" s="1">
        <v>167.07</v>
      </c>
      <c r="F12" s="1">
        <v>151.91</v>
      </c>
      <c r="G12" s="1">
        <v>155.25</v>
      </c>
    </row>
    <row r="13" spans="1:7" x14ac:dyDescent="0.25">
      <c r="A13" s="1" t="s">
        <v>17</v>
      </c>
      <c r="B13" s="1">
        <v>20.71</v>
      </c>
      <c r="C13" s="1">
        <v>25.67</v>
      </c>
      <c r="D13" s="1">
        <v>20.55</v>
      </c>
      <c r="E13" s="1">
        <v>14.56</v>
      </c>
      <c r="F13" s="1">
        <v>22.42</v>
      </c>
      <c r="G13" s="1">
        <v>23.32</v>
      </c>
    </row>
    <row r="14" spans="1:7" x14ac:dyDescent="0.25">
      <c r="A14" s="1" t="s">
        <v>18</v>
      </c>
      <c r="B14" s="1">
        <v>51.91</v>
      </c>
      <c r="C14" s="1">
        <v>49.16</v>
      </c>
      <c r="D14" s="1">
        <v>41.24</v>
      </c>
      <c r="E14" s="1">
        <v>41.42</v>
      </c>
      <c r="F14" s="1">
        <v>47.59</v>
      </c>
      <c r="G14" s="1">
        <v>49.64</v>
      </c>
    </row>
    <row r="15" spans="1:7" x14ac:dyDescent="0.25">
      <c r="A15" s="1" t="s">
        <v>19</v>
      </c>
      <c r="B15" s="1">
        <v>10</v>
      </c>
      <c r="C15" s="1">
        <v>10</v>
      </c>
      <c r="D15" s="1">
        <v>4</v>
      </c>
      <c r="E15" s="1">
        <v>2</v>
      </c>
      <c r="F15" s="1">
        <v>6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2251.19</v>
      </c>
      <c r="C17" s="1">
        <v>1986.01</v>
      </c>
      <c r="D17" s="1">
        <v>595.91999999999996</v>
      </c>
      <c r="E17" s="1">
        <v>250.57</v>
      </c>
      <c r="F17" s="1">
        <v>295.22000000000003</v>
      </c>
      <c r="G17" s="1">
        <v>1441.78</v>
      </c>
    </row>
    <row r="18" spans="1:7" x14ac:dyDescent="0.25">
      <c r="A18" s="1" t="s">
        <v>22</v>
      </c>
      <c r="B18" s="1">
        <v>0</v>
      </c>
      <c r="C18" s="1">
        <v>0</v>
      </c>
      <c r="D18" s="1">
        <v>65.83</v>
      </c>
      <c r="E18" s="1">
        <v>91.53</v>
      </c>
      <c r="F18" s="1">
        <v>765.25</v>
      </c>
      <c r="G18" s="1">
        <v>355.99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1</v>
      </c>
      <c r="F19" s="1">
        <v>2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1.2</v>
      </c>
      <c r="E20" s="1">
        <v>1.2</v>
      </c>
      <c r="F20" s="1">
        <v>4.9000000000000004</v>
      </c>
      <c r="G20" s="1">
        <v>2.8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8.8000000000000007</v>
      </c>
      <c r="E21" s="1">
        <v>8.8000000000000007</v>
      </c>
      <c r="F21" s="1">
        <v>5.0999999999999996</v>
      </c>
      <c r="G21" s="1">
        <v>7.2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3.5</v>
      </c>
      <c r="G24" s="1">
        <v>3.5</v>
      </c>
    </row>
    <row r="25" spans="1:7" x14ac:dyDescent="0.25">
      <c r="A25" s="1" t="s">
        <v>29</v>
      </c>
      <c r="B25" s="1">
        <v>0</v>
      </c>
      <c r="C25" s="1">
        <v>0</v>
      </c>
      <c r="D25" s="1">
        <v>1.7</v>
      </c>
      <c r="E25" s="1">
        <v>7.2</v>
      </c>
      <c r="F25" s="1">
        <v>3.2</v>
      </c>
      <c r="G25" s="1">
        <v>1.8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8.3000000000000007</v>
      </c>
      <c r="E26" s="1">
        <v>2.8</v>
      </c>
      <c r="F26" s="1">
        <v>3.3</v>
      </c>
      <c r="G26" s="1">
        <v>4.7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35</v>
      </c>
      <c r="G29" s="3">
        <f t="shared" si="1"/>
        <v>35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17</v>
      </c>
      <c r="E30" s="3">
        <f t="shared" si="2"/>
        <v>72</v>
      </c>
      <c r="F30" s="3">
        <f t="shared" si="2"/>
        <v>32</v>
      </c>
      <c r="G30" s="3">
        <f t="shared" si="2"/>
        <v>18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83</v>
      </c>
      <c r="E31" s="3">
        <f t="shared" si="3"/>
        <v>27.999999999999996</v>
      </c>
      <c r="F31" s="3">
        <f t="shared" si="3"/>
        <v>32.999999999999993</v>
      </c>
      <c r="G31" s="3">
        <f t="shared" si="3"/>
        <v>47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233.74</v>
      </c>
      <c r="C33" s="3">
        <v>215.08</v>
      </c>
      <c r="D33" s="3">
        <v>56.22</v>
      </c>
      <c r="E33" s="3">
        <v>16.739999999999998</v>
      </c>
      <c r="F33" s="3">
        <v>-9.74</v>
      </c>
      <c r="G33" s="3">
        <v>91.07</v>
      </c>
    </row>
    <row r="35" spans="1:7" x14ac:dyDescent="0.25">
      <c r="A35" s="3" t="s">
        <v>36</v>
      </c>
      <c r="B35" s="3"/>
      <c r="C35" s="3"/>
      <c r="D35" s="3">
        <f>D33-C33</f>
        <v>-158.86000000000001</v>
      </c>
      <c r="E35" s="3"/>
      <c r="F35" s="3">
        <f>F33-E33</f>
        <v>-26.479999999999997</v>
      </c>
      <c r="G3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62A9-176C-4AEC-9182-ECE5CEFBADF2}">
  <dimension ref="A1:G35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370.88</v>
      </c>
      <c r="C2" s="1">
        <v>383.25</v>
      </c>
      <c r="D2" s="1">
        <v>403.38</v>
      </c>
      <c r="E2" s="1">
        <v>419.79</v>
      </c>
      <c r="F2" s="1">
        <v>389.68</v>
      </c>
      <c r="G2" s="1">
        <v>363.03</v>
      </c>
    </row>
    <row r="3" spans="1:7" x14ac:dyDescent="0.25">
      <c r="A3" s="1" t="s">
        <v>7</v>
      </c>
      <c r="B3" s="1">
        <v>34.24</v>
      </c>
      <c r="C3" s="1">
        <v>34.909999999999997</v>
      </c>
      <c r="D3" s="1">
        <v>35.979999999999997</v>
      </c>
      <c r="E3" s="1">
        <v>34.9</v>
      </c>
      <c r="F3" s="1">
        <v>35.61</v>
      </c>
      <c r="G3" s="1">
        <v>33.04</v>
      </c>
    </row>
    <row r="4" spans="1:7" x14ac:dyDescent="0.25">
      <c r="A4" s="1" t="s">
        <v>8</v>
      </c>
      <c r="B4" s="1">
        <v>12927.58</v>
      </c>
      <c r="C4" s="1">
        <v>13591.58</v>
      </c>
      <c r="D4" s="1">
        <v>14749.02</v>
      </c>
      <c r="E4" s="1">
        <v>14900.29</v>
      </c>
      <c r="F4" s="1">
        <v>14093.11</v>
      </c>
      <c r="G4" s="1">
        <v>12272.32</v>
      </c>
    </row>
    <row r="5" spans="1:7" x14ac:dyDescent="0.25">
      <c r="A5" s="1" t="s">
        <v>9</v>
      </c>
      <c r="B5" s="1">
        <v>1005.58</v>
      </c>
      <c r="C5" s="1">
        <v>710.08</v>
      </c>
      <c r="D5" s="1">
        <v>511.74</v>
      </c>
      <c r="E5" s="1">
        <v>64.41</v>
      </c>
      <c r="F5" s="1">
        <v>390.35</v>
      </c>
      <c r="G5" s="1">
        <v>594.54</v>
      </c>
    </row>
    <row r="6" spans="1:7" x14ac:dyDescent="0.25">
      <c r="A6" s="3" t="s">
        <v>10</v>
      </c>
      <c r="B6" s="3">
        <v>100.56</v>
      </c>
      <c r="C6" s="3">
        <v>71.73</v>
      </c>
      <c r="D6" s="3">
        <v>51.69</v>
      </c>
      <c r="E6" s="3">
        <v>6.51</v>
      </c>
      <c r="F6" s="3">
        <v>39.43</v>
      </c>
      <c r="G6" s="3">
        <v>60.06</v>
      </c>
    </row>
    <row r="7" spans="1:7" x14ac:dyDescent="0.25">
      <c r="A7" s="1" t="s">
        <v>11</v>
      </c>
      <c r="B7" s="1">
        <v>975.87</v>
      </c>
      <c r="C7" s="1">
        <v>694.93</v>
      </c>
      <c r="D7" s="1">
        <v>504.26</v>
      </c>
      <c r="E7" s="1">
        <v>56.49</v>
      </c>
      <c r="F7" s="1">
        <v>385.45</v>
      </c>
      <c r="G7" s="1">
        <v>578.94000000000005</v>
      </c>
    </row>
    <row r="8" spans="1:7" x14ac:dyDescent="0.25">
      <c r="A8" s="1" t="s">
        <v>12</v>
      </c>
      <c r="B8" s="1">
        <v>97.59</v>
      </c>
      <c r="C8" s="1">
        <v>70.2</v>
      </c>
      <c r="D8" s="1">
        <v>50.94</v>
      </c>
      <c r="E8" s="1">
        <v>5.71</v>
      </c>
      <c r="F8" s="1">
        <v>38.93</v>
      </c>
      <c r="G8" s="1">
        <v>58.48</v>
      </c>
    </row>
    <row r="9" spans="1:7" x14ac:dyDescent="0.25">
      <c r="A9" s="1" t="s">
        <v>13</v>
      </c>
      <c r="B9" s="1">
        <v>975.87</v>
      </c>
      <c r="C9" s="1">
        <v>693.49</v>
      </c>
      <c r="D9" s="1">
        <v>364.75</v>
      </c>
      <c r="E9" s="1">
        <v>7.97</v>
      </c>
      <c r="F9" s="1">
        <v>-181.53</v>
      </c>
      <c r="G9" s="1">
        <v>-327.72</v>
      </c>
    </row>
    <row r="10" spans="1:7" x14ac:dyDescent="0.25">
      <c r="A10" s="1" t="s">
        <v>14</v>
      </c>
      <c r="B10" s="1">
        <v>97.59</v>
      </c>
      <c r="C10" s="1">
        <v>70.05</v>
      </c>
      <c r="D10" s="1">
        <v>36.840000000000003</v>
      </c>
      <c r="E10" s="1">
        <v>0.8</v>
      </c>
      <c r="F10" s="1">
        <v>-18.34</v>
      </c>
      <c r="G10" s="1">
        <v>-33.1</v>
      </c>
    </row>
    <row r="11" spans="1:7" x14ac:dyDescent="0.25">
      <c r="A11" s="1" t="s">
        <v>15</v>
      </c>
      <c r="B11" s="1">
        <v>894.98</v>
      </c>
      <c r="C11" s="1">
        <v>639.80999999999995</v>
      </c>
      <c r="D11" s="1">
        <v>202.44</v>
      </c>
      <c r="E11" s="1">
        <v>5.62</v>
      </c>
      <c r="F11" s="1">
        <v>141.75</v>
      </c>
      <c r="G11" s="1">
        <v>117.49</v>
      </c>
    </row>
    <row r="12" spans="1:7" x14ac:dyDescent="0.25">
      <c r="A12" s="1" t="s">
        <v>16</v>
      </c>
      <c r="B12" s="1">
        <v>209.79</v>
      </c>
      <c r="C12" s="1">
        <v>208.74</v>
      </c>
      <c r="D12" s="1">
        <v>207.24</v>
      </c>
      <c r="E12" s="1">
        <v>202.2</v>
      </c>
      <c r="F12" s="1">
        <v>225.5</v>
      </c>
      <c r="G12" s="1">
        <v>192.04</v>
      </c>
    </row>
    <row r="13" spans="1:7" x14ac:dyDescent="0.25">
      <c r="A13" s="1" t="s">
        <v>17</v>
      </c>
      <c r="B13" s="1">
        <v>23.19</v>
      </c>
      <c r="C13" s="1">
        <v>23.22</v>
      </c>
      <c r="D13" s="1">
        <v>20.61</v>
      </c>
      <c r="E13" s="1">
        <v>32.54</v>
      </c>
      <c r="F13" s="1">
        <v>26.25</v>
      </c>
      <c r="G13" s="1">
        <v>22.95</v>
      </c>
    </row>
    <row r="14" spans="1:7" x14ac:dyDescent="0.25">
      <c r="A14" s="1" t="s">
        <v>18</v>
      </c>
      <c r="B14" s="1">
        <v>45.69</v>
      </c>
      <c r="C14" s="1">
        <v>49.03</v>
      </c>
      <c r="D14" s="1">
        <v>44.95</v>
      </c>
      <c r="E14" s="1">
        <v>34.74</v>
      </c>
      <c r="F14" s="1">
        <v>38.950000000000003</v>
      </c>
      <c r="G14" s="1">
        <v>53.09</v>
      </c>
    </row>
    <row r="15" spans="1:7" x14ac:dyDescent="0.25">
      <c r="A15" s="1" t="s">
        <v>19</v>
      </c>
      <c r="B15" s="1">
        <v>5</v>
      </c>
      <c r="C15" s="1">
        <v>3</v>
      </c>
      <c r="D15" s="1">
        <v>3</v>
      </c>
      <c r="E15" s="1">
        <v>1</v>
      </c>
      <c r="F15" s="1">
        <v>2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975.87</v>
      </c>
      <c r="C17" s="1">
        <v>694.21</v>
      </c>
      <c r="D17" s="1">
        <v>434.51</v>
      </c>
      <c r="E17" s="1">
        <v>32.229999999999997</v>
      </c>
      <c r="F17" s="1">
        <v>101.96</v>
      </c>
      <c r="G17" s="1">
        <v>125.61</v>
      </c>
    </row>
    <row r="18" spans="1:7" x14ac:dyDescent="0.25">
      <c r="A18" s="1" t="s">
        <v>22</v>
      </c>
      <c r="B18" s="1">
        <v>0</v>
      </c>
      <c r="C18" s="1">
        <v>0.72</v>
      </c>
      <c r="D18" s="1">
        <v>69.75</v>
      </c>
      <c r="E18" s="1">
        <v>24.26</v>
      </c>
      <c r="F18" s="1">
        <v>283.49</v>
      </c>
      <c r="G18" s="1">
        <v>453.33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2</v>
      </c>
      <c r="F19" s="1">
        <v>2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1.6</v>
      </c>
      <c r="E20" s="1">
        <v>2.4</v>
      </c>
      <c r="F20" s="1">
        <v>6.3</v>
      </c>
      <c r="G20" s="1">
        <v>3.8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8.4</v>
      </c>
      <c r="E21" s="1">
        <v>7.6</v>
      </c>
      <c r="F21" s="1">
        <v>3.7</v>
      </c>
      <c r="G21" s="1">
        <v>6.2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1.8</v>
      </c>
      <c r="E24" s="1">
        <v>0</v>
      </c>
      <c r="F24" s="1">
        <v>5.2</v>
      </c>
      <c r="G24" s="1">
        <v>3.1</v>
      </c>
    </row>
    <row r="25" spans="1:7" x14ac:dyDescent="0.25">
      <c r="A25" s="1" t="s">
        <v>29</v>
      </c>
      <c r="B25" s="1">
        <v>0</v>
      </c>
      <c r="C25" s="1">
        <v>0</v>
      </c>
      <c r="D25" s="1">
        <v>1.4</v>
      </c>
      <c r="E25" s="1">
        <v>10</v>
      </c>
      <c r="F25" s="1">
        <v>2.9</v>
      </c>
      <c r="G25" s="1">
        <v>2.8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6.8</v>
      </c>
      <c r="E26" s="1">
        <v>0</v>
      </c>
      <c r="F26" s="1">
        <v>1.9</v>
      </c>
      <c r="G26" s="1">
        <v>4.0999999999999996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18</v>
      </c>
      <c r="E29" s="3">
        <f t="shared" si="1"/>
        <v>0</v>
      </c>
      <c r="F29" s="3">
        <f t="shared" si="1"/>
        <v>52</v>
      </c>
      <c r="G29" s="3">
        <f t="shared" si="1"/>
        <v>31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13.999999999999998</v>
      </c>
      <c r="E30" s="3">
        <f t="shared" si="2"/>
        <v>100</v>
      </c>
      <c r="F30" s="3">
        <f t="shared" si="2"/>
        <v>28.999999999999996</v>
      </c>
      <c r="G30" s="3">
        <f t="shared" si="2"/>
        <v>27.999999999999996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68</v>
      </c>
      <c r="E31" s="3">
        <f t="shared" si="3"/>
        <v>0</v>
      </c>
      <c r="F31" s="3">
        <f t="shared" si="3"/>
        <v>19</v>
      </c>
      <c r="G31" s="3">
        <f t="shared" si="3"/>
        <v>41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99.05</v>
      </c>
      <c r="C33" s="3">
        <v>70.739999999999995</v>
      </c>
      <c r="D33" s="3">
        <v>23.16</v>
      </c>
      <c r="E33" s="3">
        <v>0.53</v>
      </c>
      <c r="F33" s="3">
        <v>-14.58</v>
      </c>
      <c r="G33" s="3">
        <v>-13.99</v>
      </c>
    </row>
    <row r="35" spans="1:7" x14ac:dyDescent="0.25">
      <c r="A35" s="3" t="s">
        <v>36</v>
      </c>
      <c r="B35" s="3"/>
      <c r="C35" s="3"/>
      <c r="D35" s="3">
        <f>D33-C33</f>
        <v>-47.58</v>
      </c>
      <c r="E35" s="3"/>
      <c r="F35" s="3">
        <f>F33-E33</f>
        <v>-15.11</v>
      </c>
      <c r="G3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DFAC-93A8-435D-98FE-D5D814854ACF}">
  <dimension ref="A1:G35"/>
  <sheetViews>
    <sheetView topLeftCell="A10" workbookViewId="0">
      <selection activeCell="K31" sqref="K3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416.74</v>
      </c>
      <c r="C2" s="1">
        <v>389.62</v>
      </c>
      <c r="D2" s="1">
        <v>401.76</v>
      </c>
      <c r="E2" s="1">
        <v>486.37</v>
      </c>
      <c r="F2" s="1">
        <v>461.45</v>
      </c>
      <c r="G2" s="1">
        <v>406.98</v>
      </c>
    </row>
    <row r="3" spans="1:7" x14ac:dyDescent="0.25">
      <c r="A3" s="1" t="s">
        <v>7</v>
      </c>
      <c r="B3" s="1">
        <v>36.4</v>
      </c>
      <c r="C3" s="1">
        <v>39.32</v>
      </c>
      <c r="D3" s="1">
        <v>39.31</v>
      </c>
      <c r="E3" s="1">
        <v>38.44</v>
      </c>
      <c r="F3" s="1">
        <v>38.5</v>
      </c>
      <c r="G3" s="1">
        <v>35.65</v>
      </c>
    </row>
    <row r="4" spans="1:7" x14ac:dyDescent="0.25">
      <c r="A4" s="1" t="s">
        <v>8</v>
      </c>
      <c r="B4" s="1">
        <v>15360.41</v>
      </c>
      <c r="C4" s="1">
        <v>15467.23</v>
      </c>
      <c r="D4" s="1">
        <v>15912.93</v>
      </c>
      <c r="E4" s="1">
        <v>19017.02</v>
      </c>
      <c r="F4" s="1">
        <v>18059.36</v>
      </c>
      <c r="G4" s="1">
        <v>14699.08</v>
      </c>
    </row>
    <row r="5" spans="1:7" x14ac:dyDescent="0.25">
      <c r="A5" s="1" t="s">
        <v>9</v>
      </c>
      <c r="B5" s="1">
        <v>1957.46</v>
      </c>
      <c r="C5" s="1">
        <v>1393.23</v>
      </c>
      <c r="D5" s="1">
        <v>824.73</v>
      </c>
      <c r="E5" s="1">
        <v>54.81</v>
      </c>
      <c r="F5" s="1">
        <v>702.92</v>
      </c>
      <c r="G5" s="1">
        <v>1878.19</v>
      </c>
    </row>
    <row r="6" spans="1:7" x14ac:dyDescent="0.25">
      <c r="A6" s="3" t="s">
        <v>10</v>
      </c>
      <c r="B6" s="3">
        <v>195.75</v>
      </c>
      <c r="C6" s="3">
        <v>140.72999999999999</v>
      </c>
      <c r="D6" s="3">
        <v>83.31</v>
      </c>
      <c r="E6" s="3">
        <v>5.54</v>
      </c>
      <c r="F6" s="3">
        <v>71</v>
      </c>
      <c r="G6" s="3">
        <v>189.72</v>
      </c>
    </row>
    <row r="7" spans="1:7" x14ac:dyDescent="0.25">
      <c r="A7" s="1" t="s">
        <v>11</v>
      </c>
      <c r="B7" s="1">
        <v>1844.11</v>
      </c>
      <c r="C7" s="1">
        <v>1215.27</v>
      </c>
      <c r="D7" s="1">
        <v>796.81</v>
      </c>
      <c r="E7" s="1">
        <v>46.04</v>
      </c>
      <c r="F7" s="1">
        <v>692.89</v>
      </c>
      <c r="G7" s="1">
        <v>1769.42</v>
      </c>
    </row>
    <row r="8" spans="1:7" x14ac:dyDescent="0.25">
      <c r="A8" s="1" t="s">
        <v>12</v>
      </c>
      <c r="B8" s="1">
        <v>184.41</v>
      </c>
      <c r="C8" s="1">
        <v>122.76</v>
      </c>
      <c r="D8" s="1">
        <v>80.489999999999995</v>
      </c>
      <c r="E8" s="1">
        <v>4.6500000000000004</v>
      </c>
      <c r="F8" s="1">
        <v>69.989999999999995</v>
      </c>
      <c r="G8" s="1">
        <v>178.73</v>
      </c>
    </row>
    <row r="9" spans="1:7" x14ac:dyDescent="0.25">
      <c r="A9" s="1" t="s">
        <v>13</v>
      </c>
      <c r="B9" s="1">
        <v>1844.11</v>
      </c>
      <c r="C9" s="1">
        <v>535.80999999999995</v>
      </c>
      <c r="D9" s="1">
        <v>751.82</v>
      </c>
      <c r="E9" s="1">
        <v>5.56</v>
      </c>
      <c r="F9" s="1">
        <v>611.82000000000005</v>
      </c>
      <c r="G9" s="1">
        <v>1769.42</v>
      </c>
    </row>
    <row r="10" spans="1:7" x14ac:dyDescent="0.25">
      <c r="A10" s="1" t="s">
        <v>14</v>
      </c>
      <c r="B10" s="1">
        <v>184.41</v>
      </c>
      <c r="C10" s="1">
        <v>54.12</v>
      </c>
      <c r="D10" s="1">
        <v>75.94</v>
      </c>
      <c r="E10" s="1">
        <v>0.56000000000000005</v>
      </c>
      <c r="F10" s="1">
        <v>61.8</v>
      </c>
      <c r="G10" s="1">
        <v>178.73</v>
      </c>
    </row>
    <row r="11" spans="1:7" x14ac:dyDescent="0.25">
      <c r="A11" s="1" t="s">
        <v>15</v>
      </c>
      <c r="B11" s="1">
        <v>1510.67</v>
      </c>
      <c r="C11" s="1">
        <v>305.14</v>
      </c>
      <c r="D11" s="1">
        <v>594.75</v>
      </c>
      <c r="E11" s="1">
        <v>1.1200000000000001</v>
      </c>
      <c r="F11" s="1">
        <v>494.71</v>
      </c>
      <c r="G11" s="1">
        <v>1487.99</v>
      </c>
    </row>
    <row r="12" spans="1:7" x14ac:dyDescent="0.25">
      <c r="A12" s="1" t="s">
        <v>16</v>
      </c>
      <c r="B12" s="1">
        <v>228.41</v>
      </c>
      <c r="C12" s="1">
        <v>211.61</v>
      </c>
      <c r="D12" s="1">
        <v>210.93</v>
      </c>
      <c r="E12" s="1">
        <v>317.23</v>
      </c>
      <c r="F12" s="1">
        <v>273.85000000000002</v>
      </c>
      <c r="G12" s="1">
        <v>236.87</v>
      </c>
    </row>
    <row r="13" spans="1:7" x14ac:dyDescent="0.25">
      <c r="A13" s="1" t="s">
        <v>17</v>
      </c>
      <c r="B13" s="1">
        <v>32.81</v>
      </c>
      <c r="C13" s="1">
        <v>41.89</v>
      </c>
      <c r="D13" s="1">
        <v>35.25</v>
      </c>
      <c r="E13" s="1">
        <v>12.25</v>
      </c>
      <c r="F13" s="1">
        <v>24.49</v>
      </c>
      <c r="G13" s="1">
        <v>30.78</v>
      </c>
    </row>
    <row r="14" spans="1:7" x14ac:dyDescent="0.25">
      <c r="A14" s="1" t="s">
        <v>18</v>
      </c>
      <c r="B14" s="1">
        <v>82.31</v>
      </c>
      <c r="C14" s="1">
        <v>84.55</v>
      </c>
      <c r="D14" s="1">
        <v>69.87</v>
      </c>
      <c r="E14" s="1">
        <v>16.09</v>
      </c>
      <c r="F14" s="1">
        <v>62.24</v>
      </c>
      <c r="G14" s="1">
        <v>61.18</v>
      </c>
    </row>
    <row r="15" spans="1:7" x14ac:dyDescent="0.25">
      <c r="A15" s="1" t="s">
        <v>19</v>
      </c>
      <c r="B15" s="1">
        <v>10</v>
      </c>
      <c r="C15" s="1">
        <v>7</v>
      </c>
      <c r="D15" s="1">
        <v>4</v>
      </c>
      <c r="E15" s="1">
        <v>0</v>
      </c>
      <c r="F15" s="1">
        <v>3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1844.11</v>
      </c>
      <c r="C17" s="1">
        <v>875.54</v>
      </c>
      <c r="D17" s="1">
        <v>774.31</v>
      </c>
      <c r="E17" s="1">
        <v>25.8</v>
      </c>
      <c r="F17" s="1">
        <v>652.36</v>
      </c>
      <c r="G17" s="1">
        <v>1769.42</v>
      </c>
    </row>
    <row r="18" spans="1:7" x14ac:dyDescent="0.25">
      <c r="A18" s="1" t="s">
        <v>22</v>
      </c>
      <c r="B18" s="1">
        <v>0</v>
      </c>
      <c r="C18" s="1">
        <v>339.73</v>
      </c>
      <c r="D18" s="1">
        <v>22.5</v>
      </c>
      <c r="E18" s="1">
        <v>20.239999999999998</v>
      </c>
      <c r="F18" s="1">
        <v>40.54</v>
      </c>
      <c r="G18" s="1">
        <v>0</v>
      </c>
    </row>
    <row r="19" spans="1:7" x14ac:dyDescent="0.25">
      <c r="A19" s="1" t="s">
        <v>23</v>
      </c>
      <c r="B19" s="1">
        <v>0</v>
      </c>
      <c r="C19" s="1">
        <v>1</v>
      </c>
      <c r="D19" s="1">
        <v>1</v>
      </c>
      <c r="E19" s="1">
        <v>3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2.9</v>
      </c>
      <c r="D20" s="1">
        <v>1.2</v>
      </c>
      <c r="E20" s="1">
        <v>4.5999999999999996</v>
      </c>
      <c r="F20" s="1">
        <v>2.4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7.1</v>
      </c>
      <c r="D21" s="1">
        <v>8.8000000000000007</v>
      </c>
      <c r="E21" s="1">
        <v>5.4</v>
      </c>
      <c r="F21" s="1">
        <v>7.6</v>
      </c>
      <c r="G21" s="1">
        <v>10</v>
      </c>
    </row>
    <row r="22" spans="1:7" x14ac:dyDescent="0.25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2.9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2.8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4.3</v>
      </c>
      <c r="D25" s="1">
        <v>2.9</v>
      </c>
      <c r="E25" s="1">
        <v>10</v>
      </c>
      <c r="F25" s="1">
        <v>5.0999999999999996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2.9</v>
      </c>
      <c r="D26" s="1">
        <v>7.1</v>
      </c>
      <c r="E26" s="1">
        <v>0</v>
      </c>
      <c r="F26" s="1">
        <v>4.9000000000000004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27.999999999999996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43</v>
      </c>
      <c r="D30" s="3">
        <f t="shared" si="2"/>
        <v>28.999999999999996</v>
      </c>
      <c r="E30" s="3">
        <f t="shared" si="2"/>
        <v>100</v>
      </c>
      <c r="F30" s="3">
        <f t="shared" si="2"/>
        <v>51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28.999999999999996</v>
      </c>
      <c r="D31" s="3">
        <f t="shared" si="3"/>
        <v>71</v>
      </c>
      <c r="E31" s="3">
        <f t="shared" si="3"/>
        <v>0</v>
      </c>
      <c r="F31" s="3">
        <f t="shared" si="3"/>
        <v>49.000000000000007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189.77</v>
      </c>
      <c r="C33" s="3">
        <v>11.19</v>
      </c>
      <c r="D33" s="3">
        <v>72.48</v>
      </c>
      <c r="E33" s="3">
        <v>-0.04</v>
      </c>
      <c r="F33" s="3">
        <v>55.7</v>
      </c>
      <c r="G33" s="3">
        <v>188.94</v>
      </c>
    </row>
    <row r="35" spans="1:7" x14ac:dyDescent="0.25">
      <c r="A35" s="3" t="s">
        <v>36</v>
      </c>
      <c r="B35" s="3"/>
      <c r="C35" s="3"/>
      <c r="D35" s="3">
        <f>D33-C33</f>
        <v>61.290000000000006</v>
      </c>
      <c r="E35" s="3"/>
      <c r="F35" s="3">
        <f>F33-E33</f>
        <v>55.74</v>
      </c>
      <c r="G3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FB48-9E89-4A89-95F9-99B7F97A22DF}">
  <dimension ref="A1:G35"/>
  <sheetViews>
    <sheetView topLeftCell="A10" workbookViewId="0">
      <selection activeCell="K21" sqref="K2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420.95</v>
      </c>
      <c r="C2" s="1">
        <v>372.32</v>
      </c>
      <c r="D2" s="1">
        <v>392.35</v>
      </c>
      <c r="E2" s="1">
        <v>361.72</v>
      </c>
      <c r="F2" s="1">
        <v>406.56</v>
      </c>
      <c r="G2" s="1">
        <v>436.74</v>
      </c>
    </row>
    <row r="3" spans="1:7" x14ac:dyDescent="0.25">
      <c r="A3" s="1" t="s">
        <v>7</v>
      </c>
      <c r="B3" s="1">
        <v>37.869999999999997</v>
      </c>
      <c r="C3" s="1">
        <v>33.869999999999997</v>
      </c>
      <c r="D3" s="1">
        <v>36.15</v>
      </c>
      <c r="E3" s="1">
        <v>36.200000000000003</v>
      </c>
      <c r="F3" s="1">
        <v>40.17</v>
      </c>
      <c r="G3" s="1">
        <v>47.74</v>
      </c>
    </row>
    <row r="4" spans="1:7" x14ac:dyDescent="0.25">
      <c r="A4" s="1" t="s">
        <v>8</v>
      </c>
      <c r="B4" s="1">
        <v>16227.38</v>
      </c>
      <c r="C4" s="1">
        <v>12800.47</v>
      </c>
      <c r="D4" s="1">
        <v>14388.93</v>
      </c>
      <c r="E4" s="1">
        <v>13320.44</v>
      </c>
      <c r="F4" s="1">
        <v>16611.91</v>
      </c>
      <c r="G4" s="1">
        <v>21232.49</v>
      </c>
    </row>
    <row r="5" spans="1:7" x14ac:dyDescent="0.25">
      <c r="A5" s="1" t="s">
        <v>9</v>
      </c>
      <c r="B5" s="1">
        <v>1572.48</v>
      </c>
      <c r="C5" s="1">
        <v>1742.41</v>
      </c>
      <c r="D5" s="1">
        <v>1683.64</v>
      </c>
      <c r="E5" s="1">
        <v>114.86</v>
      </c>
      <c r="F5" s="1">
        <v>841.14</v>
      </c>
      <c r="G5" s="1">
        <v>1715.14</v>
      </c>
    </row>
    <row r="6" spans="1:7" x14ac:dyDescent="0.25">
      <c r="A6" s="3" t="s">
        <v>10</v>
      </c>
      <c r="B6" s="3">
        <v>157.25</v>
      </c>
      <c r="C6" s="3">
        <v>176</v>
      </c>
      <c r="D6" s="3">
        <v>170.06</v>
      </c>
      <c r="E6" s="3">
        <v>11.6</v>
      </c>
      <c r="F6" s="3">
        <v>84.96</v>
      </c>
      <c r="G6" s="3">
        <v>173.25</v>
      </c>
    </row>
    <row r="7" spans="1:7" x14ac:dyDescent="0.25">
      <c r="A7" s="1" t="s">
        <v>11</v>
      </c>
      <c r="B7" s="1">
        <v>1525.11</v>
      </c>
      <c r="C7" s="1">
        <v>1672.77</v>
      </c>
      <c r="D7" s="1">
        <v>1620.07</v>
      </c>
      <c r="E7" s="1">
        <v>105.46</v>
      </c>
      <c r="F7" s="1">
        <v>825.03</v>
      </c>
      <c r="G7" s="1">
        <v>1625.43</v>
      </c>
    </row>
    <row r="8" spans="1:7" x14ac:dyDescent="0.25">
      <c r="A8" s="1" t="s">
        <v>12</v>
      </c>
      <c r="B8" s="1">
        <v>152.51</v>
      </c>
      <c r="C8" s="1">
        <v>168.97</v>
      </c>
      <c r="D8" s="1">
        <v>163.63999999999999</v>
      </c>
      <c r="E8" s="1">
        <v>10.65</v>
      </c>
      <c r="F8" s="1">
        <v>83.34</v>
      </c>
      <c r="G8" s="1">
        <v>164.19</v>
      </c>
    </row>
    <row r="9" spans="1:7" x14ac:dyDescent="0.25">
      <c r="A9" s="1" t="s">
        <v>13</v>
      </c>
      <c r="B9" s="1">
        <v>1525.11</v>
      </c>
      <c r="C9" s="1">
        <v>1672.77</v>
      </c>
      <c r="D9" s="1">
        <v>1384.46</v>
      </c>
      <c r="E9" s="1">
        <v>-9.73</v>
      </c>
      <c r="F9" s="1">
        <v>661.33</v>
      </c>
      <c r="G9" s="1">
        <v>1625.43</v>
      </c>
    </row>
    <row r="10" spans="1:7" x14ac:dyDescent="0.25">
      <c r="A10" s="1" t="s">
        <v>14</v>
      </c>
      <c r="B10" s="1">
        <v>152.51</v>
      </c>
      <c r="C10" s="1">
        <v>168.97</v>
      </c>
      <c r="D10" s="1">
        <v>139.84</v>
      </c>
      <c r="E10" s="1">
        <v>-0.98</v>
      </c>
      <c r="F10" s="1">
        <v>66.8</v>
      </c>
      <c r="G10" s="1">
        <v>164.19</v>
      </c>
    </row>
    <row r="11" spans="1:7" x14ac:dyDescent="0.25">
      <c r="A11" s="1" t="s">
        <v>15</v>
      </c>
      <c r="B11" s="1">
        <v>1320.22</v>
      </c>
      <c r="C11" s="1">
        <v>1537.94</v>
      </c>
      <c r="D11" s="1">
        <v>1068.3399999999999</v>
      </c>
      <c r="E11" s="1">
        <v>6.6</v>
      </c>
      <c r="F11" s="1">
        <v>419.12</v>
      </c>
      <c r="G11" s="1">
        <v>1513.07</v>
      </c>
    </row>
    <row r="12" spans="1:7" x14ac:dyDescent="0.25">
      <c r="A12" s="1" t="s">
        <v>16</v>
      </c>
      <c r="B12" s="1">
        <v>243.28</v>
      </c>
      <c r="C12" s="1">
        <v>226.96</v>
      </c>
      <c r="D12" s="1">
        <v>229.45</v>
      </c>
      <c r="E12" s="1">
        <v>241.08</v>
      </c>
      <c r="F12" s="1">
        <v>224.02</v>
      </c>
      <c r="G12" s="1">
        <v>250.87</v>
      </c>
    </row>
    <row r="13" spans="1:7" x14ac:dyDescent="0.25">
      <c r="A13" s="1" t="s">
        <v>17</v>
      </c>
      <c r="B13" s="1">
        <v>30.61</v>
      </c>
      <c r="C13" s="1">
        <v>22.82</v>
      </c>
      <c r="D13" s="1">
        <v>25.32</v>
      </c>
      <c r="E13" s="1">
        <v>9.06</v>
      </c>
      <c r="F13" s="1">
        <v>26.92</v>
      </c>
      <c r="G13" s="1">
        <v>25.83</v>
      </c>
    </row>
    <row r="14" spans="1:7" x14ac:dyDescent="0.25">
      <c r="A14" s="1" t="s">
        <v>18</v>
      </c>
      <c r="B14" s="1">
        <v>55.74</v>
      </c>
      <c r="C14" s="1">
        <v>51.92</v>
      </c>
      <c r="D14" s="1">
        <v>55.79</v>
      </c>
      <c r="E14" s="1">
        <v>13.49</v>
      </c>
      <c r="F14" s="1">
        <v>70.22</v>
      </c>
      <c r="G14" s="1">
        <v>56.81</v>
      </c>
    </row>
    <row r="15" spans="1:7" x14ac:dyDescent="0.25">
      <c r="A15" s="1" t="s">
        <v>19</v>
      </c>
      <c r="B15" s="1">
        <v>11</v>
      </c>
      <c r="C15" s="1">
        <v>11</v>
      </c>
      <c r="D15" s="1">
        <v>10</v>
      </c>
      <c r="E15" s="1">
        <v>0</v>
      </c>
      <c r="F15" s="1">
        <v>5</v>
      </c>
      <c r="G15" s="1">
        <v>10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1525.11</v>
      </c>
      <c r="C17" s="1">
        <v>1672.77</v>
      </c>
      <c r="D17" s="1">
        <v>1502.27</v>
      </c>
      <c r="E17" s="1">
        <v>47.86</v>
      </c>
      <c r="F17" s="1">
        <v>743.18</v>
      </c>
      <c r="G17" s="1">
        <v>1625.43</v>
      </c>
    </row>
    <row r="18" spans="1:7" x14ac:dyDescent="0.25">
      <c r="A18" s="1" t="s">
        <v>22</v>
      </c>
      <c r="B18" s="1">
        <v>0</v>
      </c>
      <c r="C18" s="1">
        <v>0</v>
      </c>
      <c r="D18" s="1">
        <v>117.81</v>
      </c>
      <c r="E18" s="1">
        <v>57.6</v>
      </c>
      <c r="F18" s="1">
        <v>81.849999999999994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2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1.8</v>
      </c>
      <c r="E20" s="1">
        <v>2.7</v>
      </c>
      <c r="F20" s="1">
        <v>2.5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8.1999999999999993</v>
      </c>
      <c r="E21" s="1">
        <v>7.3</v>
      </c>
      <c r="F21" s="1">
        <v>7.5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2.6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2.8</v>
      </c>
      <c r="E25" s="1">
        <v>10</v>
      </c>
      <c r="F25" s="1">
        <v>1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7.2</v>
      </c>
      <c r="E26" s="1">
        <v>0</v>
      </c>
      <c r="F26" s="1">
        <v>6.4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27.999999999999996</v>
      </c>
      <c r="E30" s="3">
        <f t="shared" si="2"/>
        <v>100</v>
      </c>
      <c r="F30" s="3">
        <f t="shared" si="2"/>
        <v>10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72</v>
      </c>
      <c r="E31" s="3">
        <f t="shared" si="3"/>
        <v>0</v>
      </c>
      <c r="F31" s="3">
        <f t="shared" si="3"/>
        <v>64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155.27000000000001</v>
      </c>
      <c r="C33" s="3">
        <v>172.54</v>
      </c>
      <c r="D33" s="3">
        <v>130.66999999999999</v>
      </c>
      <c r="E33" s="3">
        <v>0.14000000000000001</v>
      </c>
      <c r="F33" s="3">
        <v>50.5</v>
      </c>
      <c r="G33" s="3">
        <v>173.25</v>
      </c>
    </row>
    <row r="35" spans="1:7" x14ac:dyDescent="0.25">
      <c r="A35" s="3" t="s">
        <v>36</v>
      </c>
      <c r="B35" s="3"/>
      <c r="C35" s="3"/>
      <c r="D35" s="3">
        <f>D33-C33</f>
        <v>-41.870000000000005</v>
      </c>
      <c r="E35" s="3"/>
      <c r="F35" s="3">
        <f>F33-E33</f>
        <v>50.36</v>
      </c>
      <c r="G35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22AB-0F49-4F8A-B511-89C3EACE0B7B}">
  <dimension ref="A1:G35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422.19</v>
      </c>
      <c r="C2" s="1">
        <v>475.15</v>
      </c>
      <c r="D2" s="1">
        <v>454.54</v>
      </c>
      <c r="E2" s="1">
        <v>346.52</v>
      </c>
      <c r="F2" s="1">
        <v>403.09</v>
      </c>
      <c r="G2" s="1">
        <v>448.27</v>
      </c>
    </row>
    <row r="3" spans="1:7" x14ac:dyDescent="0.25">
      <c r="A3" s="1" t="s">
        <v>7</v>
      </c>
      <c r="B3" s="1">
        <v>35.9</v>
      </c>
      <c r="C3" s="1">
        <v>45.35</v>
      </c>
      <c r="D3" s="1">
        <v>39.17</v>
      </c>
      <c r="E3" s="1">
        <v>27.44</v>
      </c>
      <c r="F3" s="1">
        <v>34.020000000000003</v>
      </c>
      <c r="G3" s="1">
        <v>41.63</v>
      </c>
    </row>
    <row r="4" spans="1:7" x14ac:dyDescent="0.25">
      <c r="A4" s="1" t="s">
        <v>8</v>
      </c>
      <c r="B4" s="1">
        <v>15377.94</v>
      </c>
      <c r="C4" s="1">
        <v>21911.07</v>
      </c>
      <c r="D4" s="1">
        <v>18151.22</v>
      </c>
      <c r="E4" s="1">
        <v>9609.7099999999991</v>
      </c>
      <c r="F4" s="1">
        <v>14083.87</v>
      </c>
      <c r="G4" s="1">
        <v>19148.27</v>
      </c>
    </row>
    <row r="5" spans="1:7" x14ac:dyDescent="0.25">
      <c r="A5" s="1" t="s">
        <v>9</v>
      </c>
      <c r="B5" s="1">
        <v>2245.4699999999998</v>
      </c>
      <c r="C5" s="1">
        <v>1821.24</v>
      </c>
      <c r="D5" s="1">
        <v>966.1</v>
      </c>
      <c r="E5" s="1">
        <v>510.55</v>
      </c>
      <c r="F5" s="1">
        <v>1015.37</v>
      </c>
      <c r="G5" s="1">
        <v>1631.91</v>
      </c>
    </row>
    <row r="6" spans="1:7" x14ac:dyDescent="0.25">
      <c r="A6" s="3" t="s">
        <v>10</v>
      </c>
      <c r="B6" s="3">
        <v>224.55</v>
      </c>
      <c r="C6" s="3">
        <v>183.96</v>
      </c>
      <c r="D6" s="3">
        <v>97.59</v>
      </c>
      <c r="E6" s="3">
        <v>51.57</v>
      </c>
      <c r="F6" s="3">
        <v>102.56</v>
      </c>
      <c r="G6" s="3">
        <v>164.84</v>
      </c>
    </row>
    <row r="7" spans="1:7" x14ac:dyDescent="0.25">
      <c r="A7" s="1" t="s">
        <v>11</v>
      </c>
      <c r="B7" s="1">
        <v>2138.75</v>
      </c>
      <c r="C7" s="1">
        <v>1772.99</v>
      </c>
      <c r="D7" s="1">
        <v>934.19</v>
      </c>
      <c r="E7" s="1">
        <v>493.45</v>
      </c>
      <c r="F7" s="1">
        <v>890.87</v>
      </c>
      <c r="G7" s="1">
        <v>1453.58</v>
      </c>
    </row>
    <row r="8" spans="1:7" x14ac:dyDescent="0.25">
      <c r="A8" s="1" t="s">
        <v>12</v>
      </c>
      <c r="B8" s="1">
        <v>213.87</v>
      </c>
      <c r="C8" s="1">
        <v>179.09</v>
      </c>
      <c r="D8" s="1">
        <v>94.36</v>
      </c>
      <c r="E8" s="1">
        <v>49.84</v>
      </c>
      <c r="F8" s="1">
        <v>89.99</v>
      </c>
      <c r="G8" s="1">
        <v>146.83000000000001</v>
      </c>
    </row>
    <row r="9" spans="1:7" x14ac:dyDescent="0.25">
      <c r="A9" s="1" t="s">
        <v>13</v>
      </c>
      <c r="B9" s="1">
        <v>2138.75</v>
      </c>
      <c r="C9" s="1">
        <v>1766.32</v>
      </c>
      <c r="D9" s="1">
        <v>701.38</v>
      </c>
      <c r="E9" s="1">
        <v>110.33</v>
      </c>
      <c r="F9" s="1">
        <v>432.93</v>
      </c>
      <c r="G9" s="1">
        <v>1152.27</v>
      </c>
    </row>
    <row r="10" spans="1:7" x14ac:dyDescent="0.25">
      <c r="A10" s="1" t="s">
        <v>14</v>
      </c>
      <c r="B10" s="1">
        <v>213.87</v>
      </c>
      <c r="C10" s="1">
        <v>178.42</v>
      </c>
      <c r="D10" s="1">
        <v>70.849999999999994</v>
      </c>
      <c r="E10" s="1">
        <v>11.14</v>
      </c>
      <c r="F10" s="1">
        <v>43.73</v>
      </c>
      <c r="G10" s="1">
        <v>116.39</v>
      </c>
    </row>
    <row r="11" spans="1:7" x14ac:dyDescent="0.25">
      <c r="A11" s="1" t="s">
        <v>15</v>
      </c>
      <c r="B11" s="1">
        <v>1909.34</v>
      </c>
      <c r="C11" s="1">
        <v>1388.76</v>
      </c>
      <c r="D11" s="1">
        <v>411.41</v>
      </c>
      <c r="E11" s="1">
        <v>94.03</v>
      </c>
      <c r="F11" s="1">
        <v>33.549999999999997</v>
      </c>
      <c r="G11" s="1">
        <v>983</v>
      </c>
    </row>
    <row r="12" spans="1:7" x14ac:dyDescent="0.25">
      <c r="A12" s="1" t="s">
        <v>16</v>
      </c>
      <c r="B12" s="1">
        <v>241.37</v>
      </c>
      <c r="C12" s="1">
        <v>274.58</v>
      </c>
      <c r="D12" s="1">
        <v>247.99</v>
      </c>
      <c r="E12" s="1">
        <v>191.75</v>
      </c>
      <c r="F12" s="1">
        <v>231.06</v>
      </c>
      <c r="G12" s="1">
        <v>219.26</v>
      </c>
    </row>
    <row r="13" spans="1:7" x14ac:dyDescent="0.25">
      <c r="A13" s="1" t="s">
        <v>17</v>
      </c>
      <c r="B13" s="1">
        <v>32.32</v>
      </c>
      <c r="C13" s="1">
        <v>40.04</v>
      </c>
      <c r="D13" s="1">
        <v>31.55</v>
      </c>
      <c r="E13" s="1">
        <v>9.1999999999999993</v>
      </c>
      <c r="F13" s="1">
        <v>22.59</v>
      </c>
      <c r="G13" s="1">
        <v>39.69</v>
      </c>
    </row>
    <row r="14" spans="1:7" x14ac:dyDescent="0.25">
      <c r="A14" s="1" t="s">
        <v>18</v>
      </c>
      <c r="B14" s="1">
        <v>68.099999999999994</v>
      </c>
      <c r="C14" s="1">
        <v>74.349999999999994</v>
      </c>
      <c r="D14" s="1">
        <v>75.13</v>
      </c>
      <c r="E14" s="1">
        <v>21.22</v>
      </c>
      <c r="F14" s="1">
        <v>58.57</v>
      </c>
      <c r="G14" s="1">
        <v>88.9</v>
      </c>
    </row>
    <row r="15" spans="1:7" x14ac:dyDescent="0.25">
      <c r="A15" s="1" t="s">
        <v>19</v>
      </c>
      <c r="B15" s="1">
        <v>12</v>
      </c>
      <c r="C15" s="1">
        <v>9</v>
      </c>
      <c r="D15" s="1">
        <v>4</v>
      </c>
      <c r="E15" s="1">
        <v>4</v>
      </c>
      <c r="F15" s="1">
        <v>6</v>
      </c>
      <c r="G15" s="1">
        <v>9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2138.75</v>
      </c>
      <c r="C17" s="1">
        <v>1769.65</v>
      </c>
      <c r="D17" s="1">
        <v>817.79</v>
      </c>
      <c r="E17" s="1">
        <v>301.89</v>
      </c>
      <c r="F17" s="1">
        <v>661.9</v>
      </c>
      <c r="G17" s="1">
        <v>1302.92</v>
      </c>
    </row>
    <row r="18" spans="1:7" x14ac:dyDescent="0.25">
      <c r="A18" s="1" t="s">
        <v>22</v>
      </c>
      <c r="B18" s="1">
        <v>0</v>
      </c>
      <c r="C18" s="1">
        <v>3.33</v>
      </c>
      <c r="D18" s="1">
        <v>116.4</v>
      </c>
      <c r="E18" s="1">
        <v>191.56</v>
      </c>
      <c r="F18" s="1">
        <v>228.97</v>
      </c>
      <c r="G18" s="1">
        <v>150.65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1</v>
      </c>
      <c r="F19" s="1">
        <v>3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1.4</v>
      </c>
      <c r="E20" s="1">
        <v>1</v>
      </c>
      <c r="F20" s="1">
        <v>4</v>
      </c>
      <c r="G20" s="1">
        <v>1.3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8.6</v>
      </c>
      <c r="E21" s="1">
        <v>9</v>
      </c>
      <c r="F21" s="1">
        <v>6</v>
      </c>
      <c r="G21" s="1">
        <v>8.6999999999999993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1.7</v>
      </c>
      <c r="E24" s="1">
        <v>0</v>
      </c>
      <c r="F24" s="1">
        <v>5.7</v>
      </c>
      <c r="G24" s="1">
        <v>1.6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8.6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8.3000000000000007</v>
      </c>
      <c r="E26" s="1">
        <v>1.4</v>
      </c>
      <c r="F26" s="1">
        <v>4.3</v>
      </c>
      <c r="G26" s="1">
        <v>8.4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17</v>
      </c>
      <c r="E29" s="3">
        <f t="shared" si="1"/>
        <v>0</v>
      </c>
      <c r="F29" s="3">
        <f t="shared" si="1"/>
        <v>57.000000000000007</v>
      </c>
      <c r="G29" s="3">
        <f t="shared" si="1"/>
        <v>16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86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83</v>
      </c>
      <c r="E31" s="3">
        <f t="shared" si="3"/>
        <v>13.999999999999998</v>
      </c>
      <c r="F31" s="3">
        <f t="shared" si="3"/>
        <v>43</v>
      </c>
      <c r="G31" s="3">
        <f t="shared" si="3"/>
        <v>84.000000000000014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218.9</v>
      </c>
      <c r="C33" s="3">
        <v>181.11</v>
      </c>
      <c r="D33" s="3">
        <v>47.8</v>
      </c>
      <c r="E33" s="3">
        <v>11.7</v>
      </c>
      <c r="F33" s="3">
        <v>8.51</v>
      </c>
      <c r="G33" s="3">
        <v>110.61</v>
      </c>
    </row>
    <row r="35" spans="1:7" x14ac:dyDescent="0.25">
      <c r="A35" s="3" t="s">
        <v>36</v>
      </c>
      <c r="B35" s="3"/>
      <c r="C35" s="3"/>
      <c r="D35" s="3">
        <f>D33-C33</f>
        <v>-133.31</v>
      </c>
      <c r="E35" s="3"/>
      <c r="F35" s="3">
        <f>F33-E33</f>
        <v>-3.1899999999999995</v>
      </c>
      <c r="G3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ACEF-94F4-4FDA-863A-5BFE2E48DCE7}">
  <dimension ref="A1:G35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360.52</v>
      </c>
      <c r="C2" s="1">
        <v>372.96</v>
      </c>
      <c r="D2" s="1">
        <v>381.66</v>
      </c>
      <c r="E2" s="1">
        <v>365.06</v>
      </c>
      <c r="F2" s="1">
        <v>347.31</v>
      </c>
      <c r="G2" s="1">
        <v>374.26</v>
      </c>
    </row>
    <row r="3" spans="1:7" x14ac:dyDescent="0.25">
      <c r="A3" s="1" t="s">
        <v>7</v>
      </c>
      <c r="B3" s="1">
        <v>42.82</v>
      </c>
      <c r="C3" s="1">
        <v>40.21</v>
      </c>
      <c r="D3" s="1">
        <v>42.59</v>
      </c>
      <c r="E3" s="1">
        <v>40.520000000000003</v>
      </c>
      <c r="F3" s="1">
        <v>42.93</v>
      </c>
      <c r="G3" s="1">
        <v>47.98</v>
      </c>
    </row>
    <row r="4" spans="1:7" x14ac:dyDescent="0.25">
      <c r="A4" s="1" t="s">
        <v>8</v>
      </c>
      <c r="B4" s="1">
        <v>15623.83</v>
      </c>
      <c r="C4" s="1">
        <v>15283.05</v>
      </c>
      <c r="D4" s="1">
        <v>16529.189999999999</v>
      </c>
      <c r="E4" s="1">
        <v>15045.12</v>
      </c>
      <c r="F4" s="1">
        <v>15157.39</v>
      </c>
      <c r="G4" s="1">
        <v>18239.95</v>
      </c>
    </row>
    <row r="5" spans="1:7" x14ac:dyDescent="0.25">
      <c r="A5" s="1" t="s">
        <v>9</v>
      </c>
      <c r="B5" s="1">
        <v>1957.91</v>
      </c>
      <c r="C5" s="1">
        <v>2241.98</v>
      </c>
      <c r="D5" s="1">
        <v>2563.98</v>
      </c>
      <c r="E5" s="1">
        <v>1528.39</v>
      </c>
      <c r="F5" s="1">
        <v>724.67</v>
      </c>
      <c r="G5" s="1">
        <v>1911.47</v>
      </c>
    </row>
    <row r="6" spans="1:7" x14ac:dyDescent="0.25">
      <c r="A6" s="3" t="s">
        <v>10</v>
      </c>
      <c r="B6" s="3">
        <v>195.79</v>
      </c>
      <c r="C6" s="3">
        <v>226.46</v>
      </c>
      <c r="D6" s="3">
        <v>258.99</v>
      </c>
      <c r="E6" s="3">
        <v>154.38</v>
      </c>
      <c r="F6" s="3">
        <v>73.2</v>
      </c>
      <c r="G6" s="3">
        <v>193.08</v>
      </c>
    </row>
    <row r="7" spans="1:7" x14ac:dyDescent="0.25">
      <c r="A7" s="1" t="s">
        <v>11</v>
      </c>
      <c r="B7" s="1">
        <v>1848.47</v>
      </c>
      <c r="C7" s="1">
        <v>2122.83</v>
      </c>
      <c r="D7" s="1">
        <v>2352.0100000000002</v>
      </c>
      <c r="E7" s="1">
        <v>1481.82</v>
      </c>
      <c r="F7" s="1">
        <v>687.66</v>
      </c>
      <c r="G7" s="1">
        <v>1704.82</v>
      </c>
    </row>
    <row r="8" spans="1:7" x14ac:dyDescent="0.25">
      <c r="A8" s="1" t="s">
        <v>12</v>
      </c>
      <c r="B8" s="1">
        <v>184.85</v>
      </c>
      <c r="C8" s="1">
        <v>214.43</v>
      </c>
      <c r="D8" s="1">
        <v>237.58</v>
      </c>
      <c r="E8" s="1">
        <v>149.68</v>
      </c>
      <c r="F8" s="1">
        <v>69.459999999999994</v>
      </c>
      <c r="G8" s="1">
        <v>172.2</v>
      </c>
    </row>
    <row r="9" spans="1:7" x14ac:dyDescent="0.25">
      <c r="A9" s="1" t="s">
        <v>13</v>
      </c>
      <c r="B9" s="1">
        <v>1796.22</v>
      </c>
      <c r="C9" s="1">
        <v>2122.83</v>
      </c>
      <c r="D9" s="1">
        <v>2352.0100000000002</v>
      </c>
      <c r="E9" s="1">
        <v>1481.82</v>
      </c>
      <c r="F9" s="1">
        <v>-448.44</v>
      </c>
      <c r="G9" s="1">
        <v>1220.81</v>
      </c>
    </row>
    <row r="10" spans="1:7" x14ac:dyDescent="0.25">
      <c r="A10" s="1" t="s">
        <v>14</v>
      </c>
      <c r="B10" s="1">
        <v>179.62</v>
      </c>
      <c r="C10" s="1">
        <v>214.43</v>
      </c>
      <c r="D10" s="1">
        <v>237.58</v>
      </c>
      <c r="E10" s="1">
        <v>149.68</v>
      </c>
      <c r="F10" s="1">
        <v>-45.3</v>
      </c>
      <c r="G10" s="1">
        <v>123.31</v>
      </c>
    </row>
    <row r="11" spans="1:7" x14ac:dyDescent="0.25">
      <c r="A11" s="1" t="s">
        <v>15</v>
      </c>
      <c r="B11" s="1">
        <v>1130.52</v>
      </c>
      <c r="C11" s="1">
        <v>1707.68</v>
      </c>
      <c r="D11" s="1">
        <v>2100.4899999999998</v>
      </c>
      <c r="E11" s="1">
        <v>1254.8</v>
      </c>
      <c r="F11" s="1">
        <v>220.23</v>
      </c>
      <c r="G11" s="1">
        <v>1137.21</v>
      </c>
    </row>
    <row r="12" spans="1:7" x14ac:dyDescent="0.25">
      <c r="A12" s="1" t="s">
        <v>16</v>
      </c>
      <c r="B12" s="1">
        <v>198.98</v>
      </c>
      <c r="C12" s="1">
        <v>212.53</v>
      </c>
      <c r="D12" s="1">
        <v>227.91</v>
      </c>
      <c r="E12" s="1">
        <v>213.98</v>
      </c>
      <c r="F12" s="1">
        <v>190.53</v>
      </c>
      <c r="G12" s="1">
        <v>187.08</v>
      </c>
    </row>
    <row r="13" spans="1:7" x14ac:dyDescent="0.25">
      <c r="A13" s="1" t="s">
        <v>17</v>
      </c>
      <c r="B13" s="1">
        <v>37.159999999999997</v>
      </c>
      <c r="C13" s="1">
        <v>29.79</v>
      </c>
      <c r="D13" s="1">
        <v>29</v>
      </c>
      <c r="E13" s="1">
        <v>27.85</v>
      </c>
      <c r="F13" s="1">
        <v>21.39</v>
      </c>
      <c r="G13" s="1">
        <v>33.99</v>
      </c>
    </row>
    <row r="14" spans="1:7" x14ac:dyDescent="0.25">
      <c r="A14" s="1" t="s">
        <v>18</v>
      </c>
      <c r="B14" s="1">
        <v>64.89</v>
      </c>
      <c r="C14" s="1">
        <v>62.68</v>
      </c>
      <c r="D14" s="1">
        <v>56.03</v>
      </c>
      <c r="E14" s="1">
        <v>54.74</v>
      </c>
      <c r="F14" s="1">
        <v>47.31</v>
      </c>
      <c r="G14" s="1">
        <v>63.59</v>
      </c>
    </row>
    <row r="15" spans="1:7" x14ac:dyDescent="0.25">
      <c r="A15" s="1" t="s">
        <v>19</v>
      </c>
      <c r="B15" s="1">
        <v>7</v>
      </c>
      <c r="C15" s="1">
        <v>11</v>
      </c>
      <c r="D15" s="1">
        <v>9</v>
      </c>
      <c r="E15" s="1">
        <v>8</v>
      </c>
      <c r="F15" s="1">
        <v>6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1822.35</v>
      </c>
      <c r="C17" s="1">
        <v>2122.83</v>
      </c>
      <c r="D17" s="1">
        <v>2352.0100000000002</v>
      </c>
      <c r="E17" s="1">
        <v>1481.82</v>
      </c>
      <c r="F17" s="1">
        <v>119.61</v>
      </c>
      <c r="G17" s="1">
        <v>1462.82</v>
      </c>
    </row>
    <row r="18" spans="1:7" x14ac:dyDescent="0.25">
      <c r="A18" s="1" t="s">
        <v>22</v>
      </c>
      <c r="B18" s="1">
        <v>26.12</v>
      </c>
      <c r="C18" s="1">
        <v>0</v>
      </c>
      <c r="D18" s="1">
        <v>0</v>
      </c>
      <c r="E18" s="1">
        <v>0</v>
      </c>
      <c r="F18" s="1">
        <v>568.04999999999995</v>
      </c>
      <c r="G18" s="1">
        <v>242.01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5.3</v>
      </c>
      <c r="G20" s="1">
        <v>3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4.7</v>
      </c>
      <c r="G21" s="1">
        <v>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2.9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5</v>
      </c>
      <c r="G24" s="1">
        <v>3.7</v>
      </c>
    </row>
    <row r="25" spans="1:7" x14ac:dyDescent="0.25">
      <c r="A25" s="1" t="s">
        <v>29</v>
      </c>
      <c r="B25" s="1">
        <v>2.5</v>
      </c>
      <c r="C25" s="1">
        <v>0</v>
      </c>
      <c r="D25" s="1">
        <v>0</v>
      </c>
      <c r="E25" s="1">
        <v>0</v>
      </c>
      <c r="F25" s="1">
        <v>3.7</v>
      </c>
      <c r="G25" s="1">
        <v>0</v>
      </c>
    </row>
    <row r="26" spans="1:7" x14ac:dyDescent="0.25">
      <c r="A26" s="1" t="s">
        <v>30</v>
      </c>
      <c r="B26" s="1">
        <v>7.6</v>
      </c>
      <c r="C26" s="1">
        <v>10</v>
      </c>
      <c r="D26" s="1">
        <v>10</v>
      </c>
      <c r="E26" s="1">
        <v>10</v>
      </c>
      <c r="F26" s="1">
        <v>1.3</v>
      </c>
      <c r="G26" s="1">
        <v>6.3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50</v>
      </c>
      <c r="G29" s="3">
        <f t="shared" si="1"/>
        <v>37</v>
      </c>
    </row>
    <row r="30" spans="1:7" x14ac:dyDescent="0.25">
      <c r="A30" s="3" t="s">
        <v>33</v>
      </c>
      <c r="B30" s="3">
        <f>B25/B28*100</f>
        <v>24.752475247524753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37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75.247524752475243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13</v>
      </c>
      <c r="G31" s="3">
        <f t="shared" si="3"/>
        <v>63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179.16</v>
      </c>
      <c r="C33" s="3">
        <v>225.2</v>
      </c>
      <c r="D33" s="3">
        <v>254.1</v>
      </c>
      <c r="E33" s="3">
        <v>154.77000000000001</v>
      </c>
      <c r="F33" s="3">
        <v>-25.54</v>
      </c>
      <c r="G33" s="3">
        <v>86.15</v>
      </c>
    </row>
    <row r="35" spans="1:7" x14ac:dyDescent="0.25">
      <c r="A35" s="3" t="s">
        <v>36</v>
      </c>
      <c r="B35" s="3"/>
      <c r="C35" s="3"/>
      <c r="D35" s="3">
        <f>D33-C33</f>
        <v>28.900000000000006</v>
      </c>
      <c r="E35" s="3"/>
      <c r="F35" s="3">
        <f>F33-E33</f>
        <v>-180.31</v>
      </c>
      <c r="G35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F484-BDDA-4945-BB70-6B96775E5089}">
  <dimension ref="A1:G35"/>
  <sheetViews>
    <sheetView topLeftCell="A10" workbookViewId="0">
      <selection activeCell="K21" sqref="K2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453.56</v>
      </c>
      <c r="C2" s="1">
        <v>453.91</v>
      </c>
      <c r="D2" s="1">
        <v>476.89</v>
      </c>
      <c r="E2" s="1">
        <v>517.11</v>
      </c>
      <c r="F2" s="1">
        <v>512.59</v>
      </c>
      <c r="G2" s="1">
        <v>498.26</v>
      </c>
    </row>
    <row r="3" spans="1:7" x14ac:dyDescent="0.25">
      <c r="A3" s="1" t="s">
        <v>7</v>
      </c>
      <c r="B3" s="1">
        <v>43.01</v>
      </c>
      <c r="C3" s="1">
        <v>45.97</v>
      </c>
      <c r="D3" s="1">
        <v>49.19</v>
      </c>
      <c r="E3" s="1">
        <v>54.49</v>
      </c>
      <c r="F3" s="1">
        <v>55.82</v>
      </c>
      <c r="G3" s="1">
        <v>53.92</v>
      </c>
    </row>
    <row r="4" spans="1:7" x14ac:dyDescent="0.25">
      <c r="A4" s="1" t="s">
        <v>8</v>
      </c>
      <c r="B4" s="1">
        <v>19824.55</v>
      </c>
      <c r="C4" s="1">
        <v>21228.29</v>
      </c>
      <c r="D4" s="1">
        <v>23875.71</v>
      </c>
      <c r="E4" s="1">
        <v>28662.11</v>
      </c>
      <c r="F4" s="1">
        <v>29107.24</v>
      </c>
      <c r="G4" s="1">
        <v>27340.81</v>
      </c>
    </row>
    <row r="5" spans="1:7" x14ac:dyDescent="0.25">
      <c r="A5" s="1" t="s">
        <v>9</v>
      </c>
      <c r="B5" s="1">
        <v>1804.7</v>
      </c>
      <c r="C5" s="1">
        <v>2183.56</v>
      </c>
      <c r="D5" s="1">
        <v>1509.84</v>
      </c>
      <c r="E5" s="1">
        <v>592.82000000000005</v>
      </c>
      <c r="F5" s="1">
        <v>567.66</v>
      </c>
      <c r="G5" s="1">
        <v>864.01</v>
      </c>
    </row>
    <row r="6" spans="1:7" x14ac:dyDescent="0.25">
      <c r="A6" s="3" t="s">
        <v>10</v>
      </c>
      <c r="B6" s="3">
        <v>180.47</v>
      </c>
      <c r="C6" s="3">
        <v>220.56</v>
      </c>
      <c r="D6" s="3">
        <v>152.51</v>
      </c>
      <c r="E6" s="3">
        <v>59.88</v>
      </c>
      <c r="F6" s="3">
        <v>57.34</v>
      </c>
      <c r="G6" s="3">
        <v>87.27</v>
      </c>
    </row>
    <row r="7" spans="1:7" x14ac:dyDescent="0.25">
      <c r="A7" s="1" t="s">
        <v>11</v>
      </c>
      <c r="B7" s="1">
        <v>1737.63</v>
      </c>
      <c r="C7" s="1">
        <v>2075.23</v>
      </c>
      <c r="D7" s="1">
        <v>1465.93</v>
      </c>
      <c r="E7" s="1">
        <v>586.58000000000004</v>
      </c>
      <c r="F7" s="1">
        <v>558.67999999999995</v>
      </c>
      <c r="G7" s="1">
        <v>804.27</v>
      </c>
    </row>
    <row r="8" spans="1:7" x14ac:dyDescent="0.25">
      <c r="A8" s="1" t="s">
        <v>12</v>
      </c>
      <c r="B8" s="1">
        <v>173.76</v>
      </c>
      <c r="C8" s="1">
        <v>209.62</v>
      </c>
      <c r="D8" s="1">
        <v>148.07</v>
      </c>
      <c r="E8" s="1">
        <v>59.25</v>
      </c>
      <c r="F8" s="1">
        <v>56.43</v>
      </c>
      <c r="G8" s="1">
        <v>81.239999999999995</v>
      </c>
    </row>
    <row r="9" spans="1:7" x14ac:dyDescent="0.25">
      <c r="A9" s="1" t="s">
        <v>13</v>
      </c>
      <c r="B9" s="1">
        <v>1737.63</v>
      </c>
      <c r="C9" s="1">
        <v>2075.23</v>
      </c>
      <c r="D9" s="1">
        <v>1178.82</v>
      </c>
      <c r="E9" s="1">
        <v>586.58000000000004</v>
      </c>
      <c r="F9" s="1">
        <v>276.58</v>
      </c>
      <c r="G9" s="1">
        <v>-359.78</v>
      </c>
    </row>
    <row r="10" spans="1:7" x14ac:dyDescent="0.25">
      <c r="A10" s="1" t="s">
        <v>14</v>
      </c>
      <c r="B10" s="1">
        <v>173.76</v>
      </c>
      <c r="C10" s="1">
        <v>209.62</v>
      </c>
      <c r="D10" s="1">
        <v>119.07</v>
      </c>
      <c r="E10" s="1">
        <v>59.25</v>
      </c>
      <c r="F10" s="1">
        <v>27.94</v>
      </c>
      <c r="G10" s="1">
        <v>-36.340000000000003</v>
      </c>
    </row>
    <row r="11" spans="1:7" x14ac:dyDescent="0.25">
      <c r="A11" s="1" t="s">
        <v>15</v>
      </c>
      <c r="B11" s="1">
        <v>1585.84</v>
      </c>
      <c r="C11" s="1">
        <v>1971.08</v>
      </c>
      <c r="D11" s="1">
        <v>869.52</v>
      </c>
      <c r="E11" s="1">
        <v>514.36</v>
      </c>
      <c r="F11" s="1">
        <v>92.55</v>
      </c>
      <c r="G11" s="1">
        <v>109.41</v>
      </c>
    </row>
    <row r="12" spans="1:7" x14ac:dyDescent="0.25">
      <c r="A12" s="1" t="s">
        <v>16</v>
      </c>
      <c r="B12" s="1">
        <v>261.52999999999997</v>
      </c>
      <c r="C12" s="1">
        <v>270.56</v>
      </c>
      <c r="D12" s="1">
        <v>238.98</v>
      </c>
      <c r="E12" s="1">
        <v>247.46</v>
      </c>
      <c r="F12" s="1">
        <v>247.6</v>
      </c>
      <c r="G12" s="1">
        <v>188.87</v>
      </c>
    </row>
    <row r="13" spans="1:7" x14ac:dyDescent="0.25">
      <c r="A13" s="1" t="s">
        <v>17</v>
      </c>
      <c r="B13" s="1">
        <v>25.28</v>
      </c>
      <c r="C13" s="1">
        <v>26.62</v>
      </c>
      <c r="D13" s="1">
        <v>27.44</v>
      </c>
      <c r="E13" s="1">
        <v>21.86</v>
      </c>
      <c r="F13" s="1">
        <v>31.05</v>
      </c>
      <c r="G13" s="1">
        <v>51.63</v>
      </c>
    </row>
    <row r="14" spans="1:7" x14ac:dyDescent="0.25">
      <c r="A14" s="1" t="s">
        <v>18</v>
      </c>
      <c r="B14" s="1">
        <v>52.39</v>
      </c>
      <c r="C14" s="1">
        <v>71.06</v>
      </c>
      <c r="D14" s="1">
        <v>63.04</v>
      </c>
      <c r="E14" s="1">
        <v>44.13</v>
      </c>
      <c r="F14" s="1">
        <v>65.45</v>
      </c>
      <c r="G14" s="1">
        <v>97.5</v>
      </c>
    </row>
    <row r="15" spans="1:7" x14ac:dyDescent="0.25">
      <c r="A15" s="1" t="s">
        <v>19</v>
      </c>
      <c r="B15" s="1">
        <v>6</v>
      </c>
      <c r="C15" s="1">
        <v>9</v>
      </c>
      <c r="D15" s="1">
        <v>6</v>
      </c>
      <c r="E15" s="1">
        <v>3</v>
      </c>
      <c r="F15" s="1">
        <v>3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1737.63</v>
      </c>
      <c r="C17" s="1">
        <v>2075.23</v>
      </c>
      <c r="D17" s="1">
        <v>1322.38</v>
      </c>
      <c r="E17" s="1">
        <v>586.58000000000004</v>
      </c>
      <c r="F17" s="1">
        <v>417.63</v>
      </c>
      <c r="G17" s="1">
        <v>222.25</v>
      </c>
    </row>
    <row r="18" spans="1:7" x14ac:dyDescent="0.25">
      <c r="A18" s="1" t="s">
        <v>22</v>
      </c>
      <c r="B18" s="1">
        <v>0</v>
      </c>
      <c r="C18" s="1">
        <v>0</v>
      </c>
      <c r="D18" s="1">
        <v>143.55000000000001</v>
      </c>
      <c r="E18" s="1">
        <v>0</v>
      </c>
      <c r="F18" s="1">
        <v>141.05000000000001</v>
      </c>
      <c r="G18" s="1">
        <v>582.02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1</v>
      </c>
      <c r="G19" s="1">
        <v>2</v>
      </c>
    </row>
    <row r="20" spans="1:7" x14ac:dyDescent="0.25">
      <c r="A20" s="1" t="s">
        <v>24</v>
      </c>
      <c r="B20" s="1">
        <v>0</v>
      </c>
      <c r="C20" s="1">
        <v>0</v>
      </c>
      <c r="D20" s="1">
        <v>1.6</v>
      </c>
      <c r="E20" s="1">
        <v>0</v>
      </c>
      <c r="F20" s="1">
        <v>2.2000000000000002</v>
      </c>
      <c r="G20" s="1">
        <v>4.5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8.4</v>
      </c>
      <c r="E21" s="1">
        <v>10</v>
      </c>
      <c r="F21" s="1">
        <v>7.8</v>
      </c>
      <c r="G21" s="1">
        <v>5.5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2.6</v>
      </c>
    </row>
    <row r="24" spans="1:7" x14ac:dyDescent="0.25">
      <c r="A24" s="1" t="s">
        <v>28</v>
      </c>
      <c r="B24" s="1">
        <v>0</v>
      </c>
      <c r="C24" s="1">
        <v>0</v>
      </c>
      <c r="D24" s="1">
        <v>2.6</v>
      </c>
      <c r="E24" s="1">
        <v>0</v>
      </c>
      <c r="F24" s="1">
        <v>2.6</v>
      </c>
      <c r="G24" s="1">
        <v>3.2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2.8</v>
      </c>
      <c r="G25" s="1">
        <v>3.2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7.4</v>
      </c>
      <c r="E26" s="1">
        <v>10</v>
      </c>
      <c r="F26" s="1">
        <v>4.5999999999999996</v>
      </c>
      <c r="G26" s="1">
        <v>3.6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26</v>
      </c>
      <c r="E29" s="3">
        <f t="shared" si="1"/>
        <v>0</v>
      </c>
      <c r="F29" s="3">
        <f t="shared" si="1"/>
        <v>26</v>
      </c>
      <c r="G29" s="3">
        <f t="shared" si="1"/>
        <v>32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27.999999999999996</v>
      </c>
      <c r="G30" s="3">
        <f t="shared" si="2"/>
        <v>32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74</v>
      </c>
      <c r="E31" s="3">
        <f t="shared" si="3"/>
        <v>100</v>
      </c>
      <c r="F31" s="3">
        <f t="shared" si="3"/>
        <v>46</v>
      </c>
      <c r="G31" s="3">
        <f t="shared" si="3"/>
        <v>36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175.74</v>
      </c>
      <c r="C33" s="3">
        <v>220.79</v>
      </c>
      <c r="D33" s="3">
        <v>100.92</v>
      </c>
      <c r="E33" s="3">
        <v>60.81</v>
      </c>
      <c r="F33" s="3">
        <v>8.43</v>
      </c>
      <c r="G33" s="3">
        <v>-19.11</v>
      </c>
    </row>
    <row r="35" spans="1:7" x14ac:dyDescent="0.25">
      <c r="A35" s="3" t="s">
        <v>36</v>
      </c>
      <c r="B35" s="3"/>
      <c r="C35" s="3"/>
      <c r="D35" s="3">
        <f>D33-C33</f>
        <v>-119.86999999999999</v>
      </c>
      <c r="E35" s="3"/>
      <c r="F35" s="3">
        <f>F33-E33</f>
        <v>-52.38</v>
      </c>
      <c r="G3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9E15-D091-4CED-8234-5EF1DEDA6B46}">
  <dimension ref="A1:G35"/>
  <sheetViews>
    <sheetView tabSelected="1" topLeftCell="A10" workbookViewId="0">
      <selection activeCell="L26" sqref="L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401.28</v>
      </c>
      <c r="C2" s="1">
        <v>403.73</v>
      </c>
      <c r="D2" s="1">
        <v>431.27</v>
      </c>
      <c r="E2" s="1">
        <v>355.46</v>
      </c>
      <c r="F2" s="1">
        <v>390.28</v>
      </c>
      <c r="G2" s="1">
        <v>405.46</v>
      </c>
    </row>
    <row r="3" spans="1:7" x14ac:dyDescent="0.25">
      <c r="A3" s="1" t="s">
        <v>7</v>
      </c>
      <c r="B3" s="1">
        <v>39.83</v>
      </c>
      <c r="C3" s="1">
        <v>42.8</v>
      </c>
      <c r="D3" s="1">
        <v>44.83</v>
      </c>
      <c r="E3" s="1">
        <v>33.71</v>
      </c>
      <c r="F3" s="1">
        <v>36.24</v>
      </c>
      <c r="G3" s="1">
        <v>42.25</v>
      </c>
    </row>
    <row r="4" spans="1:7" x14ac:dyDescent="0.25">
      <c r="A4" s="1" t="s">
        <v>8</v>
      </c>
      <c r="B4" s="1">
        <v>16260.57</v>
      </c>
      <c r="C4" s="1">
        <v>17576.28</v>
      </c>
      <c r="D4" s="1">
        <v>19667.419999999998</v>
      </c>
      <c r="E4" s="1">
        <v>12162.26</v>
      </c>
      <c r="F4" s="1">
        <v>14359.78</v>
      </c>
      <c r="G4" s="1">
        <v>17413.3</v>
      </c>
    </row>
    <row r="5" spans="1:7" x14ac:dyDescent="0.25">
      <c r="A5" s="1" t="s">
        <v>9</v>
      </c>
      <c r="B5" s="1">
        <v>1972.54</v>
      </c>
      <c r="C5" s="1">
        <v>1938.97</v>
      </c>
      <c r="D5" s="1">
        <v>1265.8800000000001</v>
      </c>
      <c r="E5" s="1">
        <v>345.94</v>
      </c>
      <c r="F5" s="1">
        <v>548.12</v>
      </c>
      <c r="G5" s="1">
        <v>1322.66</v>
      </c>
    </row>
    <row r="6" spans="1:7" x14ac:dyDescent="0.25">
      <c r="A6" s="3" t="s">
        <v>10</v>
      </c>
      <c r="B6" s="3">
        <v>197.25</v>
      </c>
      <c r="C6" s="3">
        <v>195.86</v>
      </c>
      <c r="D6" s="3">
        <v>127.87</v>
      </c>
      <c r="E6" s="3">
        <v>34.94</v>
      </c>
      <c r="F6" s="3">
        <v>55.37</v>
      </c>
      <c r="G6" s="3">
        <v>133.6</v>
      </c>
    </row>
    <row r="7" spans="1:7" x14ac:dyDescent="0.25">
      <c r="A7" s="1" t="s">
        <v>11</v>
      </c>
      <c r="B7" s="1">
        <v>1774.57</v>
      </c>
      <c r="C7" s="1">
        <v>1769.45</v>
      </c>
      <c r="D7" s="1">
        <v>1249.8599999999999</v>
      </c>
      <c r="E7" s="1">
        <v>337.17</v>
      </c>
      <c r="F7" s="1">
        <v>536.13</v>
      </c>
      <c r="G7" s="1">
        <v>1236.52</v>
      </c>
    </row>
    <row r="8" spans="1:7" x14ac:dyDescent="0.25">
      <c r="A8" s="1" t="s">
        <v>12</v>
      </c>
      <c r="B8" s="1">
        <v>177.46</v>
      </c>
      <c r="C8" s="1">
        <v>178.73</v>
      </c>
      <c r="D8" s="1">
        <v>126.25</v>
      </c>
      <c r="E8" s="1">
        <v>34.06</v>
      </c>
      <c r="F8" s="1">
        <v>54.15</v>
      </c>
      <c r="G8" s="1">
        <v>124.9</v>
      </c>
    </row>
    <row r="9" spans="1:7" x14ac:dyDescent="0.25">
      <c r="A9" s="1" t="s">
        <v>13</v>
      </c>
      <c r="B9" s="1">
        <v>929.02</v>
      </c>
      <c r="C9" s="1">
        <v>1769.45</v>
      </c>
      <c r="D9" s="1">
        <v>1249.8599999999999</v>
      </c>
      <c r="E9" s="1">
        <v>212.55</v>
      </c>
      <c r="F9" s="1">
        <v>-232.06</v>
      </c>
      <c r="G9" s="1">
        <v>-786.65</v>
      </c>
    </row>
    <row r="10" spans="1:7" x14ac:dyDescent="0.25">
      <c r="A10" s="1" t="s">
        <v>14</v>
      </c>
      <c r="B10" s="1">
        <v>92.9</v>
      </c>
      <c r="C10" s="1">
        <v>178.73</v>
      </c>
      <c r="D10" s="1">
        <v>126.25</v>
      </c>
      <c r="E10" s="1">
        <v>21.47</v>
      </c>
      <c r="F10" s="1">
        <v>-23.44</v>
      </c>
      <c r="G10" s="1">
        <v>-79.459999999999994</v>
      </c>
    </row>
    <row r="11" spans="1:7" x14ac:dyDescent="0.25">
      <c r="A11" s="1" t="s">
        <v>15</v>
      </c>
      <c r="B11" s="1">
        <v>871.13</v>
      </c>
      <c r="C11" s="1">
        <v>1458.93</v>
      </c>
      <c r="D11" s="1">
        <v>1134.6199999999999</v>
      </c>
      <c r="E11" s="1">
        <v>205.89</v>
      </c>
      <c r="F11" s="1">
        <v>88.92</v>
      </c>
      <c r="G11" s="1">
        <v>684.72</v>
      </c>
    </row>
    <row r="12" spans="1:7" x14ac:dyDescent="0.25">
      <c r="A12" s="1" t="s">
        <v>16</v>
      </c>
      <c r="B12" s="1">
        <v>218.82</v>
      </c>
      <c r="C12" s="1">
        <v>247.04</v>
      </c>
      <c r="D12" s="1">
        <v>233.55</v>
      </c>
      <c r="E12" s="1">
        <v>189.85</v>
      </c>
      <c r="F12" s="1">
        <v>226.76</v>
      </c>
      <c r="G12" s="1">
        <v>211.31</v>
      </c>
    </row>
    <row r="13" spans="1:7" x14ac:dyDescent="0.25">
      <c r="A13" s="1" t="s">
        <v>17</v>
      </c>
      <c r="B13" s="1">
        <v>31.78</v>
      </c>
      <c r="C13" s="1">
        <v>33.54</v>
      </c>
      <c r="D13" s="1">
        <v>23.57</v>
      </c>
      <c r="E13" s="1">
        <v>23.07</v>
      </c>
      <c r="F13" s="1">
        <v>20.6</v>
      </c>
      <c r="G13" s="1">
        <v>46.87</v>
      </c>
    </row>
    <row r="14" spans="1:7" x14ac:dyDescent="0.25">
      <c r="A14" s="1" t="s">
        <v>18</v>
      </c>
      <c r="B14" s="1">
        <v>81.069999999999993</v>
      </c>
      <c r="C14" s="1">
        <v>71.19</v>
      </c>
      <c r="D14" s="1">
        <v>50.32</v>
      </c>
      <c r="E14" s="1">
        <v>36.1</v>
      </c>
      <c r="F14" s="1">
        <v>47.21</v>
      </c>
      <c r="G14" s="1">
        <v>76.02</v>
      </c>
    </row>
    <row r="15" spans="1:7" x14ac:dyDescent="0.25">
      <c r="A15" s="1" t="s">
        <v>19</v>
      </c>
      <c r="B15" s="1">
        <v>7</v>
      </c>
      <c r="C15" s="1">
        <v>10</v>
      </c>
      <c r="D15" s="1">
        <v>4</v>
      </c>
      <c r="E15" s="1">
        <v>1</v>
      </c>
      <c r="F15" s="1">
        <v>1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1351.8</v>
      </c>
      <c r="C17" s="1">
        <v>1769.45</v>
      </c>
      <c r="D17" s="1">
        <v>1249.8599999999999</v>
      </c>
      <c r="E17" s="1">
        <v>274.86</v>
      </c>
      <c r="F17" s="1">
        <v>152.04</v>
      </c>
      <c r="G17" s="1">
        <v>224.94</v>
      </c>
    </row>
    <row r="18" spans="1:7" x14ac:dyDescent="0.25">
      <c r="A18" s="1" t="s">
        <v>22</v>
      </c>
      <c r="B18" s="1">
        <v>422.78</v>
      </c>
      <c r="C18" s="1">
        <v>0</v>
      </c>
      <c r="D18" s="1">
        <v>0</v>
      </c>
      <c r="E18" s="1">
        <v>62.31</v>
      </c>
      <c r="F18" s="1">
        <v>384.09</v>
      </c>
      <c r="G18" s="1">
        <v>1011.59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2</v>
      </c>
      <c r="G19" s="1">
        <v>2</v>
      </c>
    </row>
    <row r="20" spans="1:7" x14ac:dyDescent="0.25">
      <c r="A20" s="1" t="s">
        <v>24</v>
      </c>
      <c r="B20" s="1">
        <v>2.4</v>
      </c>
      <c r="C20" s="1">
        <v>0</v>
      </c>
      <c r="D20" s="1">
        <v>0</v>
      </c>
      <c r="E20" s="1">
        <v>1</v>
      </c>
      <c r="F20" s="1">
        <v>3.5</v>
      </c>
      <c r="G20" s="1">
        <v>6.7</v>
      </c>
    </row>
    <row r="21" spans="1:7" x14ac:dyDescent="0.25">
      <c r="A21" s="1" t="s">
        <v>25</v>
      </c>
      <c r="B21" s="1">
        <v>7.7</v>
      </c>
      <c r="C21" s="1">
        <v>10</v>
      </c>
      <c r="D21" s="1">
        <v>10</v>
      </c>
      <c r="E21" s="1">
        <v>9</v>
      </c>
      <c r="F21" s="1">
        <v>6.5</v>
      </c>
      <c r="G21" s="1">
        <v>3.3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2.4</v>
      </c>
      <c r="C23" s="1">
        <v>0</v>
      </c>
      <c r="D23" s="1">
        <v>0</v>
      </c>
      <c r="E23" s="1">
        <v>0</v>
      </c>
      <c r="F23" s="1">
        <v>0</v>
      </c>
      <c r="G23" s="1">
        <v>2</v>
      </c>
    </row>
    <row r="24" spans="1:7" x14ac:dyDescent="0.25">
      <c r="A24" s="1" t="s">
        <v>28</v>
      </c>
      <c r="B24" s="1">
        <v>2.6</v>
      </c>
      <c r="C24" s="1">
        <v>1.5</v>
      </c>
      <c r="D24" s="1">
        <v>0</v>
      </c>
      <c r="E24" s="1">
        <v>0</v>
      </c>
      <c r="F24" s="1">
        <v>3</v>
      </c>
      <c r="G24" s="1">
        <v>6.1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6.9</v>
      </c>
      <c r="F25" s="1">
        <v>5.8</v>
      </c>
      <c r="G25" s="1">
        <v>1.8</v>
      </c>
    </row>
    <row r="26" spans="1:7" x14ac:dyDescent="0.25">
      <c r="A26" s="1" t="s">
        <v>30</v>
      </c>
      <c r="B26" s="1">
        <v>7.5</v>
      </c>
      <c r="C26" s="1">
        <v>8.5</v>
      </c>
      <c r="D26" s="1">
        <v>10</v>
      </c>
      <c r="E26" s="1">
        <v>3.1</v>
      </c>
      <c r="F26" s="1">
        <v>1.2</v>
      </c>
      <c r="G26" s="1">
        <v>2.1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25.742574257425744</v>
      </c>
      <c r="C29" s="3">
        <f t="shared" ref="C29:G29" si="1">C24/C28*100</f>
        <v>15</v>
      </c>
      <c r="D29" s="3">
        <f t="shared" si="1"/>
        <v>0</v>
      </c>
      <c r="E29" s="3">
        <f t="shared" si="1"/>
        <v>0</v>
      </c>
      <c r="F29" s="3">
        <f t="shared" si="1"/>
        <v>30</v>
      </c>
      <c r="G29" s="3">
        <f t="shared" si="1"/>
        <v>61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69</v>
      </c>
      <c r="F30" s="3">
        <f t="shared" si="2"/>
        <v>57.999999999999993</v>
      </c>
      <c r="G30" s="3">
        <f t="shared" si="2"/>
        <v>18</v>
      </c>
    </row>
    <row r="31" spans="1:7" x14ac:dyDescent="0.25">
      <c r="A31" s="3" t="s">
        <v>34</v>
      </c>
      <c r="B31" s="3">
        <f>B26/B28*100</f>
        <v>74.257425742574256</v>
      </c>
      <c r="C31" s="3">
        <f t="shared" ref="C31:G31" si="3">C26/C28*100</f>
        <v>85</v>
      </c>
      <c r="D31" s="3">
        <f t="shared" si="3"/>
        <v>100</v>
      </c>
      <c r="E31" s="3">
        <f t="shared" si="3"/>
        <v>31</v>
      </c>
      <c r="F31" s="3">
        <f t="shared" si="3"/>
        <v>12</v>
      </c>
      <c r="G31" s="3">
        <f t="shared" si="3"/>
        <v>21.000000000000004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96.53</v>
      </c>
      <c r="C33" s="3">
        <v>187.16</v>
      </c>
      <c r="D33" s="3">
        <v>128.09</v>
      </c>
      <c r="E33" s="3">
        <v>21.5</v>
      </c>
      <c r="F33" s="3">
        <v>-9.2200000000000006</v>
      </c>
      <c r="G33" s="3">
        <v>-47.27</v>
      </c>
    </row>
    <row r="35" spans="1:7" x14ac:dyDescent="0.25">
      <c r="A35" s="3" t="s">
        <v>36</v>
      </c>
      <c r="B35" s="3"/>
      <c r="C35" s="3"/>
      <c r="D35" s="3">
        <f>D33-C33</f>
        <v>-59.069999999999993</v>
      </c>
      <c r="E35" s="3"/>
      <c r="F35" s="3">
        <f>F33-E33</f>
        <v>-30.72</v>
      </c>
      <c r="G35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699E-E362-4D7E-866E-6F2EE9B7973F}">
  <dimension ref="A1:G35"/>
  <sheetViews>
    <sheetView workbookViewId="0">
      <selection sqref="A1:XFD104857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230221B001.1</vt:lpstr>
      <vt:lpstr>230221B001.2</vt:lpstr>
      <vt:lpstr>230221B001.3</vt:lpstr>
      <vt:lpstr>230221B001.4</vt:lpstr>
      <vt:lpstr>230221B002.1</vt:lpstr>
      <vt:lpstr>230221B002.2</vt:lpstr>
      <vt:lpstr>230221B002.3</vt:lpstr>
      <vt:lpstr>230221B002.4</vt:lpstr>
      <vt:lpstr>230221B003.1</vt:lpstr>
      <vt:lpstr>230221B003.2</vt:lpstr>
      <vt:lpstr>230221B003.3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2023-03-10T18:32:11Z</dcterms:created>
  <dcterms:modified xsi:type="dcterms:W3CDTF">2023-03-17T19:17:05Z</dcterms:modified>
</cp:coreProperties>
</file>