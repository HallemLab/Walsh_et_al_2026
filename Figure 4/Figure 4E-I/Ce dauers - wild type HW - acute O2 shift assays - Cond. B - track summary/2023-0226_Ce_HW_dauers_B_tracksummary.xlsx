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havioral Assays\Acute Shift Assays\C. elegans\2023-0226\"/>
    </mc:Choice>
  </mc:AlternateContent>
  <xr:revisionPtr revIDLastSave="0" documentId="13_ncr:1_{45F9132D-224E-4A4B-80D3-353EF4828D56}" xr6:coauthVersionLast="36" xr6:coauthVersionMax="36" xr10:uidLastSave="{00000000-0000-0000-0000-000000000000}"/>
  <bookViews>
    <workbookView xWindow="0" yWindow="0" windowWidth="24255" windowHeight="10035" firstSheet="7" activeTab="14" xr2:uid="{EF37C8B5-B249-427E-B942-046C700121D3}"/>
  </bookViews>
  <sheets>
    <sheet name="230226B001.1" sheetId="2" r:id="rId1"/>
    <sheet name="230226B001.2" sheetId="3" r:id="rId2"/>
    <sheet name="230226B001.3" sheetId="4" r:id="rId3"/>
    <sheet name="230226B001.4" sheetId="5" r:id="rId4"/>
    <sheet name="230226B001.5" sheetId="6" r:id="rId5"/>
    <sheet name="230226B001.6" sheetId="7" r:id="rId6"/>
    <sheet name="230226B001.7" sheetId="8" r:id="rId7"/>
    <sheet name="230226B001.8" sheetId="9" r:id="rId8"/>
    <sheet name="230226B002.2" sheetId="10" r:id="rId9"/>
    <sheet name="230226B002.3" sheetId="11" r:id="rId10"/>
    <sheet name="230226B002.4" sheetId="12" r:id="rId11"/>
    <sheet name="230226B003.1" sheetId="13" r:id="rId12"/>
    <sheet name="230226B003.2" sheetId="14" r:id="rId13"/>
    <sheet name="230226B003.3" sheetId="15" r:id="rId14"/>
    <sheet name="230226B003.4" sheetId="16" r:id="rId15"/>
    <sheet name="template" sheetId="1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6" l="1"/>
  <c r="D35" i="16"/>
  <c r="G28" i="16"/>
  <c r="G31" i="16" s="1"/>
  <c r="F28" i="16"/>
  <c r="F31" i="16" s="1"/>
  <c r="E28" i="16"/>
  <c r="E31" i="16" s="1"/>
  <c r="D28" i="16"/>
  <c r="D31" i="16" s="1"/>
  <c r="C28" i="16"/>
  <c r="C30" i="16" s="1"/>
  <c r="B28" i="16"/>
  <c r="B31" i="16" s="1"/>
  <c r="F35" i="15"/>
  <c r="D35" i="15"/>
  <c r="C29" i="15"/>
  <c r="B29" i="15"/>
  <c r="G28" i="15"/>
  <c r="G31" i="15" s="1"/>
  <c r="F28" i="15"/>
  <c r="F31" i="15" s="1"/>
  <c r="E28" i="15"/>
  <c r="E31" i="15" s="1"/>
  <c r="D28" i="15"/>
  <c r="D31" i="15" s="1"/>
  <c r="C28" i="15"/>
  <c r="C31" i="15" s="1"/>
  <c r="B28" i="15"/>
  <c r="B31" i="15" s="1"/>
  <c r="F35" i="14"/>
  <c r="D35" i="14"/>
  <c r="G31" i="14"/>
  <c r="D31" i="14"/>
  <c r="G28" i="14"/>
  <c r="G30" i="14" s="1"/>
  <c r="F28" i="14"/>
  <c r="F31" i="14" s="1"/>
  <c r="E28" i="14"/>
  <c r="E31" i="14" s="1"/>
  <c r="D28" i="14"/>
  <c r="D29" i="14" s="1"/>
  <c r="C28" i="14"/>
  <c r="C31" i="14" s="1"/>
  <c r="B28" i="14"/>
  <c r="B31" i="14" s="1"/>
  <c r="F35" i="13"/>
  <c r="D35" i="13"/>
  <c r="G28" i="13"/>
  <c r="G30" i="13" s="1"/>
  <c r="F28" i="13"/>
  <c r="F30" i="13" s="1"/>
  <c r="E28" i="13"/>
  <c r="E31" i="13" s="1"/>
  <c r="D28" i="13"/>
  <c r="D31" i="13" s="1"/>
  <c r="C28" i="13"/>
  <c r="C31" i="13" s="1"/>
  <c r="B28" i="13"/>
  <c r="B30" i="13" s="1"/>
  <c r="F35" i="12"/>
  <c r="D35" i="12"/>
  <c r="G28" i="12"/>
  <c r="G30" i="12" s="1"/>
  <c r="F28" i="12"/>
  <c r="F29" i="12" s="1"/>
  <c r="E28" i="12"/>
  <c r="E29" i="12" s="1"/>
  <c r="D28" i="12"/>
  <c r="D31" i="12" s="1"/>
  <c r="C28" i="12"/>
  <c r="C31" i="12" s="1"/>
  <c r="B28" i="12"/>
  <c r="B30" i="12" s="1"/>
  <c r="F35" i="11"/>
  <c r="D35" i="11"/>
  <c r="G28" i="11"/>
  <c r="G29" i="11" s="1"/>
  <c r="F28" i="11"/>
  <c r="F31" i="11" s="1"/>
  <c r="E28" i="11"/>
  <c r="E31" i="11" s="1"/>
  <c r="D28" i="11"/>
  <c r="D30" i="11" s="1"/>
  <c r="C28" i="11"/>
  <c r="C30" i="11" s="1"/>
  <c r="B28" i="11"/>
  <c r="B30" i="11" s="1"/>
  <c r="E29" i="16" l="1"/>
  <c r="C29" i="16"/>
  <c r="D30" i="16"/>
  <c r="B29" i="16"/>
  <c r="B30" i="16"/>
  <c r="C31" i="16"/>
  <c r="D29" i="16"/>
  <c r="E30" i="16"/>
  <c r="G30" i="16"/>
  <c r="F29" i="16"/>
  <c r="F30" i="16"/>
  <c r="G29" i="16"/>
  <c r="F29" i="15"/>
  <c r="F30" i="15"/>
  <c r="D29" i="15"/>
  <c r="E29" i="15"/>
  <c r="G29" i="15"/>
  <c r="B30" i="15"/>
  <c r="C30" i="15"/>
  <c r="D30" i="15"/>
  <c r="E30" i="15"/>
  <c r="G30" i="15"/>
  <c r="D30" i="14"/>
  <c r="E30" i="14"/>
  <c r="G29" i="14"/>
  <c r="F30" i="14"/>
  <c r="B29" i="14"/>
  <c r="E29" i="14"/>
  <c r="B30" i="14"/>
  <c r="C29" i="14"/>
  <c r="F29" i="14"/>
  <c r="C30" i="14"/>
  <c r="B31" i="13"/>
  <c r="B29" i="13"/>
  <c r="C29" i="13"/>
  <c r="C30" i="13"/>
  <c r="F31" i="13"/>
  <c r="G31" i="13"/>
  <c r="D29" i="13"/>
  <c r="E29" i="13"/>
  <c r="F29" i="13"/>
  <c r="G29" i="13"/>
  <c r="D30" i="13"/>
  <c r="E30" i="13"/>
  <c r="E31" i="12"/>
  <c r="B29" i="12"/>
  <c r="B31" i="12"/>
  <c r="F31" i="12"/>
  <c r="G31" i="12"/>
  <c r="D29" i="12"/>
  <c r="G29" i="12"/>
  <c r="C30" i="12"/>
  <c r="E30" i="12"/>
  <c r="F30" i="12"/>
  <c r="C29" i="12"/>
  <c r="D30" i="12"/>
  <c r="C31" i="11"/>
  <c r="G30" i="11"/>
  <c r="B31" i="11"/>
  <c r="D31" i="11"/>
  <c r="G31" i="11"/>
  <c r="B29" i="11"/>
  <c r="C29" i="11"/>
  <c r="D29" i="11"/>
  <c r="E29" i="11"/>
  <c r="F29" i="11"/>
  <c r="E30" i="11"/>
  <c r="F30" i="11"/>
  <c r="F35" i="10"/>
  <c r="D35" i="10"/>
  <c r="G31" i="10"/>
  <c r="D31" i="10"/>
  <c r="C31" i="10"/>
  <c r="E30" i="10"/>
  <c r="G28" i="10"/>
  <c r="G30" i="10" s="1"/>
  <c r="F28" i="10"/>
  <c r="F31" i="10" s="1"/>
  <c r="E28" i="10"/>
  <c r="E29" i="10" s="1"/>
  <c r="D28" i="10"/>
  <c r="D29" i="10" s="1"/>
  <c r="C28" i="10"/>
  <c r="C29" i="10" s="1"/>
  <c r="B28" i="10"/>
  <c r="B31" i="10" s="1"/>
  <c r="E31" i="10" l="1"/>
  <c r="G29" i="10"/>
  <c r="B30" i="10"/>
  <c r="F29" i="10"/>
  <c r="C30" i="10"/>
  <c r="D30" i="10"/>
  <c r="F30" i="10"/>
  <c r="B29" i="10"/>
  <c r="F35" i="9"/>
  <c r="D35" i="9"/>
  <c r="D31" i="9"/>
  <c r="C31" i="9"/>
  <c r="B31" i="9"/>
  <c r="G28" i="9"/>
  <c r="G30" i="9" s="1"/>
  <c r="F28" i="9"/>
  <c r="F31" i="9" s="1"/>
  <c r="E28" i="9"/>
  <c r="E31" i="9" s="1"/>
  <c r="D28" i="9"/>
  <c r="D30" i="9" s="1"/>
  <c r="C28" i="9"/>
  <c r="C30" i="9" s="1"/>
  <c r="B28" i="9"/>
  <c r="B29" i="9" s="1"/>
  <c r="D29" i="9" l="1"/>
  <c r="B30" i="9"/>
  <c r="C29" i="9"/>
  <c r="G31" i="9"/>
  <c r="E29" i="9"/>
  <c r="F29" i="9"/>
  <c r="G29" i="9"/>
  <c r="E30" i="9"/>
  <c r="F30" i="9"/>
  <c r="F35" i="8"/>
  <c r="D35" i="8"/>
  <c r="D31" i="8"/>
  <c r="G28" i="8"/>
  <c r="G31" i="8" s="1"/>
  <c r="F28" i="8"/>
  <c r="F31" i="8" s="1"/>
  <c r="E28" i="8"/>
  <c r="E31" i="8" s="1"/>
  <c r="D28" i="8"/>
  <c r="D30" i="8" s="1"/>
  <c r="C28" i="8"/>
  <c r="C31" i="8" s="1"/>
  <c r="B28" i="8"/>
  <c r="B31" i="8" s="1"/>
  <c r="F35" i="7"/>
  <c r="D35" i="7"/>
  <c r="G28" i="7"/>
  <c r="G31" i="7" s="1"/>
  <c r="F28" i="7"/>
  <c r="F31" i="7" s="1"/>
  <c r="E28" i="7"/>
  <c r="E31" i="7" s="1"/>
  <c r="D28" i="7"/>
  <c r="D31" i="7" s="1"/>
  <c r="C28" i="7"/>
  <c r="C31" i="7" s="1"/>
  <c r="B28" i="7"/>
  <c r="B31" i="7" s="1"/>
  <c r="F35" i="6"/>
  <c r="D35" i="6"/>
  <c r="G28" i="6"/>
  <c r="G31" i="6" s="1"/>
  <c r="F28" i="6"/>
  <c r="F31" i="6" s="1"/>
  <c r="E28" i="6"/>
  <c r="E30" i="6" s="1"/>
  <c r="D28" i="6"/>
  <c r="D31" i="6" s="1"/>
  <c r="C28" i="6"/>
  <c r="C31" i="6" s="1"/>
  <c r="B28" i="6"/>
  <c r="B31" i="6" s="1"/>
  <c r="F35" i="5"/>
  <c r="D35" i="5"/>
  <c r="G28" i="5"/>
  <c r="G31" i="5" s="1"/>
  <c r="F28" i="5"/>
  <c r="F30" i="5" s="1"/>
  <c r="E28" i="5"/>
  <c r="E31" i="5" s="1"/>
  <c r="D28" i="5"/>
  <c r="D31" i="5" s="1"/>
  <c r="C28" i="5"/>
  <c r="C31" i="5" s="1"/>
  <c r="B28" i="5"/>
  <c r="B31" i="5" s="1"/>
  <c r="D29" i="8" l="1"/>
  <c r="B29" i="8"/>
  <c r="E29" i="8"/>
  <c r="B30" i="8"/>
  <c r="C30" i="8"/>
  <c r="E30" i="8"/>
  <c r="F30" i="8"/>
  <c r="C29" i="8"/>
  <c r="F29" i="8"/>
  <c r="G29" i="8"/>
  <c r="G30" i="8"/>
  <c r="B29" i="7"/>
  <c r="B30" i="7"/>
  <c r="D29" i="6"/>
  <c r="E29" i="6"/>
  <c r="D30" i="6"/>
  <c r="E31" i="6"/>
  <c r="B30" i="6"/>
  <c r="C29" i="7"/>
  <c r="C30" i="7"/>
  <c r="E30" i="7"/>
  <c r="F30" i="7"/>
  <c r="D29" i="7"/>
  <c r="E29" i="7"/>
  <c r="F29" i="7"/>
  <c r="G29" i="7"/>
  <c r="D30" i="7"/>
  <c r="G30" i="7"/>
  <c r="C30" i="6"/>
  <c r="B29" i="6"/>
  <c r="F29" i="6"/>
  <c r="G29" i="6"/>
  <c r="F30" i="6"/>
  <c r="G30" i="6"/>
  <c r="C29" i="6"/>
  <c r="F31" i="5"/>
  <c r="C29" i="5"/>
  <c r="D29" i="5"/>
  <c r="F29" i="5"/>
  <c r="E29" i="5"/>
  <c r="G29" i="5"/>
  <c r="B30" i="5"/>
  <c r="C30" i="5"/>
  <c r="D30" i="5"/>
  <c r="B29" i="5"/>
  <c r="E30" i="5"/>
  <c r="G30" i="5"/>
  <c r="F35" i="4"/>
  <c r="D35" i="4"/>
  <c r="G28" i="4"/>
  <c r="G31" i="4" s="1"/>
  <c r="F28" i="4"/>
  <c r="F31" i="4" s="1"/>
  <c r="E28" i="4"/>
  <c r="E29" i="4" s="1"/>
  <c r="D28" i="4"/>
  <c r="D29" i="4" s="1"/>
  <c r="C28" i="4"/>
  <c r="C29" i="4" s="1"/>
  <c r="B28" i="4"/>
  <c r="B29" i="4" s="1"/>
  <c r="F35" i="3"/>
  <c r="D35" i="3"/>
  <c r="G28" i="3"/>
  <c r="G31" i="3" s="1"/>
  <c r="F28" i="3"/>
  <c r="F31" i="3" s="1"/>
  <c r="E28" i="3"/>
  <c r="E29" i="3" s="1"/>
  <c r="D28" i="3"/>
  <c r="D30" i="3" s="1"/>
  <c r="C28" i="3"/>
  <c r="C31" i="3" s="1"/>
  <c r="B28" i="3"/>
  <c r="B29" i="3" s="1"/>
  <c r="F35" i="2"/>
  <c r="D35" i="2"/>
  <c r="C31" i="2"/>
  <c r="B31" i="2"/>
  <c r="D30" i="2"/>
  <c r="C30" i="2"/>
  <c r="B30" i="2"/>
  <c r="G28" i="2"/>
  <c r="G29" i="2" s="1"/>
  <c r="F28" i="2"/>
  <c r="F29" i="2" s="1"/>
  <c r="E28" i="2"/>
  <c r="E31" i="2" s="1"/>
  <c r="D28" i="2"/>
  <c r="D29" i="2" s="1"/>
  <c r="C28" i="2"/>
  <c r="C29" i="2" s="1"/>
  <c r="B28" i="2"/>
  <c r="B29" i="2" s="1"/>
  <c r="F35" i="1"/>
  <c r="D35" i="1"/>
  <c r="G28" i="1"/>
  <c r="G31" i="1" s="1"/>
  <c r="F28" i="1"/>
  <c r="F31" i="1" s="1"/>
  <c r="E28" i="1"/>
  <c r="E31" i="1" s="1"/>
  <c r="D28" i="1"/>
  <c r="D31" i="1" s="1"/>
  <c r="C28" i="1"/>
  <c r="C31" i="1" s="1"/>
  <c r="B28" i="1"/>
  <c r="B31" i="1" s="1"/>
  <c r="B31" i="4" l="1"/>
  <c r="B30" i="4"/>
  <c r="F30" i="2"/>
  <c r="F31" i="2"/>
  <c r="G31" i="2"/>
  <c r="G30" i="2"/>
  <c r="E30" i="2"/>
  <c r="D31" i="2"/>
  <c r="E29" i="2"/>
  <c r="D30" i="4"/>
  <c r="F29" i="4"/>
  <c r="F30" i="4"/>
  <c r="G29" i="4"/>
  <c r="C30" i="4"/>
  <c r="E30" i="4"/>
  <c r="C31" i="4"/>
  <c r="G30" i="4"/>
  <c r="D31" i="4"/>
  <c r="E31" i="4"/>
  <c r="B30" i="3"/>
  <c r="C29" i="3"/>
  <c r="B31" i="3"/>
  <c r="D29" i="3"/>
  <c r="G29" i="3"/>
  <c r="C30" i="3"/>
  <c r="E30" i="3"/>
  <c r="D31" i="3"/>
  <c r="F29" i="3"/>
  <c r="G30" i="3"/>
  <c r="E31" i="3"/>
  <c r="F30" i="3"/>
  <c r="B29" i="1"/>
  <c r="C29" i="1"/>
  <c r="D29" i="1"/>
  <c r="E29" i="1"/>
  <c r="F29" i="1"/>
  <c r="G29" i="1"/>
  <c r="B30" i="1"/>
  <c r="C30" i="1"/>
  <c r="D30" i="1"/>
  <c r="E30" i="1"/>
  <c r="F30" i="1"/>
  <c r="G30" i="1"/>
</calcChain>
</file>

<file path=xl/sharedStrings.xml><?xml version="1.0" encoding="utf-8"?>
<sst xmlns="http://schemas.openxmlformats.org/spreadsheetml/2006/main" count="592" uniqueCount="37">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</sst>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70EA-4874-4974-BEA1-C3EE610A7498}">
  <dimension ref="A1:G35"/>
  <sheetViews>
    <sheetView topLeftCell="A13" workbookViewId="0">
      <selection activeCell="B33" sqref="B33:G3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408.94</v>
      </c>
      <c r="C2" s="1">
        <v>421.23</v>
      </c>
      <c r="D2" s="1">
        <v>412.36</v>
      </c>
      <c r="E2" s="1">
        <v>463.64</v>
      </c>
      <c r="F2" s="1">
        <v>429.72</v>
      </c>
      <c r="G2" s="1">
        <v>439.06</v>
      </c>
    </row>
    <row r="3" spans="1:7" x14ac:dyDescent="0.25">
      <c r="A3" s="1" t="s">
        <v>7</v>
      </c>
      <c r="B3" s="1">
        <v>43.78</v>
      </c>
      <c r="C3" s="1">
        <v>42.54</v>
      </c>
      <c r="D3" s="1">
        <v>40.69</v>
      </c>
      <c r="E3" s="1">
        <v>47.1</v>
      </c>
      <c r="F3" s="1">
        <v>47.31</v>
      </c>
      <c r="G3" s="1">
        <v>48.29</v>
      </c>
    </row>
    <row r="4" spans="1:7" x14ac:dyDescent="0.25">
      <c r="A4" s="1" t="s">
        <v>8</v>
      </c>
      <c r="B4" s="1">
        <v>18150.259999999998</v>
      </c>
      <c r="C4" s="1">
        <v>18151.47</v>
      </c>
      <c r="D4" s="1">
        <v>17056.88</v>
      </c>
      <c r="E4" s="1">
        <v>22207.98</v>
      </c>
      <c r="F4" s="1">
        <v>20665.310000000001</v>
      </c>
      <c r="G4" s="1">
        <v>21535.279999999999</v>
      </c>
    </row>
    <row r="5" spans="1:7" x14ac:dyDescent="0.25">
      <c r="A5" s="1" t="s">
        <v>9</v>
      </c>
      <c r="B5" s="1">
        <v>1457.58</v>
      </c>
      <c r="C5" s="1">
        <v>1900.87</v>
      </c>
      <c r="D5" s="1">
        <v>1143.43</v>
      </c>
      <c r="E5" s="1">
        <v>86.75</v>
      </c>
      <c r="F5" s="1">
        <v>742.14</v>
      </c>
      <c r="G5" s="1">
        <v>1749.86</v>
      </c>
    </row>
    <row r="6" spans="1:7" x14ac:dyDescent="0.25">
      <c r="A6" s="3" t="s">
        <v>10</v>
      </c>
      <c r="B6" s="3">
        <v>145.76</v>
      </c>
      <c r="C6" s="3">
        <v>192.01</v>
      </c>
      <c r="D6" s="3">
        <v>115.5</v>
      </c>
      <c r="E6" s="3">
        <v>8.76</v>
      </c>
      <c r="F6" s="3">
        <v>74.959999999999994</v>
      </c>
      <c r="G6" s="3">
        <v>178.56</v>
      </c>
    </row>
    <row r="7" spans="1:7" x14ac:dyDescent="0.25">
      <c r="A7" s="1" t="s">
        <v>11</v>
      </c>
      <c r="B7" s="1">
        <v>1290.94</v>
      </c>
      <c r="C7" s="1">
        <v>1748.27</v>
      </c>
      <c r="D7" s="1">
        <v>1091.83</v>
      </c>
      <c r="E7" s="1">
        <v>68.25</v>
      </c>
      <c r="F7" s="1">
        <v>689.74</v>
      </c>
      <c r="G7" s="1">
        <v>1669.87</v>
      </c>
    </row>
    <row r="8" spans="1:7" x14ac:dyDescent="0.25">
      <c r="A8" s="1" t="s">
        <v>12</v>
      </c>
      <c r="B8" s="1">
        <v>129.09</v>
      </c>
      <c r="C8" s="1">
        <v>176.59</v>
      </c>
      <c r="D8" s="1">
        <v>110.29</v>
      </c>
      <c r="E8" s="1">
        <v>6.89</v>
      </c>
      <c r="F8" s="1">
        <v>69.67</v>
      </c>
      <c r="G8" s="1">
        <v>170.39</v>
      </c>
    </row>
    <row r="9" spans="1:7" x14ac:dyDescent="0.25">
      <c r="A9" s="1" t="s">
        <v>13</v>
      </c>
      <c r="B9" s="1">
        <v>1283.8900000000001</v>
      </c>
      <c r="C9" s="1">
        <v>1748.27</v>
      </c>
      <c r="D9" s="1">
        <v>768.06</v>
      </c>
      <c r="E9" s="1">
        <v>13.85</v>
      </c>
      <c r="F9" s="1">
        <v>608.42999999999995</v>
      </c>
      <c r="G9" s="1">
        <v>1669.87</v>
      </c>
    </row>
    <row r="10" spans="1:7" x14ac:dyDescent="0.25">
      <c r="A10" s="1" t="s">
        <v>14</v>
      </c>
      <c r="B10" s="1">
        <v>128.38999999999999</v>
      </c>
      <c r="C10" s="1">
        <v>176.59</v>
      </c>
      <c r="D10" s="1">
        <v>77.58</v>
      </c>
      <c r="E10" s="1">
        <v>1.4</v>
      </c>
      <c r="F10" s="1">
        <v>61.46</v>
      </c>
      <c r="G10" s="1">
        <v>170.39</v>
      </c>
    </row>
    <row r="11" spans="1:7" x14ac:dyDescent="0.25">
      <c r="A11" s="1" t="s">
        <v>15</v>
      </c>
      <c r="B11" s="1">
        <v>1090.27</v>
      </c>
      <c r="C11" s="1">
        <v>1346.61</v>
      </c>
      <c r="D11" s="1">
        <v>473.26</v>
      </c>
      <c r="E11" s="1">
        <v>12.36</v>
      </c>
      <c r="F11" s="1">
        <v>534.66999999999996</v>
      </c>
      <c r="G11" s="1">
        <v>1363.6</v>
      </c>
    </row>
    <row r="12" spans="1:7" x14ac:dyDescent="0.25">
      <c r="A12" s="1" t="s">
        <v>16</v>
      </c>
      <c r="B12" s="1">
        <v>203.48</v>
      </c>
      <c r="C12" s="1">
        <v>238.5</v>
      </c>
      <c r="D12" s="1">
        <v>228.86</v>
      </c>
      <c r="E12" s="1">
        <v>217.99</v>
      </c>
      <c r="F12" s="1">
        <v>210.94</v>
      </c>
      <c r="G12" s="1">
        <v>248.09</v>
      </c>
    </row>
    <row r="13" spans="1:7" x14ac:dyDescent="0.25">
      <c r="A13" s="1" t="s">
        <v>17</v>
      </c>
      <c r="B13" s="1">
        <v>31.61</v>
      </c>
      <c r="C13" s="1">
        <v>37.97</v>
      </c>
      <c r="D13" s="1">
        <v>36.17</v>
      </c>
      <c r="E13" s="1">
        <v>45.3</v>
      </c>
      <c r="F13" s="1">
        <v>36.049999999999997</v>
      </c>
      <c r="G13" s="1">
        <v>39.85</v>
      </c>
    </row>
    <row r="14" spans="1:7" x14ac:dyDescent="0.25">
      <c r="A14" s="1" t="s">
        <v>18</v>
      </c>
      <c r="B14" s="1">
        <v>77.11</v>
      </c>
      <c r="C14" s="1">
        <v>82.34</v>
      </c>
      <c r="D14" s="1">
        <v>81.34</v>
      </c>
      <c r="E14" s="1">
        <v>52.42</v>
      </c>
      <c r="F14" s="1">
        <v>69.930000000000007</v>
      </c>
      <c r="G14" s="1">
        <v>79.09</v>
      </c>
    </row>
    <row r="15" spans="1:7" x14ac:dyDescent="0.25">
      <c r="A15" s="1" t="s">
        <v>19</v>
      </c>
      <c r="B15" s="1">
        <v>6</v>
      </c>
      <c r="C15" s="1">
        <v>10</v>
      </c>
      <c r="D15" s="1">
        <v>5</v>
      </c>
      <c r="E15" s="1">
        <v>1</v>
      </c>
      <c r="F15" s="1">
        <v>4</v>
      </c>
      <c r="G15" s="1">
        <v>10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1287.42</v>
      </c>
      <c r="C17" s="1">
        <v>1748.27</v>
      </c>
      <c r="D17" s="1">
        <v>929.94</v>
      </c>
      <c r="E17" s="1">
        <v>41.05</v>
      </c>
      <c r="F17" s="1">
        <v>649.08000000000004</v>
      </c>
      <c r="G17" s="1">
        <v>1669.87</v>
      </c>
    </row>
    <row r="18" spans="1:7" x14ac:dyDescent="0.25">
      <c r="A18" s="1" t="s">
        <v>22</v>
      </c>
      <c r="B18" s="1">
        <v>3.52</v>
      </c>
      <c r="C18" s="1">
        <v>0</v>
      </c>
      <c r="D18" s="1">
        <v>161.88</v>
      </c>
      <c r="E18" s="1">
        <v>27.2</v>
      </c>
      <c r="F18" s="1">
        <v>40.65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2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1.6</v>
      </c>
      <c r="E20" s="1">
        <v>2</v>
      </c>
      <c r="F20" s="1">
        <v>1.7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8.4</v>
      </c>
      <c r="E21" s="1">
        <v>8</v>
      </c>
      <c r="F21" s="1">
        <v>8.3000000000000007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1.7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4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8.3000000000000007</v>
      </c>
      <c r="E26" s="1">
        <v>0</v>
      </c>
      <c r="F26" s="1">
        <v>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17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40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83</v>
      </c>
      <c r="E31" s="3">
        <f t="shared" si="3"/>
        <v>0</v>
      </c>
      <c r="F31" s="3">
        <f t="shared" si="3"/>
        <v>60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140.85</v>
      </c>
      <c r="C33" s="3">
        <v>189.28</v>
      </c>
      <c r="D33" s="3">
        <v>63.75</v>
      </c>
      <c r="E33" s="3">
        <v>1.18</v>
      </c>
      <c r="F33" s="3">
        <v>57.48</v>
      </c>
      <c r="G33" s="3">
        <v>175.7</v>
      </c>
    </row>
    <row r="35" spans="1:7" x14ac:dyDescent="0.25">
      <c r="A35" s="3" t="s">
        <v>36</v>
      </c>
      <c r="B35" s="3"/>
      <c r="C35" s="3"/>
      <c r="D35" s="3">
        <f>D33-C33</f>
        <v>-125.53</v>
      </c>
      <c r="E35" s="3"/>
      <c r="F35" s="3">
        <f>F33-E33</f>
        <v>56.3</v>
      </c>
      <c r="G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7E0F-4078-4E99-81C6-E15BFA8B983D}">
  <dimension ref="A1:G35"/>
  <sheetViews>
    <sheetView topLeftCell="A10" workbookViewId="0">
      <selection activeCell="B33" sqref="B33:G3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381.94</v>
      </c>
      <c r="C2" s="1">
        <v>400.96</v>
      </c>
      <c r="D2" s="1">
        <v>426.14</v>
      </c>
      <c r="E2" s="1">
        <v>362.43</v>
      </c>
      <c r="F2" s="1">
        <v>396.37</v>
      </c>
      <c r="G2" s="1">
        <v>389.41</v>
      </c>
    </row>
    <row r="3" spans="1:7" x14ac:dyDescent="0.25">
      <c r="A3" s="1" t="s">
        <v>7</v>
      </c>
      <c r="B3" s="1">
        <v>35.57</v>
      </c>
      <c r="C3" s="1">
        <v>37.270000000000003</v>
      </c>
      <c r="D3" s="1">
        <v>42.58</v>
      </c>
      <c r="E3" s="1">
        <v>41.03</v>
      </c>
      <c r="F3" s="1">
        <v>41.03</v>
      </c>
      <c r="G3" s="1">
        <v>37.64</v>
      </c>
    </row>
    <row r="4" spans="1:7" x14ac:dyDescent="0.25">
      <c r="A4" s="1" t="s">
        <v>8</v>
      </c>
      <c r="B4" s="1">
        <v>13789.7</v>
      </c>
      <c r="C4" s="1">
        <v>15143.53</v>
      </c>
      <c r="D4" s="1">
        <v>18398.41</v>
      </c>
      <c r="E4" s="1">
        <v>15121.06</v>
      </c>
      <c r="F4" s="1">
        <v>16524.87</v>
      </c>
      <c r="G4" s="1">
        <v>14894.94</v>
      </c>
    </row>
    <row r="5" spans="1:7" x14ac:dyDescent="0.25">
      <c r="A5" s="1" t="s">
        <v>9</v>
      </c>
      <c r="B5" s="1">
        <v>1877.58</v>
      </c>
      <c r="C5" s="1">
        <v>2049.7800000000002</v>
      </c>
      <c r="D5" s="1">
        <v>675</v>
      </c>
      <c r="E5" s="1">
        <v>106.64</v>
      </c>
      <c r="F5" s="1">
        <v>285.8</v>
      </c>
      <c r="G5" s="1">
        <v>991.8</v>
      </c>
    </row>
    <row r="6" spans="1:7" x14ac:dyDescent="0.25">
      <c r="A6" s="3" t="s">
        <v>10</v>
      </c>
      <c r="B6" s="3">
        <v>187.76</v>
      </c>
      <c r="C6" s="3">
        <v>207.05</v>
      </c>
      <c r="D6" s="3">
        <v>68.180000000000007</v>
      </c>
      <c r="E6" s="3">
        <v>10.77</v>
      </c>
      <c r="F6" s="3">
        <v>28.87</v>
      </c>
      <c r="G6" s="3">
        <v>101.2</v>
      </c>
    </row>
    <row r="7" spans="1:7" x14ac:dyDescent="0.25">
      <c r="A7" s="1" t="s">
        <v>11</v>
      </c>
      <c r="B7" s="1">
        <v>1774.58</v>
      </c>
      <c r="C7" s="1">
        <v>1935.94</v>
      </c>
      <c r="D7" s="1">
        <v>660.37</v>
      </c>
      <c r="E7" s="1">
        <v>98.21</v>
      </c>
      <c r="F7" s="1">
        <v>276.79000000000002</v>
      </c>
      <c r="G7" s="1">
        <v>920.47</v>
      </c>
    </row>
    <row r="8" spans="1:7" x14ac:dyDescent="0.25">
      <c r="A8" s="1" t="s">
        <v>12</v>
      </c>
      <c r="B8" s="1">
        <v>177.46</v>
      </c>
      <c r="C8" s="1">
        <v>195.55</v>
      </c>
      <c r="D8" s="1">
        <v>66.7</v>
      </c>
      <c r="E8" s="1">
        <v>9.92</v>
      </c>
      <c r="F8" s="1">
        <v>27.96</v>
      </c>
      <c r="G8" s="1">
        <v>93.93</v>
      </c>
    </row>
    <row r="9" spans="1:7" x14ac:dyDescent="0.25">
      <c r="A9" s="1" t="s">
        <v>13</v>
      </c>
      <c r="B9" s="1">
        <v>1774.58</v>
      </c>
      <c r="C9" s="1">
        <v>1935.94</v>
      </c>
      <c r="D9" s="1">
        <v>584.44000000000005</v>
      </c>
      <c r="E9" s="1">
        <v>23.06</v>
      </c>
      <c r="F9" s="1">
        <v>97.7</v>
      </c>
      <c r="G9" s="1">
        <v>911.75</v>
      </c>
    </row>
    <row r="10" spans="1:7" x14ac:dyDescent="0.25">
      <c r="A10" s="1" t="s">
        <v>14</v>
      </c>
      <c r="B10" s="1">
        <v>177.46</v>
      </c>
      <c r="C10" s="1">
        <v>195.55</v>
      </c>
      <c r="D10" s="1">
        <v>59.03</v>
      </c>
      <c r="E10" s="1">
        <v>2.33</v>
      </c>
      <c r="F10" s="1">
        <v>9.8699999999999992</v>
      </c>
      <c r="G10" s="1">
        <v>93.04</v>
      </c>
    </row>
    <row r="11" spans="1:7" x14ac:dyDescent="0.25">
      <c r="A11" s="1" t="s">
        <v>15</v>
      </c>
      <c r="B11" s="1">
        <v>1507.14</v>
      </c>
      <c r="C11" s="1">
        <v>1607.4</v>
      </c>
      <c r="D11" s="1">
        <v>460.49</v>
      </c>
      <c r="E11" s="1">
        <v>18.559999999999999</v>
      </c>
      <c r="F11" s="1">
        <v>51.61</v>
      </c>
      <c r="G11" s="1">
        <v>722.84</v>
      </c>
    </row>
    <row r="12" spans="1:7" x14ac:dyDescent="0.25">
      <c r="A12" s="1" t="s">
        <v>16</v>
      </c>
      <c r="B12" s="1">
        <v>218.12</v>
      </c>
      <c r="C12" s="1">
        <v>229.22</v>
      </c>
      <c r="D12" s="1">
        <v>205.48</v>
      </c>
      <c r="E12" s="1">
        <v>209.3</v>
      </c>
      <c r="F12" s="1">
        <v>227.79</v>
      </c>
      <c r="G12" s="1">
        <v>226.46</v>
      </c>
    </row>
    <row r="13" spans="1:7" x14ac:dyDescent="0.25">
      <c r="A13" s="1" t="s">
        <v>17</v>
      </c>
      <c r="B13" s="1">
        <v>29.22</v>
      </c>
      <c r="C13" s="1">
        <v>37.549999999999997</v>
      </c>
      <c r="D13" s="1">
        <v>38.64</v>
      </c>
      <c r="E13" s="1">
        <v>11.11</v>
      </c>
      <c r="F13" s="1">
        <v>8.5500000000000007</v>
      </c>
      <c r="G13" s="1">
        <v>32.909999999999997</v>
      </c>
    </row>
    <row r="14" spans="1:7" x14ac:dyDescent="0.25">
      <c r="A14" s="1" t="s">
        <v>18</v>
      </c>
      <c r="B14" s="1">
        <v>60.17</v>
      </c>
      <c r="C14" s="1">
        <v>75.05</v>
      </c>
      <c r="D14" s="1">
        <v>76.209999999999994</v>
      </c>
      <c r="E14" s="1">
        <v>14.59</v>
      </c>
      <c r="F14" s="1">
        <v>29.71</v>
      </c>
      <c r="G14" s="1">
        <v>69.42</v>
      </c>
    </row>
    <row r="15" spans="1:7" x14ac:dyDescent="0.25">
      <c r="A15" s="1" t="s">
        <v>19</v>
      </c>
      <c r="B15" s="1">
        <v>9</v>
      </c>
      <c r="C15" s="1">
        <v>11</v>
      </c>
      <c r="D15" s="1">
        <v>3</v>
      </c>
      <c r="E15" s="1">
        <v>0</v>
      </c>
      <c r="F15" s="1">
        <v>3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1774.58</v>
      </c>
      <c r="C17" s="1">
        <v>1935.94</v>
      </c>
      <c r="D17" s="1">
        <v>622.41</v>
      </c>
      <c r="E17" s="1">
        <v>60.63</v>
      </c>
      <c r="F17" s="1">
        <v>187.25</v>
      </c>
      <c r="G17" s="1">
        <v>916.11</v>
      </c>
    </row>
    <row r="18" spans="1:7" x14ac:dyDescent="0.25">
      <c r="A18" s="1" t="s">
        <v>22</v>
      </c>
      <c r="B18" s="1">
        <v>0</v>
      </c>
      <c r="C18" s="1">
        <v>0</v>
      </c>
      <c r="D18" s="1">
        <v>37.96</v>
      </c>
      <c r="E18" s="1">
        <v>37.58</v>
      </c>
      <c r="F18" s="1">
        <v>89.55</v>
      </c>
      <c r="G18" s="1">
        <v>4.3600000000000003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4.5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5.5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2.2000000000000002</v>
      </c>
      <c r="E25" s="1">
        <v>10</v>
      </c>
      <c r="F25" s="1">
        <v>8.9</v>
      </c>
      <c r="G25" s="1">
        <v>2.7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7.8</v>
      </c>
      <c r="E26" s="1">
        <v>0</v>
      </c>
      <c r="F26" s="1">
        <v>1.1000000000000001</v>
      </c>
      <c r="G26" s="1">
        <v>7.2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22.000000000000004</v>
      </c>
      <c r="E30" s="3">
        <f t="shared" si="2"/>
        <v>100</v>
      </c>
      <c r="F30" s="3">
        <f t="shared" si="2"/>
        <v>89</v>
      </c>
      <c r="G30" s="3">
        <f t="shared" si="2"/>
        <v>27.272727272727277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78</v>
      </c>
      <c r="E31" s="3">
        <f t="shared" si="3"/>
        <v>0</v>
      </c>
      <c r="F31" s="3">
        <f t="shared" si="3"/>
        <v>11.000000000000002</v>
      </c>
      <c r="G31" s="3">
        <f t="shared" si="3"/>
        <v>72.727272727272734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180.23</v>
      </c>
      <c r="C33" s="3">
        <v>205.78</v>
      </c>
      <c r="D33" s="3">
        <v>58.93</v>
      </c>
      <c r="E33" s="3">
        <v>1.57</v>
      </c>
      <c r="F33" s="3">
        <v>4.74</v>
      </c>
      <c r="G33" s="3">
        <v>96.46</v>
      </c>
    </row>
    <row r="35" spans="1:7" x14ac:dyDescent="0.25">
      <c r="A35" s="3" t="s">
        <v>36</v>
      </c>
      <c r="B35" s="3"/>
      <c r="C35" s="3"/>
      <c r="D35" s="3">
        <f>D33-C33</f>
        <v>-146.85</v>
      </c>
      <c r="E35" s="3"/>
      <c r="F35" s="3">
        <f>F33-E33</f>
        <v>3.17</v>
      </c>
      <c r="G3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35BB-5D2C-4E0A-AC30-017BF6200A14}">
  <dimension ref="A1:G35"/>
  <sheetViews>
    <sheetView topLeftCell="A10" workbookViewId="0">
      <selection activeCell="B33" sqref="B33:G3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335.35</v>
      </c>
      <c r="C2" s="1">
        <v>346.8</v>
      </c>
      <c r="D2" s="1">
        <v>353.33</v>
      </c>
      <c r="E2" s="1">
        <v>364.92</v>
      </c>
      <c r="F2" s="1">
        <v>333.97</v>
      </c>
      <c r="G2" s="1">
        <v>330.42</v>
      </c>
    </row>
    <row r="3" spans="1:7" x14ac:dyDescent="0.25">
      <c r="A3" s="1" t="s">
        <v>7</v>
      </c>
      <c r="B3" s="1">
        <v>40.29</v>
      </c>
      <c r="C3" s="1">
        <v>41.32</v>
      </c>
      <c r="D3" s="1">
        <v>40.42</v>
      </c>
      <c r="E3" s="1">
        <v>40.5</v>
      </c>
      <c r="F3" s="1">
        <v>38.11</v>
      </c>
      <c r="G3" s="1">
        <v>39.51</v>
      </c>
    </row>
    <row r="4" spans="1:7" x14ac:dyDescent="0.25">
      <c r="A4" s="1" t="s">
        <v>8</v>
      </c>
      <c r="B4" s="1">
        <v>13745.33</v>
      </c>
      <c r="C4" s="1">
        <v>14573.01</v>
      </c>
      <c r="D4" s="1">
        <v>14528.93</v>
      </c>
      <c r="E4" s="1">
        <v>15023.37</v>
      </c>
      <c r="F4" s="1">
        <v>12960.63</v>
      </c>
      <c r="G4" s="1">
        <v>13313.11</v>
      </c>
    </row>
    <row r="5" spans="1:7" x14ac:dyDescent="0.25">
      <c r="A5" s="1" t="s">
        <v>9</v>
      </c>
      <c r="B5" s="1">
        <v>1503</v>
      </c>
      <c r="C5" s="1">
        <v>1523.61</v>
      </c>
      <c r="D5" s="1">
        <v>1569.89</v>
      </c>
      <c r="E5" s="1">
        <v>737.72</v>
      </c>
      <c r="F5" s="1">
        <v>566.27</v>
      </c>
      <c r="G5" s="1">
        <v>1737.27</v>
      </c>
    </row>
    <row r="6" spans="1:7" x14ac:dyDescent="0.25">
      <c r="A6" s="3" t="s">
        <v>10</v>
      </c>
      <c r="B6" s="3">
        <v>150.30000000000001</v>
      </c>
      <c r="C6" s="3">
        <v>153.9</v>
      </c>
      <c r="D6" s="3">
        <v>158.57</v>
      </c>
      <c r="E6" s="3">
        <v>74.52</v>
      </c>
      <c r="F6" s="3">
        <v>57.2</v>
      </c>
      <c r="G6" s="3">
        <v>177.27</v>
      </c>
    </row>
    <row r="7" spans="1:7" x14ac:dyDescent="0.25">
      <c r="A7" s="1" t="s">
        <v>11</v>
      </c>
      <c r="B7" s="1">
        <v>1383.26</v>
      </c>
      <c r="C7" s="1">
        <v>1424.88</v>
      </c>
      <c r="D7" s="1">
        <v>1493.01</v>
      </c>
      <c r="E7" s="1">
        <v>724.67</v>
      </c>
      <c r="F7" s="1">
        <v>553.72</v>
      </c>
      <c r="G7" s="1">
        <v>1617.54</v>
      </c>
    </row>
    <row r="8" spans="1:7" x14ac:dyDescent="0.25">
      <c r="A8" s="1" t="s">
        <v>12</v>
      </c>
      <c r="B8" s="1">
        <v>138.33000000000001</v>
      </c>
      <c r="C8" s="1">
        <v>143.93</v>
      </c>
      <c r="D8" s="1">
        <v>150.81</v>
      </c>
      <c r="E8" s="1">
        <v>73.2</v>
      </c>
      <c r="F8" s="1">
        <v>55.93</v>
      </c>
      <c r="G8" s="1">
        <v>165.05</v>
      </c>
    </row>
    <row r="9" spans="1:7" x14ac:dyDescent="0.25">
      <c r="A9" s="1" t="s">
        <v>13</v>
      </c>
      <c r="B9" s="1">
        <v>1108.52</v>
      </c>
      <c r="C9" s="1">
        <v>1424.88</v>
      </c>
      <c r="D9" s="1">
        <v>1114.23</v>
      </c>
      <c r="E9" s="1">
        <v>717.09</v>
      </c>
      <c r="F9" s="1">
        <v>-440.59</v>
      </c>
      <c r="G9" s="1">
        <v>1617.54</v>
      </c>
    </row>
    <row r="10" spans="1:7" x14ac:dyDescent="0.25">
      <c r="A10" s="1" t="s">
        <v>14</v>
      </c>
      <c r="B10" s="1">
        <v>110.85</v>
      </c>
      <c r="C10" s="1">
        <v>143.93</v>
      </c>
      <c r="D10" s="1">
        <v>112.55</v>
      </c>
      <c r="E10" s="1">
        <v>72.430000000000007</v>
      </c>
      <c r="F10" s="1">
        <v>-44.5</v>
      </c>
      <c r="G10" s="1">
        <v>165.05</v>
      </c>
    </row>
    <row r="11" spans="1:7" x14ac:dyDescent="0.25">
      <c r="A11" s="1" t="s">
        <v>15</v>
      </c>
      <c r="B11" s="1">
        <v>881.54</v>
      </c>
      <c r="C11" s="1">
        <v>1102.67</v>
      </c>
      <c r="D11" s="1">
        <v>795.01</v>
      </c>
      <c r="E11" s="1">
        <v>649.5</v>
      </c>
      <c r="F11" s="1">
        <v>313.81</v>
      </c>
      <c r="G11" s="1">
        <v>1519.74</v>
      </c>
    </row>
    <row r="12" spans="1:7" x14ac:dyDescent="0.25">
      <c r="A12" s="1" t="s">
        <v>16</v>
      </c>
      <c r="B12" s="1">
        <v>175.78</v>
      </c>
      <c r="C12" s="1">
        <v>196.22</v>
      </c>
      <c r="D12" s="1">
        <v>192.93</v>
      </c>
      <c r="E12" s="1">
        <v>213.8</v>
      </c>
      <c r="F12" s="1">
        <v>185.39</v>
      </c>
      <c r="G12" s="1">
        <v>182.79</v>
      </c>
    </row>
    <row r="13" spans="1:7" x14ac:dyDescent="0.25">
      <c r="A13" s="1" t="s">
        <v>17</v>
      </c>
      <c r="B13" s="1">
        <v>35.630000000000003</v>
      </c>
      <c r="C13" s="1">
        <v>28.41</v>
      </c>
      <c r="D13" s="1">
        <v>30.79</v>
      </c>
      <c r="E13" s="1">
        <v>22.45</v>
      </c>
      <c r="F13" s="1">
        <v>25.9</v>
      </c>
      <c r="G13" s="1">
        <v>23.58</v>
      </c>
    </row>
    <row r="14" spans="1:7" x14ac:dyDescent="0.25">
      <c r="A14" s="1" t="s">
        <v>18</v>
      </c>
      <c r="B14" s="1">
        <v>61.54</v>
      </c>
      <c r="C14" s="1">
        <v>64.92</v>
      </c>
      <c r="D14" s="1">
        <v>54.84</v>
      </c>
      <c r="E14" s="1">
        <v>43.53</v>
      </c>
      <c r="F14" s="1">
        <v>48.67</v>
      </c>
      <c r="G14" s="1">
        <v>48.43</v>
      </c>
    </row>
    <row r="15" spans="1:7" x14ac:dyDescent="0.25">
      <c r="A15" s="1" t="s">
        <v>19</v>
      </c>
      <c r="B15" s="1">
        <v>7</v>
      </c>
      <c r="C15" s="1">
        <v>9</v>
      </c>
      <c r="D15" s="1">
        <v>8</v>
      </c>
      <c r="E15" s="1">
        <v>5</v>
      </c>
      <c r="F15" s="1">
        <v>5</v>
      </c>
      <c r="G15" s="1">
        <v>10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1245.8900000000001</v>
      </c>
      <c r="C17" s="1">
        <v>1424.88</v>
      </c>
      <c r="D17" s="1">
        <v>1303.6199999999999</v>
      </c>
      <c r="E17" s="1">
        <v>720.88</v>
      </c>
      <c r="F17" s="1">
        <v>56.56</v>
      </c>
      <c r="G17" s="1">
        <v>1617.54</v>
      </c>
    </row>
    <row r="18" spans="1:7" x14ac:dyDescent="0.25">
      <c r="A18" s="1" t="s">
        <v>22</v>
      </c>
      <c r="B18" s="1">
        <v>137.37</v>
      </c>
      <c r="C18" s="1">
        <v>0</v>
      </c>
      <c r="D18" s="1">
        <v>189.39</v>
      </c>
      <c r="E18" s="1">
        <v>3.79</v>
      </c>
      <c r="F18" s="1">
        <v>497.16</v>
      </c>
      <c r="G18" s="1">
        <v>0</v>
      </c>
    </row>
    <row r="19" spans="1:7" x14ac:dyDescent="0.25">
      <c r="A19" s="1" t="s">
        <v>23</v>
      </c>
      <c r="B19" s="1">
        <v>1</v>
      </c>
      <c r="C19" s="1">
        <v>0</v>
      </c>
      <c r="D19" s="1">
        <v>1</v>
      </c>
      <c r="E19" s="1">
        <v>0</v>
      </c>
      <c r="F19" s="1">
        <v>3</v>
      </c>
      <c r="G19" s="1">
        <v>0</v>
      </c>
    </row>
    <row r="20" spans="1:7" x14ac:dyDescent="0.25">
      <c r="A20" s="1" t="s">
        <v>24</v>
      </c>
      <c r="B20" s="1">
        <v>1.9</v>
      </c>
      <c r="C20" s="1">
        <v>0</v>
      </c>
      <c r="D20" s="1">
        <v>2.7</v>
      </c>
      <c r="E20" s="1">
        <v>0</v>
      </c>
      <c r="F20" s="1">
        <v>8.1</v>
      </c>
      <c r="G20" s="1">
        <v>0</v>
      </c>
    </row>
    <row r="21" spans="1:7" x14ac:dyDescent="0.25">
      <c r="A21" s="1" t="s">
        <v>25</v>
      </c>
      <c r="B21" s="1">
        <v>8.1999999999999993</v>
      </c>
      <c r="C21" s="1">
        <v>10</v>
      </c>
      <c r="D21" s="1">
        <v>7.3</v>
      </c>
      <c r="E21" s="1">
        <v>10</v>
      </c>
      <c r="F21" s="1">
        <v>1.9</v>
      </c>
      <c r="G21" s="1">
        <v>9.9</v>
      </c>
    </row>
    <row r="22" spans="1:7" x14ac:dyDescent="0.25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1.7</v>
      </c>
      <c r="C24" s="1">
        <v>0</v>
      </c>
      <c r="D24" s="1">
        <v>2.8</v>
      </c>
      <c r="E24" s="1">
        <v>0</v>
      </c>
      <c r="F24" s="1">
        <v>7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3</v>
      </c>
      <c r="G25" s="1">
        <v>0</v>
      </c>
    </row>
    <row r="26" spans="1:7" x14ac:dyDescent="0.25">
      <c r="A26" s="1" t="s">
        <v>30</v>
      </c>
      <c r="B26" s="1">
        <v>8.4</v>
      </c>
      <c r="C26" s="1">
        <v>10</v>
      </c>
      <c r="D26" s="1">
        <v>7.2</v>
      </c>
      <c r="E26" s="1">
        <v>10</v>
      </c>
      <c r="F26" s="1">
        <v>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16.831683168316832</v>
      </c>
      <c r="C29" s="3">
        <f t="shared" ref="C29:G29" si="1">C24/C28*100</f>
        <v>0</v>
      </c>
      <c r="D29" s="3">
        <f t="shared" si="1"/>
        <v>27.999999999999996</v>
      </c>
      <c r="E29" s="3">
        <f t="shared" si="1"/>
        <v>0</v>
      </c>
      <c r="F29" s="3">
        <f t="shared" si="1"/>
        <v>70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30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83.168316831683171</v>
      </c>
      <c r="C31" s="3">
        <f t="shared" ref="C31:G31" si="3">C26/C28*100</f>
        <v>100</v>
      </c>
      <c r="D31" s="3">
        <f t="shared" si="3"/>
        <v>72</v>
      </c>
      <c r="E31" s="3">
        <f t="shared" si="3"/>
        <v>100</v>
      </c>
      <c r="F31" s="3">
        <f t="shared" si="3"/>
        <v>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111.96</v>
      </c>
      <c r="C33" s="3">
        <v>151.71</v>
      </c>
      <c r="D33" s="3">
        <v>93.35</v>
      </c>
      <c r="E33" s="3">
        <v>73.989999999999995</v>
      </c>
      <c r="F33" s="3">
        <v>-39.39</v>
      </c>
      <c r="G33" s="3">
        <v>176.78</v>
      </c>
    </row>
    <row r="35" spans="1:7" x14ac:dyDescent="0.25">
      <c r="A35" s="3" t="s">
        <v>36</v>
      </c>
      <c r="B35" s="3"/>
      <c r="C35" s="3"/>
      <c r="D35" s="3">
        <f>D33-C33</f>
        <v>-58.360000000000014</v>
      </c>
      <c r="E35" s="3"/>
      <c r="F35" s="3">
        <f>F33-E33</f>
        <v>-113.38</v>
      </c>
      <c r="G3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6144-7E3B-4018-95C1-AFD4D608E026}">
  <dimension ref="A1:G35"/>
  <sheetViews>
    <sheetView topLeftCell="A10" workbookViewId="0">
      <selection activeCell="B33" sqref="B33:G3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328.13</v>
      </c>
      <c r="C2" s="1">
        <v>372.58</v>
      </c>
      <c r="D2" s="1">
        <v>370.73</v>
      </c>
      <c r="E2" s="1">
        <v>344.46</v>
      </c>
      <c r="F2" s="1">
        <v>322.10000000000002</v>
      </c>
      <c r="G2" s="1">
        <v>359.59</v>
      </c>
    </row>
    <row r="3" spans="1:7" x14ac:dyDescent="0.25">
      <c r="A3" s="1" t="s">
        <v>7</v>
      </c>
      <c r="B3" s="1">
        <v>36.700000000000003</v>
      </c>
      <c r="C3" s="1">
        <v>40.94</v>
      </c>
      <c r="D3" s="1">
        <v>41.8</v>
      </c>
      <c r="E3" s="1">
        <v>41.34</v>
      </c>
      <c r="F3" s="1">
        <v>41.41</v>
      </c>
      <c r="G3" s="1">
        <v>41.4</v>
      </c>
    </row>
    <row r="4" spans="1:7" x14ac:dyDescent="0.25">
      <c r="A4" s="1" t="s">
        <v>8</v>
      </c>
      <c r="B4" s="1">
        <v>12213.59</v>
      </c>
      <c r="C4" s="1">
        <v>15510.45</v>
      </c>
      <c r="D4" s="1">
        <v>15781.35</v>
      </c>
      <c r="E4" s="1">
        <v>14508.06</v>
      </c>
      <c r="F4" s="1">
        <v>13597.26</v>
      </c>
      <c r="G4" s="1">
        <v>15157.96</v>
      </c>
    </row>
    <row r="5" spans="1:7" x14ac:dyDescent="0.25">
      <c r="A5" s="1" t="s">
        <v>9</v>
      </c>
      <c r="B5" s="1">
        <v>1448.97</v>
      </c>
      <c r="C5" s="1">
        <v>1854.19</v>
      </c>
      <c r="D5" s="1">
        <v>1701.22</v>
      </c>
      <c r="E5" s="1">
        <v>563.99</v>
      </c>
      <c r="F5" s="1">
        <v>477.66</v>
      </c>
      <c r="G5" s="1">
        <v>1300.0999999999999</v>
      </c>
    </row>
    <row r="6" spans="1:7" x14ac:dyDescent="0.25">
      <c r="A6" s="3" t="s">
        <v>10</v>
      </c>
      <c r="B6" s="3">
        <v>144.9</v>
      </c>
      <c r="C6" s="3">
        <v>187.29</v>
      </c>
      <c r="D6" s="3">
        <v>171.84</v>
      </c>
      <c r="E6" s="3">
        <v>56.97</v>
      </c>
      <c r="F6" s="3">
        <v>48.25</v>
      </c>
      <c r="G6" s="3">
        <v>132.66</v>
      </c>
    </row>
    <row r="7" spans="1:7" x14ac:dyDescent="0.25">
      <c r="A7" s="1" t="s">
        <v>11</v>
      </c>
      <c r="B7" s="1">
        <v>1374.94</v>
      </c>
      <c r="C7" s="1">
        <v>1771.09</v>
      </c>
      <c r="D7" s="1">
        <v>1600.72</v>
      </c>
      <c r="E7" s="1">
        <v>544.21</v>
      </c>
      <c r="F7" s="1">
        <v>453.87</v>
      </c>
      <c r="G7" s="1">
        <v>1262.82</v>
      </c>
    </row>
    <row r="8" spans="1:7" x14ac:dyDescent="0.25">
      <c r="A8" s="1" t="s">
        <v>12</v>
      </c>
      <c r="B8" s="1">
        <v>137.49</v>
      </c>
      <c r="C8" s="1">
        <v>178.9</v>
      </c>
      <c r="D8" s="1">
        <v>161.69</v>
      </c>
      <c r="E8" s="1">
        <v>54.97</v>
      </c>
      <c r="F8" s="1">
        <v>45.85</v>
      </c>
      <c r="G8" s="1">
        <v>128.86000000000001</v>
      </c>
    </row>
    <row r="9" spans="1:7" x14ac:dyDescent="0.25">
      <c r="A9" s="1" t="s">
        <v>13</v>
      </c>
      <c r="B9" s="1">
        <v>1374.94</v>
      </c>
      <c r="C9" s="1">
        <v>1771.09</v>
      </c>
      <c r="D9" s="1">
        <v>1599.05</v>
      </c>
      <c r="E9" s="1">
        <v>534.04</v>
      </c>
      <c r="F9" s="1">
        <v>-262.58</v>
      </c>
      <c r="G9" s="1">
        <v>1262.82</v>
      </c>
    </row>
    <row r="10" spans="1:7" x14ac:dyDescent="0.25">
      <c r="A10" s="1" t="s">
        <v>14</v>
      </c>
      <c r="B10" s="1">
        <v>137.49</v>
      </c>
      <c r="C10" s="1">
        <v>178.9</v>
      </c>
      <c r="D10" s="1">
        <v>161.52000000000001</v>
      </c>
      <c r="E10" s="1">
        <v>53.94</v>
      </c>
      <c r="F10" s="1">
        <v>-26.52</v>
      </c>
      <c r="G10" s="1">
        <v>128.86000000000001</v>
      </c>
    </row>
    <row r="11" spans="1:7" x14ac:dyDescent="0.25">
      <c r="A11" s="1" t="s">
        <v>15</v>
      </c>
      <c r="B11" s="1">
        <v>1158.23</v>
      </c>
      <c r="C11" s="1">
        <v>1604.23</v>
      </c>
      <c r="D11" s="1">
        <v>1460.8</v>
      </c>
      <c r="E11" s="1">
        <v>500.35</v>
      </c>
      <c r="F11" s="1">
        <v>199.6</v>
      </c>
      <c r="G11" s="1">
        <v>1018.2</v>
      </c>
    </row>
    <row r="12" spans="1:7" x14ac:dyDescent="0.25">
      <c r="A12" s="1" t="s">
        <v>16</v>
      </c>
      <c r="B12" s="1">
        <v>196.3</v>
      </c>
      <c r="C12" s="1">
        <v>206.73</v>
      </c>
      <c r="D12" s="1">
        <v>197.58</v>
      </c>
      <c r="E12" s="1">
        <v>176.87</v>
      </c>
      <c r="F12" s="1">
        <v>138.91999999999999</v>
      </c>
      <c r="G12" s="1">
        <v>184.18</v>
      </c>
    </row>
    <row r="13" spans="1:7" x14ac:dyDescent="0.25">
      <c r="A13" s="1" t="s">
        <v>17</v>
      </c>
      <c r="B13" s="1">
        <v>29.31</v>
      </c>
      <c r="C13" s="1">
        <v>26.91</v>
      </c>
      <c r="D13" s="1">
        <v>27.25</v>
      </c>
      <c r="E13" s="1">
        <v>17.79</v>
      </c>
      <c r="F13" s="1">
        <v>24.82</v>
      </c>
      <c r="G13" s="1">
        <v>25.58</v>
      </c>
    </row>
    <row r="14" spans="1:7" x14ac:dyDescent="0.25">
      <c r="A14" s="1" t="s">
        <v>18</v>
      </c>
      <c r="B14" s="1">
        <v>53.65</v>
      </c>
      <c r="C14" s="1">
        <v>55.3</v>
      </c>
      <c r="D14" s="1">
        <v>57.13</v>
      </c>
      <c r="E14" s="1">
        <v>37.76</v>
      </c>
      <c r="F14" s="1">
        <v>53.86</v>
      </c>
      <c r="G14" s="1">
        <v>57.87</v>
      </c>
    </row>
    <row r="15" spans="1:7" x14ac:dyDescent="0.25">
      <c r="A15" s="1" t="s">
        <v>19</v>
      </c>
      <c r="B15" s="1">
        <v>10</v>
      </c>
      <c r="C15" s="1">
        <v>10</v>
      </c>
      <c r="D15" s="1">
        <v>10</v>
      </c>
      <c r="E15" s="1">
        <v>3</v>
      </c>
      <c r="F15" s="1">
        <v>3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1374.94</v>
      </c>
      <c r="C17" s="1">
        <v>1771.09</v>
      </c>
      <c r="D17" s="1">
        <v>1599.88</v>
      </c>
      <c r="E17" s="1">
        <v>539.13</v>
      </c>
      <c r="F17" s="1">
        <v>95.65</v>
      </c>
      <c r="G17" s="1">
        <v>1262.82</v>
      </c>
    </row>
    <row r="18" spans="1:7" x14ac:dyDescent="0.25">
      <c r="A18" s="1" t="s">
        <v>22</v>
      </c>
      <c r="B18" s="1">
        <v>0</v>
      </c>
      <c r="C18" s="1">
        <v>0</v>
      </c>
      <c r="D18" s="1">
        <v>0.84</v>
      </c>
      <c r="E18" s="1">
        <v>5.08</v>
      </c>
      <c r="F18" s="1">
        <v>358.23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8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2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3.3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2.4</v>
      </c>
      <c r="F25" s="1">
        <v>6.7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7.6</v>
      </c>
      <c r="F26" s="1">
        <v>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32.999999999999993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24</v>
      </c>
      <c r="F30" s="3">
        <f t="shared" si="2"/>
        <v>67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76</v>
      </c>
      <c r="F31" s="3">
        <f t="shared" si="3"/>
        <v>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142.86000000000001</v>
      </c>
      <c r="C33" s="3">
        <v>184.31</v>
      </c>
      <c r="D33" s="3">
        <v>169.73</v>
      </c>
      <c r="E33" s="3">
        <v>58.29</v>
      </c>
      <c r="F33" s="3">
        <v>-23.88</v>
      </c>
      <c r="G33" s="3">
        <v>130.75</v>
      </c>
    </row>
    <row r="35" spans="1:7" x14ac:dyDescent="0.25">
      <c r="A35" s="3" t="s">
        <v>36</v>
      </c>
      <c r="B35" s="3"/>
      <c r="C35" s="3"/>
      <c r="D35" s="3">
        <f>D33-C33</f>
        <v>-14.580000000000013</v>
      </c>
      <c r="E35" s="3"/>
      <c r="F35" s="3">
        <f>F33-E33</f>
        <v>-82.17</v>
      </c>
      <c r="G3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59D2-7D97-48BD-88FA-7EE83C255064}">
  <dimension ref="A1:G35"/>
  <sheetViews>
    <sheetView topLeftCell="A7" workbookViewId="0">
      <selection activeCell="B33" sqref="B33:G3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221.46</v>
      </c>
      <c r="C2" s="1">
        <v>271.27</v>
      </c>
      <c r="D2" s="1">
        <v>257.91000000000003</v>
      </c>
      <c r="E2" s="1">
        <v>295.20999999999998</v>
      </c>
      <c r="F2" s="1">
        <v>313.85000000000002</v>
      </c>
      <c r="G2" s="1">
        <v>215.19</v>
      </c>
    </row>
    <row r="3" spans="1:7" x14ac:dyDescent="0.25">
      <c r="A3" s="1" t="s">
        <v>7</v>
      </c>
      <c r="B3" s="1">
        <v>27.82</v>
      </c>
      <c r="C3" s="1">
        <v>30.38</v>
      </c>
      <c r="D3" s="1">
        <v>30.8</v>
      </c>
      <c r="E3" s="1">
        <v>34.28</v>
      </c>
      <c r="F3" s="1">
        <v>34.96</v>
      </c>
      <c r="G3" s="1">
        <v>28.02</v>
      </c>
    </row>
    <row r="4" spans="1:7" x14ac:dyDescent="0.25">
      <c r="A4" s="1" t="s">
        <v>8</v>
      </c>
      <c r="B4" s="1">
        <v>6279.35</v>
      </c>
      <c r="C4" s="1">
        <v>8436.83</v>
      </c>
      <c r="D4" s="1">
        <v>8093.3</v>
      </c>
      <c r="E4" s="1">
        <v>10294.69</v>
      </c>
      <c r="F4" s="1">
        <v>11202.68</v>
      </c>
      <c r="G4" s="1">
        <v>6185.79</v>
      </c>
    </row>
    <row r="5" spans="1:7" x14ac:dyDescent="0.25">
      <c r="A5" s="1" t="s">
        <v>9</v>
      </c>
      <c r="B5" s="1">
        <v>1515.31</v>
      </c>
      <c r="C5" s="1">
        <v>1486.86</v>
      </c>
      <c r="D5" s="1">
        <v>1830.53</v>
      </c>
      <c r="E5" s="1">
        <v>301.83999999999997</v>
      </c>
      <c r="F5" s="1">
        <v>557.09</v>
      </c>
      <c r="G5" s="1">
        <v>971.93</v>
      </c>
    </row>
    <row r="6" spans="1:7" x14ac:dyDescent="0.25">
      <c r="A6" s="3" t="s">
        <v>10</v>
      </c>
      <c r="B6" s="3">
        <v>151.53</v>
      </c>
      <c r="C6" s="3">
        <v>150.19</v>
      </c>
      <c r="D6" s="3">
        <v>184.9</v>
      </c>
      <c r="E6" s="3">
        <v>30.49</v>
      </c>
      <c r="F6" s="3">
        <v>56.27</v>
      </c>
      <c r="G6" s="3">
        <v>99.18</v>
      </c>
    </row>
    <row r="7" spans="1:7" x14ac:dyDescent="0.25">
      <c r="A7" s="1" t="s">
        <v>11</v>
      </c>
      <c r="B7" s="1">
        <v>1344.83</v>
      </c>
      <c r="C7" s="1">
        <v>1396.52</v>
      </c>
      <c r="D7" s="1">
        <v>1646.4</v>
      </c>
      <c r="E7" s="1">
        <v>297.3</v>
      </c>
      <c r="F7" s="1">
        <v>521.66</v>
      </c>
      <c r="G7" s="1">
        <v>872.55</v>
      </c>
    </row>
    <row r="8" spans="1:7" x14ac:dyDescent="0.25">
      <c r="A8" s="1" t="s">
        <v>12</v>
      </c>
      <c r="B8" s="1">
        <v>134.47999999999999</v>
      </c>
      <c r="C8" s="1">
        <v>141.06</v>
      </c>
      <c r="D8" s="1">
        <v>166.3</v>
      </c>
      <c r="E8" s="1">
        <v>30.03</v>
      </c>
      <c r="F8" s="1">
        <v>52.69</v>
      </c>
      <c r="G8" s="1">
        <v>89.04</v>
      </c>
    </row>
    <row r="9" spans="1:7" x14ac:dyDescent="0.25">
      <c r="A9" s="1" t="s">
        <v>13</v>
      </c>
      <c r="B9" s="1">
        <v>1242.18</v>
      </c>
      <c r="C9" s="1">
        <v>844.79</v>
      </c>
      <c r="D9" s="1">
        <v>1637.36</v>
      </c>
      <c r="E9" s="1">
        <v>138.83000000000001</v>
      </c>
      <c r="F9" s="1">
        <v>253.07</v>
      </c>
      <c r="G9" s="1">
        <v>365.76</v>
      </c>
    </row>
    <row r="10" spans="1:7" x14ac:dyDescent="0.25">
      <c r="A10" s="1" t="s">
        <v>14</v>
      </c>
      <c r="B10" s="1">
        <v>124.22</v>
      </c>
      <c r="C10" s="1">
        <v>85.33</v>
      </c>
      <c r="D10" s="1">
        <v>165.39</v>
      </c>
      <c r="E10" s="1">
        <v>14.02</v>
      </c>
      <c r="F10" s="1">
        <v>25.56</v>
      </c>
      <c r="G10" s="1">
        <v>37.32</v>
      </c>
    </row>
    <row r="11" spans="1:7" x14ac:dyDescent="0.25">
      <c r="A11" s="1" t="s">
        <v>15</v>
      </c>
      <c r="B11" s="1">
        <v>1016.01</v>
      </c>
      <c r="C11" s="1">
        <v>811.38</v>
      </c>
      <c r="D11" s="1">
        <v>1394.98</v>
      </c>
      <c r="E11" s="1">
        <v>126.66</v>
      </c>
      <c r="F11" s="1">
        <v>154.61000000000001</v>
      </c>
      <c r="G11" s="1">
        <v>36.270000000000003</v>
      </c>
    </row>
    <row r="12" spans="1:7" x14ac:dyDescent="0.25">
      <c r="A12" s="1" t="s">
        <v>16</v>
      </c>
      <c r="B12" s="1">
        <v>118.99</v>
      </c>
      <c r="C12" s="1">
        <v>152.94999999999999</v>
      </c>
      <c r="D12" s="1">
        <v>131.5</v>
      </c>
      <c r="E12" s="1">
        <v>208.12</v>
      </c>
      <c r="F12" s="1">
        <v>196.37</v>
      </c>
      <c r="G12" s="1">
        <v>102.43</v>
      </c>
    </row>
    <row r="13" spans="1:7" x14ac:dyDescent="0.25">
      <c r="A13" s="1" t="s">
        <v>17</v>
      </c>
      <c r="B13" s="1">
        <v>23.46</v>
      </c>
      <c r="C13" s="1">
        <v>31.9</v>
      </c>
      <c r="D13" s="1">
        <v>27.29</v>
      </c>
      <c r="E13" s="1">
        <v>22.61</v>
      </c>
      <c r="F13" s="1">
        <v>23.45</v>
      </c>
      <c r="G13" s="1">
        <v>22.54</v>
      </c>
    </row>
    <row r="14" spans="1:7" x14ac:dyDescent="0.25">
      <c r="A14" s="1" t="s">
        <v>18</v>
      </c>
      <c r="B14" s="1">
        <v>54.33</v>
      </c>
      <c r="C14" s="1">
        <v>55.29</v>
      </c>
      <c r="D14" s="1">
        <v>57.49</v>
      </c>
      <c r="E14" s="1">
        <v>29.2</v>
      </c>
      <c r="F14" s="1">
        <v>42.77</v>
      </c>
      <c r="G14" s="1">
        <v>50.16</v>
      </c>
    </row>
    <row r="15" spans="1:7" x14ac:dyDescent="0.25">
      <c r="A15" s="1" t="s">
        <v>19</v>
      </c>
      <c r="B15" s="1">
        <v>10</v>
      </c>
      <c r="C15" s="1">
        <v>10</v>
      </c>
      <c r="D15" s="1">
        <v>10</v>
      </c>
      <c r="E15" s="1">
        <v>3</v>
      </c>
      <c r="F15" s="1">
        <v>3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1293.5</v>
      </c>
      <c r="C17" s="1">
        <v>1120.6600000000001</v>
      </c>
      <c r="D17" s="1">
        <v>1641.88</v>
      </c>
      <c r="E17" s="1">
        <v>218.07</v>
      </c>
      <c r="F17" s="1">
        <v>387.37</v>
      </c>
      <c r="G17" s="1">
        <v>619.15</v>
      </c>
    </row>
    <row r="18" spans="1:7" x14ac:dyDescent="0.25">
      <c r="A18" s="1" t="s">
        <v>22</v>
      </c>
      <c r="B18" s="1">
        <v>51.32</v>
      </c>
      <c r="C18" s="1">
        <v>275.87</v>
      </c>
      <c r="D18" s="1">
        <v>4.5199999999999996</v>
      </c>
      <c r="E18" s="1">
        <v>79.239999999999995</v>
      </c>
      <c r="F18" s="1">
        <v>134.30000000000001</v>
      </c>
      <c r="G18" s="1">
        <v>253.4</v>
      </c>
    </row>
    <row r="19" spans="1:7" x14ac:dyDescent="0.25">
      <c r="A19" s="1" t="s">
        <v>23</v>
      </c>
      <c r="B19" s="1">
        <v>0</v>
      </c>
      <c r="C19" s="1">
        <v>1</v>
      </c>
      <c r="D19" s="1">
        <v>0</v>
      </c>
      <c r="E19" s="1">
        <v>0</v>
      </c>
      <c r="F19" s="1">
        <v>2</v>
      </c>
      <c r="G19" s="1">
        <v>1</v>
      </c>
    </row>
    <row r="20" spans="1:7" x14ac:dyDescent="0.25">
      <c r="A20" s="1" t="s">
        <v>24</v>
      </c>
      <c r="B20" s="1">
        <v>0</v>
      </c>
      <c r="C20" s="1">
        <v>3.8</v>
      </c>
      <c r="D20" s="1">
        <v>0</v>
      </c>
      <c r="E20" s="1">
        <v>0</v>
      </c>
      <c r="F20" s="1">
        <v>3.2</v>
      </c>
      <c r="G20" s="1">
        <v>3.3</v>
      </c>
    </row>
    <row r="21" spans="1:7" x14ac:dyDescent="0.25">
      <c r="A21" s="1" t="s">
        <v>25</v>
      </c>
      <c r="B21" s="1">
        <v>10.1</v>
      </c>
      <c r="C21" s="1">
        <v>6.2</v>
      </c>
      <c r="D21" s="1">
        <v>10</v>
      </c>
      <c r="E21" s="1">
        <v>10</v>
      </c>
      <c r="F21" s="1">
        <v>6.8</v>
      </c>
      <c r="G21" s="1">
        <v>6.6</v>
      </c>
    </row>
    <row r="22" spans="1:7" x14ac:dyDescent="0.25">
      <c r="A22" s="1" t="s">
        <v>26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2.6</v>
      </c>
      <c r="D23" s="1">
        <v>0</v>
      </c>
      <c r="E23" s="1">
        <v>0</v>
      </c>
      <c r="F23" s="1">
        <v>0</v>
      </c>
      <c r="G23" s="1">
        <v>1.5</v>
      </c>
    </row>
    <row r="24" spans="1:7" x14ac:dyDescent="0.25">
      <c r="A24" s="1" t="s">
        <v>28</v>
      </c>
      <c r="B24" s="1">
        <v>0</v>
      </c>
      <c r="C24" s="1">
        <v>4.0999999999999996</v>
      </c>
      <c r="D24" s="1">
        <v>0</v>
      </c>
      <c r="E24" s="1">
        <v>0</v>
      </c>
      <c r="F24" s="1">
        <v>1</v>
      </c>
      <c r="G24" s="1">
        <v>3.6</v>
      </c>
    </row>
    <row r="25" spans="1:7" x14ac:dyDescent="0.25">
      <c r="A25" s="1" t="s">
        <v>29</v>
      </c>
      <c r="B25" s="1">
        <v>0</v>
      </c>
      <c r="C25" s="1">
        <v>1.8</v>
      </c>
      <c r="D25" s="1">
        <v>0</v>
      </c>
      <c r="E25" s="1">
        <v>8.4</v>
      </c>
      <c r="F25" s="1">
        <v>4.2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4.0999999999999996</v>
      </c>
      <c r="D26" s="1">
        <v>10</v>
      </c>
      <c r="E26" s="1">
        <v>1.6</v>
      </c>
      <c r="F26" s="1">
        <v>4.8</v>
      </c>
      <c r="G26" s="1">
        <v>6.3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41</v>
      </c>
      <c r="D29" s="3">
        <f t="shared" si="1"/>
        <v>0</v>
      </c>
      <c r="E29" s="3">
        <f t="shared" si="1"/>
        <v>0</v>
      </c>
      <c r="F29" s="3">
        <f t="shared" si="1"/>
        <v>10</v>
      </c>
      <c r="G29" s="3">
        <f t="shared" si="1"/>
        <v>36.363636363636367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18</v>
      </c>
      <c r="D30" s="3">
        <f t="shared" si="2"/>
        <v>0</v>
      </c>
      <c r="E30" s="3">
        <f t="shared" si="2"/>
        <v>84.000000000000014</v>
      </c>
      <c r="F30" s="3">
        <f t="shared" si="2"/>
        <v>42.000000000000007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41</v>
      </c>
      <c r="D31" s="3">
        <f t="shared" si="3"/>
        <v>100</v>
      </c>
      <c r="E31" s="3">
        <f t="shared" si="3"/>
        <v>16</v>
      </c>
      <c r="F31" s="3">
        <f t="shared" si="3"/>
        <v>48</v>
      </c>
      <c r="G31" s="3">
        <f t="shared" si="3"/>
        <v>63.636363636363633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141.52000000000001</v>
      </c>
      <c r="C33" s="3">
        <v>41.88</v>
      </c>
      <c r="D33" s="3">
        <v>181.85</v>
      </c>
      <c r="E33" s="3">
        <v>14.14</v>
      </c>
      <c r="F33" s="3">
        <v>18.13</v>
      </c>
      <c r="G33" s="3">
        <v>36.46</v>
      </c>
    </row>
    <row r="35" spans="1:7" x14ac:dyDescent="0.25">
      <c r="A35" s="3" t="s">
        <v>36</v>
      </c>
      <c r="B35" s="3"/>
      <c r="C35" s="3"/>
      <c r="D35" s="3">
        <f>D33-C33</f>
        <v>139.97</v>
      </c>
      <c r="E35" s="3"/>
      <c r="F35" s="3">
        <f>F33-E33</f>
        <v>3.9899999999999984</v>
      </c>
      <c r="G3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0644-8FEE-4AB5-A69C-869F16631549}">
  <dimension ref="A1:G35"/>
  <sheetViews>
    <sheetView topLeftCell="A10" workbookViewId="0">
      <selection activeCell="B33" sqref="B33:G3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344.69</v>
      </c>
      <c r="C2" s="1">
        <v>337.84</v>
      </c>
      <c r="D2" s="1">
        <v>324.23</v>
      </c>
      <c r="E2" s="1">
        <v>304.26</v>
      </c>
      <c r="F2" s="1">
        <v>303.95999999999998</v>
      </c>
      <c r="G2" s="1">
        <v>363.63</v>
      </c>
    </row>
    <row r="3" spans="1:7" x14ac:dyDescent="0.25">
      <c r="A3" s="1" t="s">
        <v>7</v>
      </c>
      <c r="B3" s="1">
        <v>35.130000000000003</v>
      </c>
      <c r="C3" s="1">
        <v>33.83</v>
      </c>
      <c r="D3" s="1">
        <v>33.340000000000003</v>
      </c>
      <c r="E3" s="1">
        <v>31.37</v>
      </c>
      <c r="F3" s="1">
        <v>31.97</v>
      </c>
      <c r="G3" s="1">
        <v>36.61</v>
      </c>
    </row>
    <row r="4" spans="1:7" x14ac:dyDescent="0.25">
      <c r="A4" s="1" t="s">
        <v>8</v>
      </c>
      <c r="B4" s="1">
        <v>12333.68</v>
      </c>
      <c r="C4" s="1">
        <v>11659.04</v>
      </c>
      <c r="D4" s="1">
        <v>11014.75</v>
      </c>
      <c r="E4" s="1">
        <v>9696.9699999999993</v>
      </c>
      <c r="F4" s="1">
        <v>9885.92</v>
      </c>
      <c r="G4" s="1">
        <v>13551.4</v>
      </c>
    </row>
    <row r="5" spans="1:7" x14ac:dyDescent="0.25">
      <c r="A5" s="1" t="s">
        <v>9</v>
      </c>
      <c r="B5" s="1">
        <v>1029.25</v>
      </c>
      <c r="C5" s="1">
        <v>1736.13</v>
      </c>
      <c r="D5" s="1">
        <v>1241.72</v>
      </c>
      <c r="E5" s="1">
        <v>333.98</v>
      </c>
      <c r="F5" s="1">
        <v>488.77</v>
      </c>
      <c r="G5" s="1">
        <v>913.29</v>
      </c>
    </row>
    <row r="6" spans="1:7" x14ac:dyDescent="0.25">
      <c r="A6" s="3" t="s">
        <v>10</v>
      </c>
      <c r="B6" s="3">
        <v>102.93</v>
      </c>
      <c r="C6" s="3">
        <v>175.37</v>
      </c>
      <c r="D6" s="3">
        <v>125.43</v>
      </c>
      <c r="E6" s="3">
        <v>33.74</v>
      </c>
      <c r="F6" s="3">
        <v>49.37</v>
      </c>
      <c r="G6" s="3">
        <v>93.19</v>
      </c>
    </row>
    <row r="7" spans="1:7" x14ac:dyDescent="0.25">
      <c r="A7" s="1" t="s">
        <v>11</v>
      </c>
      <c r="B7" s="1">
        <v>991.54</v>
      </c>
      <c r="C7" s="1">
        <v>1620.32</v>
      </c>
      <c r="D7" s="1">
        <v>1161.21</v>
      </c>
      <c r="E7" s="1">
        <v>314.8</v>
      </c>
      <c r="F7" s="1">
        <v>470.99</v>
      </c>
      <c r="G7" s="1">
        <v>888.47</v>
      </c>
    </row>
    <row r="8" spans="1:7" x14ac:dyDescent="0.25">
      <c r="A8" s="1" t="s">
        <v>12</v>
      </c>
      <c r="B8" s="1">
        <v>99.15</v>
      </c>
      <c r="C8" s="1">
        <v>163.66999999999999</v>
      </c>
      <c r="D8" s="1">
        <v>117.29</v>
      </c>
      <c r="E8" s="1">
        <v>31.8</v>
      </c>
      <c r="F8" s="1">
        <v>47.57</v>
      </c>
      <c r="G8" s="1">
        <v>90.66</v>
      </c>
    </row>
    <row r="9" spans="1:7" x14ac:dyDescent="0.25">
      <c r="A9" s="1" t="s">
        <v>13</v>
      </c>
      <c r="B9" s="1">
        <v>742.81</v>
      </c>
      <c r="C9" s="1">
        <v>1620.32</v>
      </c>
      <c r="D9" s="1">
        <v>1161.21</v>
      </c>
      <c r="E9" s="1">
        <v>243.42</v>
      </c>
      <c r="F9" s="1">
        <v>363.03</v>
      </c>
      <c r="G9" s="1">
        <v>-453.24</v>
      </c>
    </row>
    <row r="10" spans="1:7" x14ac:dyDescent="0.25">
      <c r="A10" s="1" t="s">
        <v>14</v>
      </c>
      <c r="B10" s="1">
        <v>74.28</v>
      </c>
      <c r="C10" s="1">
        <v>163.66999999999999</v>
      </c>
      <c r="D10" s="1">
        <v>117.29</v>
      </c>
      <c r="E10" s="1">
        <v>24.59</v>
      </c>
      <c r="F10" s="1">
        <v>36.67</v>
      </c>
      <c r="G10" s="1">
        <v>-46.25</v>
      </c>
    </row>
    <row r="11" spans="1:7" x14ac:dyDescent="0.25">
      <c r="A11" s="1" t="s">
        <v>15</v>
      </c>
      <c r="B11" s="1">
        <v>582.21</v>
      </c>
      <c r="C11" s="1">
        <v>1534.93</v>
      </c>
      <c r="D11" s="1">
        <v>1102.43</v>
      </c>
      <c r="E11" s="1">
        <v>216.15</v>
      </c>
      <c r="F11" s="1">
        <v>262.58999999999997</v>
      </c>
      <c r="G11" s="1">
        <v>71.989999999999995</v>
      </c>
    </row>
    <row r="12" spans="1:7" x14ac:dyDescent="0.25">
      <c r="A12" s="1" t="s">
        <v>16</v>
      </c>
      <c r="B12" s="1">
        <v>205.63</v>
      </c>
      <c r="C12" s="1">
        <v>199.54</v>
      </c>
      <c r="D12" s="1">
        <v>205.78</v>
      </c>
      <c r="E12" s="1">
        <v>174.47</v>
      </c>
      <c r="F12" s="1">
        <v>171.77</v>
      </c>
      <c r="G12" s="1">
        <v>196.7</v>
      </c>
    </row>
    <row r="13" spans="1:7" x14ac:dyDescent="0.25">
      <c r="A13" s="1" t="s">
        <v>17</v>
      </c>
      <c r="B13" s="1">
        <v>23.78</v>
      </c>
      <c r="C13" s="1">
        <v>20.170000000000002</v>
      </c>
      <c r="D13" s="1">
        <v>18.88</v>
      </c>
      <c r="E13" s="1">
        <v>16.47</v>
      </c>
      <c r="F13" s="1">
        <v>15.17</v>
      </c>
      <c r="G13" s="1">
        <v>35.22</v>
      </c>
    </row>
    <row r="14" spans="1:7" x14ac:dyDescent="0.25">
      <c r="A14" s="1" t="s">
        <v>18</v>
      </c>
      <c r="B14" s="1">
        <v>60.23</v>
      </c>
      <c r="C14" s="1">
        <v>52.19</v>
      </c>
      <c r="D14" s="1">
        <v>42.12</v>
      </c>
      <c r="E14" s="1">
        <v>35.03</v>
      </c>
      <c r="F14" s="1">
        <v>29.1</v>
      </c>
      <c r="G14" s="1">
        <v>58.24</v>
      </c>
    </row>
    <row r="15" spans="1:7" x14ac:dyDescent="0.25">
      <c r="A15" s="1" t="s">
        <v>19</v>
      </c>
      <c r="B15" s="1">
        <v>6</v>
      </c>
      <c r="C15" s="1">
        <v>10</v>
      </c>
      <c r="D15" s="1">
        <v>9</v>
      </c>
      <c r="E15" s="1">
        <v>3</v>
      </c>
      <c r="F15" s="1">
        <v>2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867.17</v>
      </c>
      <c r="C17" s="1">
        <v>1620.32</v>
      </c>
      <c r="D17" s="1">
        <v>1161.21</v>
      </c>
      <c r="E17" s="1">
        <v>279.11</v>
      </c>
      <c r="F17" s="1">
        <v>417.01</v>
      </c>
      <c r="G17" s="1">
        <v>217.61</v>
      </c>
    </row>
    <row r="18" spans="1:7" x14ac:dyDescent="0.25">
      <c r="A18" s="1" t="s">
        <v>22</v>
      </c>
      <c r="B18" s="1">
        <v>124.37</v>
      </c>
      <c r="C18" s="1">
        <v>0</v>
      </c>
      <c r="D18" s="1">
        <v>0</v>
      </c>
      <c r="E18" s="1">
        <v>35.69</v>
      </c>
      <c r="F18" s="1">
        <v>53.98</v>
      </c>
      <c r="G18" s="1">
        <v>670.86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</row>
    <row r="20" spans="1:7" x14ac:dyDescent="0.25">
      <c r="A20" s="1" t="s">
        <v>24</v>
      </c>
      <c r="B20" s="1">
        <v>1.5</v>
      </c>
      <c r="C20" s="1">
        <v>0</v>
      </c>
      <c r="D20" s="1">
        <v>0</v>
      </c>
      <c r="E20" s="1">
        <v>0</v>
      </c>
      <c r="F20" s="1">
        <v>1.4</v>
      </c>
      <c r="G20" s="1">
        <v>4.5999999999999996</v>
      </c>
    </row>
    <row r="21" spans="1:7" x14ac:dyDescent="0.25">
      <c r="A21" s="1" t="s">
        <v>25</v>
      </c>
      <c r="B21" s="1">
        <v>8.6</v>
      </c>
      <c r="C21" s="1">
        <v>10</v>
      </c>
      <c r="D21" s="1">
        <v>10</v>
      </c>
      <c r="E21" s="1">
        <v>10</v>
      </c>
      <c r="F21" s="1">
        <v>8.6</v>
      </c>
      <c r="G21" s="1">
        <v>5.3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1.6</v>
      </c>
      <c r="C24" s="1">
        <v>0</v>
      </c>
      <c r="D24" s="1">
        <v>0</v>
      </c>
      <c r="E24" s="1">
        <v>0</v>
      </c>
      <c r="F24" s="1">
        <v>1.2</v>
      </c>
      <c r="G24" s="1">
        <v>4.5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5.0999999999999996</v>
      </c>
      <c r="F25" s="1">
        <v>3.2</v>
      </c>
      <c r="G25" s="1">
        <v>0</v>
      </c>
    </row>
    <row r="26" spans="1:7" x14ac:dyDescent="0.25">
      <c r="A26" s="1" t="s">
        <v>30</v>
      </c>
      <c r="B26" s="1">
        <v>8.5</v>
      </c>
      <c r="C26" s="1">
        <v>10</v>
      </c>
      <c r="D26" s="1">
        <v>10</v>
      </c>
      <c r="E26" s="1">
        <v>4.9000000000000004</v>
      </c>
      <c r="F26" s="1">
        <v>5.6</v>
      </c>
      <c r="G26" s="1">
        <v>5.4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15.841584158415841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12</v>
      </c>
      <c r="G29" s="3">
        <f t="shared" si="1"/>
        <v>45.454545454545453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51</v>
      </c>
      <c r="F30" s="3">
        <f t="shared" si="2"/>
        <v>32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84.158415841584173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49.000000000000007</v>
      </c>
      <c r="F31" s="3">
        <f t="shared" si="3"/>
        <v>55.999999999999993</v>
      </c>
      <c r="G31" s="3">
        <f t="shared" si="3"/>
        <v>54.545454545454554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76.900000000000006</v>
      </c>
      <c r="C33" s="3">
        <v>176.11</v>
      </c>
      <c r="D33" s="3">
        <v>122.24</v>
      </c>
      <c r="E33" s="3">
        <v>24.88</v>
      </c>
      <c r="F33" s="3">
        <v>28.65</v>
      </c>
      <c r="G33" s="3">
        <v>-1.24</v>
      </c>
    </row>
    <row r="35" spans="1:7" x14ac:dyDescent="0.25">
      <c r="A35" s="3" t="s">
        <v>36</v>
      </c>
      <c r="B35" s="3"/>
      <c r="C35" s="3"/>
      <c r="D35" s="3">
        <f>D33-C33</f>
        <v>-53.870000000000019</v>
      </c>
      <c r="E35" s="3"/>
      <c r="F35" s="3">
        <f>F33-E33</f>
        <v>3.7699999999999996</v>
      </c>
      <c r="G3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7DDC-2527-4C7C-BCA4-143F5C992274}">
  <dimension ref="A1:G35"/>
  <sheetViews>
    <sheetView topLeftCell="A10" workbookViewId="0">
      <selection activeCell="B33" sqref="B33:G3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438.09</v>
      </c>
      <c r="C2" s="1">
        <v>435.98</v>
      </c>
      <c r="D2" s="1">
        <v>447.1</v>
      </c>
      <c r="E2" s="1">
        <v>450.27</v>
      </c>
      <c r="F2" s="1">
        <v>449.1</v>
      </c>
      <c r="G2" s="1">
        <v>498.65</v>
      </c>
    </row>
    <row r="3" spans="1:7" x14ac:dyDescent="0.25">
      <c r="A3" s="1" t="s">
        <v>7</v>
      </c>
      <c r="B3" s="1">
        <v>38.19</v>
      </c>
      <c r="C3" s="1">
        <v>40.57</v>
      </c>
      <c r="D3" s="1">
        <v>40.98</v>
      </c>
      <c r="E3" s="1">
        <v>42.76</v>
      </c>
      <c r="F3" s="1">
        <v>41.73</v>
      </c>
      <c r="G3" s="1">
        <v>52.61</v>
      </c>
    </row>
    <row r="4" spans="1:7" x14ac:dyDescent="0.25">
      <c r="A4" s="1" t="s">
        <v>8</v>
      </c>
      <c r="B4" s="1">
        <v>17030.580000000002</v>
      </c>
      <c r="C4" s="1">
        <v>17970.849999999999</v>
      </c>
      <c r="D4" s="1">
        <v>18623.740000000002</v>
      </c>
      <c r="E4" s="1">
        <v>19596.419999999998</v>
      </c>
      <c r="F4" s="1">
        <v>19063.97</v>
      </c>
      <c r="G4" s="1">
        <v>26854.43</v>
      </c>
    </row>
    <row r="5" spans="1:7" x14ac:dyDescent="0.25">
      <c r="A5" s="1" t="s">
        <v>9</v>
      </c>
      <c r="B5" s="1">
        <v>1583.54</v>
      </c>
      <c r="C5" s="1">
        <v>2411.63</v>
      </c>
      <c r="D5" s="1">
        <v>2308.38</v>
      </c>
      <c r="E5" s="1">
        <v>1413.01</v>
      </c>
      <c r="F5" s="1">
        <v>1035.22</v>
      </c>
      <c r="G5" s="1">
        <v>2244.44</v>
      </c>
    </row>
    <row r="6" spans="1:7" x14ac:dyDescent="0.25">
      <c r="A6" s="3" t="s">
        <v>10</v>
      </c>
      <c r="B6" s="3">
        <v>158.35</v>
      </c>
      <c r="C6" s="3">
        <v>243.6</v>
      </c>
      <c r="D6" s="3">
        <v>233.17</v>
      </c>
      <c r="E6" s="3">
        <v>142.72999999999999</v>
      </c>
      <c r="F6" s="3">
        <v>104.57</v>
      </c>
      <c r="G6" s="3">
        <v>229.02</v>
      </c>
    </row>
    <row r="7" spans="1:7" x14ac:dyDescent="0.25">
      <c r="A7" s="1" t="s">
        <v>11</v>
      </c>
      <c r="B7" s="1">
        <v>1515.89</v>
      </c>
      <c r="C7" s="1">
        <v>2321.39</v>
      </c>
      <c r="D7" s="1">
        <v>2202.39</v>
      </c>
      <c r="E7" s="1">
        <v>1360.38</v>
      </c>
      <c r="F7" s="1">
        <v>991.86</v>
      </c>
      <c r="G7" s="1">
        <v>2094.5100000000002</v>
      </c>
    </row>
    <row r="8" spans="1:7" x14ac:dyDescent="0.25">
      <c r="A8" s="1" t="s">
        <v>12</v>
      </c>
      <c r="B8" s="1">
        <v>151.59</v>
      </c>
      <c r="C8" s="1">
        <v>234.48</v>
      </c>
      <c r="D8" s="1">
        <v>222.46</v>
      </c>
      <c r="E8" s="1">
        <v>137.41</v>
      </c>
      <c r="F8" s="1">
        <v>100.19</v>
      </c>
      <c r="G8" s="1">
        <v>213.73</v>
      </c>
    </row>
    <row r="9" spans="1:7" x14ac:dyDescent="0.25">
      <c r="A9" s="1" t="s">
        <v>13</v>
      </c>
      <c r="B9" s="1">
        <v>1502.83</v>
      </c>
      <c r="C9" s="1">
        <v>2321.39</v>
      </c>
      <c r="D9" s="1">
        <v>1758.12</v>
      </c>
      <c r="E9" s="1">
        <v>1360.38</v>
      </c>
      <c r="F9" s="1">
        <v>467.27</v>
      </c>
      <c r="G9" s="1">
        <v>2094.5100000000002</v>
      </c>
    </row>
    <row r="10" spans="1:7" x14ac:dyDescent="0.25">
      <c r="A10" s="1" t="s">
        <v>14</v>
      </c>
      <c r="B10" s="1">
        <v>150.28</v>
      </c>
      <c r="C10" s="1">
        <v>234.48</v>
      </c>
      <c r="D10" s="1">
        <v>177.59</v>
      </c>
      <c r="E10" s="1">
        <v>137.41</v>
      </c>
      <c r="F10" s="1">
        <v>47.2</v>
      </c>
      <c r="G10" s="1">
        <v>213.73</v>
      </c>
    </row>
    <row r="11" spans="1:7" x14ac:dyDescent="0.25">
      <c r="A11" s="1" t="s">
        <v>15</v>
      </c>
      <c r="B11" s="1">
        <v>988.64</v>
      </c>
      <c r="C11" s="1">
        <v>2033.07</v>
      </c>
      <c r="D11" s="1">
        <v>1360.03</v>
      </c>
      <c r="E11" s="1">
        <v>1214.7</v>
      </c>
      <c r="F11" s="1">
        <v>229.84</v>
      </c>
      <c r="G11" s="1">
        <v>1816.97</v>
      </c>
    </row>
    <row r="12" spans="1:7" x14ac:dyDescent="0.25">
      <c r="A12" s="1" t="s">
        <v>16</v>
      </c>
      <c r="B12" s="1">
        <v>257.85000000000002</v>
      </c>
      <c r="C12" s="1">
        <v>273.31</v>
      </c>
      <c r="D12" s="1">
        <v>257.02999999999997</v>
      </c>
      <c r="E12" s="1">
        <v>273.54000000000002</v>
      </c>
      <c r="F12" s="1">
        <v>240.69</v>
      </c>
      <c r="G12" s="1">
        <v>266.66000000000003</v>
      </c>
    </row>
    <row r="13" spans="1:7" x14ac:dyDescent="0.25">
      <c r="A13" s="1" t="s">
        <v>17</v>
      </c>
      <c r="B13" s="1">
        <v>39.85</v>
      </c>
      <c r="C13" s="1">
        <v>32.97</v>
      </c>
      <c r="D13" s="1">
        <v>42.38</v>
      </c>
      <c r="E13" s="1">
        <v>30.5</v>
      </c>
      <c r="F13" s="1">
        <v>28.2</v>
      </c>
      <c r="G13" s="1">
        <v>36.79</v>
      </c>
    </row>
    <row r="14" spans="1:7" x14ac:dyDescent="0.25">
      <c r="A14" s="1" t="s">
        <v>18</v>
      </c>
      <c r="B14" s="1">
        <v>83.81</v>
      </c>
      <c r="C14" s="1">
        <v>61.12</v>
      </c>
      <c r="D14" s="1">
        <v>75.72</v>
      </c>
      <c r="E14" s="1">
        <v>65.099999999999994</v>
      </c>
      <c r="F14" s="1">
        <v>57.93</v>
      </c>
      <c r="G14" s="1">
        <v>92.93</v>
      </c>
    </row>
    <row r="15" spans="1:7" x14ac:dyDescent="0.25">
      <c r="A15" s="1" t="s">
        <v>19</v>
      </c>
      <c r="B15" s="1">
        <v>6</v>
      </c>
      <c r="C15" s="1">
        <v>12</v>
      </c>
      <c r="D15" s="1">
        <v>9</v>
      </c>
      <c r="E15" s="1">
        <v>8</v>
      </c>
      <c r="F15" s="1">
        <v>6</v>
      </c>
      <c r="G15" s="1">
        <v>9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1509.36</v>
      </c>
      <c r="C17" s="1">
        <v>2321.39</v>
      </c>
      <c r="D17" s="1">
        <v>1980.25</v>
      </c>
      <c r="E17" s="1">
        <v>1360.38</v>
      </c>
      <c r="F17" s="1">
        <v>729.57</v>
      </c>
      <c r="G17" s="1">
        <v>2094.5100000000002</v>
      </c>
    </row>
    <row r="18" spans="1:7" x14ac:dyDescent="0.25">
      <c r="A18" s="1" t="s">
        <v>22</v>
      </c>
      <c r="B18" s="1">
        <v>6.53</v>
      </c>
      <c r="C18" s="1">
        <v>0</v>
      </c>
      <c r="D18" s="1">
        <v>222.14</v>
      </c>
      <c r="E18" s="1">
        <v>0</v>
      </c>
      <c r="F18" s="1">
        <v>262.3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2</v>
      </c>
      <c r="E20" s="1">
        <v>0</v>
      </c>
      <c r="F20" s="1">
        <v>5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8</v>
      </c>
      <c r="E21" s="1">
        <v>10</v>
      </c>
      <c r="F21" s="1">
        <v>5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2.1</v>
      </c>
      <c r="E24" s="1">
        <v>0</v>
      </c>
      <c r="F24" s="1">
        <v>5.4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7.9</v>
      </c>
      <c r="E26" s="1">
        <v>10</v>
      </c>
      <c r="F26" s="1">
        <v>4.5999999999999996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21.000000000000004</v>
      </c>
      <c r="E29" s="3">
        <f t="shared" si="1"/>
        <v>0</v>
      </c>
      <c r="F29" s="3">
        <f t="shared" si="1"/>
        <v>54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79</v>
      </c>
      <c r="E31" s="3">
        <f t="shared" si="3"/>
        <v>100</v>
      </c>
      <c r="F31" s="3">
        <f t="shared" si="3"/>
        <v>46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154.12</v>
      </c>
      <c r="C33" s="3">
        <v>241.05</v>
      </c>
      <c r="D33" s="3">
        <v>166.7</v>
      </c>
      <c r="E33" s="3">
        <v>146.56</v>
      </c>
      <c r="F33" s="3">
        <v>3.56</v>
      </c>
      <c r="G33" s="3">
        <v>222.42</v>
      </c>
    </row>
    <row r="35" spans="1:7" x14ac:dyDescent="0.25">
      <c r="A35" s="3" t="s">
        <v>36</v>
      </c>
      <c r="B35" s="3"/>
      <c r="C35" s="3"/>
      <c r="D35" s="3">
        <f>D33-C33</f>
        <v>-74.350000000000023</v>
      </c>
      <c r="E35" s="3"/>
      <c r="F35" s="3">
        <f>F33-E33</f>
        <v>-143</v>
      </c>
      <c r="G35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9F62-118F-4C98-8966-D13E46504805}">
  <dimension ref="A1:G35"/>
  <sheetViews>
    <sheetView topLeftCell="A10" workbookViewId="0">
      <selection activeCell="B33" sqref="B33:G3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254.53</v>
      </c>
      <c r="C2" s="1">
        <v>313.8</v>
      </c>
      <c r="D2" s="1">
        <v>266.98</v>
      </c>
      <c r="E2" s="1">
        <v>248.97</v>
      </c>
      <c r="F2" s="1">
        <v>260.43</v>
      </c>
      <c r="G2" s="1">
        <v>237.85</v>
      </c>
    </row>
    <row r="3" spans="1:7" x14ac:dyDescent="0.25">
      <c r="A3" s="1" t="s">
        <v>7</v>
      </c>
      <c r="B3" s="1">
        <v>30.33</v>
      </c>
      <c r="C3" s="1">
        <v>34.270000000000003</v>
      </c>
      <c r="D3" s="1">
        <v>35.520000000000003</v>
      </c>
      <c r="E3" s="1">
        <v>27.96</v>
      </c>
      <c r="F3" s="1">
        <v>28.63</v>
      </c>
      <c r="G3" s="1">
        <v>37.549999999999997</v>
      </c>
    </row>
    <row r="4" spans="1:7" x14ac:dyDescent="0.25">
      <c r="A4" s="1" t="s">
        <v>8</v>
      </c>
      <c r="B4" s="1">
        <v>7898.22</v>
      </c>
      <c r="C4" s="1">
        <v>10959.54</v>
      </c>
      <c r="D4" s="1">
        <v>9639.17</v>
      </c>
      <c r="E4" s="1">
        <v>7034.26</v>
      </c>
      <c r="F4" s="1">
        <v>7563.61</v>
      </c>
      <c r="G4" s="1">
        <v>9097.4500000000007</v>
      </c>
    </row>
    <row r="5" spans="1:7" x14ac:dyDescent="0.25">
      <c r="A5" s="1" t="s">
        <v>9</v>
      </c>
      <c r="B5" s="1">
        <v>971.8</v>
      </c>
      <c r="C5" s="1">
        <v>573.63</v>
      </c>
      <c r="D5" s="1">
        <v>616.32000000000005</v>
      </c>
      <c r="E5" s="1">
        <v>506.14</v>
      </c>
      <c r="F5" s="1">
        <v>513.41</v>
      </c>
      <c r="G5" s="1">
        <v>431.94</v>
      </c>
    </row>
    <row r="6" spans="1:7" x14ac:dyDescent="0.25">
      <c r="A6" s="3" t="s">
        <v>10</v>
      </c>
      <c r="B6" s="3">
        <v>97.18</v>
      </c>
      <c r="C6" s="3">
        <v>57.94</v>
      </c>
      <c r="D6" s="3">
        <v>62.25</v>
      </c>
      <c r="E6" s="3">
        <v>51.13</v>
      </c>
      <c r="F6" s="3">
        <v>51.86</v>
      </c>
      <c r="G6" s="3">
        <v>44.08</v>
      </c>
    </row>
    <row r="7" spans="1:7" x14ac:dyDescent="0.25">
      <c r="A7" s="1" t="s">
        <v>11</v>
      </c>
      <c r="B7" s="1">
        <v>879.62</v>
      </c>
      <c r="C7" s="1">
        <v>526.66</v>
      </c>
      <c r="D7" s="1">
        <v>537.04999999999995</v>
      </c>
      <c r="E7" s="1">
        <v>474.66</v>
      </c>
      <c r="F7" s="1">
        <v>475.58</v>
      </c>
      <c r="G7" s="1">
        <v>368.46</v>
      </c>
    </row>
    <row r="8" spans="1:7" x14ac:dyDescent="0.25">
      <c r="A8" s="1" t="s">
        <v>12</v>
      </c>
      <c r="B8" s="1">
        <v>87.96</v>
      </c>
      <c r="C8" s="1">
        <v>53.2</v>
      </c>
      <c r="D8" s="1">
        <v>54.25</v>
      </c>
      <c r="E8" s="1">
        <v>47.95</v>
      </c>
      <c r="F8" s="1">
        <v>48.04</v>
      </c>
      <c r="G8" s="1">
        <v>37.6</v>
      </c>
    </row>
    <row r="9" spans="1:7" x14ac:dyDescent="0.25">
      <c r="A9" s="1" t="s">
        <v>13</v>
      </c>
      <c r="B9" s="1">
        <v>737.17</v>
      </c>
      <c r="C9" s="1">
        <v>305.51</v>
      </c>
      <c r="D9" s="1">
        <v>214.52</v>
      </c>
      <c r="E9" s="1">
        <v>43.9</v>
      </c>
      <c r="F9" s="1">
        <v>-250.1</v>
      </c>
      <c r="G9" s="1">
        <v>92.13</v>
      </c>
    </row>
    <row r="10" spans="1:7" x14ac:dyDescent="0.25">
      <c r="A10" s="1" t="s">
        <v>14</v>
      </c>
      <c r="B10" s="1">
        <v>73.72</v>
      </c>
      <c r="C10" s="1">
        <v>30.86</v>
      </c>
      <c r="D10" s="1">
        <v>21.67</v>
      </c>
      <c r="E10" s="1">
        <v>4.43</v>
      </c>
      <c r="F10" s="1">
        <v>-25.26</v>
      </c>
      <c r="G10" s="1">
        <v>9.4</v>
      </c>
    </row>
    <row r="11" spans="1:7" x14ac:dyDescent="0.25">
      <c r="A11" s="1" t="s">
        <v>15</v>
      </c>
      <c r="B11" s="1">
        <v>705.11</v>
      </c>
      <c r="C11" s="1">
        <v>235.53</v>
      </c>
      <c r="D11" s="1">
        <v>181.01</v>
      </c>
      <c r="E11" s="1">
        <v>5.75</v>
      </c>
      <c r="F11" s="1">
        <v>172.4</v>
      </c>
      <c r="G11" s="1">
        <v>49.64</v>
      </c>
    </row>
    <row r="12" spans="1:7" x14ac:dyDescent="0.25">
      <c r="A12" s="1" t="s">
        <v>16</v>
      </c>
      <c r="B12" s="1">
        <v>136.28</v>
      </c>
      <c r="C12" s="1">
        <v>170.41</v>
      </c>
      <c r="D12" s="1">
        <v>127.08</v>
      </c>
      <c r="E12" s="1">
        <v>134.46</v>
      </c>
      <c r="F12" s="1">
        <v>137.16999999999999</v>
      </c>
      <c r="G12" s="1">
        <v>122.59</v>
      </c>
    </row>
    <row r="13" spans="1:7" x14ac:dyDescent="0.25">
      <c r="A13" s="1" t="s">
        <v>17</v>
      </c>
      <c r="B13" s="1">
        <v>16.34</v>
      </c>
      <c r="C13" s="1">
        <v>31.85</v>
      </c>
      <c r="D13" s="1">
        <v>29.99</v>
      </c>
      <c r="E13" s="1">
        <v>13.6</v>
      </c>
      <c r="F13" s="1">
        <v>13.08</v>
      </c>
      <c r="G13" s="1">
        <v>21.66</v>
      </c>
    </row>
    <row r="14" spans="1:7" x14ac:dyDescent="0.25">
      <c r="A14" s="1" t="s">
        <v>18</v>
      </c>
      <c r="B14" s="1">
        <v>34.799999999999997</v>
      </c>
      <c r="C14" s="1">
        <v>49.72</v>
      </c>
      <c r="D14" s="1">
        <v>56.35</v>
      </c>
      <c r="E14" s="1">
        <v>24.37</v>
      </c>
      <c r="F14" s="1">
        <v>32.58</v>
      </c>
      <c r="G14" s="1">
        <v>47.96</v>
      </c>
    </row>
    <row r="15" spans="1:7" x14ac:dyDescent="0.25">
      <c r="A15" s="1" t="s">
        <v>19</v>
      </c>
      <c r="B15" s="1">
        <v>9</v>
      </c>
      <c r="C15" s="1">
        <v>2</v>
      </c>
      <c r="D15" s="1">
        <v>5</v>
      </c>
      <c r="E15" s="1">
        <v>1</v>
      </c>
      <c r="F15" s="1">
        <v>6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808.4</v>
      </c>
      <c r="C17" s="1">
        <v>416.09</v>
      </c>
      <c r="D17" s="1">
        <v>375.79</v>
      </c>
      <c r="E17" s="1">
        <v>259.27999999999997</v>
      </c>
      <c r="F17" s="1">
        <v>112.74</v>
      </c>
      <c r="G17" s="1">
        <v>230.29</v>
      </c>
    </row>
    <row r="18" spans="1:7" x14ac:dyDescent="0.25">
      <c r="A18" s="1" t="s">
        <v>22</v>
      </c>
      <c r="B18" s="1">
        <v>71.23</v>
      </c>
      <c r="C18" s="1">
        <v>110.58</v>
      </c>
      <c r="D18" s="1">
        <v>161.26</v>
      </c>
      <c r="E18" s="1">
        <v>215.38</v>
      </c>
      <c r="F18" s="1">
        <v>362.84</v>
      </c>
      <c r="G18" s="1">
        <v>138.16999999999999</v>
      </c>
    </row>
    <row r="19" spans="1:7" x14ac:dyDescent="0.25">
      <c r="A19" s="1" t="s">
        <v>23</v>
      </c>
      <c r="B19" s="1">
        <v>0</v>
      </c>
      <c r="C19" s="1">
        <v>1</v>
      </c>
      <c r="D19" s="1">
        <v>2</v>
      </c>
      <c r="E19" s="1">
        <v>1</v>
      </c>
      <c r="F19" s="1">
        <v>2</v>
      </c>
      <c r="G19" s="1">
        <v>2</v>
      </c>
    </row>
    <row r="20" spans="1:7" x14ac:dyDescent="0.25">
      <c r="A20" s="1" t="s">
        <v>24</v>
      </c>
      <c r="B20" s="1">
        <v>0</v>
      </c>
      <c r="C20" s="1">
        <v>2.2000000000000002</v>
      </c>
      <c r="D20" s="1">
        <v>3.3</v>
      </c>
      <c r="E20" s="1">
        <v>1.3</v>
      </c>
      <c r="F20" s="1">
        <v>5.7</v>
      </c>
      <c r="G20" s="1">
        <v>2.7</v>
      </c>
    </row>
    <row r="21" spans="1:7" x14ac:dyDescent="0.25">
      <c r="A21" s="1" t="s">
        <v>25</v>
      </c>
      <c r="B21" s="1">
        <v>10.1</v>
      </c>
      <c r="C21" s="1">
        <v>7.8</v>
      </c>
      <c r="D21" s="1">
        <v>6.7</v>
      </c>
      <c r="E21" s="1">
        <v>8.6999999999999993</v>
      </c>
      <c r="F21" s="1">
        <v>4.3</v>
      </c>
      <c r="G21" s="1">
        <v>7.2</v>
      </c>
    </row>
    <row r="22" spans="1:7" x14ac:dyDescent="0.25">
      <c r="A22" s="1" t="s">
        <v>26</v>
      </c>
      <c r="B22" s="1">
        <v>0</v>
      </c>
      <c r="C22" s="1">
        <v>0</v>
      </c>
      <c r="D22" s="1">
        <v>1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2.2999999999999998</v>
      </c>
      <c r="E23" s="1">
        <v>0</v>
      </c>
      <c r="F23" s="1">
        <v>0</v>
      </c>
      <c r="G23" s="1">
        <v>1.5</v>
      </c>
    </row>
    <row r="24" spans="1:7" x14ac:dyDescent="0.25">
      <c r="A24" s="1" t="s">
        <v>28</v>
      </c>
      <c r="B24" s="1">
        <v>0</v>
      </c>
      <c r="C24" s="1">
        <v>0</v>
      </c>
      <c r="D24" s="1">
        <v>2.4</v>
      </c>
      <c r="E24" s="1">
        <v>0</v>
      </c>
      <c r="F24" s="1">
        <v>4.4000000000000004</v>
      </c>
      <c r="G24" s="1">
        <v>0</v>
      </c>
    </row>
    <row r="25" spans="1:7" x14ac:dyDescent="0.25">
      <c r="A25" s="1" t="s">
        <v>29</v>
      </c>
      <c r="B25" s="1">
        <v>1.2</v>
      </c>
      <c r="C25" s="1">
        <v>5</v>
      </c>
      <c r="D25" s="1">
        <v>5.5</v>
      </c>
      <c r="E25" s="1">
        <v>10</v>
      </c>
      <c r="F25" s="1">
        <v>5.6</v>
      </c>
      <c r="G25" s="1">
        <v>8.8000000000000007</v>
      </c>
    </row>
    <row r="26" spans="1:7" x14ac:dyDescent="0.25">
      <c r="A26" s="1" t="s">
        <v>30</v>
      </c>
      <c r="B26" s="1">
        <v>8.9</v>
      </c>
      <c r="C26" s="1">
        <v>5</v>
      </c>
      <c r="D26" s="1">
        <v>2.1</v>
      </c>
      <c r="E26" s="1">
        <v>0</v>
      </c>
      <c r="F26" s="1">
        <v>0</v>
      </c>
      <c r="G26" s="1">
        <v>1.1000000000000001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24</v>
      </c>
      <c r="E29" s="3">
        <f t="shared" si="1"/>
        <v>0</v>
      </c>
      <c r="F29" s="3">
        <f t="shared" si="1"/>
        <v>44.000000000000007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11.881188118811881</v>
      </c>
      <c r="C30" s="3">
        <f t="shared" ref="C30:G30" si="2">C25/C28*100</f>
        <v>50</v>
      </c>
      <c r="D30" s="3">
        <f t="shared" si="2"/>
        <v>55.000000000000007</v>
      </c>
      <c r="E30" s="3">
        <f t="shared" si="2"/>
        <v>100</v>
      </c>
      <c r="F30" s="3">
        <f t="shared" si="2"/>
        <v>55.999999999999993</v>
      </c>
      <c r="G30" s="3">
        <f t="shared" si="2"/>
        <v>88.8888888888889</v>
      </c>
    </row>
    <row r="31" spans="1:7" x14ac:dyDescent="0.25">
      <c r="A31" s="3" t="s">
        <v>34</v>
      </c>
      <c r="B31" s="3">
        <f>B26/B28*100</f>
        <v>88.118811881188137</v>
      </c>
      <c r="C31" s="3">
        <f t="shared" ref="C31:G31" si="3">C26/C28*100</f>
        <v>50</v>
      </c>
      <c r="D31" s="3">
        <f t="shared" si="3"/>
        <v>21.000000000000004</v>
      </c>
      <c r="E31" s="3">
        <f t="shared" si="3"/>
        <v>0</v>
      </c>
      <c r="F31" s="3">
        <f t="shared" si="3"/>
        <v>0</v>
      </c>
      <c r="G31" s="3">
        <f t="shared" si="3"/>
        <v>11.111111111111112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81.77</v>
      </c>
      <c r="C33" s="3">
        <v>28.74</v>
      </c>
      <c r="D33" s="3">
        <v>4.05</v>
      </c>
      <c r="E33" s="3">
        <v>0.34</v>
      </c>
      <c r="F33" s="3">
        <v>-19.91</v>
      </c>
      <c r="G33" s="3">
        <v>7.2</v>
      </c>
    </row>
    <row r="35" spans="1:7" x14ac:dyDescent="0.25">
      <c r="A35" s="3" t="s">
        <v>36</v>
      </c>
      <c r="B35" s="3"/>
      <c r="C35" s="3"/>
      <c r="D35" s="3">
        <f>D33-C33</f>
        <v>-24.689999999999998</v>
      </c>
      <c r="E35" s="3"/>
      <c r="F35" s="3">
        <f>F33-E33</f>
        <v>-20.25</v>
      </c>
      <c r="G3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56883-43F8-4CA1-BF80-20CEF83C2267}">
  <dimension ref="A1:G35"/>
  <sheetViews>
    <sheetView topLeftCell="A13" workbookViewId="0">
      <selection activeCell="K38" sqref="K3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438.52</v>
      </c>
      <c r="C2" s="1">
        <v>466.64</v>
      </c>
      <c r="D2" s="1">
        <v>473.23</v>
      </c>
      <c r="E2" s="1">
        <v>511.9</v>
      </c>
      <c r="F2" s="1">
        <v>485.82</v>
      </c>
      <c r="G2" s="1">
        <v>489.19</v>
      </c>
    </row>
    <row r="3" spans="1:7" x14ac:dyDescent="0.25">
      <c r="A3" s="1" t="s">
        <v>7</v>
      </c>
      <c r="B3" s="1">
        <v>40.82</v>
      </c>
      <c r="C3" s="1">
        <v>42.66</v>
      </c>
      <c r="D3" s="1">
        <v>44.74</v>
      </c>
      <c r="E3" s="1">
        <v>47.79</v>
      </c>
      <c r="F3" s="1">
        <v>48.17</v>
      </c>
      <c r="G3" s="1">
        <v>54.72</v>
      </c>
    </row>
    <row r="4" spans="1:7" x14ac:dyDescent="0.25">
      <c r="A4" s="1" t="s">
        <v>8</v>
      </c>
      <c r="B4" s="1">
        <v>18190.23</v>
      </c>
      <c r="C4" s="1">
        <v>20239.759999999998</v>
      </c>
      <c r="D4" s="1">
        <v>21526.57</v>
      </c>
      <c r="E4" s="1">
        <v>24886.12</v>
      </c>
      <c r="F4" s="1">
        <v>23804.51</v>
      </c>
      <c r="G4" s="1">
        <v>27215.52</v>
      </c>
    </row>
    <row r="5" spans="1:7" x14ac:dyDescent="0.25">
      <c r="A5" s="1" t="s">
        <v>9</v>
      </c>
      <c r="B5" s="1">
        <v>1839.91</v>
      </c>
      <c r="C5" s="1">
        <v>1994.49</v>
      </c>
      <c r="D5" s="1">
        <v>1392.85</v>
      </c>
      <c r="E5" s="1">
        <v>78.88</v>
      </c>
      <c r="F5" s="1">
        <v>1099.97</v>
      </c>
      <c r="G5" s="1">
        <v>1469.16</v>
      </c>
    </row>
    <row r="6" spans="1:7" x14ac:dyDescent="0.25">
      <c r="A6" s="3" t="s">
        <v>10</v>
      </c>
      <c r="B6" s="3">
        <v>183.99</v>
      </c>
      <c r="C6" s="3">
        <v>201.46</v>
      </c>
      <c r="D6" s="3">
        <v>140.69</v>
      </c>
      <c r="E6" s="3">
        <v>7.97</v>
      </c>
      <c r="F6" s="3">
        <v>111.11</v>
      </c>
      <c r="G6" s="3">
        <v>149.91</v>
      </c>
    </row>
    <row r="7" spans="1:7" x14ac:dyDescent="0.25">
      <c r="A7" s="1" t="s">
        <v>11</v>
      </c>
      <c r="B7" s="1">
        <v>1731.94</v>
      </c>
      <c r="C7" s="1">
        <v>1938.36</v>
      </c>
      <c r="D7" s="1">
        <v>1362.5</v>
      </c>
      <c r="E7" s="1">
        <v>60.51</v>
      </c>
      <c r="F7" s="1">
        <v>1082.07</v>
      </c>
      <c r="G7" s="1">
        <v>1435.88</v>
      </c>
    </row>
    <row r="8" spans="1:7" x14ac:dyDescent="0.25">
      <c r="A8" s="1" t="s">
        <v>12</v>
      </c>
      <c r="B8" s="1">
        <v>173.19</v>
      </c>
      <c r="C8" s="1">
        <v>195.79</v>
      </c>
      <c r="D8" s="1">
        <v>137.63</v>
      </c>
      <c r="E8" s="1">
        <v>6.11</v>
      </c>
      <c r="F8" s="1">
        <v>109.3</v>
      </c>
      <c r="G8" s="1">
        <v>146.52000000000001</v>
      </c>
    </row>
    <row r="9" spans="1:7" x14ac:dyDescent="0.25">
      <c r="A9" s="1" t="s">
        <v>13</v>
      </c>
      <c r="B9" s="1">
        <v>1731.94</v>
      </c>
      <c r="C9" s="1">
        <v>1938.36</v>
      </c>
      <c r="D9" s="1">
        <v>1362.5</v>
      </c>
      <c r="E9" s="1">
        <v>29.12</v>
      </c>
      <c r="F9" s="1">
        <v>1039.6199999999999</v>
      </c>
      <c r="G9" s="1">
        <v>1380.87</v>
      </c>
    </row>
    <row r="10" spans="1:7" x14ac:dyDescent="0.25">
      <c r="A10" s="1" t="s">
        <v>14</v>
      </c>
      <c r="B10" s="1">
        <v>173.19</v>
      </c>
      <c r="C10" s="1">
        <v>195.79</v>
      </c>
      <c r="D10" s="1">
        <v>137.63</v>
      </c>
      <c r="E10" s="1">
        <v>2.94</v>
      </c>
      <c r="F10" s="1">
        <v>105.01</v>
      </c>
      <c r="G10" s="1">
        <v>140.9</v>
      </c>
    </row>
    <row r="11" spans="1:7" x14ac:dyDescent="0.25">
      <c r="A11" s="1" t="s">
        <v>15</v>
      </c>
      <c r="B11" s="1">
        <v>1616.45</v>
      </c>
      <c r="C11" s="1">
        <v>1682.87</v>
      </c>
      <c r="D11" s="1">
        <v>1208.4100000000001</v>
      </c>
      <c r="E11" s="1">
        <v>27.53</v>
      </c>
      <c r="F11" s="1">
        <v>873.6</v>
      </c>
      <c r="G11" s="1">
        <v>1038.6500000000001</v>
      </c>
    </row>
    <row r="12" spans="1:7" x14ac:dyDescent="0.25">
      <c r="A12" s="1" t="s">
        <v>16</v>
      </c>
      <c r="B12" s="1">
        <v>270.08</v>
      </c>
      <c r="C12" s="1">
        <v>293.04000000000002</v>
      </c>
      <c r="D12" s="1">
        <v>267.29000000000002</v>
      </c>
      <c r="E12" s="1">
        <v>263.73</v>
      </c>
      <c r="F12" s="1">
        <v>261.79000000000002</v>
      </c>
      <c r="G12" s="1">
        <v>261.35000000000002</v>
      </c>
    </row>
    <row r="13" spans="1:7" x14ac:dyDescent="0.25">
      <c r="A13" s="1" t="s">
        <v>17</v>
      </c>
      <c r="B13" s="1">
        <v>23.45</v>
      </c>
      <c r="C13" s="1">
        <v>34.35</v>
      </c>
      <c r="D13" s="1">
        <v>29.97</v>
      </c>
      <c r="E13" s="1">
        <v>26.33</v>
      </c>
      <c r="F13" s="1">
        <v>30.2</v>
      </c>
      <c r="G13" s="1">
        <v>35.86</v>
      </c>
    </row>
    <row r="14" spans="1:7" x14ac:dyDescent="0.25">
      <c r="A14" s="1" t="s">
        <v>18</v>
      </c>
      <c r="B14" s="1">
        <v>66.900000000000006</v>
      </c>
      <c r="C14" s="1">
        <v>64.209999999999994</v>
      </c>
      <c r="D14" s="1">
        <v>62.99</v>
      </c>
      <c r="E14" s="1">
        <v>34.090000000000003</v>
      </c>
      <c r="F14" s="1">
        <v>58.26</v>
      </c>
      <c r="G14" s="1">
        <v>95.84</v>
      </c>
    </row>
    <row r="15" spans="1:7" x14ac:dyDescent="0.25">
      <c r="A15" s="1" t="s">
        <v>19</v>
      </c>
      <c r="B15" s="1">
        <v>9</v>
      </c>
      <c r="C15" s="1">
        <v>10</v>
      </c>
      <c r="D15" s="1">
        <v>4</v>
      </c>
      <c r="E15" s="1">
        <v>1</v>
      </c>
      <c r="F15" s="1">
        <v>6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1731.94</v>
      </c>
      <c r="C17" s="1">
        <v>1938.36</v>
      </c>
      <c r="D17" s="1">
        <v>1362.5</v>
      </c>
      <c r="E17" s="1">
        <v>44.81</v>
      </c>
      <c r="F17" s="1">
        <v>1060.8499999999999</v>
      </c>
      <c r="G17" s="1">
        <v>1408.37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15.7</v>
      </c>
      <c r="F18" s="1">
        <v>21.23</v>
      </c>
      <c r="G18" s="1">
        <v>27.51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1.2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8.8000000000000007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2.2000000000000002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0</v>
      </c>
      <c r="F26" s="1">
        <v>7.8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22.000000000000004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78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178.75</v>
      </c>
      <c r="C33" s="3">
        <v>198.66</v>
      </c>
      <c r="D33" s="3">
        <v>140.69999999999999</v>
      </c>
      <c r="E33" s="3">
        <v>3.32</v>
      </c>
      <c r="F33" s="3">
        <v>99.67</v>
      </c>
      <c r="G33" s="3">
        <v>139.18</v>
      </c>
    </row>
    <row r="35" spans="1:7" x14ac:dyDescent="0.25">
      <c r="A35" s="3" t="s">
        <v>36</v>
      </c>
      <c r="B35" s="3"/>
      <c r="C35" s="3"/>
      <c r="D35" s="3">
        <f>D33-C33</f>
        <v>-57.960000000000008</v>
      </c>
      <c r="E35" s="3"/>
      <c r="F35" s="3">
        <f>F33-E33</f>
        <v>96.350000000000009</v>
      </c>
      <c r="G35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F3A35-4A11-4AAA-BA32-551A75C205C2}">
  <dimension ref="A1:G35"/>
  <sheetViews>
    <sheetView workbookViewId="0">
      <selection activeCell="J15" sqref="J1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351.52</v>
      </c>
      <c r="C2" s="1">
        <v>388.46</v>
      </c>
      <c r="D2" s="1">
        <v>440.35</v>
      </c>
      <c r="E2" s="1">
        <v>431.9</v>
      </c>
      <c r="F2" s="1">
        <v>397.71</v>
      </c>
      <c r="G2" s="1">
        <v>352.41</v>
      </c>
    </row>
    <row r="3" spans="1:7" x14ac:dyDescent="0.25">
      <c r="A3" s="1" t="s">
        <v>7</v>
      </c>
      <c r="B3" s="1">
        <v>36.11</v>
      </c>
      <c r="C3" s="1">
        <v>37.700000000000003</v>
      </c>
      <c r="D3" s="1">
        <v>41.69</v>
      </c>
      <c r="E3" s="1">
        <v>41.05</v>
      </c>
      <c r="F3" s="1">
        <v>41.24</v>
      </c>
      <c r="G3" s="1">
        <v>40.1</v>
      </c>
    </row>
    <row r="4" spans="1:7" x14ac:dyDescent="0.25">
      <c r="A4" s="1" t="s">
        <v>8</v>
      </c>
      <c r="B4" s="1">
        <v>12889.16</v>
      </c>
      <c r="C4" s="1">
        <v>14871.54</v>
      </c>
      <c r="D4" s="1">
        <v>18709.23</v>
      </c>
      <c r="E4" s="1">
        <v>18032.509999999998</v>
      </c>
      <c r="F4" s="1">
        <v>16687.57</v>
      </c>
      <c r="G4" s="1">
        <v>14370.16</v>
      </c>
    </row>
    <row r="5" spans="1:7" x14ac:dyDescent="0.25">
      <c r="A5" s="1" t="s">
        <v>9</v>
      </c>
      <c r="B5" s="1">
        <v>1866.29</v>
      </c>
      <c r="C5" s="1">
        <v>2131.98</v>
      </c>
      <c r="D5" s="1">
        <v>1237.48</v>
      </c>
      <c r="E5" s="1">
        <v>116.29</v>
      </c>
      <c r="F5" s="1">
        <v>404.11</v>
      </c>
      <c r="G5" s="1">
        <v>1138.08</v>
      </c>
    </row>
    <row r="6" spans="1:7" x14ac:dyDescent="0.25">
      <c r="A6" s="3" t="s">
        <v>10</v>
      </c>
      <c r="B6" s="3">
        <v>186.63</v>
      </c>
      <c r="C6" s="3">
        <v>215.35</v>
      </c>
      <c r="D6" s="3">
        <v>125</v>
      </c>
      <c r="E6" s="3">
        <v>11.75</v>
      </c>
      <c r="F6" s="3">
        <v>40.82</v>
      </c>
      <c r="G6" s="3">
        <v>116.13</v>
      </c>
    </row>
    <row r="7" spans="1:7" x14ac:dyDescent="0.25">
      <c r="A7" s="1" t="s">
        <v>11</v>
      </c>
      <c r="B7" s="1">
        <v>1769.49</v>
      </c>
      <c r="C7" s="1">
        <v>2000.67</v>
      </c>
      <c r="D7" s="1">
        <v>1187.83</v>
      </c>
      <c r="E7" s="1">
        <v>109.78</v>
      </c>
      <c r="F7" s="1">
        <v>397.41</v>
      </c>
      <c r="G7" s="1">
        <v>1073.8399999999999</v>
      </c>
    </row>
    <row r="8" spans="1:7" x14ac:dyDescent="0.25">
      <c r="A8" s="1" t="s">
        <v>12</v>
      </c>
      <c r="B8" s="1">
        <v>176.95</v>
      </c>
      <c r="C8" s="1">
        <v>202.09</v>
      </c>
      <c r="D8" s="1">
        <v>119.98</v>
      </c>
      <c r="E8" s="1">
        <v>11.09</v>
      </c>
      <c r="F8" s="1">
        <v>40.14</v>
      </c>
      <c r="G8" s="1">
        <v>109.58</v>
      </c>
    </row>
    <row r="9" spans="1:7" x14ac:dyDescent="0.25">
      <c r="A9" s="1" t="s">
        <v>13</v>
      </c>
      <c r="B9" s="1">
        <v>1596.48</v>
      </c>
      <c r="C9" s="1">
        <v>2000.67</v>
      </c>
      <c r="D9" s="1">
        <v>1180.52</v>
      </c>
      <c r="E9" s="1">
        <v>22.46</v>
      </c>
      <c r="F9" s="1">
        <v>-334.64</v>
      </c>
      <c r="G9" s="1">
        <v>-592.98</v>
      </c>
    </row>
    <row r="10" spans="1:7" x14ac:dyDescent="0.25">
      <c r="A10" s="1" t="s">
        <v>14</v>
      </c>
      <c r="B10" s="1">
        <v>159.65</v>
      </c>
      <c r="C10" s="1">
        <v>202.09</v>
      </c>
      <c r="D10" s="1">
        <v>119.24</v>
      </c>
      <c r="E10" s="1">
        <v>2.27</v>
      </c>
      <c r="F10" s="1">
        <v>-33.799999999999997</v>
      </c>
      <c r="G10" s="1">
        <v>-60.51</v>
      </c>
    </row>
    <row r="11" spans="1:7" x14ac:dyDescent="0.25">
      <c r="A11" s="1" t="s">
        <v>15</v>
      </c>
      <c r="B11" s="1">
        <v>863.32</v>
      </c>
      <c r="C11" s="1">
        <v>1762.83</v>
      </c>
      <c r="D11" s="1">
        <v>1094.4000000000001</v>
      </c>
      <c r="E11" s="1">
        <v>7.18</v>
      </c>
      <c r="F11" s="1">
        <v>308.54000000000002</v>
      </c>
      <c r="G11" s="1">
        <v>70.97</v>
      </c>
    </row>
    <row r="12" spans="1:7" x14ac:dyDescent="0.25">
      <c r="A12" s="1" t="s">
        <v>16</v>
      </c>
      <c r="B12" s="1">
        <v>199.65</v>
      </c>
      <c r="C12" s="1">
        <v>248.36</v>
      </c>
      <c r="D12" s="1">
        <v>247.8</v>
      </c>
      <c r="E12" s="1">
        <v>265.94</v>
      </c>
      <c r="F12" s="1">
        <v>223.81</v>
      </c>
      <c r="G12" s="1">
        <v>192.3</v>
      </c>
    </row>
    <row r="13" spans="1:7" x14ac:dyDescent="0.25">
      <c r="A13" s="1" t="s">
        <v>17</v>
      </c>
      <c r="B13" s="1">
        <v>32.299999999999997</v>
      </c>
      <c r="C13" s="1">
        <v>29.35</v>
      </c>
      <c r="D13" s="1">
        <v>23.35</v>
      </c>
      <c r="E13" s="1">
        <v>10.98</v>
      </c>
      <c r="F13" s="1">
        <v>22.65</v>
      </c>
      <c r="G13" s="1">
        <v>28.86</v>
      </c>
    </row>
    <row r="14" spans="1:7" x14ac:dyDescent="0.25">
      <c r="A14" s="1" t="s">
        <v>18</v>
      </c>
      <c r="B14" s="1">
        <v>54.58</v>
      </c>
      <c r="C14" s="1">
        <v>65.28</v>
      </c>
      <c r="D14" s="1">
        <v>59.12</v>
      </c>
      <c r="E14" s="1">
        <v>19.22</v>
      </c>
      <c r="F14" s="1">
        <v>41.99</v>
      </c>
      <c r="G14" s="1">
        <v>65.180000000000007</v>
      </c>
    </row>
    <row r="15" spans="1:7" x14ac:dyDescent="0.25">
      <c r="A15" s="1" t="s">
        <v>19</v>
      </c>
      <c r="B15" s="1">
        <v>9</v>
      </c>
      <c r="C15" s="1">
        <v>12</v>
      </c>
      <c r="D15" s="1">
        <v>5</v>
      </c>
      <c r="E15" s="1">
        <v>0</v>
      </c>
      <c r="F15" s="1">
        <v>3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1682.98</v>
      </c>
      <c r="C17" s="1">
        <v>2000.67</v>
      </c>
      <c r="D17" s="1">
        <v>1184.18</v>
      </c>
      <c r="E17" s="1">
        <v>66.12</v>
      </c>
      <c r="F17" s="1">
        <v>31.39</v>
      </c>
      <c r="G17" s="1">
        <v>240.43</v>
      </c>
    </row>
    <row r="18" spans="1:7" x14ac:dyDescent="0.25">
      <c r="A18" s="1" t="s">
        <v>22</v>
      </c>
      <c r="B18" s="1">
        <v>86.5</v>
      </c>
      <c r="C18" s="1">
        <v>0</v>
      </c>
      <c r="D18" s="1">
        <v>3.66</v>
      </c>
      <c r="E18" s="1">
        <v>43.66</v>
      </c>
      <c r="F18" s="1">
        <v>366.02</v>
      </c>
      <c r="G18" s="1">
        <v>833.41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3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3.5</v>
      </c>
      <c r="F20" s="1">
        <v>7.2</v>
      </c>
      <c r="G20" s="1">
        <v>4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6.5</v>
      </c>
      <c r="F21" s="1">
        <v>2.8</v>
      </c>
      <c r="G21" s="1">
        <v>5.9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6.1</v>
      </c>
      <c r="G24" s="1">
        <v>3.5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3.9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0</v>
      </c>
      <c r="F26" s="1">
        <v>0</v>
      </c>
      <c r="G26" s="1">
        <v>6.4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61</v>
      </c>
      <c r="G29" s="3">
        <f t="shared" si="1"/>
        <v>35.353535353535356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39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0</v>
      </c>
      <c r="G31" s="3">
        <f t="shared" si="3"/>
        <v>64.646464646464651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153.15</v>
      </c>
      <c r="C33" s="3">
        <v>210.71</v>
      </c>
      <c r="D33" s="3">
        <v>125.94</v>
      </c>
      <c r="E33" s="3">
        <v>0.95</v>
      </c>
      <c r="F33" s="3">
        <v>-33.409999999999997</v>
      </c>
      <c r="G33" s="3">
        <v>-11.47</v>
      </c>
    </row>
    <row r="35" spans="1:7" x14ac:dyDescent="0.25">
      <c r="A35" s="3" t="s">
        <v>36</v>
      </c>
      <c r="B35" s="3"/>
      <c r="C35" s="3"/>
      <c r="D35" s="3">
        <f>D33-C33</f>
        <v>-84.77000000000001</v>
      </c>
      <c r="E35" s="3"/>
      <c r="F35" s="3">
        <f>F33-E33</f>
        <v>-34.36</v>
      </c>
      <c r="G35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5C38-EB0F-48D2-A182-8FBEC50C3DAD}">
  <dimension ref="A1:G35"/>
  <sheetViews>
    <sheetView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473.29</v>
      </c>
      <c r="C2" s="1">
        <v>499.97</v>
      </c>
      <c r="D2" s="1">
        <v>486.88</v>
      </c>
      <c r="E2" s="1">
        <v>425.33</v>
      </c>
      <c r="F2" s="1">
        <v>412.72</v>
      </c>
      <c r="G2" s="1">
        <v>432.59</v>
      </c>
    </row>
    <row r="3" spans="1:7" x14ac:dyDescent="0.25">
      <c r="A3" s="1" t="s">
        <v>7</v>
      </c>
      <c r="B3" s="1">
        <v>44.57</v>
      </c>
      <c r="C3" s="1">
        <v>47.07</v>
      </c>
      <c r="D3" s="1">
        <v>46.13</v>
      </c>
      <c r="E3" s="1">
        <v>45.92</v>
      </c>
      <c r="F3" s="1">
        <v>44.56</v>
      </c>
      <c r="G3" s="1">
        <v>44.65</v>
      </c>
    </row>
    <row r="4" spans="1:7" x14ac:dyDescent="0.25">
      <c r="A4" s="1" t="s">
        <v>8</v>
      </c>
      <c r="B4" s="1">
        <v>21444.95</v>
      </c>
      <c r="C4" s="1">
        <v>23944.98</v>
      </c>
      <c r="D4" s="1">
        <v>22844.02</v>
      </c>
      <c r="E4" s="1">
        <v>19869.330000000002</v>
      </c>
      <c r="F4" s="1">
        <v>18688.02</v>
      </c>
      <c r="G4" s="1">
        <v>19611.88</v>
      </c>
    </row>
    <row r="5" spans="1:7" x14ac:dyDescent="0.25">
      <c r="A5" s="1" t="s">
        <v>9</v>
      </c>
      <c r="B5" s="1">
        <v>3058.71</v>
      </c>
      <c r="C5" s="1">
        <v>3074.67</v>
      </c>
      <c r="D5" s="1">
        <v>2649.9</v>
      </c>
      <c r="E5" s="1">
        <v>469.09</v>
      </c>
      <c r="F5" s="1">
        <v>974.2</v>
      </c>
      <c r="G5" s="1">
        <v>1909.07</v>
      </c>
    </row>
    <row r="6" spans="1:7" x14ac:dyDescent="0.25">
      <c r="A6" s="3" t="s">
        <v>10</v>
      </c>
      <c r="B6" s="3">
        <v>305.87</v>
      </c>
      <c r="C6" s="3">
        <v>310.57</v>
      </c>
      <c r="D6" s="3">
        <v>267.67</v>
      </c>
      <c r="E6" s="3">
        <v>47.38</v>
      </c>
      <c r="F6" s="3">
        <v>98.4</v>
      </c>
      <c r="G6" s="3">
        <v>194.8</v>
      </c>
    </row>
    <row r="7" spans="1:7" x14ac:dyDescent="0.25">
      <c r="A7" s="1" t="s">
        <v>11</v>
      </c>
      <c r="B7" s="1">
        <v>2740.59</v>
      </c>
      <c r="C7" s="1">
        <v>2884.85</v>
      </c>
      <c r="D7" s="1">
        <v>2482.06</v>
      </c>
      <c r="E7" s="1">
        <v>455.79</v>
      </c>
      <c r="F7" s="1">
        <v>934.33</v>
      </c>
      <c r="G7" s="1">
        <v>1732.57</v>
      </c>
    </row>
    <row r="8" spans="1:7" x14ac:dyDescent="0.25">
      <c r="A8" s="1" t="s">
        <v>12</v>
      </c>
      <c r="B8" s="1">
        <v>274.06</v>
      </c>
      <c r="C8" s="1">
        <v>291.39999999999998</v>
      </c>
      <c r="D8" s="1">
        <v>250.71</v>
      </c>
      <c r="E8" s="1">
        <v>46.04</v>
      </c>
      <c r="F8" s="1">
        <v>94.38</v>
      </c>
      <c r="G8" s="1">
        <v>176.79</v>
      </c>
    </row>
    <row r="9" spans="1:7" x14ac:dyDescent="0.25">
      <c r="A9" s="1" t="s">
        <v>13</v>
      </c>
      <c r="B9" s="1">
        <v>2740.59</v>
      </c>
      <c r="C9" s="1">
        <v>2884.85</v>
      </c>
      <c r="D9" s="1">
        <v>2280.81</v>
      </c>
      <c r="E9" s="1">
        <v>443.15</v>
      </c>
      <c r="F9" s="1">
        <v>419.67</v>
      </c>
      <c r="G9" s="1">
        <v>-1068.25</v>
      </c>
    </row>
    <row r="10" spans="1:7" x14ac:dyDescent="0.25">
      <c r="A10" s="1" t="s">
        <v>14</v>
      </c>
      <c r="B10" s="1">
        <v>274.06</v>
      </c>
      <c r="C10" s="1">
        <v>291.39999999999998</v>
      </c>
      <c r="D10" s="1">
        <v>230.39</v>
      </c>
      <c r="E10" s="1">
        <v>44.76</v>
      </c>
      <c r="F10" s="1">
        <v>42.39</v>
      </c>
      <c r="G10" s="1">
        <v>-109.01</v>
      </c>
    </row>
    <row r="11" spans="1:7" x14ac:dyDescent="0.25">
      <c r="A11" s="1" t="s">
        <v>15</v>
      </c>
      <c r="B11" s="1">
        <v>2294.54</v>
      </c>
      <c r="C11" s="1">
        <v>2640.95</v>
      </c>
      <c r="D11" s="1">
        <v>2193.6999999999998</v>
      </c>
      <c r="E11" s="1">
        <v>407.07</v>
      </c>
      <c r="F11" s="1">
        <v>92.14</v>
      </c>
      <c r="G11" s="1">
        <v>169.8</v>
      </c>
    </row>
    <row r="12" spans="1:7" x14ac:dyDescent="0.25">
      <c r="A12" s="1" t="s">
        <v>16</v>
      </c>
      <c r="B12" s="1">
        <v>286.85000000000002</v>
      </c>
      <c r="C12" s="1">
        <v>288.31</v>
      </c>
      <c r="D12" s="1">
        <v>300.16000000000003</v>
      </c>
      <c r="E12" s="1">
        <v>226.68</v>
      </c>
      <c r="F12" s="1">
        <v>243.81</v>
      </c>
      <c r="G12" s="1">
        <v>225.18</v>
      </c>
    </row>
    <row r="13" spans="1:7" x14ac:dyDescent="0.25">
      <c r="A13" s="1" t="s">
        <v>17</v>
      </c>
      <c r="B13" s="1">
        <v>40.409999999999997</v>
      </c>
      <c r="C13" s="1">
        <v>40.049999999999997</v>
      </c>
      <c r="D13" s="1">
        <v>35.22</v>
      </c>
      <c r="E13" s="1">
        <v>16.45</v>
      </c>
      <c r="F13" s="1">
        <v>32.35</v>
      </c>
      <c r="G13" s="1">
        <v>41.82</v>
      </c>
    </row>
    <row r="14" spans="1:7" x14ac:dyDescent="0.25">
      <c r="A14" s="1" t="s">
        <v>18</v>
      </c>
      <c r="B14" s="1">
        <v>86.65</v>
      </c>
      <c r="C14" s="1">
        <v>80.63</v>
      </c>
      <c r="D14" s="1">
        <v>74.5</v>
      </c>
      <c r="E14" s="1">
        <v>42.04</v>
      </c>
      <c r="F14" s="1">
        <v>56.14</v>
      </c>
      <c r="G14" s="1">
        <v>78.28</v>
      </c>
    </row>
    <row r="15" spans="1:7" x14ac:dyDescent="0.25">
      <c r="A15" s="1" t="s">
        <v>19</v>
      </c>
      <c r="B15" s="1">
        <v>10</v>
      </c>
      <c r="C15" s="1">
        <v>9</v>
      </c>
      <c r="D15" s="1">
        <v>7</v>
      </c>
      <c r="E15" s="1">
        <v>3</v>
      </c>
      <c r="F15" s="1">
        <v>3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2740.59</v>
      </c>
      <c r="C17" s="1">
        <v>2884.85</v>
      </c>
      <c r="D17" s="1">
        <v>2381.44</v>
      </c>
      <c r="E17" s="1">
        <v>449.47</v>
      </c>
      <c r="F17" s="1">
        <v>677</v>
      </c>
      <c r="G17" s="1">
        <v>332.16</v>
      </c>
    </row>
    <row r="18" spans="1:7" x14ac:dyDescent="0.25">
      <c r="A18" s="1" t="s">
        <v>22</v>
      </c>
      <c r="B18" s="1">
        <v>0</v>
      </c>
      <c r="C18" s="1">
        <v>0</v>
      </c>
      <c r="D18" s="1">
        <v>100.62</v>
      </c>
      <c r="E18" s="1">
        <v>6.32</v>
      </c>
      <c r="F18" s="1">
        <v>257.33</v>
      </c>
      <c r="G18" s="1">
        <v>1400.41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2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3.4</v>
      </c>
      <c r="G20" s="1">
        <v>6.3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6.6</v>
      </c>
      <c r="G21" s="1">
        <v>3.6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2.5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2.9</v>
      </c>
      <c r="G24" s="1">
        <v>5.9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3.9</v>
      </c>
      <c r="F25" s="1">
        <v>1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6.1</v>
      </c>
      <c r="F26" s="1">
        <v>6.1</v>
      </c>
      <c r="G26" s="1">
        <v>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28.999999999999996</v>
      </c>
      <c r="G29" s="3">
        <f t="shared" si="1"/>
        <v>59.595959595959599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39</v>
      </c>
      <c r="F30" s="3">
        <f t="shared" si="2"/>
        <v>10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61</v>
      </c>
      <c r="F31" s="3">
        <f t="shared" si="3"/>
        <v>61</v>
      </c>
      <c r="G31" s="3">
        <f t="shared" si="3"/>
        <v>40.404040404040401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296.86</v>
      </c>
      <c r="C33" s="3">
        <v>307</v>
      </c>
      <c r="D33" s="3">
        <v>242.98</v>
      </c>
      <c r="E33" s="3">
        <v>48.01</v>
      </c>
      <c r="F33" s="3">
        <v>9.7200000000000006</v>
      </c>
      <c r="G33" s="3">
        <v>-99.88</v>
      </c>
    </row>
    <row r="35" spans="1:7" x14ac:dyDescent="0.25">
      <c r="A35" s="3" t="s">
        <v>36</v>
      </c>
      <c r="B35" s="3"/>
      <c r="C35" s="3"/>
      <c r="D35" s="3">
        <f>D33-C33</f>
        <v>-64.02000000000001</v>
      </c>
      <c r="E35" s="3"/>
      <c r="F35" s="3">
        <f>F33-E33</f>
        <v>-38.29</v>
      </c>
      <c r="G35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904A-DD1F-445C-9AB6-3E0A66FFD1D0}">
  <dimension ref="A1:G35"/>
  <sheetViews>
    <sheetView workbookViewId="0">
      <selection activeCell="N20" sqref="N2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436.66</v>
      </c>
      <c r="C2" s="1">
        <v>343.19</v>
      </c>
      <c r="D2" s="1">
        <v>337.27</v>
      </c>
      <c r="E2" s="1">
        <v>285.60000000000002</v>
      </c>
      <c r="F2" s="1">
        <v>331.52</v>
      </c>
      <c r="G2" s="1">
        <v>414.27</v>
      </c>
    </row>
    <row r="3" spans="1:7" x14ac:dyDescent="0.25">
      <c r="A3" s="1" t="s">
        <v>7</v>
      </c>
      <c r="B3" s="1">
        <v>35.119999999999997</v>
      </c>
      <c r="C3" s="1">
        <v>29.2</v>
      </c>
      <c r="D3" s="1">
        <v>29.52</v>
      </c>
      <c r="E3" s="1">
        <v>23.58</v>
      </c>
      <c r="F3" s="1">
        <v>31</v>
      </c>
      <c r="G3" s="1">
        <v>33.880000000000003</v>
      </c>
    </row>
    <row r="4" spans="1:7" x14ac:dyDescent="0.25">
      <c r="A4" s="1" t="s">
        <v>8</v>
      </c>
      <c r="B4" s="1">
        <v>15575.83</v>
      </c>
      <c r="C4" s="1">
        <v>10131.030000000001</v>
      </c>
      <c r="D4" s="1">
        <v>10103.700000000001</v>
      </c>
      <c r="E4" s="1">
        <v>6849.86</v>
      </c>
      <c r="F4" s="1">
        <v>10552.14</v>
      </c>
      <c r="G4" s="1">
        <v>14228.77</v>
      </c>
    </row>
    <row r="5" spans="1:7" x14ac:dyDescent="0.25">
      <c r="A5" s="1" t="s">
        <v>9</v>
      </c>
      <c r="B5" s="1">
        <v>1988.82</v>
      </c>
      <c r="C5" s="1">
        <v>1465.21</v>
      </c>
      <c r="D5" s="1">
        <v>1808.35</v>
      </c>
      <c r="E5" s="1">
        <v>136.05000000000001</v>
      </c>
      <c r="F5" s="1">
        <v>694.64</v>
      </c>
      <c r="G5" s="1">
        <v>1093.08</v>
      </c>
    </row>
    <row r="6" spans="1:7" x14ac:dyDescent="0.25">
      <c r="A6" s="3" t="s">
        <v>10</v>
      </c>
      <c r="B6" s="3">
        <v>198.88</v>
      </c>
      <c r="C6" s="3">
        <v>148</v>
      </c>
      <c r="D6" s="3">
        <v>182.66</v>
      </c>
      <c r="E6" s="3">
        <v>13.74</v>
      </c>
      <c r="F6" s="3">
        <v>70.17</v>
      </c>
      <c r="G6" s="3">
        <v>111.54</v>
      </c>
    </row>
    <row r="7" spans="1:7" x14ac:dyDescent="0.25">
      <c r="A7" s="1" t="s">
        <v>11</v>
      </c>
      <c r="B7" s="1">
        <v>1869.17</v>
      </c>
      <c r="C7" s="1">
        <v>1392.65</v>
      </c>
      <c r="D7" s="1">
        <v>1753.16</v>
      </c>
      <c r="E7" s="1">
        <v>121.73</v>
      </c>
      <c r="F7" s="1">
        <v>675.13</v>
      </c>
      <c r="G7" s="1">
        <v>1038.9000000000001</v>
      </c>
    </row>
    <row r="8" spans="1:7" x14ac:dyDescent="0.25">
      <c r="A8" s="1" t="s">
        <v>12</v>
      </c>
      <c r="B8" s="1">
        <v>186.92</v>
      </c>
      <c r="C8" s="1">
        <v>140.66999999999999</v>
      </c>
      <c r="D8" s="1">
        <v>177.09</v>
      </c>
      <c r="E8" s="1">
        <v>12.3</v>
      </c>
      <c r="F8" s="1">
        <v>68.19</v>
      </c>
      <c r="G8" s="1">
        <v>106.01</v>
      </c>
    </row>
    <row r="9" spans="1:7" x14ac:dyDescent="0.25">
      <c r="A9" s="1" t="s">
        <v>13</v>
      </c>
      <c r="B9" s="1">
        <v>927.35</v>
      </c>
      <c r="C9" s="1">
        <v>1378.84</v>
      </c>
      <c r="D9" s="1">
        <v>1751.83</v>
      </c>
      <c r="E9" s="1">
        <v>13.27</v>
      </c>
      <c r="F9" s="1">
        <v>-451.83</v>
      </c>
      <c r="G9" s="1">
        <v>-732.67</v>
      </c>
    </row>
    <row r="10" spans="1:7" x14ac:dyDescent="0.25">
      <c r="A10" s="1" t="s">
        <v>14</v>
      </c>
      <c r="B10" s="1">
        <v>92.73</v>
      </c>
      <c r="C10" s="1">
        <v>139.28</v>
      </c>
      <c r="D10" s="1">
        <v>176.95</v>
      </c>
      <c r="E10" s="1">
        <v>1.34</v>
      </c>
      <c r="F10" s="1">
        <v>-45.64</v>
      </c>
      <c r="G10" s="1">
        <v>-74.760000000000005</v>
      </c>
    </row>
    <row r="11" spans="1:7" x14ac:dyDescent="0.25">
      <c r="A11" s="1" t="s">
        <v>15</v>
      </c>
      <c r="B11" s="1">
        <v>430</v>
      </c>
      <c r="C11" s="1">
        <v>1278.92</v>
      </c>
      <c r="D11" s="1">
        <v>1590.02</v>
      </c>
      <c r="E11" s="1">
        <v>5.12</v>
      </c>
      <c r="F11" s="1">
        <v>247.85</v>
      </c>
      <c r="G11" s="1">
        <v>391.72</v>
      </c>
    </row>
    <row r="12" spans="1:7" x14ac:dyDescent="0.25">
      <c r="A12" s="1" t="s">
        <v>16</v>
      </c>
      <c r="B12" s="1">
        <v>276.79000000000002</v>
      </c>
      <c r="C12" s="1">
        <v>211.36</v>
      </c>
      <c r="D12" s="1">
        <v>204.5</v>
      </c>
      <c r="E12" s="1">
        <v>157.35</v>
      </c>
      <c r="F12" s="1">
        <v>220.79</v>
      </c>
      <c r="G12" s="1">
        <v>230.97</v>
      </c>
    </row>
    <row r="13" spans="1:7" x14ac:dyDescent="0.25">
      <c r="A13" s="1" t="s">
        <v>17</v>
      </c>
      <c r="B13" s="1">
        <v>36.31</v>
      </c>
      <c r="C13" s="1">
        <v>21.85</v>
      </c>
      <c r="D13" s="1">
        <v>24.87</v>
      </c>
      <c r="E13" s="1">
        <v>12.97</v>
      </c>
      <c r="F13" s="1">
        <v>31.7</v>
      </c>
      <c r="G13" s="1">
        <v>30.24</v>
      </c>
    </row>
    <row r="14" spans="1:7" x14ac:dyDescent="0.25">
      <c r="A14" s="1" t="s">
        <v>18</v>
      </c>
      <c r="B14" s="1">
        <v>74.42</v>
      </c>
      <c r="C14" s="1">
        <v>44.12</v>
      </c>
      <c r="D14" s="1">
        <v>45.93</v>
      </c>
      <c r="E14" s="1">
        <v>17.84</v>
      </c>
      <c r="F14" s="1">
        <v>63.12</v>
      </c>
      <c r="G14" s="1">
        <v>69.94</v>
      </c>
    </row>
    <row r="15" spans="1:7" x14ac:dyDescent="0.25">
      <c r="A15" s="1" t="s">
        <v>19</v>
      </c>
      <c r="B15" s="1">
        <v>9</v>
      </c>
      <c r="C15" s="1">
        <v>7</v>
      </c>
      <c r="D15" s="1">
        <v>9</v>
      </c>
      <c r="E15" s="1">
        <v>1</v>
      </c>
      <c r="F15" s="1">
        <v>5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1398.26</v>
      </c>
      <c r="C17" s="1">
        <v>1385.75</v>
      </c>
      <c r="D17" s="1">
        <v>1752.5</v>
      </c>
      <c r="E17" s="1">
        <v>67.5</v>
      </c>
      <c r="F17" s="1">
        <v>111.65</v>
      </c>
      <c r="G17" s="1">
        <v>153.11000000000001</v>
      </c>
    </row>
    <row r="18" spans="1:7" x14ac:dyDescent="0.25">
      <c r="A18" s="1" t="s">
        <v>22</v>
      </c>
      <c r="B18" s="1">
        <v>470.91</v>
      </c>
      <c r="C18" s="1">
        <v>6.91</v>
      </c>
      <c r="D18" s="1">
        <v>0.66</v>
      </c>
      <c r="E18" s="1">
        <v>54.23</v>
      </c>
      <c r="F18" s="1">
        <v>563.48</v>
      </c>
      <c r="G18" s="1">
        <v>885.79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</row>
    <row r="20" spans="1:7" x14ac:dyDescent="0.25">
      <c r="A20" s="1" t="s">
        <v>24</v>
      </c>
      <c r="B20" s="1">
        <v>4</v>
      </c>
      <c r="C20" s="1">
        <v>0</v>
      </c>
      <c r="D20" s="1">
        <v>0</v>
      </c>
      <c r="E20" s="1">
        <v>0</v>
      </c>
      <c r="F20" s="1">
        <v>6</v>
      </c>
      <c r="G20" s="1">
        <v>4.5999999999999996</v>
      </c>
    </row>
    <row r="21" spans="1:7" x14ac:dyDescent="0.25">
      <c r="A21" s="1" t="s">
        <v>25</v>
      </c>
      <c r="B21" s="1">
        <v>6.1</v>
      </c>
      <c r="C21" s="1">
        <v>10</v>
      </c>
      <c r="D21" s="1">
        <v>10</v>
      </c>
      <c r="E21" s="1">
        <v>10</v>
      </c>
      <c r="F21" s="1">
        <v>4</v>
      </c>
      <c r="G21" s="1">
        <v>5.3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3.9</v>
      </c>
      <c r="C24" s="1">
        <v>0</v>
      </c>
      <c r="D24" s="1">
        <v>0</v>
      </c>
      <c r="E24" s="1">
        <v>0</v>
      </c>
      <c r="F24" s="1">
        <v>5.5</v>
      </c>
      <c r="G24" s="1">
        <v>5.0999999999999996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2.6</v>
      </c>
      <c r="G25" s="1">
        <v>2.5</v>
      </c>
    </row>
    <row r="26" spans="1:7" x14ac:dyDescent="0.25">
      <c r="A26" s="1" t="s">
        <v>30</v>
      </c>
      <c r="B26" s="1">
        <v>6.2</v>
      </c>
      <c r="C26" s="1">
        <v>10</v>
      </c>
      <c r="D26" s="1">
        <v>10</v>
      </c>
      <c r="E26" s="1">
        <v>0</v>
      </c>
      <c r="F26" s="1">
        <v>1.9</v>
      </c>
      <c r="G26" s="1">
        <v>2.2999999999999998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38.613861386138616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55.000000000000007</v>
      </c>
      <c r="G29" s="3">
        <f t="shared" si="1"/>
        <v>51.515151515151516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26</v>
      </c>
      <c r="G30" s="3">
        <f t="shared" si="2"/>
        <v>25.252525252525253</v>
      </c>
    </row>
    <row r="31" spans="1:7" x14ac:dyDescent="0.25">
      <c r="A31" s="3" t="s">
        <v>34</v>
      </c>
      <c r="B31" s="3">
        <f>B26/B28*100</f>
        <v>61.386138613861384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19</v>
      </c>
      <c r="G31" s="3">
        <f t="shared" si="3"/>
        <v>23.232323232323235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6.51</v>
      </c>
      <c r="C33" s="3">
        <v>144.71</v>
      </c>
      <c r="D33" s="3">
        <v>183.57</v>
      </c>
      <c r="E33" s="3">
        <v>0.49</v>
      </c>
      <c r="F33" s="3">
        <v>-26.5</v>
      </c>
      <c r="G33" s="3">
        <v>-49.05</v>
      </c>
    </row>
    <row r="35" spans="1:7" x14ac:dyDescent="0.25">
      <c r="A35" s="3" t="s">
        <v>36</v>
      </c>
      <c r="B35" s="3"/>
      <c r="C35" s="3"/>
      <c r="D35" s="3">
        <f>D33-C33</f>
        <v>38.859999999999985</v>
      </c>
      <c r="E35" s="3"/>
      <c r="F35" s="3">
        <f>F33-E33</f>
        <v>-26.99</v>
      </c>
      <c r="G35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0A18-B14D-4829-97E9-6439C19194BF}">
  <dimension ref="A1:G35"/>
  <sheetViews>
    <sheetView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345.91</v>
      </c>
      <c r="C2" s="1">
        <v>381.72</v>
      </c>
      <c r="D2" s="1">
        <v>389.55</v>
      </c>
      <c r="E2" s="1">
        <v>399.31</v>
      </c>
      <c r="F2" s="1">
        <v>364.74</v>
      </c>
      <c r="G2" s="1">
        <v>355.12</v>
      </c>
    </row>
    <row r="3" spans="1:7" x14ac:dyDescent="0.25">
      <c r="A3" s="1" t="s">
        <v>7</v>
      </c>
      <c r="B3" s="1">
        <v>37.44</v>
      </c>
      <c r="C3" s="1">
        <v>42.6</v>
      </c>
      <c r="D3" s="1">
        <v>43.18</v>
      </c>
      <c r="E3" s="1">
        <v>42.96</v>
      </c>
      <c r="F3" s="1">
        <v>43.97</v>
      </c>
      <c r="G3" s="1">
        <v>38.07</v>
      </c>
    </row>
    <row r="4" spans="1:7" x14ac:dyDescent="0.25">
      <c r="A4" s="1" t="s">
        <v>8</v>
      </c>
      <c r="B4" s="1">
        <v>13228.42</v>
      </c>
      <c r="C4" s="1">
        <v>16535.11</v>
      </c>
      <c r="D4" s="1">
        <v>17109.150000000001</v>
      </c>
      <c r="E4" s="1">
        <v>17447.34</v>
      </c>
      <c r="F4" s="1">
        <v>16291.51</v>
      </c>
      <c r="G4" s="1">
        <v>13770.37</v>
      </c>
    </row>
    <row r="5" spans="1:7" x14ac:dyDescent="0.25">
      <c r="A5" s="1" t="s">
        <v>9</v>
      </c>
      <c r="B5" s="1">
        <v>1419.6</v>
      </c>
      <c r="C5" s="1">
        <v>1367.71</v>
      </c>
      <c r="D5" s="1">
        <v>1195.03</v>
      </c>
      <c r="E5" s="1">
        <v>231.46</v>
      </c>
      <c r="F5" s="1">
        <v>590.91</v>
      </c>
      <c r="G5" s="1">
        <v>863.59</v>
      </c>
    </row>
    <row r="6" spans="1:7" x14ac:dyDescent="0.25">
      <c r="A6" s="3" t="s">
        <v>10</v>
      </c>
      <c r="B6" s="3">
        <v>141.96</v>
      </c>
      <c r="C6" s="3">
        <v>138.15</v>
      </c>
      <c r="D6" s="3">
        <v>120.71</v>
      </c>
      <c r="E6" s="3">
        <v>23.38</v>
      </c>
      <c r="F6" s="3">
        <v>59.69</v>
      </c>
      <c r="G6" s="3">
        <v>88.12</v>
      </c>
    </row>
    <row r="7" spans="1:7" x14ac:dyDescent="0.25">
      <c r="A7" s="1" t="s">
        <v>11</v>
      </c>
      <c r="B7" s="1">
        <v>1336.35</v>
      </c>
      <c r="C7" s="1">
        <v>1341.75</v>
      </c>
      <c r="D7" s="1">
        <v>1177.54</v>
      </c>
      <c r="E7" s="1">
        <v>209.73</v>
      </c>
      <c r="F7" s="1">
        <v>554.04999999999995</v>
      </c>
      <c r="G7" s="1">
        <v>824.49</v>
      </c>
    </row>
    <row r="8" spans="1:7" x14ac:dyDescent="0.25">
      <c r="A8" s="1" t="s">
        <v>12</v>
      </c>
      <c r="B8" s="1">
        <v>133.63999999999999</v>
      </c>
      <c r="C8" s="1">
        <v>135.53</v>
      </c>
      <c r="D8" s="1">
        <v>118.94</v>
      </c>
      <c r="E8" s="1">
        <v>21.19</v>
      </c>
      <c r="F8" s="1">
        <v>55.97</v>
      </c>
      <c r="G8" s="1">
        <v>84.13</v>
      </c>
    </row>
    <row r="9" spans="1:7" x14ac:dyDescent="0.25">
      <c r="A9" s="1" t="s">
        <v>13</v>
      </c>
      <c r="B9" s="1">
        <v>1329.18</v>
      </c>
      <c r="C9" s="1">
        <v>1340.82</v>
      </c>
      <c r="D9" s="1">
        <v>1177.54</v>
      </c>
      <c r="E9" s="1">
        <v>117.11</v>
      </c>
      <c r="F9" s="1">
        <v>-429.11</v>
      </c>
      <c r="G9" s="1">
        <v>466.28</v>
      </c>
    </row>
    <row r="10" spans="1:7" x14ac:dyDescent="0.25">
      <c r="A10" s="1" t="s">
        <v>14</v>
      </c>
      <c r="B10" s="1">
        <v>132.91999999999999</v>
      </c>
      <c r="C10" s="1">
        <v>135.44</v>
      </c>
      <c r="D10" s="1">
        <v>118.94</v>
      </c>
      <c r="E10" s="1">
        <v>11.83</v>
      </c>
      <c r="F10" s="1">
        <v>-43.34</v>
      </c>
      <c r="G10" s="1">
        <v>47.58</v>
      </c>
    </row>
    <row r="11" spans="1:7" x14ac:dyDescent="0.25">
      <c r="A11" s="1" t="s">
        <v>15</v>
      </c>
      <c r="B11" s="1">
        <v>1241.8</v>
      </c>
      <c r="C11" s="1">
        <v>1197.1099999999999</v>
      </c>
      <c r="D11" s="1">
        <v>1063.1099999999999</v>
      </c>
      <c r="E11" s="1">
        <v>109.79</v>
      </c>
      <c r="F11" s="1">
        <v>334.39</v>
      </c>
      <c r="G11" s="1">
        <v>149.21</v>
      </c>
    </row>
    <row r="12" spans="1:7" x14ac:dyDescent="0.25">
      <c r="A12" s="1" t="s">
        <v>16</v>
      </c>
      <c r="B12" s="1">
        <v>166.65</v>
      </c>
      <c r="C12" s="1">
        <v>215.49</v>
      </c>
      <c r="D12" s="1">
        <v>212.91</v>
      </c>
      <c r="E12" s="1">
        <v>215.97</v>
      </c>
      <c r="F12" s="1">
        <v>191.79</v>
      </c>
      <c r="G12" s="1">
        <v>193.97</v>
      </c>
    </row>
    <row r="13" spans="1:7" x14ac:dyDescent="0.25">
      <c r="A13" s="1" t="s">
        <v>17</v>
      </c>
      <c r="B13" s="1">
        <v>24.67</v>
      </c>
      <c r="C13" s="1">
        <v>27.68</v>
      </c>
      <c r="D13" s="1">
        <v>23.57</v>
      </c>
      <c r="E13" s="1">
        <v>23</v>
      </c>
      <c r="F13" s="1">
        <v>32.200000000000003</v>
      </c>
      <c r="G13" s="1">
        <v>29.31</v>
      </c>
    </row>
    <row r="14" spans="1:7" x14ac:dyDescent="0.25">
      <c r="A14" s="1" t="s">
        <v>18</v>
      </c>
      <c r="B14" s="1">
        <v>48.08</v>
      </c>
      <c r="C14" s="1">
        <v>53.21</v>
      </c>
      <c r="D14" s="1">
        <v>44.28</v>
      </c>
      <c r="E14" s="1">
        <v>46.51</v>
      </c>
      <c r="F14" s="1">
        <v>59.91</v>
      </c>
      <c r="G14" s="1">
        <v>64.03</v>
      </c>
    </row>
    <row r="15" spans="1:7" x14ac:dyDescent="0.25">
      <c r="A15" s="1" t="s">
        <v>19</v>
      </c>
      <c r="B15" s="1">
        <v>8</v>
      </c>
      <c r="C15" s="1">
        <v>10</v>
      </c>
      <c r="D15" s="1">
        <v>8</v>
      </c>
      <c r="E15" s="1">
        <v>1</v>
      </c>
      <c r="F15" s="1">
        <v>3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1332.77</v>
      </c>
      <c r="C17" s="1">
        <v>1341.29</v>
      </c>
      <c r="D17" s="1">
        <v>1177.54</v>
      </c>
      <c r="E17" s="1">
        <v>163.41999999999999</v>
      </c>
      <c r="F17" s="1">
        <v>62.47</v>
      </c>
      <c r="G17" s="1">
        <v>645.39</v>
      </c>
    </row>
    <row r="18" spans="1:7" x14ac:dyDescent="0.25">
      <c r="A18" s="1" t="s">
        <v>22</v>
      </c>
      <c r="B18" s="1">
        <v>3.59</v>
      </c>
      <c r="C18" s="1">
        <v>0.46</v>
      </c>
      <c r="D18" s="1">
        <v>0</v>
      </c>
      <c r="E18" s="1">
        <v>46.31</v>
      </c>
      <c r="F18" s="1">
        <v>491.58</v>
      </c>
      <c r="G18" s="1">
        <v>179.11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3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1</v>
      </c>
      <c r="F20" s="1">
        <v>7.8</v>
      </c>
      <c r="G20" s="1">
        <v>3.4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9</v>
      </c>
      <c r="F21" s="1">
        <v>2.2000000000000002</v>
      </c>
      <c r="G21" s="1">
        <v>6.5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5.0999999999999996</v>
      </c>
      <c r="G24" s="1">
        <v>2.7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8.8000000000000007</v>
      </c>
      <c r="F25" s="1">
        <v>4.9000000000000004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1.2</v>
      </c>
      <c r="F26" s="1">
        <v>0</v>
      </c>
      <c r="G26" s="1">
        <v>7.2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51</v>
      </c>
      <c r="G29" s="3">
        <f t="shared" si="1"/>
        <v>27.272727272727277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88.000000000000014</v>
      </c>
      <c r="F30" s="3">
        <f t="shared" si="2"/>
        <v>49.000000000000007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12</v>
      </c>
      <c r="F31" s="3">
        <f t="shared" si="3"/>
        <v>0</v>
      </c>
      <c r="G31" s="3">
        <f t="shared" si="3"/>
        <v>72.727272727272734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138.31</v>
      </c>
      <c r="C33" s="3">
        <v>139.46</v>
      </c>
      <c r="D33" s="3">
        <v>120.19</v>
      </c>
      <c r="E33" s="3">
        <v>11.8</v>
      </c>
      <c r="F33" s="3">
        <v>-44.03</v>
      </c>
      <c r="G33" s="3">
        <v>16.3</v>
      </c>
    </row>
    <row r="35" spans="1:7" x14ac:dyDescent="0.25">
      <c r="A35" s="3" t="s">
        <v>36</v>
      </c>
      <c r="B35" s="3"/>
      <c r="C35" s="3"/>
      <c r="D35" s="3">
        <f>D33-C33</f>
        <v>-19.27000000000001</v>
      </c>
      <c r="E35" s="3"/>
      <c r="F35" s="3">
        <f>F33-E33</f>
        <v>-55.83</v>
      </c>
      <c r="G35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F96-0150-4E2B-A2BF-05C6F5ABA736}">
  <dimension ref="A1:G35"/>
  <sheetViews>
    <sheetView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347.93</v>
      </c>
      <c r="C2" s="1">
        <v>351.66</v>
      </c>
      <c r="D2" s="1">
        <v>359.73</v>
      </c>
      <c r="E2" s="1">
        <v>408.83</v>
      </c>
      <c r="F2" s="1">
        <v>405.24</v>
      </c>
      <c r="G2" s="1">
        <v>370.53</v>
      </c>
    </row>
    <row r="3" spans="1:7" x14ac:dyDescent="0.25">
      <c r="A3" s="1" t="s">
        <v>7</v>
      </c>
      <c r="B3" s="1">
        <v>37.78</v>
      </c>
      <c r="C3" s="1">
        <v>41.89</v>
      </c>
      <c r="D3" s="1">
        <v>45.7</v>
      </c>
      <c r="E3" s="1">
        <v>44.6</v>
      </c>
      <c r="F3" s="1">
        <v>43.75</v>
      </c>
      <c r="G3" s="1">
        <v>40.159999999999997</v>
      </c>
    </row>
    <row r="4" spans="1:7" x14ac:dyDescent="0.25">
      <c r="A4" s="1" t="s">
        <v>8</v>
      </c>
      <c r="B4" s="1">
        <v>13329.67</v>
      </c>
      <c r="C4" s="1">
        <v>15487.16</v>
      </c>
      <c r="D4" s="1">
        <v>16703.23</v>
      </c>
      <c r="E4" s="1">
        <v>18559.900000000001</v>
      </c>
      <c r="F4" s="1">
        <v>18084.259999999998</v>
      </c>
      <c r="G4" s="1">
        <v>15142.68</v>
      </c>
    </row>
    <row r="5" spans="1:7" x14ac:dyDescent="0.25">
      <c r="A5" s="1" t="s">
        <v>9</v>
      </c>
      <c r="B5" s="1">
        <v>1287.8499999999999</v>
      </c>
      <c r="C5" s="1">
        <v>1410.17</v>
      </c>
      <c r="D5" s="1">
        <v>733.19</v>
      </c>
      <c r="E5" s="1">
        <v>492.37</v>
      </c>
      <c r="F5" s="1">
        <v>522.72</v>
      </c>
      <c r="G5" s="1">
        <v>995.49</v>
      </c>
    </row>
    <row r="6" spans="1:7" x14ac:dyDescent="0.25">
      <c r="A6" s="3" t="s">
        <v>10</v>
      </c>
      <c r="B6" s="3">
        <v>128.79</v>
      </c>
      <c r="C6" s="3">
        <v>142.44</v>
      </c>
      <c r="D6" s="3">
        <v>74.06</v>
      </c>
      <c r="E6" s="3">
        <v>49.73</v>
      </c>
      <c r="F6" s="3">
        <v>52.8</v>
      </c>
      <c r="G6" s="3">
        <v>101.58</v>
      </c>
    </row>
    <row r="7" spans="1:7" x14ac:dyDescent="0.25">
      <c r="A7" s="1" t="s">
        <v>11</v>
      </c>
      <c r="B7" s="1">
        <v>1180.06</v>
      </c>
      <c r="C7" s="1">
        <v>1362.32</v>
      </c>
      <c r="D7" s="1">
        <v>697.43</v>
      </c>
      <c r="E7" s="1">
        <v>488.28</v>
      </c>
      <c r="F7" s="1">
        <v>497.69</v>
      </c>
      <c r="G7" s="1">
        <v>942.68</v>
      </c>
    </row>
    <row r="8" spans="1:7" x14ac:dyDescent="0.25">
      <c r="A8" s="1" t="s">
        <v>12</v>
      </c>
      <c r="B8" s="1">
        <v>118.01</v>
      </c>
      <c r="C8" s="1">
        <v>137.61000000000001</v>
      </c>
      <c r="D8" s="1">
        <v>70.45</v>
      </c>
      <c r="E8" s="1">
        <v>49.32</v>
      </c>
      <c r="F8" s="1">
        <v>50.27</v>
      </c>
      <c r="G8" s="1">
        <v>96.19</v>
      </c>
    </row>
    <row r="9" spans="1:7" x14ac:dyDescent="0.25">
      <c r="A9" s="1" t="s">
        <v>13</v>
      </c>
      <c r="B9" s="1">
        <v>1147.1400000000001</v>
      </c>
      <c r="C9" s="1">
        <v>799.05</v>
      </c>
      <c r="D9" s="1">
        <v>366.19</v>
      </c>
      <c r="E9" s="1">
        <v>-109.12</v>
      </c>
      <c r="F9" s="1">
        <v>222.17</v>
      </c>
      <c r="G9" s="1">
        <v>725.31</v>
      </c>
    </row>
    <row r="10" spans="1:7" x14ac:dyDescent="0.25">
      <c r="A10" s="1" t="s">
        <v>14</v>
      </c>
      <c r="B10" s="1">
        <v>114.71</v>
      </c>
      <c r="C10" s="1">
        <v>80.709999999999994</v>
      </c>
      <c r="D10" s="1">
        <v>36.99</v>
      </c>
      <c r="E10" s="1">
        <v>-11.02</v>
      </c>
      <c r="F10" s="1">
        <v>22.44</v>
      </c>
      <c r="G10" s="1">
        <v>74.010000000000005</v>
      </c>
    </row>
    <row r="11" spans="1:7" x14ac:dyDescent="0.25">
      <c r="A11" s="1" t="s">
        <v>15</v>
      </c>
      <c r="B11" s="1">
        <v>1097.32</v>
      </c>
      <c r="C11" s="1">
        <v>655.29</v>
      </c>
      <c r="D11" s="1">
        <v>243.15</v>
      </c>
      <c r="E11" s="1">
        <v>60.81</v>
      </c>
      <c r="F11" s="1">
        <v>4.3499999999999996</v>
      </c>
      <c r="G11" s="1">
        <v>439.01</v>
      </c>
    </row>
    <row r="12" spans="1:7" x14ac:dyDescent="0.25">
      <c r="A12" s="1" t="s">
        <v>16</v>
      </c>
      <c r="B12" s="1">
        <v>216.16</v>
      </c>
      <c r="C12" s="1">
        <v>186.26</v>
      </c>
      <c r="D12" s="1">
        <v>219.19</v>
      </c>
      <c r="E12" s="1">
        <v>276.55</v>
      </c>
      <c r="F12" s="1">
        <v>243.61</v>
      </c>
      <c r="G12" s="1">
        <v>226.62</v>
      </c>
    </row>
    <row r="13" spans="1:7" x14ac:dyDescent="0.25">
      <c r="A13" s="1" t="s">
        <v>17</v>
      </c>
      <c r="B13" s="1">
        <v>32.369999999999997</v>
      </c>
      <c r="C13" s="1">
        <v>25.19</v>
      </c>
      <c r="D13" s="1">
        <v>32.159999999999997</v>
      </c>
      <c r="E13" s="1">
        <v>11.03</v>
      </c>
      <c r="F13" s="1">
        <v>24.18</v>
      </c>
      <c r="G13" s="1">
        <v>32.93</v>
      </c>
    </row>
    <row r="14" spans="1:7" x14ac:dyDescent="0.25">
      <c r="A14" s="1" t="s">
        <v>18</v>
      </c>
      <c r="B14" s="1">
        <v>53.8</v>
      </c>
      <c r="C14" s="1">
        <v>63.3</v>
      </c>
      <c r="D14" s="1">
        <v>72.23</v>
      </c>
      <c r="E14" s="1">
        <v>27.76</v>
      </c>
      <c r="F14" s="1">
        <v>56.63</v>
      </c>
      <c r="G14" s="1">
        <v>70.7</v>
      </c>
    </row>
    <row r="15" spans="1:7" x14ac:dyDescent="0.25">
      <c r="A15" s="1" t="s">
        <v>19</v>
      </c>
      <c r="B15" s="1">
        <v>5</v>
      </c>
      <c r="C15" s="1">
        <v>7</v>
      </c>
      <c r="D15" s="1">
        <v>3</v>
      </c>
      <c r="E15" s="1">
        <v>1</v>
      </c>
      <c r="F15" s="1">
        <v>4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1163.5999999999999</v>
      </c>
      <c r="C17" s="1">
        <v>1080.69</v>
      </c>
      <c r="D17" s="1">
        <v>531.80999999999995</v>
      </c>
      <c r="E17" s="1">
        <v>189.58</v>
      </c>
      <c r="F17" s="1">
        <v>359.93</v>
      </c>
      <c r="G17" s="1">
        <v>834</v>
      </c>
    </row>
    <row r="18" spans="1:7" x14ac:dyDescent="0.25">
      <c r="A18" s="1" t="s">
        <v>22</v>
      </c>
      <c r="B18" s="1">
        <v>16.46</v>
      </c>
      <c r="C18" s="1">
        <v>281.63</v>
      </c>
      <c r="D18" s="1">
        <v>165.62</v>
      </c>
      <c r="E18" s="1">
        <v>298.7</v>
      </c>
      <c r="F18" s="1">
        <v>137.76</v>
      </c>
      <c r="G18" s="1">
        <v>108.69</v>
      </c>
    </row>
    <row r="19" spans="1:7" x14ac:dyDescent="0.25">
      <c r="A19" s="1" t="s">
        <v>23</v>
      </c>
      <c r="B19" s="1">
        <v>0</v>
      </c>
      <c r="C19" s="1">
        <v>1</v>
      </c>
      <c r="D19" s="1">
        <v>1</v>
      </c>
      <c r="E19" s="1">
        <v>3</v>
      </c>
      <c r="F19" s="1">
        <v>1</v>
      </c>
      <c r="G19" s="1">
        <v>1</v>
      </c>
    </row>
    <row r="20" spans="1:7" x14ac:dyDescent="0.25">
      <c r="A20" s="1" t="s">
        <v>24</v>
      </c>
      <c r="B20" s="1">
        <v>0</v>
      </c>
      <c r="C20" s="1">
        <v>1.7</v>
      </c>
      <c r="D20" s="1">
        <v>1.1000000000000001</v>
      </c>
      <c r="E20" s="1">
        <v>3.3</v>
      </c>
      <c r="F20" s="1">
        <v>3.4</v>
      </c>
      <c r="G20" s="1">
        <v>1.4</v>
      </c>
    </row>
    <row r="21" spans="1:7" x14ac:dyDescent="0.25">
      <c r="A21" s="1" t="s">
        <v>25</v>
      </c>
      <c r="B21" s="1">
        <v>10.1</v>
      </c>
      <c r="C21" s="1">
        <v>8.3000000000000007</v>
      </c>
      <c r="D21" s="1">
        <v>8.9</v>
      </c>
      <c r="E21" s="1">
        <v>6.7</v>
      </c>
      <c r="F21" s="1">
        <v>6.6</v>
      </c>
      <c r="G21" s="1">
        <v>8.5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2.1</v>
      </c>
    </row>
    <row r="24" spans="1:7" x14ac:dyDescent="0.25">
      <c r="A24" s="1" t="s">
        <v>28</v>
      </c>
      <c r="B24" s="1">
        <v>0</v>
      </c>
      <c r="C24" s="1">
        <v>1.7</v>
      </c>
      <c r="D24" s="1">
        <v>1.1000000000000001</v>
      </c>
      <c r="E24" s="1">
        <v>2.8</v>
      </c>
      <c r="F24" s="1">
        <v>3.2</v>
      </c>
      <c r="G24" s="1">
        <v>2.2999999999999998</v>
      </c>
    </row>
    <row r="25" spans="1:7" x14ac:dyDescent="0.25">
      <c r="A25" s="1" t="s">
        <v>29</v>
      </c>
      <c r="B25" s="1">
        <v>0</v>
      </c>
      <c r="C25" s="1">
        <v>0</v>
      </c>
      <c r="D25" s="1">
        <v>4.2</v>
      </c>
      <c r="E25" s="1">
        <v>7.2</v>
      </c>
      <c r="F25" s="1">
        <v>4.2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8.3000000000000007</v>
      </c>
      <c r="D26" s="1">
        <v>4.7</v>
      </c>
      <c r="E26" s="1">
        <v>0</v>
      </c>
      <c r="F26" s="1">
        <v>2.6</v>
      </c>
      <c r="G26" s="1">
        <v>7.6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17</v>
      </c>
      <c r="D29" s="3">
        <f t="shared" si="1"/>
        <v>11.000000000000002</v>
      </c>
      <c r="E29" s="3">
        <f t="shared" si="1"/>
        <v>27.999999999999996</v>
      </c>
      <c r="F29" s="3">
        <f t="shared" si="1"/>
        <v>32</v>
      </c>
      <c r="G29" s="3">
        <f t="shared" si="1"/>
        <v>23.232323232323235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42.000000000000007</v>
      </c>
      <c r="E30" s="3">
        <f t="shared" si="2"/>
        <v>72</v>
      </c>
      <c r="F30" s="3">
        <f t="shared" si="2"/>
        <v>42.000000000000007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83</v>
      </c>
      <c r="D31" s="3">
        <f t="shared" si="3"/>
        <v>47</v>
      </c>
      <c r="E31" s="3">
        <f t="shared" si="3"/>
        <v>0</v>
      </c>
      <c r="F31" s="3">
        <f t="shared" si="3"/>
        <v>26</v>
      </c>
      <c r="G31" s="3">
        <f t="shared" si="3"/>
        <v>76.767676767676775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123.92</v>
      </c>
      <c r="C33" s="3">
        <v>72.05</v>
      </c>
      <c r="D33" s="3">
        <v>30.85</v>
      </c>
      <c r="E33" s="3">
        <v>-4.3600000000000003</v>
      </c>
      <c r="F33" s="3">
        <v>-0.56999999999999995</v>
      </c>
      <c r="G33" s="3">
        <v>68.650000000000006</v>
      </c>
    </row>
    <row r="35" spans="1:7" x14ac:dyDescent="0.25">
      <c r="A35" s="3" t="s">
        <v>36</v>
      </c>
      <c r="B35" s="3"/>
      <c r="C35" s="3"/>
      <c r="D35" s="3">
        <f>D33-C33</f>
        <v>-41.199999999999996</v>
      </c>
      <c r="E35" s="3"/>
      <c r="F35" s="3">
        <f>F33-E33</f>
        <v>3.7900000000000005</v>
      </c>
      <c r="G35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368B-1E98-41BF-B4C3-035AD9275C66}">
  <dimension ref="A1:G35"/>
  <sheetViews>
    <sheetView tabSelected="1" workbookViewId="0">
      <selection activeCell="M23" sqref="M2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453.05</v>
      </c>
      <c r="C2" s="1">
        <v>427.71</v>
      </c>
      <c r="D2" s="1">
        <v>410.89</v>
      </c>
      <c r="E2" s="1">
        <v>505.79</v>
      </c>
      <c r="F2" s="1">
        <v>472.29</v>
      </c>
      <c r="G2" s="1">
        <v>455.45</v>
      </c>
    </row>
    <row r="3" spans="1:7" x14ac:dyDescent="0.25">
      <c r="A3" s="1" t="s">
        <v>7</v>
      </c>
      <c r="B3" s="1">
        <v>40.14</v>
      </c>
      <c r="C3" s="1">
        <v>37.979999999999997</v>
      </c>
      <c r="D3" s="1">
        <v>38.22</v>
      </c>
      <c r="E3" s="1">
        <v>38.76</v>
      </c>
      <c r="F3" s="1">
        <v>40.630000000000003</v>
      </c>
      <c r="G3" s="1">
        <v>41.41</v>
      </c>
    </row>
    <row r="4" spans="1:7" x14ac:dyDescent="0.25">
      <c r="A4" s="1" t="s">
        <v>8</v>
      </c>
      <c r="B4" s="1">
        <v>18500.150000000001</v>
      </c>
      <c r="C4" s="1">
        <v>16522.580000000002</v>
      </c>
      <c r="D4" s="1">
        <v>15931.35</v>
      </c>
      <c r="E4" s="1">
        <v>19917.080000000002</v>
      </c>
      <c r="F4" s="1">
        <v>19442.29</v>
      </c>
      <c r="G4" s="1">
        <v>19192.86</v>
      </c>
    </row>
    <row r="5" spans="1:7" x14ac:dyDescent="0.25">
      <c r="A5" s="1" t="s">
        <v>9</v>
      </c>
      <c r="B5" s="1">
        <v>1582.74</v>
      </c>
      <c r="C5" s="1">
        <v>1492.35</v>
      </c>
      <c r="D5" s="1">
        <v>2021.84</v>
      </c>
      <c r="E5" s="1">
        <v>288.82</v>
      </c>
      <c r="F5" s="1">
        <v>633.91</v>
      </c>
      <c r="G5" s="1">
        <v>1688.85</v>
      </c>
    </row>
    <row r="6" spans="1:7" x14ac:dyDescent="0.25">
      <c r="A6" s="3" t="s">
        <v>10</v>
      </c>
      <c r="B6" s="3">
        <v>158.27000000000001</v>
      </c>
      <c r="C6" s="3">
        <v>150.74</v>
      </c>
      <c r="D6" s="3">
        <v>204.23</v>
      </c>
      <c r="E6" s="3">
        <v>29.17</v>
      </c>
      <c r="F6" s="3">
        <v>64.03</v>
      </c>
      <c r="G6" s="3">
        <v>172.33</v>
      </c>
    </row>
    <row r="7" spans="1:7" x14ac:dyDescent="0.25">
      <c r="A7" s="1" t="s">
        <v>11</v>
      </c>
      <c r="B7" s="1">
        <v>1425.19</v>
      </c>
      <c r="C7" s="1">
        <v>1366.12</v>
      </c>
      <c r="D7" s="1">
        <v>1875.68</v>
      </c>
      <c r="E7" s="1">
        <v>282.52</v>
      </c>
      <c r="F7" s="1">
        <v>620.54999999999995</v>
      </c>
      <c r="G7" s="1">
        <v>1591.7</v>
      </c>
    </row>
    <row r="8" spans="1:7" x14ac:dyDescent="0.25">
      <c r="A8" s="1" t="s">
        <v>12</v>
      </c>
      <c r="B8" s="1">
        <v>142.52000000000001</v>
      </c>
      <c r="C8" s="1">
        <v>137.99</v>
      </c>
      <c r="D8" s="1">
        <v>189.46</v>
      </c>
      <c r="E8" s="1">
        <v>28.54</v>
      </c>
      <c r="F8" s="1">
        <v>62.68</v>
      </c>
      <c r="G8" s="1">
        <v>162.41999999999999</v>
      </c>
    </row>
    <row r="9" spans="1:7" x14ac:dyDescent="0.25">
      <c r="A9" s="1" t="s">
        <v>13</v>
      </c>
      <c r="B9" s="1">
        <v>980</v>
      </c>
      <c r="C9" s="1">
        <v>-697.77</v>
      </c>
      <c r="D9" s="1">
        <v>1786.67</v>
      </c>
      <c r="E9" s="1">
        <v>170.12</v>
      </c>
      <c r="F9" s="1">
        <v>-263.42</v>
      </c>
      <c r="G9" s="1">
        <v>1562.11</v>
      </c>
    </row>
    <row r="10" spans="1:7" x14ac:dyDescent="0.25">
      <c r="A10" s="1" t="s">
        <v>14</v>
      </c>
      <c r="B10" s="1">
        <v>98</v>
      </c>
      <c r="C10" s="1">
        <v>-70.48</v>
      </c>
      <c r="D10" s="1">
        <v>180.47</v>
      </c>
      <c r="E10" s="1">
        <v>17.18</v>
      </c>
      <c r="F10" s="1">
        <v>-26.61</v>
      </c>
      <c r="G10" s="1">
        <v>159.4</v>
      </c>
    </row>
    <row r="11" spans="1:7" x14ac:dyDescent="0.25">
      <c r="A11" s="1" t="s">
        <v>15</v>
      </c>
      <c r="B11" s="1">
        <v>129.96</v>
      </c>
      <c r="C11" s="1">
        <v>91.33</v>
      </c>
      <c r="D11" s="1">
        <v>1132.1400000000001</v>
      </c>
      <c r="E11" s="1">
        <v>153.80000000000001</v>
      </c>
      <c r="F11" s="1">
        <v>163.62</v>
      </c>
      <c r="G11" s="1">
        <v>1099.54</v>
      </c>
    </row>
    <row r="12" spans="1:7" x14ac:dyDescent="0.25">
      <c r="A12" s="1" t="s">
        <v>16</v>
      </c>
      <c r="B12" s="1">
        <v>202.78</v>
      </c>
      <c r="C12" s="1">
        <v>259.94</v>
      </c>
      <c r="D12" s="1">
        <v>238.19</v>
      </c>
      <c r="E12" s="1">
        <v>233.97</v>
      </c>
      <c r="F12" s="1">
        <v>237.33</v>
      </c>
      <c r="G12" s="1">
        <v>259.39</v>
      </c>
    </row>
    <row r="13" spans="1:7" x14ac:dyDescent="0.25">
      <c r="A13" s="1" t="s">
        <v>17</v>
      </c>
      <c r="B13" s="1">
        <v>53.41</v>
      </c>
      <c r="C13" s="1">
        <v>32.909999999999997</v>
      </c>
      <c r="D13" s="1">
        <v>38.17</v>
      </c>
      <c r="E13" s="1">
        <v>48.23</v>
      </c>
      <c r="F13" s="1">
        <v>30.44</v>
      </c>
      <c r="G13" s="1">
        <v>37.99</v>
      </c>
    </row>
    <row r="14" spans="1:7" x14ac:dyDescent="0.25">
      <c r="A14" s="1" t="s">
        <v>18</v>
      </c>
      <c r="B14" s="1">
        <v>95.55</v>
      </c>
      <c r="C14" s="1">
        <v>75.16</v>
      </c>
      <c r="D14" s="1">
        <v>76.09</v>
      </c>
      <c r="E14" s="1">
        <v>55.15</v>
      </c>
      <c r="F14" s="1">
        <v>70.31</v>
      </c>
      <c r="G14" s="1">
        <v>94.59</v>
      </c>
    </row>
    <row r="15" spans="1:7" x14ac:dyDescent="0.25">
      <c r="A15" s="1" t="s">
        <v>19</v>
      </c>
      <c r="B15" s="1">
        <v>6</v>
      </c>
      <c r="C15" s="1">
        <v>8</v>
      </c>
      <c r="D15" s="1">
        <v>7</v>
      </c>
      <c r="E15" s="1">
        <v>2</v>
      </c>
      <c r="F15" s="1">
        <v>2</v>
      </c>
      <c r="G15" s="1">
        <v>7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1202.5999999999999</v>
      </c>
      <c r="C17" s="1">
        <v>334.18</v>
      </c>
      <c r="D17" s="1">
        <v>1831.17</v>
      </c>
      <c r="E17" s="1">
        <v>226.32</v>
      </c>
      <c r="F17" s="1">
        <v>178.56</v>
      </c>
      <c r="G17" s="1">
        <v>1576.91</v>
      </c>
    </row>
    <row r="18" spans="1:7" x14ac:dyDescent="0.25">
      <c r="A18" s="1" t="s">
        <v>22</v>
      </c>
      <c r="B18" s="1">
        <v>222.59</v>
      </c>
      <c r="C18" s="1">
        <v>1031.94</v>
      </c>
      <c r="D18" s="1">
        <v>44.5</v>
      </c>
      <c r="E18" s="1">
        <v>56.2</v>
      </c>
      <c r="F18" s="1">
        <v>441.98</v>
      </c>
      <c r="G18" s="1">
        <v>14.79</v>
      </c>
    </row>
    <row r="19" spans="1:7" x14ac:dyDescent="0.25">
      <c r="A19" s="1" t="s">
        <v>23</v>
      </c>
      <c r="B19" s="1">
        <v>1</v>
      </c>
      <c r="C19" s="1">
        <v>1</v>
      </c>
      <c r="D19" s="1">
        <v>0</v>
      </c>
      <c r="E19" s="1">
        <v>2</v>
      </c>
      <c r="F19" s="1">
        <v>3</v>
      </c>
      <c r="G19" s="1">
        <v>0</v>
      </c>
    </row>
    <row r="20" spans="1:7" x14ac:dyDescent="0.25">
      <c r="A20" s="1" t="s">
        <v>24</v>
      </c>
      <c r="B20" s="1">
        <v>1.9</v>
      </c>
      <c r="C20" s="1">
        <v>3.5</v>
      </c>
      <c r="D20" s="1">
        <v>0</v>
      </c>
      <c r="E20" s="1">
        <v>3</v>
      </c>
      <c r="F20" s="1">
        <v>6.2</v>
      </c>
      <c r="G20" s="1">
        <v>0</v>
      </c>
    </row>
    <row r="21" spans="1:7" x14ac:dyDescent="0.25">
      <c r="A21" s="1" t="s">
        <v>25</v>
      </c>
      <c r="B21" s="1">
        <v>8.1999999999999993</v>
      </c>
      <c r="C21" s="1">
        <v>6.5</v>
      </c>
      <c r="D21" s="1">
        <v>10</v>
      </c>
      <c r="E21" s="1">
        <v>7</v>
      </c>
      <c r="F21" s="1">
        <v>3.8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2.2999999999999998</v>
      </c>
      <c r="C24" s="1">
        <v>3.2</v>
      </c>
      <c r="D24" s="1">
        <v>0</v>
      </c>
      <c r="E24" s="1">
        <v>0</v>
      </c>
      <c r="F24" s="1">
        <v>4.7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2.9</v>
      </c>
      <c r="E25" s="1">
        <v>7.1</v>
      </c>
      <c r="F25" s="1">
        <v>2.2000000000000002</v>
      </c>
      <c r="G25" s="1">
        <v>2.5</v>
      </c>
    </row>
    <row r="26" spans="1:7" x14ac:dyDescent="0.25">
      <c r="A26" s="1" t="s">
        <v>30</v>
      </c>
      <c r="B26" s="1">
        <v>7.8</v>
      </c>
      <c r="C26" s="1">
        <v>6.8</v>
      </c>
      <c r="D26" s="1">
        <v>7.1</v>
      </c>
      <c r="E26" s="1">
        <v>2.9</v>
      </c>
      <c r="F26" s="1">
        <v>3.1</v>
      </c>
      <c r="G26" s="1">
        <v>7.4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22.772277227722771</v>
      </c>
      <c r="C29" s="3">
        <f t="shared" ref="C29:G29" si="1">C24/C28*100</f>
        <v>32</v>
      </c>
      <c r="D29" s="3">
        <f t="shared" si="1"/>
        <v>0</v>
      </c>
      <c r="E29" s="3">
        <f t="shared" si="1"/>
        <v>0</v>
      </c>
      <c r="F29" s="3">
        <f t="shared" si="1"/>
        <v>47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28.999999999999996</v>
      </c>
      <c r="E30" s="3">
        <f t="shared" si="2"/>
        <v>71</v>
      </c>
      <c r="F30" s="3">
        <f t="shared" si="2"/>
        <v>22.000000000000004</v>
      </c>
      <c r="G30" s="3">
        <f t="shared" si="2"/>
        <v>25.252525252525253</v>
      </c>
    </row>
    <row r="31" spans="1:7" x14ac:dyDescent="0.25">
      <c r="A31" s="3" t="s">
        <v>34</v>
      </c>
      <c r="B31" s="3">
        <f>B26/B28*100</f>
        <v>77.227722772277232</v>
      </c>
      <c r="C31" s="3">
        <f t="shared" ref="C31:G31" si="3">C26/C28*100</f>
        <v>68</v>
      </c>
      <c r="D31" s="3">
        <f t="shared" si="3"/>
        <v>71</v>
      </c>
      <c r="E31" s="3">
        <f t="shared" si="3"/>
        <v>28.999999999999996</v>
      </c>
      <c r="F31" s="3">
        <f t="shared" si="3"/>
        <v>31</v>
      </c>
      <c r="G31" s="3">
        <f t="shared" si="3"/>
        <v>74.747474747474755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101.6</v>
      </c>
      <c r="C33" s="3">
        <v>4.3</v>
      </c>
      <c r="D33" s="3">
        <v>182.83</v>
      </c>
      <c r="E33" s="3">
        <v>16.61</v>
      </c>
      <c r="F33" s="3">
        <v>-16.399999999999999</v>
      </c>
      <c r="G33" s="3">
        <v>155.86000000000001</v>
      </c>
    </row>
    <row r="35" spans="1:7" x14ac:dyDescent="0.25">
      <c r="A35" s="3" t="s">
        <v>36</v>
      </c>
      <c r="B35" s="3"/>
      <c r="C35" s="3"/>
      <c r="D35" s="3">
        <f>D33-C33</f>
        <v>178.53</v>
      </c>
      <c r="E35" s="3"/>
      <c r="F35" s="3">
        <f>F33-E33</f>
        <v>-33.01</v>
      </c>
      <c r="G35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312A-16E6-4BF9-9CBD-FB9BFC92178B}">
  <dimension ref="A1:G35"/>
  <sheetViews>
    <sheetView workbookViewId="0">
      <selection activeCell="I18" sqref="I1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230226B001.1</vt:lpstr>
      <vt:lpstr>230226B001.2</vt:lpstr>
      <vt:lpstr>230226B001.3</vt:lpstr>
      <vt:lpstr>230226B001.4</vt:lpstr>
      <vt:lpstr>230226B001.5</vt:lpstr>
      <vt:lpstr>230226B001.6</vt:lpstr>
      <vt:lpstr>230226B001.7</vt:lpstr>
      <vt:lpstr>230226B001.8</vt:lpstr>
      <vt:lpstr>230226B002.2</vt:lpstr>
      <vt:lpstr>230226B002.3</vt:lpstr>
      <vt:lpstr>230226B002.4</vt:lpstr>
      <vt:lpstr>230226B003.1</vt:lpstr>
      <vt:lpstr>230226B003.2</vt:lpstr>
      <vt:lpstr>230226B003.3</vt:lpstr>
      <vt:lpstr>230226B003.4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2023-03-13T22:34:46Z</dcterms:created>
  <dcterms:modified xsi:type="dcterms:W3CDTF">2023-03-23T01:12:29Z</dcterms:modified>
</cp:coreProperties>
</file>