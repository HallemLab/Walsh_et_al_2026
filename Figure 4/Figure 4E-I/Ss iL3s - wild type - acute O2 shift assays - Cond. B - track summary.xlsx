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Library/CloudStorage/Box-Box/Lab_Hallem/Bre Walsh/Walsh et al., 2025 GitHub Files/Figure 1/Figure 1B-1D/"/>
    </mc:Choice>
  </mc:AlternateContent>
  <xr:revisionPtr revIDLastSave="0" documentId="8_{AD069744-4AE6-BB4C-9F43-46ED3D6AE92A}" xr6:coauthVersionLast="47" xr6:coauthVersionMax="47" xr10:uidLastSave="{00000000-0000-0000-0000-000000000000}"/>
  <bookViews>
    <workbookView xWindow="800" yWindow="500" windowWidth="26320" windowHeight="9220" xr2:uid="{9F3C1EEE-82C4-4C8B-98BF-D3474E0BD90F}"/>
  </bookViews>
  <sheets>
    <sheet name="220913B001.1" sheetId="2" r:id="rId1"/>
    <sheet name="220913B002.1" sheetId="3" r:id="rId2"/>
    <sheet name="220913B002.2" sheetId="4" r:id="rId3"/>
    <sheet name="220913B002.4" sheetId="5" r:id="rId4"/>
    <sheet name="220926B001.1" sheetId="6" r:id="rId5"/>
    <sheet name="220926B001.2" sheetId="7" r:id="rId6"/>
    <sheet name="220926B001.4" sheetId="8" r:id="rId7"/>
    <sheet name="220926B002.3" sheetId="9" r:id="rId8"/>
    <sheet name="220927B002.2" sheetId="11" r:id="rId9"/>
    <sheet name="220927B002.4" sheetId="12" r:id="rId10"/>
    <sheet name="220927B002.5" sheetId="13" r:id="rId11"/>
    <sheet name="230406B001.1" sheetId="14" r:id="rId12"/>
    <sheet name="230406B001.3" sheetId="15" r:id="rId13"/>
    <sheet name="230406B001.4" sheetId="16" r:id="rId14"/>
    <sheet name="230406B002.1" sheetId="17" r:id="rId15"/>
    <sheet name="230406B002.2" sheetId="18" r:id="rId16"/>
    <sheet name="230406B002.3" sheetId="19" r:id="rId17"/>
    <sheet name="230406B002.4" sheetId="20" r:id="rId18"/>
    <sheet name="230406B002.5" sheetId="21" r:id="rId19"/>
    <sheet name="230406B003.1" sheetId="22" r:id="rId20"/>
    <sheet name="230406B003.2" sheetId="23" r:id="rId21"/>
    <sheet name="230406B003.3" sheetId="24" r:id="rId22"/>
    <sheet name="230406B003.4" sheetId="25" r:id="rId23"/>
    <sheet name="230406B003.5" sheetId="26" r:id="rId24"/>
    <sheet name="230615B001.2" sheetId="27" r:id="rId25"/>
    <sheet name="230615B001.4" sheetId="28" r:id="rId26"/>
    <sheet name="230615B002.1" sheetId="29" r:id="rId27"/>
    <sheet name="230615B002.2" sheetId="30" r:id="rId28"/>
    <sheet name="template" sheetId="1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0" l="1"/>
  <c r="D35" i="30"/>
  <c r="G29" i="30"/>
  <c r="C29" i="30"/>
  <c r="G28" i="30"/>
  <c r="G30" i="30" s="1"/>
  <c r="F28" i="30"/>
  <c r="F31" i="30" s="1"/>
  <c r="E28" i="30"/>
  <c r="E29" i="30" s="1"/>
  <c r="D28" i="30"/>
  <c r="D29" i="30" s="1"/>
  <c r="C28" i="30"/>
  <c r="C31" i="30" s="1"/>
  <c r="B28" i="30"/>
  <c r="B29" i="30" s="1"/>
  <c r="F35" i="29"/>
  <c r="D35" i="29"/>
  <c r="G30" i="29"/>
  <c r="F30" i="29"/>
  <c r="G29" i="29"/>
  <c r="F29" i="29"/>
  <c r="E29" i="29"/>
  <c r="D29" i="29"/>
  <c r="G28" i="29"/>
  <c r="G31" i="29" s="1"/>
  <c r="F28" i="29"/>
  <c r="F31" i="29" s="1"/>
  <c r="E28" i="29"/>
  <c r="E30" i="29" s="1"/>
  <c r="D28" i="29"/>
  <c r="D30" i="29" s="1"/>
  <c r="C28" i="29"/>
  <c r="C29" i="29" s="1"/>
  <c r="B28" i="29"/>
  <c r="B29" i="29" s="1"/>
  <c r="C30" i="30" l="1"/>
  <c r="D31" i="29"/>
  <c r="B31" i="30"/>
  <c r="B30" i="30"/>
  <c r="C30" i="29"/>
  <c r="C31" i="29"/>
  <c r="B30" i="29"/>
  <c r="E31" i="29"/>
  <c r="B31" i="29"/>
  <c r="E30" i="30"/>
  <c r="D30" i="30"/>
  <c r="D31" i="30"/>
  <c r="F29" i="30"/>
  <c r="E31" i="30"/>
  <c r="F30" i="30"/>
  <c r="G31" i="30"/>
  <c r="F35" i="28"/>
  <c r="D35" i="28"/>
  <c r="G28" i="28"/>
  <c r="G31" i="28" s="1"/>
  <c r="F28" i="28"/>
  <c r="F31" i="28" s="1"/>
  <c r="E28" i="28"/>
  <c r="E31" i="28" s="1"/>
  <c r="D28" i="28"/>
  <c r="D31" i="28" s="1"/>
  <c r="C28" i="28"/>
  <c r="C31" i="28" s="1"/>
  <c r="B28" i="28"/>
  <c r="B29" i="28" s="1"/>
  <c r="F35" i="27"/>
  <c r="D35" i="27"/>
  <c r="D31" i="27"/>
  <c r="G28" i="27"/>
  <c r="G30" i="27" s="1"/>
  <c r="F28" i="27"/>
  <c r="F31" i="27" s="1"/>
  <c r="E28" i="27"/>
  <c r="E31" i="27" s="1"/>
  <c r="D28" i="27"/>
  <c r="D30" i="27" s="1"/>
  <c r="C28" i="27"/>
  <c r="C31" i="27" s="1"/>
  <c r="B28" i="27"/>
  <c r="B31" i="27" s="1"/>
  <c r="D29" i="28" l="1"/>
  <c r="D30" i="28"/>
  <c r="B30" i="28"/>
  <c r="C30" i="28"/>
  <c r="B31" i="28"/>
  <c r="C29" i="28"/>
  <c r="E29" i="28"/>
  <c r="F29" i="28"/>
  <c r="G29" i="28"/>
  <c r="E30" i="28"/>
  <c r="F30" i="28"/>
  <c r="G30" i="28"/>
  <c r="G31" i="27"/>
  <c r="E29" i="27"/>
  <c r="B29" i="27"/>
  <c r="C29" i="27"/>
  <c r="D29" i="27"/>
  <c r="F29" i="27"/>
  <c r="G29" i="27"/>
  <c r="B30" i="27"/>
  <c r="C30" i="27"/>
  <c r="E30" i="27"/>
  <c r="F30" i="27"/>
  <c r="F35" i="26"/>
  <c r="D35" i="26"/>
  <c r="E31" i="26"/>
  <c r="G28" i="26"/>
  <c r="G30" i="26" s="1"/>
  <c r="F28" i="26"/>
  <c r="F30" i="26" s="1"/>
  <c r="E28" i="26"/>
  <c r="E30" i="26" s="1"/>
  <c r="D28" i="26"/>
  <c r="D29" i="26" s="1"/>
  <c r="C28" i="26"/>
  <c r="C29" i="26" s="1"/>
  <c r="B28" i="26"/>
  <c r="B29" i="26" s="1"/>
  <c r="F35" i="25"/>
  <c r="D35" i="25"/>
  <c r="G28" i="25"/>
  <c r="G30" i="25" s="1"/>
  <c r="F28" i="25"/>
  <c r="F31" i="25" s="1"/>
  <c r="E28" i="25"/>
  <c r="E31" i="25" s="1"/>
  <c r="D28" i="25"/>
  <c r="D31" i="25" s="1"/>
  <c r="C28" i="25"/>
  <c r="C29" i="25" s="1"/>
  <c r="B28" i="25"/>
  <c r="B31" i="25" s="1"/>
  <c r="F35" i="24"/>
  <c r="D35" i="24"/>
  <c r="B31" i="24"/>
  <c r="G29" i="24"/>
  <c r="B29" i="24"/>
  <c r="G28" i="24"/>
  <c r="G31" i="24" s="1"/>
  <c r="F28" i="24"/>
  <c r="F31" i="24" s="1"/>
  <c r="E28" i="24"/>
  <c r="E31" i="24" s="1"/>
  <c r="D28" i="24"/>
  <c r="D31" i="24" s="1"/>
  <c r="C28" i="24"/>
  <c r="C31" i="24" s="1"/>
  <c r="B28" i="24"/>
  <c r="B30" i="24" s="1"/>
  <c r="F35" i="23"/>
  <c r="D35" i="23"/>
  <c r="D29" i="23"/>
  <c r="C29" i="23"/>
  <c r="G28" i="23"/>
  <c r="G31" i="23" s="1"/>
  <c r="F28" i="23"/>
  <c r="F31" i="23" s="1"/>
  <c r="E28" i="23"/>
  <c r="E31" i="23" s="1"/>
  <c r="D28" i="23"/>
  <c r="D31" i="23" s="1"/>
  <c r="C28" i="23"/>
  <c r="C31" i="23" s="1"/>
  <c r="B28" i="23"/>
  <c r="B29" i="23" s="1"/>
  <c r="F35" i="22"/>
  <c r="D35" i="22"/>
  <c r="D31" i="22"/>
  <c r="G28" i="22"/>
  <c r="G31" i="22" s="1"/>
  <c r="F28" i="22"/>
  <c r="F31" i="22" s="1"/>
  <c r="E28" i="22"/>
  <c r="E31" i="22" s="1"/>
  <c r="D28" i="22"/>
  <c r="D30" i="22" s="1"/>
  <c r="C28" i="22"/>
  <c r="C31" i="22" s="1"/>
  <c r="B28" i="22"/>
  <c r="B31" i="22" s="1"/>
  <c r="F35" i="21"/>
  <c r="D35" i="21"/>
  <c r="C30" i="21"/>
  <c r="C29" i="21"/>
  <c r="G28" i="21"/>
  <c r="G31" i="21" s="1"/>
  <c r="F28" i="21"/>
  <c r="F31" i="21" s="1"/>
  <c r="E28" i="21"/>
  <c r="E31" i="21" s="1"/>
  <c r="D28" i="21"/>
  <c r="D31" i="21" s="1"/>
  <c r="C28" i="21"/>
  <c r="C31" i="21" s="1"/>
  <c r="B28" i="21"/>
  <c r="B30" i="21" s="1"/>
  <c r="F35" i="20"/>
  <c r="D35" i="20"/>
  <c r="G28" i="20"/>
  <c r="G31" i="20" s="1"/>
  <c r="F28" i="20"/>
  <c r="F31" i="20" s="1"/>
  <c r="E28" i="20"/>
  <c r="E31" i="20" s="1"/>
  <c r="D28" i="20"/>
  <c r="D30" i="20" s="1"/>
  <c r="C28" i="20"/>
  <c r="C31" i="20" s="1"/>
  <c r="B28" i="20"/>
  <c r="B31" i="20" s="1"/>
  <c r="F35" i="19"/>
  <c r="D35" i="19"/>
  <c r="B31" i="19"/>
  <c r="B29" i="19"/>
  <c r="G28" i="19"/>
  <c r="G31" i="19" s="1"/>
  <c r="F28" i="19"/>
  <c r="F31" i="19" s="1"/>
  <c r="E28" i="19"/>
  <c r="E31" i="19" s="1"/>
  <c r="D28" i="19"/>
  <c r="D31" i="19" s="1"/>
  <c r="C28" i="19"/>
  <c r="C31" i="19" s="1"/>
  <c r="B28" i="19"/>
  <c r="B30" i="19" s="1"/>
  <c r="F35" i="18"/>
  <c r="D35" i="18"/>
  <c r="D31" i="18"/>
  <c r="C31" i="18"/>
  <c r="B31" i="18"/>
  <c r="C30" i="18"/>
  <c r="D29" i="18"/>
  <c r="C29" i="18"/>
  <c r="G28" i="18"/>
  <c r="G31" i="18" s="1"/>
  <c r="F28" i="18"/>
  <c r="F29" i="18" s="1"/>
  <c r="E28" i="18"/>
  <c r="E31" i="18" s="1"/>
  <c r="D28" i="18"/>
  <c r="D30" i="18" s="1"/>
  <c r="C28" i="18"/>
  <c r="B28" i="18"/>
  <c r="B29" i="18" s="1"/>
  <c r="B30" i="18" l="1"/>
  <c r="F31" i="18"/>
  <c r="D30" i="23"/>
  <c r="E30" i="18"/>
  <c r="C29" i="19"/>
  <c r="F30" i="18"/>
  <c r="C30" i="19"/>
  <c r="F31" i="26"/>
  <c r="E29" i="18"/>
  <c r="B30" i="23"/>
  <c r="D31" i="20"/>
  <c r="C30" i="23"/>
  <c r="G31" i="26"/>
  <c r="E29" i="26"/>
  <c r="F29" i="26"/>
  <c r="G29" i="26"/>
  <c r="C30" i="26"/>
  <c r="B30" i="26"/>
  <c r="D30" i="26"/>
  <c r="B31" i="26"/>
  <c r="C31" i="26"/>
  <c r="D31" i="26"/>
  <c r="D29" i="25"/>
  <c r="C30" i="25"/>
  <c r="B29" i="25"/>
  <c r="D30" i="25"/>
  <c r="B30" i="25"/>
  <c r="C31" i="25"/>
  <c r="G31" i="25"/>
  <c r="E29" i="25"/>
  <c r="F29" i="25"/>
  <c r="G29" i="25"/>
  <c r="E30" i="25"/>
  <c r="F30" i="25"/>
  <c r="F29" i="24"/>
  <c r="E29" i="24"/>
  <c r="D30" i="24"/>
  <c r="C29" i="24"/>
  <c r="D29" i="24"/>
  <c r="C30" i="24"/>
  <c r="E30" i="24"/>
  <c r="F30" i="24"/>
  <c r="G30" i="24"/>
  <c r="F29" i="23"/>
  <c r="G29" i="23"/>
  <c r="F30" i="23"/>
  <c r="E29" i="23"/>
  <c r="E30" i="23"/>
  <c r="B31" i="23"/>
  <c r="G30" i="23"/>
  <c r="B29" i="22"/>
  <c r="F29" i="22"/>
  <c r="E30" i="22"/>
  <c r="D29" i="22"/>
  <c r="B30" i="22"/>
  <c r="C30" i="22"/>
  <c r="F30" i="22"/>
  <c r="C29" i="22"/>
  <c r="E29" i="22"/>
  <c r="G30" i="22"/>
  <c r="G29" i="22"/>
  <c r="D29" i="21"/>
  <c r="G29" i="21"/>
  <c r="B31" i="21"/>
  <c r="B29" i="21"/>
  <c r="E29" i="21"/>
  <c r="D30" i="21"/>
  <c r="E30" i="21"/>
  <c r="F30" i="21"/>
  <c r="F29" i="21"/>
  <c r="G30" i="21"/>
  <c r="E29" i="20"/>
  <c r="C29" i="20"/>
  <c r="D29" i="20"/>
  <c r="F29" i="20"/>
  <c r="B30" i="20"/>
  <c r="B29" i="20"/>
  <c r="C30" i="20"/>
  <c r="E30" i="20"/>
  <c r="F30" i="20"/>
  <c r="G30" i="20"/>
  <c r="G29" i="20"/>
  <c r="D29" i="19"/>
  <c r="E29" i="19"/>
  <c r="F29" i="19"/>
  <c r="G29" i="19"/>
  <c r="D30" i="19"/>
  <c r="E30" i="19"/>
  <c r="F30" i="19"/>
  <c r="G30" i="19"/>
  <c r="G29" i="18"/>
  <c r="G30" i="18"/>
  <c r="F35" i="17"/>
  <c r="D35" i="17"/>
  <c r="G28" i="17"/>
  <c r="G31" i="17" s="1"/>
  <c r="F28" i="17"/>
  <c r="F30" i="17" s="1"/>
  <c r="E28" i="17"/>
  <c r="E31" i="17" s="1"/>
  <c r="D28" i="17"/>
  <c r="D31" i="17" s="1"/>
  <c r="C28" i="17"/>
  <c r="C29" i="17" s="1"/>
  <c r="B28" i="17"/>
  <c r="B29" i="17" s="1"/>
  <c r="F35" i="16"/>
  <c r="D35" i="16"/>
  <c r="G28" i="16"/>
  <c r="G31" i="16" s="1"/>
  <c r="F28" i="16"/>
  <c r="F30" i="16" s="1"/>
  <c r="E28" i="16"/>
  <c r="E31" i="16" s="1"/>
  <c r="D28" i="16"/>
  <c r="D31" i="16" s="1"/>
  <c r="C28" i="16"/>
  <c r="C30" i="16" s="1"/>
  <c r="B28" i="16"/>
  <c r="B31" i="16" s="1"/>
  <c r="F35" i="15"/>
  <c r="D35" i="15"/>
  <c r="G28" i="15"/>
  <c r="G29" i="15" s="1"/>
  <c r="F28" i="15"/>
  <c r="F31" i="15" s="1"/>
  <c r="E28" i="15"/>
  <c r="E31" i="15" s="1"/>
  <c r="D28" i="15"/>
  <c r="D29" i="15" s="1"/>
  <c r="C28" i="15"/>
  <c r="C29" i="15" s="1"/>
  <c r="B28" i="15"/>
  <c r="B29" i="15" s="1"/>
  <c r="F35" i="14"/>
  <c r="D35" i="14"/>
  <c r="G28" i="14"/>
  <c r="G30" i="14" s="1"/>
  <c r="F28" i="14"/>
  <c r="F31" i="14" s="1"/>
  <c r="E28" i="14"/>
  <c r="E31" i="14" s="1"/>
  <c r="D28" i="14"/>
  <c r="D31" i="14" s="1"/>
  <c r="C28" i="14"/>
  <c r="C31" i="14" s="1"/>
  <c r="B28" i="14"/>
  <c r="B29" i="14" s="1"/>
  <c r="B30" i="17" l="1"/>
  <c r="D30" i="17"/>
  <c r="E30" i="17"/>
  <c r="B31" i="17"/>
  <c r="D29" i="17"/>
  <c r="C30" i="17"/>
  <c r="C31" i="17"/>
  <c r="E29" i="17"/>
  <c r="G29" i="17"/>
  <c r="G30" i="17"/>
  <c r="F31" i="17"/>
  <c r="F29" i="17"/>
  <c r="C29" i="16"/>
  <c r="F29" i="16"/>
  <c r="D30" i="16"/>
  <c r="C31" i="16"/>
  <c r="B29" i="16"/>
  <c r="D29" i="16"/>
  <c r="E30" i="16"/>
  <c r="E29" i="16"/>
  <c r="B30" i="16"/>
  <c r="G29" i="16"/>
  <c r="F31" i="16"/>
  <c r="G30" i="16"/>
  <c r="B30" i="15"/>
  <c r="D30" i="15"/>
  <c r="E30" i="15"/>
  <c r="G30" i="15"/>
  <c r="C31" i="15"/>
  <c r="D31" i="15"/>
  <c r="C30" i="15"/>
  <c r="F30" i="15"/>
  <c r="B31" i="15"/>
  <c r="G31" i="15"/>
  <c r="E29" i="15"/>
  <c r="F29" i="15"/>
  <c r="C30" i="14"/>
  <c r="D29" i="14"/>
  <c r="B30" i="14"/>
  <c r="D30" i="14"/>
  <c r="B31" i="14"/>
  <c r="C29" i="14"/>
  <c r="G31" i="14"/>
  <c r="E29" i="14"/>
  <c r="F29" i="14"/>
  <c r="G29" i="14"/>
  <c r="E30" i="14"/>
  <c r="F30" i="14"/>
  <c r="F35" i="13"/>
  <c r="D35" i="13"/>
  <c r="C31" i="13"/>
  <c r="B31" i="13"/>
  <c r="D30" i="13"/>
  <c r="G28" i="13"/>
  <c r="G31" i="13" s="1"/>
  <c r="F28" i="13"/>
  <c r="F29" i="13" s="1"/>
  <c r="E28" i="13"/>
  <c r="E31" i="13" s="1"/>
  <c r="D28" i="13"/>
  <c r="D29" i="13" s="1"/>
  <c r="C28" i="13"/>
  <c r="C29" i="13" s="1"/>
  <c r="B28" i="13"/>
  <c r="B29" i="13" s="1"/>
  <c r="F35" i="12"/>
  <c r="D35" i="12"/>
  <c r="G28" i="12"/>
  <c r="G29" i="12" s="1"/>
  <c r="F28" i="12"/>
  <c r="F29" i="12" s="1"/>
  <c r="E28" i="12"/>
  <c r="E29" i="12" s="1"/>
  <c r="D28" i="12"/>
  <c r="D29" i="12" s="1"/>
  <c r="C28" i="12"/>
  <c r="C30" i="12" s="1"/>
  <c r="B28" i="12"/>
  <c r="B30" i="12" s="1"/>
  <c r="F35" i="11"/>
  <c r="D35" i="11"/>
  <c r="G28" i="11"/>
  <c r="G30" i="11" s="1"/>
  <c r="F28" i="11"/>
  <c r="F31" i="11" s="1"/>
  <c r="E28" i="11"/>
  <c r="E31" i="11" s="1"/>
  <c r="D28" i="11"/>
  <c r="D31" i="11" s="1"/>
  <c r="C28" i="11"/>
  <c r="C31" i="11" s="1"/>
  <c r="B28" i="11"/>
  <c r="B31" i="11" s="1"/>
  <c r="E30" i="13" l="1"/>
  <c r="G31" i="11"/>
  <c r="D31" i="13"/>
  <c r="E29" i="13"/>
  <c r="B30" i="13"/>
  <c r="C30" i="13"/>
  <c r="F30" i="13"/>
  <c r="G29" i="13"/>
  <c r="F31" i="13"/>
  <c r="G30" i="13"/>
  <c r="G30" i="12"/>
  <c r="E31" i="12"/>
  <c r="F31" i="12"/>
  <c r="D30" i="12"/>
  <c r="E30" i="12"/>
  <c r="F30" i="12"/>
  <c r="B31" i="12"/>
  <c r="C31" i="12"/>
  <c r="D31" i="12"/>
  <c r="G31" i="12"/>
  <c r="B29" i="12"/>
  <c r="C29" i="12"/>
  <c r="C29" i="11"/>
  <c r="D29" i="11"/>
  <c r="B29" i="11"/>
  <c r="B30" i="11"/>
  <c r="E29" i="11"/>
  <c r="G29" i="11"/>
  <c r="C30" i="11"/>
  <c r="D30" i="11"/>
  <c r="E30" i="11"/>
  <c r="F30" i="11"/>
  <c r="F29" i="11"/>
  <c r="F35" i="9"/>
  <c r="D35" i="9"/>
  <c r="C31" i="9"/>
  <c r="G29" i="9"/>
  <c r="G28" i="9"/>
  <c r="G31" i="9" s="1"/>
  <c r="F28" i="9"/>
  <c r="F31" i="9" s="1"/>
  <c r="E28" i="9"/>
  <c r="E30" i="9" s="1"/>
  <c r="D28" i="9"/>
  <c r="D29" i="9" s="1"/>
  <c r="C28" i="9"/>
  <c r="C29" i="9" s="1"/>
  <c r="B28" i="9"/>
  <c r="B29" i="9" s="1"/>
  <c r="F35" i="8"/>
  <c r="D35" i="8"/>
  <c r="G30" i="8"/>
  <c r="D30" i="8"/>
  <c r="G28" i="8"/>
  <c r="G31" i="8" s="1"/>
  <c r="F28" i="8"/>
  <c r="F30" i="8" s="1"/>
  <c r="E28" i="8"/>
  <c r="E29" i="8" s="1"/>
  <c r="D28" i="8"/>
  <c r="D29" i="8" s="1"/>
  <c r="C28" i="8"/>
  <c r="C29" i="8" s="1"/>
  <c r="B28" i="8"/>
  <c r="B29" i="8" s="1"/>
  <c r="F35" i="7"/>
  <c r="D35" i="7"/>
  <c r="G30" i="7"/>
  <c r="B29" i="7"/>
  <c r="G28" i="7"/>
  <c r="G31" i="7" s="1"/>
  <c r="F28" i="7"/>
  <c r="F31" i="7" s="1"/>
  <c r="E28" i="7"/>
  <c r="E31" i="7" s="1"/>
  <c r="D28" i="7"/>
  <c r="D30" i="7" s="1"/>
  <c r="C28" i="7"/>
  <c r="C29" i="7" s="1"/>
  <c r="B28" i="7"/>
  <c r="B30" i="7" s="1"/>
  <c r="F35" i="6"/>
  <c r="D35" i="6"/>
  <c r="C29" i="6"/>
  <c r="B29" i="6"/>
  <c r="G28" i="6"/>
  <c r="G30" i="6" s="1"/>
  <c r="F28" i="6"/>
  <c r="F29" i="6" s="1"/>
  <c r="E28" i="6"/>
  <c r="E31" i="6" s="1"/>
  <c r="D28" i="6"/>
  <c r="D31" i="6" s="1"/>
  <c r="C28" i="6"/>
  <c r="C30" i="6" s="1"/>
  <c r="B28" i="6"/>
  <c r="B31" i="6" s="1"/>
  <c r="F35" i="5"/>
  <c r="D35" i="5"/>
  <c r="D31" i="5"/>
  <c r="D30" i="5"/>
  <c r="D29" i="5"/>
  <c r="G28" i="5"/>
  <c r="G30" i="5" s="1"/>
  <c r="F28" i="5"/>
  <c r="F31" i="5" s="1"/>
  <c r="E28" i="5"/>
  <c r="E31" i="5" s="1"/>
  <c r="D28" i="5"/>
  <c r="C28" i="5"/>
  <c r="C30" i="5" s="1"/>
  <c r="B28" i="5"/>
  <c r="B31" i="5" s="1"/>
  <c r="F35" i="4"/>
  <c r="D35" i="4"/>
  <c r="G28" i="4"/>
  <c r="G31" i="4" s="1"/>
  <c r="F28" i="4"/>
  <c r="F31" i="4" s="1"/>
  <c r="E28" i="4"/>
  <c r="E31" i="4" s="1"/>
  <c r="D28" i="4"/>
  <c r="D31" i="4" s="1"/>
  <c r="C28" i="4"/>
  <c r="C30" i="4" s="1"/>
  <c r="B28" i="4"/>
  <c r="B29" i="4" s="1"/>
  <c r="F35" i="3"/>
  <c r="D35" i="3"/>
  <c r="C30" i="3"/>
  <c r="C29" i="3"/>
  <c r="B29" i="3"/>
  <c r="G28" i="3"/>
  <c r="G31" i="3" s="1"/>
  <c r="F28" i="3"/>
  <c r="F31" i="3" s="1"/>
  <c r="E28" i="3"/>
  <c r="E31" i="3" s="1"/>
  <c r="D28" i="3"/>
  <c r="D31" i="3" s="1"/>
  <c r="C28" i="3"/>
  <c r="C31" i="3" s="1"/>
  <c r="B28" i="3"/>
  <c r="B31" i="3" s="1"/>
  <c r="F35" i="2"/>
  <c r="D35" i="2"/>
  <c r="G28" i="2"/>
  <c r="G29" i="2" s="1"/>
  <c r="F28" i="2"/>
  <c r="F31" i="2" s="1"/>
  <c r="E28" i="2"/>
  <c r="E31" i="2" s="1"/>
  <c r="D28" i="2"/>
  <c r="D31" i="2" s="1"/>
  <c r="C28" i="2"/>
  <c r="C29" i="2" s="1"/>
  <c r="B28" i="2"/>
  <c r="B31" i="2" s="1"/>
  <c r="F35" i="1"/>
  <c r="D35" i="1"/>
  <c r="E31" i="1"/>
  <c r="B31" i="1"/>
  <c r="G30" i="1"/>
  <c r="D29" i="1"/>
  <c r="G28" i="1"/>
  <c r="G29" i="1" s="1"/>
  <c r="F28" i="1"/>
  <c r="F30" i="1" s="1"/>
  <c r="E28" i="1"/>
  <c r="E30" i="1" s="1"/>
  <c r="D28" i="1"/>
  <c r="D30" i="1" s="1"/>
  <c r="C28" i="1"/>
  <c r="C30" i="1" s="1"/>
  <c r="B28" i="1"/>
  <c r="B30" i="1" s="1"/>
  <c r="C31" i="5" l="1"/>
  <c r="B31" i="7"/>
  <c r="C30" i="9"/>
  <c r="C31" i="7"/>
  <c r="D30" i="9"/>
  <c r="D29" i="3"/>
  <c r="C31" i="1"/>
  <c r="B30" i="3"/>
  <c r="G31" i="5"/>
  <c r="D31" i="7"/>
  <c r="B31" i="9"/>
  <c r="D31" i="1"/>
  <c r="D31" i="9"/>
  <c r="D30" i="3"/>
  <c r="F31" i="1"/>
  <c r="C31" i="6"/>
  <c r="G31" i="1"/>
  <c r="B30" i="9"/>
  <c r="F29" i="9"/>
  <c r="F30" i="9"/>
  <c r="E29" i="9"/>
  <c r="E31" i="9"/>
  <c r="G30" i="9"/>
  <c r="F29" i="8"/>
  <c r="E31" i="8"/>
  <c r="F31" i="8"/>
  <c r="E30" i="8"/>
  <c r="B30" i="8"/>
  <c r="C30" i="8"/>
  <c r="B31" i="8"/>
  <c r="C31" i="8"/>
  <c r="D31" i="8"/>
  <c r="G29" i="8"/>
  <c r="D29" i="7"/>
  <c r="C30" i="7"/>
  <c r="E29" i="7"/>
  <c r="F29" i="7"/>
  <c r="G29" i="7"/>
  <c r="E30" i="7"/>
  <c r="F30" i="7"/>
  <c r="F31" i="6"/>
  <c r="G31" i="6"/>
  <c r="D29" i="6"/>
  <c r="G29" i="6"/>
  <c r="B30" i="6"/>
  <c r="D30" i="6"/>
  <c r="F30" i="6"/>
  <c r="E29" i="6"/>
  <c r="E30" i="6"/>
  <c r="E29" i="5"/>
  <c r="G29" i="5"/>
  <c r="B29" i="5"/>
  <c r="C29" i="5"/>
  <c r="F29" i="5"/>
  <c r="B30" i="5"/>
  <c r="E30" i="5"/>
  <c r="F30" i="5"/>
  <c r="D29" i="4"/>
  <c r="B30" i="4"/>
  <c r="D30" i="4"/>
  <c r="E30" i="4"/>
  <c r="B31" i="4"/>
  <c r="C29" i="4"/>
  <c r="F29" i="4"/>
  <c r="F30" i="4"/>
  <c r="C31" i="4"/>
  <c r="E29" i="4"/>
  <c r="G30" i="4"/>
  <c r="G29" i="4"/>
  <c r="F30" i="3"/>
  <c r="F29" i="3"/>
  <c r="E30" i="3"/>
  <c r="E29" i="3"/>
  <c r="G29" i="3"/>
  <c r="G30" i="3"/>
  <c r="B30" i="2"/>
  <c r="B29" i="2"/>
  <c r="G31" i="2"/>
  <c r="C30" i="2"/>
  <c r="E30" i="2"/>
  <c r="F30" i="2"/>
  <c r="G30" i="2"/>
  <c r="C31" i="2"/>
  <c r="D29" i="2"/>
  <c r="E29" i="2"/>
  <c r="F29" i="2"/>
  <c r="D30" i="2"/>
  <c r="B29" i="1"/>
  <c r="C29" i="1"/>
  <c r="E29" i="1"/>
  <c r="F29" i="1"/>
</calcChain>
</file>

<file path=xl/sharedStrings.xml><?xml version="1.0" encoding="utf-8"?>
<sst xmlns="http://schemas.openxmlformats.org/spreadsheetml/2006/main" count="1073" uniqueCount="37">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</sst>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F88D-DE8E-4ACB-B2D5-FE98357CF86B}">
  <dimension ref="A1:G35"/>
  <sheetViews>
    <sheetView tabSelected="1" workbookViewId="0">
      <selection activeCell="B30" sqref="B30:G30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268.76</v>
      </c>
      <c r="C2" s="1">
        <v>228.06</v>
      </c>
      <c r="D2" s="1">
        <v>204.08</v>
      </c>
      <c r="E2" s="1">
        <v>373.45</v>
      </c>
      <c r="F2" s="1">
        <v>403.43</v>
      </c>
      <c r="G2" s="1">
        <v>369.83</v>
      </c>
    </row>
    <row r="3" spans="1:7" x14ac:dyDescent="0.2">
      <c r="A3" s="1" t="s">
        <v>7</v>
      </c>
      <c r="B3" s="1">
        <v>38.1</v>
      </c>
      <c r="C3" s="1">
        <v>36.25</v>
      </c>
      <c r="D3" s="1">
        <v>36.880000000000003</v>
      </c>
      <c r="E3" s="1">
        <v>40.33</v>
      </c>
      <c r="F3" s="1">
        <v>38.97</v>
      </c>
      <c r="G3" s="1">
        <v>36.64</v>
      </c>
    </row>
    <row r="4" spans="1:7" x14ac:dyDescent="0.2">
      <c r="A4" s="1" t="s">
        <v>8</v>
      </c>
      <c r="B4" s="1">
        <v>10446.74</v>
      </c>
      <c r="C4" s="1">
        <v>8548.8700000000008</v>
      </c>
      <c r="D4" s="1">
        <v>7656.38</v>
      </c>
      <c r="E4" s="1">
        <v>15401.56</v>
      </c>
      <c r="F4" s="1">
        <v>15870.67</v>
      </c>
      <c r="G4" s="1">
        <v>13752.18</v>
      </c>
    </row>
    <row r="5" spans="1:7" x14ac:dyDescent="0.2">
      <c r="A5" s="1" t="s">
        <v>9</v>
      </c>
      <c r="B5" s="1">
        <v>374.18</v>
      </c>
      <c r="C5" s="1">
        <v>726.12</v>
      </c>
      <c r="D5" s="1">
        <v>882.16</v>
      </c>
      <c r="E5" s="1">
        <v>546.11</v>
      </c>
      <c r="F5" s="1">
        <v>715.68</v>
      </c>
      <c r="G5" s="1">
        <v>564.6</v>
      </c>
    </row>
    <row r="6" spans="1:7" x14ac:dyDescent="0.2">
      <c r="A6" s="3" t="s">
        <v>10</v>
      </c>
      <c r="B6" s="3">
        <v>37.42</v>
      </c>
      <c r="C6" s="3">
        <v>73.349999999999994</v>
      </c>
      <c r="D6" s="3">
        <v>89.11</v>
      </c>
      <c r="E6" s="3">
        <v>55.16</v>
      </c>
      <c r="F6" s="3">
        <v>72.290000000000006</v>
      </c>
      <c r="G6" s="3">
        <v>57.03</v>
      </c>
    </row>
    <row r="7" spans="1:7" x14ac:dyDescent="0.2">
      <c r="A7" s="1" t="s">
        <v>11</v>
      </c>
      <c r="B7" s="1">
        <v>359.78</v>
      </c>
      <c r="C7" s="1">
        <v>659.86</v>
      </c>
      <c r="D7" s="1">
        <v>814.66</v>
      </c>
      <c r="E7" s="1">
        <v>499.95</v>
      </c>
      <c r="F7" s="1">
        <v>617.07000000000005</v>
      </c>
      <c r="G7" s="1">
        <v>523.61</v>
      </c>
    </row>
    <row r="8" spans="1:7" x14ac:dyDescent="0.2">
      <c r="A8" s="1" t="s">
        <v>12</v>
      </c>
      <c r="B8" s="1">
        <v>35.979999999999997</v>
      </c>
      <c r="C8" s="1">
        <v>66.650000000000006</v>
      </c>
      <c r="D8" s="1">
        <v>82.29</v>
      </c>
      <c r="E8" s="1">
        <v>50.5</v>
      </c>
      <c r="F8" s="1">
        <v>62.33</v>
      </c>
      <c r="G8" s="1">
        <v>52.89</v>
      </c>
    </row>
    <row r="9" spans="1:7" x14ac:dyDescent="0.2">
      <c r="A9" s="1" t="s">
        <v>13</v>
      </c>
      <c r="B9" s="1">
        <v>-237.26</v>
      </c>
      <c r="C9" s="1">
        <v>419.71</v>
      </c>
      <c r="D9" s="1">
        <v>805.36</v>
      </c>
      <c r="E9" s="1">
        <v>316.86</v>
      </c>
      <c r="F9" s="1">
        <v>-379.66</v>
      </c>
      <c r="G9" s="1">
        <v>370.47</v>
      </c>
    </row>
    <row r="10" spans="1:7" x14ac:dyDescent="0.2">
      <c r="A10" s="1" t="s">
        <v>14</v>
      </c>
      <c r="B10" s="1">
        <v>-23.73</v>
      </c>
      <c r="C10" s="1">
        <v>42.39</v>
      </c>
      <c r="D10" s="1">
        <v>81.349999999999994</v>
      </c>
      <c r="E10" s="1">
        <v>32.01</v>
      </c>
      <c r="F10" s="1">
        <v>-38.35</v>
      </c>
      <c r="G10" s="1">
        <v>37.42</v>
      </c>
    </row>
    <row r="11" spans="1:7" x14ac:dyDescent="0.2">
      <c r="A11" s="1" t="s">
        <v>15</v>
      </c>
      <c r="B11" s="1">
        <v>168.22</v>
      </c>
      <c r="C11" s="1">
        <v>382.63</v>
      </c>
      <c r="D11" s="1">
        <v>760.68</v>
      </c>
      <c r="E11" s="1">
        <v>292.60000000000002</v>
      </c>
      <c r="F11" s="1">
        <v>347.32</v>
      </c>
      <c r="G11" s="1">
        <v>157.16999999999999</v>
      </c>
    </row>
    <row r="12" spans="1:7" x14ac:dyDescent="0.2">
      <c r="A12" s="1" t="s">
        <v>16</v>
      </c>
      <c r="B12" s="1">
        <v>154.69999999999999</v>
      </c>
      <c r="C12" s="1">
        <v>130.29</v>
      </c>
      <c r="D12" s="1">
        <v>121.28</v>
      </c>
      <c r="E12" s="1">
        <v>180.66</v>
      </c>
      <c r="F12" s="1">
        <v>174.26</v>
      </c>
      <c r="G12" s="1">
        <v>199.32</v>
      </c>
    </row>
    <row r="13" spans="1:7" x14ac:dyDescent="0.2">
      <c r="A13" s="1" t="s">
        <v>17</v>
      </c>
      <c r="B13" s="1">
        <v>18.28</v>
      </c>
      <c r="C13" s="1">
        <v>14.83</v>
      </c>
      <c r="D13" s="1">
        <v>9.44</v>
      </c>
      <c r="E13" s="1">
        <v>19.86</v>
      </c>
      <c r="F13" s="1">
        <v>36.68</v>
      </c>
      <c r="G13" s="1">
        <v>30.45</v>
      </c>
    </row>
    <row r="14" spans="1:7" x14ac:dyDescent="0.2">
      <c r="A14" s="1" t="s">
        <v>18</v>
      </c>
      <c r="B14" s="1">
        <v>39.68</v>
      </c>
      <c r="C14" s="1">
        <v>44.98</v>
      </c>
      <c r="D14" s="1">
        <v>29.8</v>
      </c>
      <c r="E14" s="1">
        <v>33.11</v>
      </c>
      <c r="F14" s="1">
        <v>74.52</v>
      </c>
      <c r="G14" s="1">
        <v>64.56</v>
      </c>
    </row>
    <row r="15" spans="1:7" x14ac:dyDescent="0.2">
      <c r="A15" s="1" t="s">
        <v>19</v>
      </c>
      <c r="B15" s="1">
        <v>3</v>
      </c>
      <c r="C15" s="1">
        <v>7</v>
      </c>
      <c r="D15" s="1">
        <v>6</v>
      </c>
      <c r="E15" s="1">
        <v>3</v>
      </c>
      <c r="F15" s="1">
        <v>4</v>
      </c>
      <c r="G15" s="1">
        <v>4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61.26</v>
      </c>
      <c r="C17" s="1">
        <v>539.79</v>
      </c>
      <c r="D17" s="1">
        <v>810.01</v>
      </c>
      <c r="E17" s="1">
        <v>408.41</v>
      </c>
      <c r="F17" s="1">
        <v>118.7</v>
      </c>
      <c r="G17" s="1">
        <v>447.04</v>
      </c>
    </row>
    <row r="18" spans="1:7" x14ac:dyDescent="0.2">
      <c r="A18" s="1" t="s">
        <v>22</v>
      </c>
      <c r="B18" s="1">
        <v>298.52</v>
      </c>
      <c r="C18" s="1">
        <v>120.08</v>
      </c>
      <c r="D18" s="1">
        <v>4.6500000000000004</v>
      </c>
      <c r="E18" s="1">
        <v>91.54</v>
      </c>
      <c r="F18" s="1">
        <v>498.36</v>
      </c>
      <c r="G18" s="1">
        <v>76.569999999999993</v>
      </c>
    </row>
    <row r="19" spans="1:7" x14ac:dyDescent="0.2">
      <c r="A19" s="1" t="s">
        <v>23</v>
      </c>
      <c r="B19" s="1">
        <v>2</v>
      </c>
      <c r="C19" s="1">
        <v>1</v>
      </c>
      <c r="D19" s="1">
        <v>0</v>
      </c>
      <c r="E19" s="1">
        <v>0</v>
      </c>
      <c r="F19" s="1">
        <v>3</v>
      </c>
      <c r="G19" s="1">
        <v>1</v>
      </c>
    </row>
    <row r="20" spans="1:7" x14ac:dyDescent="0.2">
      <c r="A20" s="1" t="s">
        <v>24</v>
      </c>
      <c r="B20" s="1">
        <v>8</v>
      </c>
      <c r="C20" s="1">
        <v>1.7</v>
      </c>
      <c r="D20" s="1">
        <v>0</v>
      </c>
      <c r="E20" s="1">
        <v>0</v>
      </c>
      <c r="F20" s="1">
        <v>5.7</v>
      </c>
      <c r="G20" s="1">
        <v>1.1000000000000001</v>
      </c>
    </row>
    <row r="21" spans="1:7" x14ac:dyDescent="0.2">
      <c r="A21" s="1" t="s">
        <v>25</v>
      </c>
      <c r="B21" s="1">
        <v>2.1</v>
      </c>
      <c r="C21" s="1">
        <v>8.3000000000000007</v>
      </c>
      <c r="D21" s="1">
        <v>10</v>
      </c>
      <c r="E21" s="1">
        <v>10</v>
      </c>
      <c r="F21" s="1">
        <v>4.3</v>
      </c>
      <c r="G21" s="1">
        <v>8.9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4.4000000000000004</v>
      </c>
      <c r="C24" s="1">
        <v>0</v>
      </c>
      <c r="D24" s="1">
        <v>0</v>
      </c>
      <c r="E24" s="1">
        <v>0</v>
      </c>
      <c r="F24" s="1">
        <v>2.9</v>
      </c>
      <c r="G24" s="1">
        <v>1.1000000000000001</v>
      </c>
    </row>
    <row r="25" spans="1:7" x14ac:dyDescent="0.2">
      <c r="A25" s="1" t="s">
        <v>29</v>
      </c>
      <c r="B25" s="1">
        <v>5.7</v>
      </c>
      <c r="C25" s="1">
        <v>3.2</v>
      </c>
      <c r="D25" s="1">
        <v>0</v>
      </c>
      <c r="E25" s="1">
        <v>5.2</v>
      </c>
      <c r="F25" s="1">
        <v>5.8</v>
      </c>
      <c r="G25" s="1">
        <v>6</v>
      </c>
    </row>
    <row r="26" spans="1:7" x14ac:dyDescent="0.2">
      <c r="A26" s="1" t="s">
        <v>30</v>
      </c>
      <c r="B26" s="1">
        <v>0</v>
      </c>
      <c r="C26" s="1">
        <v>6.8</v>
      </c>
      <c r="D26" s="1">
        <v>10</v>
      </c>
      <c r="E26" s="1">
        <v>4.8</v>
      </c>
      <c r="F26" s="1">
        <v>1.3</v>
      </c>
      <c r="G26" s="1">
        <v>2.9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43.564356435643568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28.999999999999996</v>
      </c>
      <c r="G29" s="3">
        <f t="shared" si="1"/>
        <v>11.000000000000002</v>
      </c>
    </row>
    <row r="30" spans="1:7" x14ac:dyDescent="0.2">
      <c r="A30" s="3" t="s">
        <v>33</v>
      </c>
      <c r="B30" s="3">
        <f>B25/B28*100</f>
        <v>56.435643564356432</v>
      </c>
      <c r="C30" s="3">
        <f t="shared" ref="C30:G30" si="2">C25/C28*100</f>
        <v>32</v>
      </c>
      <c r="D30" s="3">
        <f t="shared" si="2"/>
        <v>0</v>
      </c>
      <c r="E30" s="3">
        <f t="shared" si="2"/>
        <v>52</v>
      </c>
      <c r="F30" s="3">
        <f t="shared" si="2"/>
        <v>57.999999999999993</v>
      </c>
      <c r="G30" s="3">
        <f t="shared" si="2"/>
        <v>60</v>
      </c>
    </row>
    <row r="31" spans="1:7" x14ac:dyDescent="0.2">
      <c r="A31" s="3" t="s">
        <v>34</v>
      </c>
      <c r="B31" s="3">
        <f>B26/B28*100</f>
        <v>0</v>
      </c>
      <c r="C31" s="3">
        <f t="shared" ref="C31:G31" si="3">C26/C28*100</f>
        <v>68</v>
      </c>
      <c r="D31" s="3">
        <f t="shared" si="3"/>
        <v>100</v>
      </c>
      <c r="E31" s="3">
        <f t="shared" si="3"/>
        <v>48</v>
      </c>
      <c r="F31" s="3">
        <f t="shared" si="3"/>
        <v>13</v>
      </c>
      <c r="G31" s="3">
        <f t="shared" si="3"/>
        <v>28.999999999999996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-23.82</v>
      </c>
      <c r="C33" s="3">
        <v>43.91</v>
      </c>
      <c r="D33" s="3">
        <v>82.58</v>
      </c>
      <c r="E33" s="3">
        <v>31.38</v>
      </c>
      <c r="F33" s="3">
        <v>-30.14</v>
      </c>
      <c r="G33" s="3">
        <v>24.63</v>
      </c>
    </row>
    <row r="35" spans="1:7" x14ac:dyDescent="0.2">
      <c r="A35" s="3" t="s">
        <v>36</v>
      </c>
      <c r="B35" s="3"/>
      <c r="C35" s="3"/>
      <c r="D35" s="3">
        <f>D33-C33</f>
        <v>38.67</v>
      </c>
      <c r="E35" s="3"/>
      <c r="F35" s="3">
        <f>F33-E33</f>
        <v>-61.519999999999996</v>
      </c>
      <c r="G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9756-6ECF-4910-B428-C1DA78BEDEB1}">
  <dimension ref="A1:G35"/>
  <sheetViews>
    <sheetView topLeftCell="A6" zoomScale="90" zoomScaleNormal="90" workbookViewId="0">
      <selection activeCell="K17" sqref="K17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371.86</v>
      </c>
      <c r="C2" s="1">
        <v>322.07</v>
      </c>
      <c r="D2" s="1">
        <v>414.31</v>
      </c>
      <c r="E2" s="1">
        <v>424.66</v>
      </c>
      <c r="F2" s="1">
        <v>364.81</v>
      </c>
      <c r="G2" s="1">
        <v>375.73</v>
      </c>
    </row>
    <row r="3" spans="1:7" x14ac:dyDescent="0.2">
      <c r="A3" s="1" t="s">
        <v>7</v>
      </c>
      <c r="B3" s="1">
        <v>38.42</v>
      </c>
      <c r="C3" s="1">
        <v>34.020000000000003</v>
      </c>
      <c r="D3" s="1">
        <v>41.61</v>
      </c>
      <c r="E3" s="1">
        <v>45.49</v>
      </c>
      <c r="F3" s="1">
        <v>42.75</v>
      </c>
      <c r="G3" s="1">
        <v>43.16</v>
      </c>
    </row>
    <row r="4" spans="1:7" x14ac:dyDescent="0.2">
      <c r="A4" s="1" t="s">
        <v>8</v>
      </c>
      <c r="B4" s="1">
        <v>14644.59</v>
      </c>
      <c r="C4" s="1">
        <v>11358.23</v>
      </c>
      <c r="D4" s="1">
        <v>17909.02</v>
      </c>
      <c r="E4" s="1">
        <v>19643.47</v>
      </c>
      <c r="F4" s="1">
        <v>15870.84</v>
      </c>
      <c r="G4" s="1">
        <v>16748.97</v>
      </c>
    </row>
    <row r="5" spans="1:7" x14ac:dyDescent="0.2">
      <c r="A5" s="1" t="s">
        <v>9</v>
      </c>
      <c r="B5" s="1">
        <v>1981.74</v>
      </c>
      <c r="C5" s="1">
        <v>1916.47</v>
      </c>
      <c r="D5" s="1">
        <v>2668.58</v>
      </c>
      <c r="E5" s="1">
        <v>196.74</v>
      </c>
      <c r="F5" s="1">
        <v>467.23</v>
      </c>
      <c r="G5" s="1">
        <v>1086.28</v>
      </c>
    </row>
    <row r="6" spans="1:7" x14ac:dyDescent="0.2">
      <c r="A6" s="3" t="s">
        <v>10</v>
      </c>
      <c r="B6" s="3">
        <v>198.17</v>
      </c>
      <c r="C6" s="3">
        <v>193.58</v>
      </c>
      <c r="D6" s="3">
        <v>269.55</v>
      </c>
      <c r="E6" s="3">
        <v>19.87</v>
      </c>
      <c r="F6" s="3">
        <v>47.2</v>
      </c>
      <c r="G6" s="3">
        <v>110.85</v>
      </c>
    </row>
    <row r="7" spans="1:7" x14ac:dyDescent="0.2">
      <c r="A7" s="1" t="s">
        <v>11</v>
      </c>
      <c r="B7" s="1">
        <v>1865.41</v>
      </c>
      <c r="C7" s="1">
        <v>1788.07</v>
      </c>
      <c r="D7" s="1">
        <v>2523.19</v>
      </c>
      <c r="E7" s="1">
        <v>189.03</v>
      </c>
      <c r="F7" s="1">
        <v>447.72</v>
      </c>
      <c r="G7" s="1">
        <v>949.25</v>
      </c>
    </row>
    <row r="8" spans="1:7" x14ac:dyDescent="0.2">
      <c r="A8" s="1" t="s">
        <v>12</v>
      </c>
      <c r="B8" s="1">
        <v>186.54</v>
      </c>
      <c r="C8" s="1">
        <v>180.61</v>
      </c>
      <c r="D8" s="1">
        <v>254.87</v>
      </c>
      <c r="E8" s="1">
        <v>19.09</v>
      </c>
      <c r="F8" s="1">
        <v>45.22</v>
      </c>
      <c r="G8" s="1">
        <v>96.86</v>
      </c>
    </row>
    <row r="9" spans="1:7" x14ac:dyDescent="0.2">
      <c r="A9" s="1" t="s">
        <v>13</v>
      </c>
      <c r="B9" s="1">
        <v>1865.41</v>
      </c>
      <c r="C9" s="1">
        <v>1774.6</v>
      </c>
      <c r="D9" s="1">
        <v>2523.19</v>
      </c>
      <c r="E9" s="1">
        <v>153.46</v>
      </c>
      <c r="F9" s="1">
        <v>-169.39</v>
      </c>
      <c r="G9" s="1">
        <v>921.76</v>
      </c>
    </row>
    <row r="10" spans="1:7" x14ac:dyDescent="0.2">
      <c r="A10" s="1" t="s">
        <v>14</v>
      </c>
      <c r="B10" s="1">
        <v>186.54</v>
      </c>
      <c r="C10" s="1">
        <v>179.25</v>
      </c>
      <c r="D10" s="1">
        <v>254.87</v>
      </c>
      <c r="E10" s="1">
        <v>15.5</v>
      </c>
      <c r="F10" s="1">
        <v>-17.11</v>
      </c>
      <c r="G10" s="1">
        <v>94.06</v>
      </c>
    </row>
    <row r="11" spans="1:7" x14ac:dyDescent="0.2">
      <c r="A11" s="1" t="s">
        <v>15</v>
      </c>
      <c r="B11" s="1">
        <v>1488.49</v>
      </c>
      <c r="C11" s="1">
        <v>1416.57</v>
      </c>
      <c r="D11" s="1">
        <v>1455.84</v>
      </c>
      <c r="E11" s="1">
        <v>153.01</v>
      </c>
      <c r="F11" s="1">
        <v>38.36</v>
      </c>
      <c r="G11" s="1">
        <v>473.07</v>
      </c>
    </row>
    <row r="12" spans="1:7" x14ac:dyDescent="0.2">
      <c r="A12" s="1" t="s">
        <v>16</v>
      </c>
      <c r="B12" s="1">
        <v>232.82</v>
      </c>
      <c r="C12" s="1">
        <v>173.62</v>
      </c>
      <c r="D12" s="1">
        <v>251.63</v>
      </c>
      <c r="E12" s="1">
        <v>208.94</v>
      </c>
      <c r="F12" s="1">
        <v>211.28</v>
      </c>
      <c r="G12" s="1">
        <v>169.57</v>
      </c>
    </row>
    <row r="13" spans="1:7" x14ac:dyDescent="0.2">
      <c r="A13" s="1" t="s">
        <v>17</v>
      </c>
      <c r="B13" s="1">
        <v>28.19</v>
      </c>
      <c r="C13" s="1">
        <v>25.69</v>
      </c>
      <c r="D13" s="1">
        <v>23.39</v>
      </c>
      <c r="E13" s="1">
        <v>15.02</v>
      </c>
      <c r="F13" s="1">
        <v>7.63</v>
      </c>
      <c r="G13" s="1">
        <v>33.78</v>
      </c>
    </row>
    <row r="14" spans="1:7" x14ac:dyDescent="0.2">
      <c r="A14" s="1" t="s">
        <v>18</v>
      </c>
      <c r="B14" s="1">
        <v>83.54</v>
      </c>
      <c r="C14" s="1">
        <v>63.75</v>
      </c>
      <c r="D14" s="1">
        <v>51.39</v>
      </c>
      <c r="E14" s="1">
        <v>40.369999999999997</v>
      </c>
      <c r="F14" s="1">
        <v>68.73</v>
      </c>
      <c r="G14" s="1">
        <v>90.18</v>
      </c>
    </row>
    <row r="15" spans="1:7" x14ac:dyDescent="0.2">
      <c r="A15" s="1" t="s">
        <v>19</v>
      </c>
      <c r="B15" s="1">
        <v>8</v>
      </c>
      <c r="C15" s="1">
        <v>10</v>
      </c>
      <c r="D15" s="1">
        <v>9</v>
      </c>
      <c r="E15" s="1">
        <v>2</v>
      </c>
      <c r="F15" s="1">
        <v>1</v>
      </c>
      <c r="G15" s="1">
        <v>4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">
      <c r="A17" s="1" t="s">
        <v>21</v>
      </c>
      <c r="B17" s="1">
        <v>1865.41</v>
      </c>
      <c r="C17" s="1">
        <v>1781.34</v>
      </c>
      <c r="D17" s="1">
        <v>2523.19</v>
      </c>
      <c r="E17" s="1">
        <v>171.24</v>
      </c>
      <c r="F17" s="1">
        <v>139.16</v>
      </c>
      <c r="G17" s="1">
        <v>935.5</v>
      </c>
    </row>
    <row r="18" spans="1:7" x14ac:dyDescent="0.2">
      <c r="A18" s="1" t="s">
        <v>22</v>
      </c>
      <c r="B18" s="1">
        <v>0</v>
      </c>
      <c r="C18" s="1">
        <v>6.74</v>
      </c>
      <c r="D18" s="1">
        <v>0</v>
      </c>
      <c r="E18" s="1">
        <v>17.79</v>
      </c>
      <c r="F18" s="1">
        <v>308.55</v>
      </c>
      <c r="G18" s="1">
        <v>13.75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2.9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7.1</v>
      </c>
      <c r="G21" s="1">
        <v>9.9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1.4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8.1</v>
      </c>
      <c r="F25" s="1">
        <v>6.7</v>
      </c>
      <c r="G25" s="1">
        <v>1.8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1.9</v>
      </c>
      <c r="F26" s="1">
        <v>1.9</v>
      </c>
      <c r="G26" s="1">
        <v>8.1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13.999999999999998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81</v>
      </c>
      <c r="F30" s="3">
        <f t="shared" si="2"/>
        <v>67</v>
      </c>
      <c r="G30" s="3">
        <f t="shared" si="2"/>
        <v>18.181818181818183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19</v>
      </c>
      <c r="F31" s="3">
        <f t="shared" si="3"/>
        <v>19</v>
      </c>
      <c r="G31" s="3">
        <f t="shared" si="3"/>
        <v>81.818181818181813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195.52</v>
      </c>
      <c r="C33" s="3">
        <v>188.24</v>
      </c>
      <c r="D33" s="3">
        <v>266.70999999999998</v>
      </c>
      <c r="E33" s="3">
        <v>17.12</v>
      </c>
      <c r="F33" s="3">
        <v>-1.84</v>
      </c>
      <c r="G33" s="3">
        <v>100.23</v>
      </c>
    </row>
    <row r="35" spans="1:7" x14ac:dyDescent="0.2">
      <c r="A35" s="3" t="s">
        <v>36</v>
      </c>
      <c r="B35" s="3"/>
      <c r="C35" s="3"/>
      <c r="D35" s="3">
        <f>D33-C33</f>
        <v>78.46999999999997</v>
      </c>
      <c r="E35" s="3"/>
      <c r="F35" s="3">
        <f>F33-E33</f>
        <v>-18.96</v>
      </c>
      <c r="G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1DD9-043C-4496-92A2-4526DEF194FA}">
  <dimension ref="A1:G35"/>
  <sheetViews>
    <sheetView topLeftCell="A12" zoomScale="90" zoomScaleNormal="90" workbookViewId="0">
      <selection activeCell="J27" sqref="J27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372.62</v>
      </c>
      <c r="C2" s="1">
        <v>359.18</v>
      </c>
      <c r="D2" s="1">
        <v>380.19</v>
      </c>
      <c r="E2" s="1">
        <v>372.75</v>
      </c>
      <c r="F2" s="1">
        <v>370.3</v>
      </c>
      <c r="G2" s="1">
        <v>376.57</v>
      </c>
    </row>
    <row r="3" spans="1:7" x14ac:dyDescent="0.2">
      <c r="A3" s="1" t="s">
        <v>7</v>
      </c>
      <c r="B3" s="1">
        <v>44.91</v>
      </c>
      <c r="C3" s="1">
        <v>45.51</v>
      </c>
      <c r="D3" s="1">
        <v>51.28</v>
      </c>
      <c r="E3" s="1">
        <v>48.04</v>
      </c>
      <c r="F3" s="1">
        <v>43.47</v>
      </c>
      <c r="G3" s="1">
        <v>46.77</v>
      </c>
    </row>
    <row r="4" spans="1:7" x14ac:dyDescent="0.2">
      <c r="A4" s="1" t="s">
        <v>8</v>
      </c>
      <c r="B4" s="1">
        <v>17014.52</v>
      </c>
      <c r="C4" s="1">
        <v>16720.93</v>
      </c>
      <c r="D4" s="1">
        <v>19859.13</v>
      </c>
      <c r="E4" s="1">
        <v>18270.55</v>
      </c>
      <c r="F4" s="1">
        <v>16445.169999999998</v>
      </c>
      <c r="G4" s="1">
        <v>17932.29</v>
      </c>
    </row>
    <row r="5" spans="1:7" x14ac:dyDescent="0.2">
      <c r="A5" s="1" t="s">
        <v>9</v>
      </c>
      <c r="B5" s="1">
        <v>846.32</v>
      </c>
      <c r="C5" s="1">
        <v>1000.4</v>
      </c>
      <c r="D5" s="1">
        <v>1017.21</v>
      </c>
      <c r="E5" s="1">
        <v>941.12</v>
      </c>
      <c r="F5" s="1">
        <v>942.22</v>
      </c>
      <c r="G5" s="1">
        <v>779.99</v>
      </c>
    </row>
    <row r="6" spans="1:7" x14ac:dyDescent="0.2">
      <c r="A6" s="3" t="s">
        <v>10</v>
      </c>
      <c r="B6" s="3">
        <v>84.63</v>
      </c>
      <c r="C6" s="3">
        <v>101.05</v>
      </c>
      <c r="D6" s="3">
        <v>102.75</v>
      </c>
      <c r="E6" s="3">
        <v>95.06</v>
      </c>
      <c r="F6" s="3">
        <v>95.17</v>
      </c>
      <c r="G6" s="3">
        <v>79.59</v>
      </c>
    </row>
    <row r="7" spans="1:7" x14ac:dyDescent="0.2">
      <c r="A7" s="1" t="s">
        <v>11</v>
      </c>
      <c r="B7" s="1">
        <v>752.55</v>
      </c>
      <c r="C7" s="1">
        <v>955.81</v>
      </c>
      <c r="D7" s="1">
        <v>966.84</v>
      </c>
      <c r="E7" s="1">
        <v>866.26</v>
      </c>
      <c r="F7" s="1">
        <v>897.7</v>
      </c>
      <c r="G7" s="1">
        <v>690.55</v>
      </c>
    </row>
    <row r="8" spans="1:7" x14ac:dyDescent="0.2">
      <c r="A8" s="1" t="s">
        <v>12</v>
      </c>
      <c r="B8" s="1">
        <v>75.260000000000005</v>
      </c>
      <c r="C8" s="1">
        <v>96.55</v>
      </c>
      <c r="D8" s="1">
        <v>97.66</v>
      </c>
      <c r="E8" s="1">
        <v>87.5</v>
      </c>
      <c r="F8" s="1">
        <v>90.68</v>
      </c>
      <c r="G8" s="1">
        <v>70.459999999999994</v>
      </c>
    </row>
    <row r="9" spans="1:7" x14ac:dyDescent="0.2">
      <c r="A9" s="1" t="s">
        <v>13</v>
      </c>
      <c r="B9" s="1">
        <v>387.46</v>
      </c>
      <c r="C9" s="1">
        <v>891.53</v>
      </c>
      <c r="D9" s="1">
        <v>931.6</v>
      </c>
      <c r="E9" s="1">
        <v>735.44</v>
      </c>
      <c r="F9" s="1">
        <v>659.69</v>
      </c>
      <c r="G9" s="1">
        <v>347.81</v>
      </c>
    </row>
    <row r="10" spans="1:7" x14ac:dyDescent="0.2">
      <c r="A10" s="1" t="s">
        <v>14</v>
      </c>
      <c r="B10" s="1">
        <v>38.75</v>
      </c>
      <c r="C10" s="1">
        <v>90.05</v>
      </c>
      <c r="D10" s="1">
        <v>94.1</v>
      </c>
      <c r="E10" s="1">
        <v>74.290000000000006</v>
      </c>
      <c r="F10" s="1">
        <v>66.64</v>
      </c>
      <c r="G10" s="1">
        <v>35.49</v>
      </c>
    </row>
    <row r="11" spans="1:7" x14ac:dyDescent="0.2">
      <c r="A11" s="1" t="s">
        <v>15</v>
      </c>
      <c r="B11" s="1">
        <v>156.61000000000001</v>
      </c>
      <c r="C11" s="1">
        <v>820.7</v>
      </c>
      <c r="D11" s="1">
        <v>907.57</v>
      </c>
      <c r="E11" s="1">
        <v>725.9</v>
      </c>
      <c r="F11" s="1">
        <v>624.96</v>
      </c>
      <c r="G11" s="1">
        <v>179.1</v>
      </c>
    </row>
    <row r="12" spans="1:7" x14ac:dyDescent="0.2">
      <c r="A12" s="1" t="s">
        <v>16</v>
      </c>
      <c r="B12" s="1">
        <v>166.61</v>
      </c>
      <c r="C12" s="1">
        <v>160.33000000000001</v>
      </c>
      <c r="D12" s="1">
        <v>189.48</v>
      </c>
      <c r="E12" s="1">
        <v>201.93</v>
      </c>
      <c r="F12" s="1">
        <v>210.89</v>
      </c>
      <c r="G12" s="1">
        <v>144.47</v>
      </c>
    </row>
    <row r="13" spans="1:7" x14ac:dyDescent="0.2">
      <c r="A13" s="1" t="s">
        <v>17</v>
      </c>
      <c r="B13" s="1">
        <v>26.43</v>
      </c>
      <c r="C13" s="1">
        <v>18.940000000000001</v>
      </c>
      <c r="D13" s="1">
        <v>20.43</v>
      </c>
      <c r="E13" s="1">
        <v>19.739999999999998</v>
      </c>
      <c r="F13" s="1">
        <v>7.52</v>
      </c>
      <c r="G13" s="1">
        <v>28.71</v>
      </c>
    </row>
    <row r="14" spans="1:7" x14ac:dyDescent="0.2">
      <c r="A14" s="1" t="s">
        <v>18</v>
      </c>
      <c r="B14" s="1">
        <v>66.67</v>
      </c>
      <c r="C14" s="1">
        <v>47.17</v>
      </c>
      <c r="D14" s="1">
        <v>71.62</v>
      </c>
      <c r="E14" s="1">
        <v>42.23</v>
      </c>
      <c r="F14" s="1">
        <v>26.77</v>
      </c>
      <c r="G14" s="1">
        <v>68.13</v>
      </c>
    </row>
    <row r="15" spans="1:7" x14ac:dyDescent="0.2">
      <c r="A15" s="1" t="s">
        <v>19</v>
      </c>
      <c r="B15" s="1">
        <v>6</v>
      </c>
      <c r="C15" s="1">
        <v>6</v>
      </c>
      <c r="D15" s="1">
        <v>5</v>
      </c>
      <c r="E15" s="1">
        <v>5</v>
      </c>
      <c r="F15" s="1">
        <v>2</v>
      </c>
      <c r="G15" s="1">
        <v>4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">
      <c r="A17" s="1" t="s">
        <v>21</v>
      </c>
      <c r="B17" s="1">
        <v>570.01</v>
      </c>
      <c r="C17" s="1">
        <v>923.67</v>
      </c>
      <c r="D17" s="1">
        <v>949.22</v>
      </c>
      <c r="E17" s="1">
        <v>800.85</v>
      </c>
      <c r="F17" s="1">
        <v>778.7</v>
      </c>
      <c r="G17" s="1">
        <v>519.17999999999995</v>
      </c>
    </row>
    <row r="18" spans="1:7" x14ac:dyDescent="0.2">
      <c r="A18" s="1" t="s">
        <v>22</v>
      </c>
      <c r="B18" s="1">
        <v>182.55</v>
      </c>
      <c r="C18" s="1">
        <v>32.14</v>
      </c>
      <c r="D18" s="1">
        <v>17.62</v>
      </c>
      <c r="E18" s="1">
        <v>65.41</v>
      </c>
      <c r="F18" s="1">
        <v>119</v>
      </c>
      <c r="G18" s="1">
        <v>171.37</v>
      </c>
    </row>
    <row r="19" spans="1:7" x14ac:dyDescent="0.2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2">
      <c r="A20" s="1" t="s">
        <v>24</v>
      </c>
      <c r="B20" s="1">
        <v>1.4</v>
      </c>
      <c r="C20" s="1">
        <v>0</v>
      </c>
      <c r="D20" s="1">
        <v>0</v>
      </c>
      <c r="E20" s="1">
        <v>0</v>
      </c>
      <c r="F20" s="1">
        <v>0</v>
      </c>
      <c r="G20" s="1">
        <v>2.2999999999999998</v>
      </c>
    </row>
    <row r="21" spans="1:7" x14ac:dyDescent="0.2">
      <c r="A21" s="1" t="s">
        <v>25</v>
      </c>
      <c r="B21" s="1">
        <v>8.6999999999999993</v>
      </c>
      <c r="C21" s="1">
        <v>10</v>
      </c>
      <c r="D21" s="1">
        <v>10</v>
      </c>
      <c r="E21" s="1">
        <v>10</v>
      </c>
      <c r="F21" s="1">
        <v>10</v>
      </c>
      <c r="G21" s="1">
        <v>7.6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1.2</v>
      </c>
      <c r="C24" s="1">
        <v>0</v>
      </c>
      <c r="D24" s="1">
        <v>0</v>
      </c>
      <c r="E24" s="1">
        <v>0</v>
      </c>
      <c r="F24" s="1">
        <v>0</v>
      </c>
      <c r="G24" s="1">
        <v>1.8</v>
      </c>
    </row>
    <row r="25" spans="1:7" x14ac:dyDescent="0.2">
      <c r="A25" s="1" t="s">
        <v>29</v>
      </c>
      <c r="B25" s="1">
        <v>2</v>
      </c>
      <c r="C25" s="1">
        <v>0</v>
      </c>
      <c r="D25" s="1">
        <v>0</v>
      </c>
      <c r="E25" s="1">
        <v>0</v>
      </c>
      <c r="F25" s="1">
        <v>3</v>
      </c>
      <c r="G25" s="1">
        <v>2.4</v>
      </c>
    </row>
    <row r="26" spans="1:7" x14ac:dyDescent="0.2">
      <c r="A26" s="1" t="s">
        <v>30</v>
      </c>
      <c r="B26" s="1">
        <v>6.9</v>
      </c>
      <c r="C26" s="1">
        <v>10</v>
      </c>
      <c r="D26" s="1">
        <v>10</v>
      </c>
      <c r="E26" s="1">
        <v>10</v>
      </c>
      <c r="F26" s="1">
        <v>7</v>
      </c>
      <c r="G26" s="1">
        <v>5.7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">
      <c r="A29" s="3" t="s">
        <v>32</v>
      </c>
      <c r="B29" s="3">
        <f>B24/B28*100</f>
        <v>11.881188118811879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18.181818181818183</v>
      </c>
    </row>
    <row r="30" spans="1:7" x14ac:dyDescent="0.2">
      <c r="A30" s="3" t="s">
        <v>33</v>
      </c>
      <c r="B30" s="3">
        <f>B25/B28*100</f>
        <v>19.801980198019802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30</v>
      </c>
      <c r="G30" s="3">
        <f t="shared" si="2"/>
        <v>24.242424242424239</v>
      </c>
    </row>
    <row r="31" spans="1:7" x14ac:dyDescent="0.2">
      <c r="A31" s="3" t="s">
        <v>34</v>
      </c>
      <c r="B31" s="3">
        <f>B26/B28*100</f>
        <v>68.316831683168317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70</v>
      </c>
      <c r="G31" s="3">
        <f t="shared" si="3"/>
        <v>57.575757575757578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44.34</v>
      </c>
      <c r="C33" s="3">
        <v>92.08</v>
      </c>
      <c r="D33" s="3">
        <v>94.76</v>
      </c>
      <c r="E33" s="3">
        <v>77.81</v>
      </c>
      <c r="F33" s="3">
        <v>62.16</v>
      </c>
      <c r="G33" s="3">
        <v>25.92</v>
      </c>
    </row>
    <row r="35" spans="1:7" x14ac:dyDescent="0.2">
      <c r="A35" s="3" t="s">
        <v>36</v>
      </c>
      <c r="B35" s="3"/>
      <c r="C35" s="3"/>
      <c r="D35" s="3">
        <f>D33-C33</f>
        <v>2.6800000000000068</v>
      </c>
      <c r="E35" s="3"/>
      <c r="F35" s="3">
        <f>F33-E33</f>
        <v>-15.650000000000006</v>
      </c>
      <c r="G3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D784-0FDA-4B4B-B77B-2D3DB046BD00}">
  <dimension ref="A1:G35"/>
  <sheetViews>
    <sheetView topLeftCell="A7" zoomScale="80" zoomScaleNormal="80" workbookViewId="0">
      <selection activeCell="K14" sqref="K14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379.36</v>
      </c>
      <c r="C2" s="1">
        <v>417.24</v>
      </c>
      <c r="D2" s="1">
        <v>388.9</v>
      </c>
      <c r="E2" s="1">
        <v>435.37</v>
      </c>
      <c r="F2" s="1">
        <v>476.24</v>
      </c>
      <c r="G2" s="1">
        <v>415.58</v>
      </c>
    </row>
    <row r="3" spans="1:7" x14ac:dyDescent="0.2">
      <c r="A3" s="1" t="s">
        <v>7</v>
      </c>
      <c r="B3" s="1">
        <v>39.39</v>
      </c>
      <c r="C3" s="1">
        <v>39.81</v>
      </c>
      <c r="D3" s="1">
        <v>35.69</v>
      </c>
      <c r="E3" s="1">
        <v>45.44</v>
      </c>
      <c r="F3" s="1">
        <v>48.61</v>
      </c>
      <c r="G3" s="1">
        <v>38.409999999999997</v>
      </c>
    </row>
    <row r="4" spans="1:7" x14ac:dyDescent="0.2">
      <c r="A4" s="1" t="s">
        <v>8</v>
      </c>
      <c r="B4" s="1">
        <v>15242.45</v>
      </c>
      <c r="C4" s="1">
        <v>17219.3</v>
      </c>
      <c r="D4" s="1">
        <v>14203.22</v>
      </c>
      <c r="E4" s="1">
        <v>20224.419999999998</v>
      </c>
      <c r="F4" s="1">
        <v>23557.5</v>
      </c>
      <c r="G4" s="1">
        <v>16324.64</v>
      </c>
    </row>
    <row r="5" spans="1:7" x14ac:dyDescent="0.2">
      <c r="A5" s="1" t="s">
        <v>9</v>
      </c>
      <c r="B5" s="1">
        <v>2263.9</v>
      </c>
      <c r="C5" s="1">
        <v>3455.32</v>
      </c>
      <c r="D5" s="1">
        <v>3418.26</v>
      </c>
      <c r="E5" s="1">
        <v>2775.54</v>
      </c>
      <c r="F5" s="1">
        <v>2165.11</v>
      </c>
      <c r="G5" s="1">
        <v>2886.38</v>
      </c>
    </row>
    <row r="6" spans="1:7" x14ac:dyDescent="0.2">
      <c r="A6" s="3" t="s">
        <v>10</v>
      </c>
      <c r="B6" s="3">
        <v>226.39</v>
      </c>
      <c r="C6" s="3">
        <v>349.02</v>
      </c>
      <c r="D6" s="3">
        <v>345.28</v>
      </c>
      <c r="E6" s="3">
        <v>280.36</v>
      </c>
      <c r="F6" s="3">
        <v>218.7</v>
      </c>
      <c r="G6" s="3">
        <v>294.52999999999997</v>
      </c>
    </row>
    <row r="7" spans="1:7" x14ac:dyDescent="0.2">
      <c r="A7" s="1" t="s">
        <v>11</v>
      </c>
      <c r="B7" s="1">
        <v>2083.15</v>
      </c>
      <c r="C7" s="1">
        <v>2942.46</v>
      </c>
      <c r="D7" s="1">
        <v>3138.62</v>
      </c>
      <c r="E7" s="1">
        <v>2549.9899999999998</v>
      </c>
      <c r="F7" s="1">
        <v>1912.28</v>
      </c>
      <c r="G7" s="1">
        <v>2465.42</v>
      </c>
    </row>
    <row r="8" spans="1:7" x14ac:dyDescent="0.2">
      <c r="A8" s="1" t="s">
        <v>12</v>
      </c>
      <c r="B8" s="1">
        <v>208.31</v>
      </c>
      <c r="C8" s="1">
        <v>297.22000000000003</v>
      </c>
      <c r="D8" s="1">
        <v>317.02999999999997</v>
      </c>
      <c r="E8" s="1">
        <v>257.57</v>
      </c>
      <c r="F8" s="1">
        <v>193.16</v>
      </c>
      <c r="G8" s="1">
        <v>251.57</v>
      </c>
    </row>
    <row r="9" spans="1:7" x14ac:dyDescent="0.2">
      <c r="A9" s="1" t="s">
        <v>13</v>
      </c>
      <c r="B9" s="1">
        <v>1914.64</v>
      </c>
      <c r="C9" s="1">
        <v>2942.46</v>
      </c>
      <c r="D9" s="1">
        <v>3138.62</v>
      </c>
      <c r="E9" s="1">
        <v>2531.09</v>
      </c>
      <c r="F9" s="1">
        <v>1050.17</v>
      </c>
      <c r="G9" s="1">
        <v>2163.6999999999998</v>
      </c>
    </row>
    <row r="10" spans="1:7" x14ac:dyDescent="0.2">
      <c r="A10" s="1" t="s">
        <v>14</v>
      </c>
      <c r="B10" s="1">
        <v>191.46</v>
      </c>
      <c r="C10" s="1">
        <v>297.22000000000003</v>
      </c>
      <c r="D10" s="1">
        <v>317.02999999999997</v>
      </c>
      <c r="E10" s="1">
        <v>255.67</v>
      </c>
      <c r="F10" s="1">
        <v>106.08</v>
      </c>
      <c r="G10" s="1">
        <v>220.79</v>
      </c>
    </row>
    <row r="11" spans="1:7" x14ac:dyDescent="0.2">
      <c r="A11" s="1" t="s">
        <v>15</v>
      </c>
      <c r="B11" s="1">
        <v>1117.1500000000001</v>
      </c>
      <c r="C11" s="1">
        <v>2901.79</v>
      </c>
      <c r="D11" s="1">
        <v>3068.32</v>
      </c>
      <c r="E11" s="1">
        <v>2557.6</v>
      </c>
      <c r="F11" s="1">
        <v>726.1</v>
      </c>
      <c r="G11" s="1">
        <v>2024.53</v>
      </c>
    </row>
    <row r="12" spans="1:7" x14ac:dyDescent="0.2">
      <c r="A12" s="1" t="s">
        <v>16</v>
      </c>
      <c r="B12" s="1">
        <v>202.04</v>
      </c>
      <c r="C12" s="1">
        <v>224.87</v>
      </c>
      <c r="D12" s="1">
        <v>217.67</v>
      </c>
      <c r="E12" s="1">
        <v>215.14</v>
      </c>
      <c r="F12" s="1">
        <v>233.68</v>
      </c>
      <c r="G12" s="1">
        <v>212.51</v>
      </c>
    </row>
    <row r="13" spans="1:7" x14ac:dyDescent="0.2">
      <c r="A13" s="1" t="s">
        <v>17</v>
      </c>
      <c r="B13" s="1">
        <v>40.11</v>
      </c>
      <c r="C13" s="1">
        <v>31.67</v>
      </c>
      <c r="D13" s="1">
        <v>29.19</v>
      </c>
      <c r="E13" s="1">
        <v>31.24</v>
      </c>
      <c r="F13" s="1">
        <v>37.72</v>
      </c>
      <c r="G13" s="1">
        <v>31.51</v>
      </c>
    </row>
    <row r="14" spans="1:7" x14ac:dyDescent="0.2">
      <c r="A14" s="1" t="s">
        <v>18</v>
      </c>
      <c r="B14" s="1">
        <v>77.61</v>
      </c>
      <c r="C14" s="1">
        <v>71.099999999999994</v>
      </c>
      <c r="D14" s="1">
        <v>61.9</v>
      </c>
      <c r="E14" s="1">
        <v>67.55</v>
      </c>
      <c r="F14" s="1">
        <v>93.44</v>
      </c>
      <c r="G14" s="1">
        <v>87.93</v>
      </c>
    </row>
    <row r="15" spans="1:7" x14ac:dyDescent="0.2">
      <c r="A15" s="1" t="s">
        <v>19</v>
      </c>
      <c r="B15" s="1">
        <v>5</v>
      </c>
      <c r="C15" s="1">
        <v>5</v>
      </c>
      <c r="D15" s="1">
        <v>6</v>
      </c>
      <c r="E15" s="1">
        <v>8</v>
      </c>
      <c r="F15" s="1">
        <v>6</v>
      </c>
      <c r="G15" s="1">
        <v>8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">
      <c r="A17" s="1" t="s">
        <v>21</v>
      </c>
      <c r="B17" s="1">
        <v>1998.89</v>
      </c>
      <c r="C17" s="1">
        <v>2942.46</v>
      </c>
      <c r="D17" s="1">
        <v>3138.62</v>
      </c>
      <c r="E17" s="1">
        <v>2540.54</v>
      </c>
      <c r="F17" s="1">
        <v>1481.23</v>
      </c>
      <c r="G17" s="1">
        <v>2314.56</v>
      </c>
    </row>
    <row r="18" spans="1:7" x14ac:dyDescent="0.2">
      <c r="A18" s="1" t="s">
        <v>22</v>
      </c>
      <c r="B18" s="1">
        <v>84.25</v>
      </c>
      <c r="C18" s="1">
        <v>0</v>
      </c>
      <c r="D18" s="1">
        <v>0</v>
      </c>
      <c r="E18" s="1">
        <v>9.4499999999999993</v>
      </c>
      <c r="F18" s="1">
        <v>431.06</v>
      </c>
      <c r="G18" s="1">
        <v>150.86000000000001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</v>
      </c>
      <c r="G24" s="1">
        <v>2.2999999999999998</v>
      </c>
    </row>
    <row r="25" spans="1:7" x14ac:dyDescent="0.2">
      <c r="A25" s="1" t="s">
        <v>29</v>
      </c>
      <c r="B25" s="1">
        <v>2.2000000000000002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">
      <c r="A26" s="1" t="s">
        <v>30</v>
      </c>
      <c r="B26" s="1">
        <v>7.9</v>
      </c>
      <c r="C26" s="1">
        <v>10</v>
      </c>
      <c r="D26" s="1">
        <v>10</v>
      </c>
      <c r="E26" s="1">
        <v>10</v>
      </c>
      <c r="F26" s="1">
        <v>7</v>
      </c>
      <c r="G26" s="1">
        <v>7.6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30</v>
      </c>
      <c r="G29" s="3">
        <f t="shared" si="1"/>
        <v>23.232323232323235</v>
      </c>
    </row>
    <row r="30" spans="1:7" x14ac:dyDescent="0.2">
      <c r="A30" s="3" t="s">
        <v>33</v>
      </c>
      <c r="B30" s="3">
        <f>B25/B28*100</f>
        <v>21.782178217821784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78.217821782178206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70</v>
      </c>
      <c r="G31" s="3">
        <f t="shared" si="3"/>
        <v>76.767676767676775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200.19</v>
      </c>
      <c r="C33" s="3">
        <v>341.78</v>
      </c>
      <c r="D33" s="3">
        <v>342.97</v>
      </c>
      <c r="E33" s="3">
        <v>271.82</v>
      </c>
      <c r="F33" s="3">
        <v>120.4</v>
      </c>
      <c r="G33" s="3">
        <v>255.15</v>
      </c>
    </row>
    <row r="35" spans="1:7" x14ac:dyDescent="0.2">
      <c r="A35" s="3" t="s">
        <v>36</v>
      </c>
      <c r="B35" s="3"/>
      <c r="C35" s="3"/>
      <c r="D35" s="3">
        <f>D33-C33</f>
        <v>1.1900000000000546</v>
      </c>
      <c r="E35" s="3"/>
      <c r="F35" s="3">
        <f>F33-E33</f>
        <v>-151.41999999999999</v>
      </c>
      <c r="G3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995B-1064-4557-A800-57290219ABAC}">
  <dimension ref="A1:G35"/>
  <sheetViews>
    <sheetView zoomScale="80" zoomScaleNormal="80" workbookViewId="0">
      <selection activeCell="H28" sqref="H28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428.46</v>
      </c>
      <c r="C2" s="1">
        <v>449.86</v>
      </c>
      <c r="D2" s="1">
        <v>428.37</v>
      </c>
      <c r="E2" s="1">
        <v>417.39</v>
      </c>
      <c r="F2" s="1">
        <v>459.63</v>
      </c>
      <c r="G2" s="1">
        <v>492.63</v>
      </c>
    </row>
    <row r="3" spans="1:7" x14ac:dyDescent="0.2">
      <c r="A3" s="1" t="s">
        <v>7</v>
      </c>
      <c r="B3" s="1">
        <v>37.39</v>
      </c>
      <c r="C3" s="1">
        <v>42.14</v>
      </c>
      <c r="D3" s="1">
        <v>38.81</v>
      </c>
      <c r="E3" s="1">
        <v>39.799999999999997</v>
      </c>
      <c r="F3" s="1">
        <v>44.92</v>
      </c>
      <c r="G3" s="1">
        <v>49.39</v>
      </c>
    </row>
    <row r="4" spans="1:7" x14ac:dyDescent="0.2">
      <c r="A4" s="1" t="s">
        <v>8</v>
      </c>
      <c r="B4" s="1">
        <v>16610.29</v>
      </c>
      <c r="C4" s="1">
        <v>19412.150000000001</v>
      </c>
      <c r="D4" s="1">
        <v>16905.12</v>
      </c>
      <c r="E4" s="1">
        <v>16906.98</v>
      </c>
      <c r="F4" s="1">
        <v>20964.95</v>
      </c>
      <c r="G4" s="1">
        <v>24888.02</v>
      </c>
    </row>
    <row r="5" spans="1:7" x14ac:dyDescent="0.2">
      <c r="A5" s="1" t="s">
        <v>9</v>
      </c>
      <c r="B5" s="1">
        <v>3137.87</v>
      </c>
      <c r="C5" s="1">
        <v>3276.87</v>
      </c>
      <c r="D5" s="1">
        <v>2991.17</v>
      </c>
      <c r="E5" s="1">
        <v>1881.74</v>
      </c>
      <c r="F5" s="1">
        <v>1544.04</v>
      </c>
      <c r="G5" s="1">
        <v>2103.85</v>
      </c>
    </row>
    <row r="6" spans="1:7" x14ac:dyDescent="0.2">
      <c r="A6" s="3" t="s">
        <v>10</v>
      </c>
      <c r="B6" s="3">
        <v>313.79000000000002</v>
      </c>
      <c r="C6" s="3">
        <v>331</v>
      </c>
      <c r="D6" s="3">
        <v>302.14</v>
      </c>
      <c r="E6" s="3">
        <v>190.07</v>
      </c>
      <c r="F6" s="3">
        <v>155.96</v>
      </c>
      <c r="G6" s="3">
        <v>212.51</v>
      </c>
    </row>
    <row r="7" spans="1:7" x14ac:dyDescent="0.2">
      <c r="A7" s="1" t="s">
        <v>11</v>
      </c>
      <c r="B7" s="1">
        <v>2802.23</v>
      </c>
      <c r="C7" s="1">
        <v>2924.69</v>
      </c>
      <c r="D7" s="1">
        <v>2695.17</v>
      </c>
      <c r="E7" s="1">
        <v>1712.18</v>
      </c>
      <c r="F7" s="1">
        <v>1314.95</v>
      </c>
      <c r="G7" s="1">
        <v>1900.42</v>
      </c>
    </row>
    <row r="8" spans="1:7" x14ac:dyDescent="0.2">
      <c r="A8" s="1" t="s">
        <v>12</v>
      </c>
      <c r="B8" s="1">
        <v>280.22000000000003</v>
      </c>
      <c r="C8" s="1">
        <v>295.42</v>
      </c>
      <c r="D8" s="1">
        <v>272.24</v>
      </c>
      <c r="E8" s="1">
        <v>172.95</v>
      </c>
      <c r="F8" s="1">
        <v>132.82</v>
      </c>
      <c r="G8" s="1">
        <v>191.96</v>
      </c>
    </row>
    <row r="9" spans="1:7" x14ac:dyDescent="0.2">
      <c r="A9" s="1" t="s">
        <v>13</v>
      </c>
      <c r="B9" s="1">
        <v>2802.23</v>
      </c>
      <c r="C9" s="1">
        <v>2924.69</v>
      </c>
      <c r="D9" s="1">
        <v>2695.17</v>
      </c>
      <c r="E9" s="1">
        <v>1710.8</v>
      </c>
      <c r="F9" s="1">
        <v>-717.59</v>
      </c>
      <c r="G9" s="1">
        <v>1556.16</v>
      </c>
    </row>
    <row r="10" spans="1:7" x14ac:dyDescent="0.2">
      <c r="A10" s="1" t="s">
        <v>14</v>
      </c>
      <c r="B10" s="1">
        <v>280.22000000000003</v>
      </c>
      <c r="C10" s="1">
        <v>295.42</v>
      </c>
      <c r="D10" s="1">
        <v>272.24</v>
      </c>
      <c r="E10" s="1">
        <v>172.81</v>
      </c>
      <c r="F10" s="1">
        <v>-72.48</v>
      </c>
      <c r="G10" s="1">
        <v>157.19</v>
      </c>
    </row>
    <row r="11" spans="1:7" x14ac:dyDescent="0.2">
      <c r="A11" s="1" t="s">
        <v>15</v>
      </c>
      <c r="B11" s="1">
        <v>2232.67</v>
      </c>
      <c r="C11" s="1">
        <v>568.9</v>
      </c>
      <c r="D11" s="1">
        <v>2085.21</v>
      </c>
      <c r="E11" s="1">
        <v>1678.88</v>
      </c>
      <c r="F11" s="1">
        <v>338.88</v>
      </c>
      <c r="G11" s="1">
        <v>1051.8699999999999</v>
      </c>
    </row>
    <row r="12" spans="1:7" x14ac:dyDescent="0.2">
      <c r="A12" s="1" t="s">
        <v>16</v>
      </c>
      <c r="B12" s="1">
        <v>240.44</v>
      </c>
      <c r="C12" s="1">
        <v>252.13</v>
      </c>
      <c r="D12" s="1">
        <v>245.36</v>
      </c>
      <c r="E12" s="1">
        <v>234.73</v>
      </c>
      <c r="F12" s="1">
        <v>236.54</v>
      </c>
      <c r="G12" s="1">
        <v>247.75</v>
      </c>
    </row>
    <row r="13" spans="1:7" x14ac:dyDescent="0.2">
      <c r="A13" s="1" t="s">
        <v>17</v>
      </c>
      <c r="B13" s="1">
        <v>29.85</v>
      </c>
      <c r="C13" s="1">
        <v>27.3</v>
      </c>
      <c r="D13" s="1">
        <v>24</v>
      </c>
      <c r="E13" s="1">
        <v>30.75</v>
      </c>
      <c r="F13" s="1">
        <v>40.869999999999997</v>
      </c>
      <c r="G13" s="1">
        <v>41.72</v>
      </c>
    </row>
    <row r="14" spans="1:7" x14ac:dyDescent="0.2">
      <c r="A14" s="1" t="s">
        <v>18</v>
      </c>
      <c r="B14" s="1">
        <v>89.56</v>
      </c>
      <c r="C14" s="1">
        <v>68.13</v>
      </c>
      <c r="D14" s="1">
        <v>71.430000000000007</v>
      </c>
      <c r="E14" s="1">
        <v>60.1</v>
      </c>
      <c r="F14" s="1">
        <v>80.39</v>
      </c>
      <c r="G14" s="1">
        <v>103.64</v>
      </c>
    </row>
    <row r="15" spans="1:7" x14ac:dyDescent="0.2">
      <c r="A15" s="1" t="s">
        <v>19</v>
      </c>
      <c r="B15" s="1">
        <v>8</v>
      </c>
      <c r="C15" s="1">
        <v>6</v>
      </c>
      <c r="D15" s="1">
        <v>7</v>
      </c>
      <c r="E15" s="1">
        <v>9</v>
      </c>
      <c r="F15" s="1">
        <v>5</v>
      </c>
      <c r="G15" s="1">
        <v>4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2802.23</v>
      </c>
      <c r="C17" s="1">
        <v>2924.69</v>
      </c>
      <c r="D17" s="1">
        <v>2695.17</v>
      </c>
      <c r="E17" s="1">
        <v>1711.49</v>
      </c>
      <c r="F17" s="1">
        <v>298.68</v>
      </c>
      <c r="G17" s="1">
        <v>1728.29</v>
      </c>
    </row>
    <row r="18" spans="1:7" x14ac:dyDescent="0.2">
      <c r="A18" s="1" t="s">
        <v>22</v>
      </c>
      <c r="B18" s="1">
        <v>0</v>
      </c>
      <c r="C18" s="1">
        <v>0</v>
      </c>
      <c r="D18" s="1">
        <v>0</v>
      </c>
      <c r="E18" s="1">
        <v>0.69</v>
      </c>
      <c r="F18" s="1">
        <v>1016.27</v>
      </c>
      <c r="G18" s="1">
        <v>172.13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3.7</v>
      </c>
      <c r="G20" s="1">
        <v>1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6.3</v>
      </c>
      <c r="G21" s="1">
        <v>9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3.9</v>
      </c>
      <c r="G24" s="1">
        <v>1.7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2.7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3.4</v>
      </c>
      <c r="G26" s="1">
        <v>8.3000000000000007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39</v>
      </c>
      <c r="G29" s="3">
        <f t="shared" si="1"/>
        <v>17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27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34</v>
      </c>
      <c r="G31" s="3">
        <f t="shared" si="3"/>
        <v>83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305.2084851485148</v>
      </c>
      <c r="C33" s="3">
        <v>327.42</v>
      </c>
      <c r="D33" s="3">
        <v>298.3</v>
      </c>
      <c r="E33" s="3">
        <v>189.65</v>
      </c>
      <c r="F33" s="3">
        <v>-8.07</v>
      </c>
      <c r="G33" s="3">
        <v>177.63</v>
      </c>
    </row>
    <row r="35" spans="1:7" x14ac:dyDescent="0.2">
      <c r="A35" s="3" t="s">
        <v>36</v>
      </c>
      <c r="B35" s="3"/>
      <c r="C35" s="3"/>
      <c r="D35" s="3">
        <f>D33-C33</f>
        <v>-29.120000000000005</v>
      </c>
      <c r="E35" s="3"/>
      <c r="F35" s="3">
        <f>F33-E33</f>
        <v>-197.72</v>
      </c>
      <c r="G3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BFC6-71F3-428E-9FAA-B3C2E70AB010}">
  <dimension ref="A1:G35"/>
  <sheetViews>
    <sheetView topLeftCell="A7" zoomScale="80" zoomScaleNormal="80" workbookViewId="0">
      <selection activeCell="L17" sqref="L17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472.7</v>
      </c>
      <c r="C2" s="1">
        <v>476.22</v>
      </c>
      <c r="D2" s="1">
        <v>519.63</v>
      </c>
      <c r="E2" s="1">
        <v>522.32000000000005</v>
      </c>
      <c r="F2" s="1">
        <v>493.98</v>
      </c>
      <c r="G2" s="1">
        <v>492.26</v>
      </c>
    </row>
    <row r="3" spans="1:7" x14ac:dyDescent="0.2">
      <c r="A3" s="1" t="s">
        <v>7</v>
      </c>
      <c r="B3" s="1">
        <v>42.69</v>
      </c>
      <c r="C3" s="1">
        <v>41.13</v>
      </c>
      <c r="D3" s="1">
        <v>47.36</v>
      </c>
      <c r="E3" s="1">
        <v>54.43</v>
      </c>
      <c r="F3" s="1">
        <v>47.54</v>
      </c>
      <c r="G3" s="1">
        <v>49.46</v>
      </c>
    </row>
    <row r="4" spans="1:7" x14ac:dyDescent="0.2">
      <c r="A4" s="1" t="s">
        <v>8</v>
      </c>
      <c r="B4" s="1">
        <v>20673.830000000002</v>
      </c>
      <c r="C4" s="1">
        <v>19996.22</v>
      </c>
      <c r="D4" s="1">
        <v>25047.42</v>
      </c>
      <c r="E4" s="1">
        <v>28961.32</v>
      </c>
      <c r="F4" s="1">
        <v>23894.87</v>
      </c>
      <c r="G4" s="1">
        <v>24809.17</v>
      </c>
    </row>
    <row r="5" spans="1:7" x14ac:dyDescent="0.2">
      <c r="A5" s="1" t="s">
        <v>9</v>
      </c>
      <c r="B5" s="1">
        <v>3682.19</v>
      </c>
      <c r="C5" s="1">
        <v>3086.29</v>
      </c>
      <c r="D5" s="1">
        <v>3238.71</v>
      </c>
      <c r="E5" s="1">
        <v>2931.8</v>
      </c>
      <c r="F5" s="1">
        <v>1658.28</v>
      </c>
      <c r="G5" s="1">
        <v>3342.23</v>
      </c>
    </row>
    <row r="6" spans="1:7" x14ac:dyDescent="0.2">
      <c r="A6" s="3" t="s">
        <v>10</v>
      </c>
      <c r="B6" s="3">
        <v>368.22</v>
      </c>
      <c r="C6" s="3">
        <v>311.75</v>
      </c>
      <c r="D6" s="3">
        <v>327.14</v>
      </c>
      <c r="E6" s="3">
        <v>296.14</v>
      </c>
      <c r="F6" s="3">
        <v>167.5</v>
      </c>
      <c r="G6" s="3">
        <v>337.6</v>
      </c>
    </row>
    <row r="7" spans="1:7" x14ac:dyDescent="0.2">
      <c r="A7" s="1" t="s">
        <v>11</v>
      </c>
      <c r="B7" s="1">
        <v>3379.89</v>
      </c>
      <c r="C7" s="1">
        <v>2889.03</v>
      </c>
      <c r="D7" s="1">
        <v>3107.05</v>
      </c>
      <c r="E7" s="1">
        <v>2783.11</v>
      </c>
      <c r="F7" s="1">
        <v>1510.15</v>
      </c>
      <c r="G7" s="1">
        <v>3095.5</v>
      </c>
    </row>
    <row r="8" spans="1:7" x14ac:dyDescent="0.2">
      <c r="A8" s="1" t="s">
        <v>12</v>
      </c>
      <c r="B8" s="1">
        <v>337.99</v>
      </c>
      <c r="C8" s="1">
        <v>291.82</v>
      </c>
      <c r="D8" s="1">
        <v>313.83999999999997</v>
      </c>
      <c r="E8" s="1">
        <v>281.12</v>
      </c>
      <c r="F8" s="1">
        <v>152.54</v>
      </c>
      <c r="G8" s="1">
        <v>312.68</v>
      </c>
    </row>
    <row r="9" spans="1:7" x14ac:dyDescent="0.2">
      <c r="A9" s="1" t="s">
        <v>13</v>
      </c>
      <c r="B9" s="1">
        <v>3379.89</v>
      </c>
      <c r="C9" s="1">
        <v>2889.03</v>
      </c>
      <c r="D9" s="1">
        <v>3107.05</v>
      </c>
      <c r="E9" s="1">
        <v>2783.11</v>
      </c>
      <c r="F9" s="1">
        <v>721.34</v>
      </c>
      <c r="G9" s="1">
        <v>3095.5</v>
      </c>
    </row>
    <row r="10" spans="1:7" x14ac:dyDescent="0.2">
      <c r="A10" s="1" t="s">
        <v>14</v>
      </c>
      <c r="B10" s="1">
        <v>337.99</v>
      </c>
      <c r="C10" s="1">
        <v>291.82</v>
      </c>
      <c r="D10" s="1">
        <v>313.83999999999997</v>
      </c>
      <c r="E10" s="1">
        <v>281.12</v>
      </c>
      <c r="F10" s="1">
        <v>72.86</v>
      </c>
      <c r="G10" s="1">
        <v>312.68</v>
      </c>
    </row>
    <row r="11" spans="1:7" x14ac:dyDescent="0.2">
      <c r="A11" s="1" t="s">
        <v>15</v>
      </c>
      <c r="B11" s="1">
        <v>3323.51</v>
      </c>
      <c r="C11" s="1">
        <v>2510.73</v>
      </c>
      <c r="D11" s="1">
        <v>2880.44</v>
      </c>
      <c r="E11" s="1">
        <v>2449.5500000000002</v>
      </c>
      <c r="F11" s="1">
        <v>498.73</v>
      </c>
      <c r="G11" s="1">
        <v>2528.8200000000002</v>
      </c>
    </row>
    <row r="12" spans="1:7" x14ac:dyDescent="0.2">
      <c r="A12" s="1" t="s">
        <v>16</v>
      </c>
      <c r="B12" s="1">
        <v>257.17</v>
      </c>
      <c r="C12" s="1">
        <v>265.94</v>
      </c>
      <c r="D12" s="1">
        <v>284.29000000000002</v>
      </c>
      <c r="E12" s="1">
        <v>280.66000000000003</v>
      </c>
      <c r="F12" s="1">
        <v>250.54</v>
      </c>
      <c r="G12" s="1">
        <v>279.45</v>
      </c>
    </row>
    <row r="13" spans="1:7" x14ac:dyDescent="0.2">
      <c r="A13" s="1" t="s">
        <v>17</v>
      </c>
      <c r="B13" s="1">
        <v>29.22</v>
      </c>
      <c r="C13" s="1">
        <v>24.64</v>
      </c>
      <c r="D13" s="1">
        <v>24.36</v>
      </c>
      <c r="E13" s="1">
        <v>22.22</v>
      </c>
      <c r="F13" s="1">
        <v>33.94</v>
      </c>
      <c r="G13" s="1">
        <v>34.4</v>
      </c>
    </row>
    <row r="14" spans="1:7" x14ac:dyDescent="0.2">
      <c r="A14" s="1" t="s">
        <v>18</v>
      </c>
      <c r="B14" s="1">
        <v>60.22</v>
      </c>
      <c r="C14" s="1">
        <v>62.76</v>
      </c>
      <c r="D14" s="1">
        <v>61.06</v>
      </c>
      <c r="E14" s="1">
        <v>56.41</v>
      </c>
      <c r="F14" s="1">
        <v>94.46</v>
      </c>
      <c r="G14" s="1">
        <v>87.43</v>
      </c>
    </row>
    <row r="15" spans="1:7" x14ac:dyDescent="0.2">
      <c r="A15" s="1" t="s">
        <v>19</v>
      </c>
      <c r="B15" s="1">
        <v>7</v>
      </c>
      <c r="C15" s="1">
        <v>8</v>
      </c>
      <c r="D15" s="1">
        <v>6</v>
      </c>
      <c r="E15" s="1">
        <v>4</v>
      </c>
      <c r="F15" s="1">
        <v>4</v>
      </c>
      <c r="G15" s="1">
        <v>9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3379.89</v>
      </c>
      <c r="C17" s="1">
        <v>2889.03</v>
      </c>
      <c r="D17" s="1">
        <v>3107.05</v>
      </c>
      <c r="E17" s="1">
        <v>2783.11</v>
      </c>
      <c r="F17" s="1">
        <v>1115.75</v>
      </c>
      <c r="G17" s="1">
        <v>3095.5</v>
      </c>
    </row>
    <row r="18" spans="1:7" x14ac:dyDescent="0.2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394.41</v>
      </c>
      <c r="G18" s="1">
        <v>0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1.3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8.6999999999999993</v>
      </c>
      <c r="G21" s="1">
        <v>10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1.9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8.1</v>
      </c>
      <c r="G26" s="1">
        <v>10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19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81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358.05207920792083</v>
      </c>
      <c r="C33" s="3">
        <v>309.68</v>
      </c>
      <c r="D33" s="3">
        <v>321.63</v>
      </c>
      <c r="E33" s="3">
        <v>294.43</v>
      </c>
      <c r="F33" s="3">
        <v>66.63</v>
      </c>
      <c r="G33" s="3">
        <v>333.78</v>
      </c>
    </row>
    <row r="35" spans="1:7" x14ac:dyDescent="0.2">
      <c r="A35" s="3" t="s">
        <v>36</v>
      </c>
      <c r="B35" s="3"/>
      <c r="C35" s="3"/>
      <c r="D35" s="3">
        <f>D33-C33</f>
        <v>11.949999999999989</v>
      </c>
      <c r="E35" s="3"/>
      <c r="F35" s="3">
        <f>F33-E33</f>
        <v>-227.8</v>
      </c>
      <c r="G3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6C08-6018-4E52-813C-217B4E3C8220}">
  <dimension ref="A1:G35"/>
  <sheetViews>
    <sheetView topLeftCell="A10" zoomScale="80" zoomScaleNormal="80" workbookViewId="0">
      <selection activeCell="J37" sqref="J37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439.45</v>
      </c>
      <c r="C2" s="1">
        <v>377.17</v>
      </c>
      <c r="D2" s="1">
        <v>344.53</v>
      </c>
      <c r="E2" s="1">
        <v>414.72</v>
      </c>
      <c r="F2" s="1">
        <v>447.56</v>
      </c>
      <c r="G2" s="1">
        <v>391.61</v>
      </c>
    </row>
    <row r="3" spans="1:7" x14ac:dyDescent="0.2">
      <c r="A3" s="1" t="s">
        <v>7</v>
      </c>
      <c r="B3" s="1">
        <v>40.07</v>
      </c>
      <c r="C3" s="1">
        <v>34.049999999999997</v>
      </c>
      <c r="D3" s="1">
        <v>35.79</v>
      </c>
      <c r="E3" s="1">
        <v>38.35</v>
      </c>
      <c r="F3" s="1">
        <v>39.78</v>
      </c>
      <c r="G3" s="1">
        <v>35.200000000000003</v>
      </c>
    </row>
    <row r="4" spans="1:7" x14ac:dyDescent="0.2">
      <c r="A4" s="1" t="s">
        <v>8</v>
      </c>
      <c r="B4" s="1">
        <v>17897.04</v>
      </c>
      <c r="C4" s="1">
        <v>13055.33</v>
      </c>
      <c r="D4" s="1">
        <v>12569.67</v>
      </c>
      <c r="E4" s="1">
        <v>16205.72</v>
      </c>
      <c r="F4" s="1">
        <v>18103.580000000002</v>
      </c>
      <c r="G4" s="1">
        <v>14046.06</v>
      </c>
    </row>
    <row r="5" spans="1:7" x14ac:dyDescent="0.2">
      <c r="A5" s="1" t="s">
        <v>9</v>
      </c>
      <c r="B5" s="1">
        <v>2919.92</v>
      </c>
      <c r="C5" s="1">
        <v>2332.81</v>
      </c>
      <c r="D5" s="1">
        <v>2491.9</v>
      </c>
      <c r="E5" s="1">
        <v>2057.4</v>
      </c>
      <c r="F5" s="1">
        <v>2109.85</v>
      </c>
      <c r="G5" s="1">
        <v>1814.08</v>
      </c>
    </row>
    <row r="6" spans="1:7" x14ac:dyDescent="0.2">
      <c r="A6" s="3" t="s">
        <v>10</v>
      </c>
      <c r="B6" s="3">
        <v>291.99</v>
      </c>
      <c r="C6" s="3">
        <v>235.64</v>
      </c>
      <c r="D6" s="3">
        <v>251.71</v>
      </c>
      <c r="E6" s="3">
        <v>207.82</v>
      </c>
      <c r="F6" s="3">
        <v>213.12</v>
      </c>
      <c r="G6" s="3">
        <v>183.24</v>
      </c>
    </row>
    <row r="7" spans="1:7" x14ac:dyDescent="0.2">
      <c r="A7" s="1" t="s">
        <v>11</v>
      </c>
      <c r="B7" s="1">
        <v>2783.15</v>
      </c>
      <c r="C7" s="1">
        <v>2075.5500000000002</v>
      </c>
      <c r="D7" s="1">
        <v>2341.6799999999998</v>
      </c>
      <c r="E7" s="1">
        <v>1922.16</v>
      </c>
      <c r="F7" s="1">
        <v>1966.23</v>
      </c>
      <c r="G7" s="1">
        <v>1557.65</v>
      </c>
    </row>
    <row r="8" spans="1:7" x14ac:dyDescent="0.2">
      <c r="A8" s="1" t="s">
        <v>12</v>
      </c>
      <c r="B8" s="1">
        <v>278.32</v>
      </c>
      <c r="C8" s="1">
        <v>209.65</v>
      </c>
      <c r="D8" s="1">
        <v>236.53</v>
      </c>
      <c r="E8" s="1">
        <v>194.16</v>
      </c>
      <c r="F8" s="1">
        <v>198.61</v>
      </c>
      <c r="G8" s="1">
        <v>157.34</v>
      </c>
    </row>
    <row r="9" spans="1:7" x14ac:dyDescent="0.2">
      <c r="A9" s="1" t="s">
        <v>13</v>
      </c>
      <c r="B9" s="1">
        <v>2783.15</v>
      </c>
      <c r="C9" s="1">
        <v>2075.5500000000002</v>
      </c>
      <c r="D9" s="1">
        <v>2341.6799999999998</v>
      </c>
      <c r="E9" s="1">
        <v>1922.16</v>
      </c>
      <c r="F9" s="1">
        <v>1961.4</v>
      </c>
      <c r="G9" s="1">
        <v>1171.6300000000001</v>
      </c>
    </row>
    <row r="10" spans="1:7" x14ac:dyDescent="0.2">
      <c r="A10" s="1" t="s">
        <v>14</v>
      </c>
      <c r="B10" s="1">
        <v>278.32</v>
      </c>
      <c r="C10" s="1">
        <v>209.65</v>
      </c>
      <c r="D10" s="1">
        <v>236.53</v>
      </c>
      <c r="E10" s="1">
        <v>194.16</v>
      </c>
      <c r="F10" s="1">
        <v>198.12</v>
      </c>
      <c r="G10" s="1">
        <v>118.35</v>
      </c>
    </row>
    <row r="11" spans="1:7" x14ac:dyDescent="0.2">
      <c r="A11" s="1" t="s">
        <v>15</v>
      </c>
      <c r="B11" s="1">
        <v>2736.43</v>
      </c>
      <c r="C11" s="1">
        <v>2176.7600000000002</v>
      </c>
      <c r="D11" s="1">
        <v>2421.91</v>
      </c>
      <c r="E11" s="1">
        <v>1882.23</v>
      </c>
      <c r="F11" s="1">
        <v>1924.57</v>
      </c>
      <c r="G11" s="1">
        <v>988.19</v>
      </c>
    </row>
    <row r="12" spans="1:7" x14ac:dyDescent="0.2">
      <c r="A12" s="1" t="s">
        <v>16</v>
      </c>
      <c r="B12" s="1">
        <v>228.77</v>
      </c>
      <c r="C12" s="1">
        <v>213.24</v>
      </c>
      <c r="D12" s="1">
        <v>202.79</v>
      </c>
      <c r="E12" s="1">
        <v>217.19</v>
      </c>
      <c r="F12" s="1">
        <v>216.15</v>
      </c>
      <c r="G12" s="1">
        <v>233.48</v>
      </c>
    </row>
    <row r="13" spans="1:7" x14ac:dyDescent="0.2">
      <c r="A13" s="1" t="s">
        <v>17</v>
      </c>
      <c r="B13" s="1">
        <v>24.07</v>
      </c>
      <c r="C13" s="1">
        <v>19.760000000000002</v>
      </c>
      <c r="D13" s="1">
        <v>16.829999999999998</v>
      </c>
      <c r="E13" s="1">
        <v>21.75</v>
      </c>
      <c r="F13" s="1">
        <v>25.17</v>
      </c>
      <c r="G13" s="1">
        <v>19.93</v>
      </c>
    </row>
    <row r="14" spans="1:7" x14ac:dyDescent="0.2">
      <c r="A14" s="1" t="s">
        <v>18</v>
      </c>
      <c r="B14" s="1">
        <v>49.7</v>
      </c>
      <c r="C14" s="1">
        <v>47.59</v>
      </c>
      <c r="D14" s="1">
        <v>34.03</v>
      </c>
      <c r="E14" s="1">
        <v>53.14</v>
      </c>
      <c r="F14" s="1">
        <v>48.23</v>
      </c>
      <c r="G14" s="1">
        <v>52.66</v>
      </c>
    </row>
    <row r="15" spans="1:7" x14ac:dyDescent="0.2">
      <c r="A15" s="1" t="s">
        <v>19</v>
      </c>
      <c r="B15" s="1">
        <v>7</v>
      </c>
      <c r="C15" s="1">
        <v>7</v>
      </c>
      <c r="D15" s="1">
        <v>7</v>
      </c>
      <c r="E15" s="1">
        <v>4</v>
      </c>
      <c r="F15" s="1">
        <v>8</v>
      </c>
      <c r="G15" s="1">
        <v>8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2783.15</v>
      </c>
      <c r="C17" s="1">
        <v>2075.5500000000002</v>
      </c>
      <c r="D17" s="1">
        <v>2341.6799999999998</v>
      </c>
      <c r="E17" s="1">
        <v>1922.16</v>
      </c>
      <c r="F17" s="1">
        <v>1963.82</v>
      </c>
      <c r="G17" s="1">
        <v>1364.64</v>
      </c>
    </row>
    <row r="18" spans="1:7" x14ac:dyDescent="0.2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2.41</v>
      </c>
      <c r="G18" s="1">
        <v>193.01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2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3.5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6.5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4.0999999999999996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5.9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41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59.000000000000007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286.74998019801978</v>
      </c>
      <c r="C33" s="3">
        <v>232.26</v>
      </c>
      <c r="D33" s="3">
        <v>252.11</v>
      </c>
      <c r="E33" s="3">
        <v>202.37</v>
      </c>
      <c r="F33" s="3">
        <v>207.15</v>
      </c>
      <c r="G33" s="3">
        <v>107.06</v>
      </c>
    </row>
    <row r="35" spans="1:7" x14ac:dyDescent="0.2">
      <c r="A35" s="3" t="s">
        <v>36</v>
      </c>
      <c r="B35" s="3"/>
      <c r="C35" s="3"/>
      <c r="D35" s="3">
        <f>D33-C33</f>
        <v>19.850000000000023</v>
      </c>
      <c r="E35" s="3"/>
      <c r="F35" s="3">
        <f>F33-E33</f>
        <v>4.7800000000000011</v>
      </c>
      <c r="G3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A5C2-EA06-4EB8-B3A1-5822C8B9CE19}">
  <dimension ref="A1:G35"/>
  <sheetViews>
    <sheetView topLeftCell="A4" zoomScale="80" zoomScaleNormal="80" workbookViewId="0">
      <selection activeCell="M15" sqref="M15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381.84</v>
      </c>
      <c r="C2" s="1">
        <v>298.43</v>
      </c>
      <c r="D2" s="1">
        <v>459.73</v>
      </c>
      <c r="E2" s="1">
        <v>437.77</v>
      </c>
      <c r="F2" s="1">
        <v>440.93</v>
      </c>
      <c r="G2" s="1">
        <v>410.03</v>
      </c>
    </row>
    <row r="3" spans="1:7" x14ac:dyDescent="0.2">
      <c r="A3" s="1" t="s">
        <v>7</v>
      </c>
      <c r="B3" s="1">
        <v>33.31</v>
      </c>
      <c r="C3" s="1">
        <v>27.79</v>
      </c>
      <c r="D3" s="1">
        <v>38.64</v>
      </c>
      <c r="E3" s="1">
        <v>40.28</v>
      </c>
      <c r="F3" s="1">
        <v>37.58</v>
      </c>
      <c r="G3" s="1">
        <v>36.18</v>
      </c>
    </row>
    <row r="4" spans="1:7" x14ac:dyDescent="0.2">
      <c r="A4" s="1" t="s">
        <v>8</v>
      </c>
      <c r="B4" s="1">
        <v>13020.97</v>
      </c>
      <c r="C4" s="1">
        <v>8463.5</v>
      </c>
      <c r="D4" s="1">
        <v>18149.03</v>
      </c>
      <c r="E4" s="1">
        <v>17928.64</v>
      </c>
      <c r="F4" s="1">
        <v>16848.88</v>
      </c>
      <c r="G4" s="1">
        <v>15178.3</v>
      </c>
    </row>
    <row r="5" spans="1:7" x14ac:dyDescent="0.2">
      <c r="A5" s="1" t="s">
        <v>9</v>
      </c>
      <c r="B5" s="1">
        <v>3278.97</v>
      </c>
      <c r="C5" s="1">
        <v>3597.64</v>
      </c>
      <c r="D5" s="1">
        <v>2666.5</v>
      </c>
      <c r="E5" s="1">
        <v>962.89</v>
      </c>
      <c r="F5" s="1">
        <v>1242.1099999999999</v>
      </c>
      <c r="G5" s="1">
        <v>3612.95</v>
      </c>
    </row>
    <row r="6" spans="1:7" x14ac:dyDescent="0.2">
      <c r="A6" s="3" t="s">
        <v>10</v>
      </c>
      <c r="B6" s="3">
        <v>327.9</v>
      </c>
      <c r="C6" s="3">
        <v>363.4</v>
      </c>
      <c r="D6" s="3">
        <v>269.33999999999997</v>
      </c>
      <c r="E6" s="3">
        <v>97.26</v>
      </c>
      <c r="F6" s="3">
        <v>125.47</v>
      </c>
      <c r="G6" s="3">
        <v>364.94</v>
      </c>
    </row>
    <row r="7" spans="1:7" x14ac:dyDescent="0.2">
      <c r="A7" s="1" t="s">
        <v>11</v>
      </c>
      <c r="B7" s="1">
        <v>3049.43</v>
      </c>
      <c r="C7" s="1">
        <v>3422.81</v>
      </c>
      <c r="D7" s="1">
        <v>2520.13</v>
      </c>
      <c r="E7" s="1">
        <v>932.88</v>
      </c>
      <c r="F7" s="1">
        <v>1145.79</v>
      </c>
      <c r="G7" s="1">
        <v>3372.61</v>
      </c>
    </row>
    <row r="8" spans="1:7" x14ac:dyDescent="0.2">
      <c r="A8" s="1" t="s">
        <v>12</v>
      </c>
      <c r="B8" s="1">
        <v>304.94</v>
      </c>
      <c r="C8" s="1">
        <v>345.74</v>
      </c>
      <c r="D8" s="1">
        <v>254.56</v>
      </c>
      <c r="E8" s="1">
        <v>94.23</v>
      </c>
      <c r="F8" s="1">
        <v>115.74</v>
      </c>
      <c r="G8" s="1">
        <v>340.67</v>
      </c>
    </row>
    <row r="9" spans="1:7" x14ac:dyDescent="0.2">
      <c r="A9" s="1" t="s">
        <v>13</v>
      </c>
      <c r="B9" s="1">
        <v>3049.43</v>
      </c>
      <c r="C9" s="1">
        <v>3422.81</v>
      </c>
      <c r="D9" s="1">
        <v>2520.13</v>
      </c>
      <c r="E9" s="1">
        <v>924.91</v>
      </c>
      <c r="F9" s="1">
        <v>-767.95</v>
      </c>
      <c r="G9" s="1">
        <v>3368.04</v>
      </c>
    </row>
    <row r="10" spans="1:7" x14ac:dyDescent="0.2">
      <c r="A10" s="1" t="s">
        <v>14</v>
      </c>
      <c r="B10" s="1">
        <v>304.94</v>
      </c>
      <c r="C10" s="1">
        <v>345.74</v>
      </c>
      <c r="D10" s="1">
        <v>254.56</v>
      </c>
      <c r="E10" s="1">
        <v>93.43</v>
      </c>
      <c r="F10" s="1">
        <v>-77.569999999999993</v>
      </c>
      <c r="G10" s="1">
        <v>340.21</v>
      </c>
    </row>
    <row r="11" spans="1:7" x14ac:dyDescent="0.2">
      <c r="A11" s="1" t="s">
        <v>15</v>
      </c>
      <c r="B11" s="1">
        <v>2865.04</v>
      </c>
      <c r="C11" s="1">
        <v>3365.82</v>
      </c>
      <c r="D11" s="1">
        <v>2422.5300000000002</v>
      </c>
      <c r="E11" s="1">
        <v>816.46</v>
      </c>
      <c r="F11" s="1">
        <v>385.3</v>
      </c>
      <c r="G11" s="1">
        <v>3226.48</v>
      </c>
    </row>
    <row r="12" spans="1:7" x14ac:dyDescent="0.2">
      <c r="A12" s="1" t="s">
        <v>16</v>
      </c>
      <c r="B12" s="1">
        <v>230.71</v>
      </c>
      <c r="C12" s="1">
        <v>193.61</v>
      </c>
      <c r="D12" s="1">
        <v>250.4</v>
      </c>
      <c r="E12" s="1">
        <v>221.83</v>
      </c>
      <c r="F12" s="1">
        <v>214.75</v>
      </c>
      <c r="G12" s="1">
        <v>230.97</v>
      </c>
    </row>
    <row r="13" spans="1:7" x14ac:dyDescent="0.2">
      <c r="A13" s="1" t="s">
        <v>17</v>
      </c>
      <c r="B13" s="1">
        <v>26.48</v>
      </c>
      <c r="C13" s="1">
        <v>21.48</v>
      </c>
      <c r="D13" s="1">
        <v>20.49</v>
      </c>
      <c r="E13" s="1">
        <v>22.97</v>
      </c>
      <c r="F13" s="1">
        <v>31.29</v>
      </c>
      <c r="G13" s="1">
        <v>28.94</v>
      </c>
    </row>
    <row r="14" spans="1:7" x14ac:dyDescent="0.2">
      <c r="A14" s="1" t="s">
        <v>18</v>
      </c>
      <c r="B14" s="1">
        <v>53.32</v>
      </c>
      <c r="C14" s="1">
        <v>39.200000000000003</v>
      </c>
      <c r="D14" s="1">
        <v>55.86</v>
      </c>
      <c r="E14" s="1">
        <v>43.48</v>
      </c>
      <c r="F14" s="1">
        <v>60.5</v>
      </c>
      <c r="G14" s="1">
        <v>69.59</v>
      </c>
    </row>
    <row r="15" spans="1:7" x14ac:dyDescent="0.2">
      <c r="A15" s="1" t="s">
        <v>19</v>
      </c>
      <c r="B15" s="1">
        <v>6</v>
      </c>
      <c r="C15" s="1">
        <v>7</v>
      </c>
      <c r="D15" s="1">
        <v>6</v>
      </c>
      <c r="E15" s="1">
        <v>3</v>
      </c>
      <c r="F15" s="1">
        <v>7</v>
      </c>
      <c r="G15" s="1">
        <v>6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3049.43</v>
      </c>
      <c r="C17" s="1">
        <v>3422.81</v>
      </c>
      <c r="D17" s="1">
        <v>2520.13</v>
      </c>
      <c r="E17" s="1">
        <v>928.9</v>
      </c>
      <c r="F17" s="1">
        <v>188.92</v>
      </c>
      <c r="G17" s="1">
        <v>3370.32</v>
      </c>
    </row>
    <row r="18" spans="1:7" x14ac:dyDescent="0.2">
      <c r="A18" s="1" t="s">
        <v>22</v>
      </c>
      <c r="B18" s="1">
        <v>0</v>
      </c>
      <c r="C18" s="1">
        <v>0</v>
      </c>
      <c r="D18" s="1">
        <v>0</v>
      </c>
      <c r="E18" s="1">
        <v>3.98</v>
      </c>
      <c r="F18" s="1">
        <v>956.87</v>
      </c>
      <c r="G18" s="1">
        <v>2.29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5.5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4.5</v>
      </c>
      <c r="G21" s="1">
        <v>10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5.3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4.7</v>
      </c>
      <c r="G26" s="1">
        <v>10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53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47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322.13</v>
      </c>
      <c r="C33" s="3">
        <v>362.44</v>
      </c>
      <c r="D33" s="3">
        <v>270.67</v>
      </c>
      <c r="E33" s="3">
        <v>98.4</v>
      </c>
      <c r="F33" s="3">
        <v>-39.369999999999997</v>
      </c>
      <c r="G33" s="3">
        <v>356.59</v>
      </c>
    </row>
    <row r="35" spans="1:7" x14ac:dyDescent="0.2">
      <c r="A35" s="3" t="s">
        <v>36</v>
      </c>
      <c r="B35" s="3"/>
      <c r="C35" s="3"/>
      <c r="D35" s="3">
        <f>D33-C33</f>
        <v>-91.769999999999982</v>
      </c>
      <c r="E35" s="3"/>
      <c r="F35" s="3">
        <f>F33-E33</f>
        <v>-137.77000000000001</v>
      </c>
      <c r="G3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5FBD-481E-4D52-9ABE-B5061FF3DBBD}">
  <dimension ref="A1:G35"/>
  <sheetViews>
    <sheetView topLeftCell="A10" zoomScale="80" zoomScaleNormal="80" workbookViewId="0">
      <selection activeCell="L27" sqref="L27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441.77</v>
      </c>
      <c r="C2" s="1">
        <v>464.81</v>
      </c>
      <c r="D2" s="1">
        <v>428.9</v>
      </c>
      <c r="E2" s="1">
        <v>462.17</v>
      </c>
      <c r="F2" s="1">
        <v>485.76</v>
      </c>
      <c r="G2" s="1">
        <v>517.29</v>
      </c>
    </row>
    <row r="3" spans="1:7" x14ac:dyDescent="0.2">
      <c r="A3" s="1" t="s">
        <v>7</v>
      </c>
      <c r="B3" s="1">
        <v>37.56</v>
      </c>
      <c r="C3" s="1">
        <v>37.380000000000003</v>
      </c>
      <c r="D3" s="1">
        <v>33.979999999999997</v>
      </c>
      <c r="E3" s="1">
        <v>41.39</v>
      </c>
      <c r="F3" s="1">
        <v>40.72</v>
      </c>
      <c r="G3" s="1">
        <v>54.44</v>
      </c>
    </row>
    <row r="4" spans="1:7" x14ac:dyDescent="0.2">
      <c r="A4" s="1" t="s">
        <v>8</v>
      </c>
      <c r="B4" s="1">
        <v>17160.14</v>
      </c>
      <c r="C4" s="1">
        <v>17707.62</v>
      </c>
      <c r="D4" s="1">
        <v>14911.97</v>
      </c>
      <c r="E4" s="1">
        <v>19512.96</v>
      </c>
      <c r="F4" s="1">
        <v>20209.150000000001</v>
      </c>
      <c r="G4" s="1">
        <v>28674.02</v>
      </c>
    </row>
    <row r="5" spans="1:7" x14ac:dyDescent="0.2">
      <c r="A5" s="1" t="s">
        <v>9</v>
      </c>
      <c r="B5" s="1">
        <v>2753.72</v>
      </c>
      <c r="C5" s="1">
        <v>3062.16</v>
      </c>
      <c r="D5" s="1">
        <v>2800.32</v>
      </c>
      <c r="E5" s="1">
        <v>1785.08</v>
      </c>
      <c r="F5" s="1">
        <v>2347.7399999999998</v>
      </c>
      <c r="G5" s="1">
        <v>2357.86</v>
      </c>
    </row>
    <row r="6" spans="1:7" x14ac:dyDescent="0.2">
      <c r="A6" s="3" t="s">
        <v>10</v>
      </c>
      <c r="B6" s="3">
        <v>275.37</v>
      </c>
      <c r="C6" s="3">
        <v>309.31</v>
      </c>
      <c r="D6" s="3">
        <v>282.86</v>
      </c>
      <c r="E6" s="3">
        <v>180.31</v>
      </c>
      <c r="F6" s="3">
        <v>237.15</v>
      </c>
      <c r="G6" s="3">
        <v>240.6</v>
      </c>
    </row>
    <row r="7" spans="1:7" x14ac:dyDescent="0.2">
      <c r="A7" s="1" t="s">
        <v>11</v>
      </c>
      <c r="B7" s="1">
        <v>2441.98</v>
      </c>
      <c r="C7" s="1">
        <v>2772.45</v>
      </c>
      <c r="D7" s="1">
        <v>2547.94</v>
      </c>
      <c r="E7" s="1">
        <v>1545</v>
      </c>
      <c r="F7" s="1">
        <v>2170.2600000000002</v>
      </c>
      <c r="G7" s="1">
        <v>2198.4699999999998</v>
      </c>
    </row>
    <row r="8" spans="1:7" x14ac:dyDescent="0.2">
      <c r="A8" s="1" t="s">
        <v>12</v>
      </c>
      <c r="B8" s="1">
        <v>244.2</v>
      </c>
      <c r="C8" s="1">
        <v>280.05</v>
      </c>
      <c r="D8" s="1">
        <v>257.37</v>
      </c>
      <c r="E8" s="1">
        <v>156.06</v>
      </c>
      <c r="F8" s="1">
        <v>219.22</v>
      </c>
      <c r="G8" s="1">
        <v>224.33</v>
      </c>
    </row>
    <row r="9" spans="1:7" x14ac:dyDescent="0.2">
      <c r="A9" s="1" t="s">
        <v>13</v>
      </c>
      <c r="B9" s="1">
        <v>2325.0700000000002</v>
      </c>
      <c r="C9" s="1">
        <v>2772.45</v>
      </c>
      <c r="D9" s="1">
        <v>2544.34</v>
      </c>
      <c r="E9" s="1">
        <v>906.32</v>
      </c>
      <c r="F9" s="1">
        <v>2170.2600000000002</v>
      </c>
      <c r="G9" s="1">
        <v>2198.4699999999998</v>
      </c>
    </row>
    <row r="10" spans="1:7" x14ac:dyDescent="0.2">
      <c r="A10" s="1" t="s">
        <v>14</v>
      </c>
      <c r="B10" s="1">
        <v>232.51</v>
      </c>
      <c r="C10" s="1">
        <v>280.05</v>
      </c>
      <c r="D10" s="1">
        <v>257</v>
      </c>
      <c r="E10" s="1">
        <v>91.55</v>
      </c>
      <c r="F10" s="1">
        <v>219.22</v>
      </c>
      <c r="G10" s="1">
        <v>224.33</v>
      </c>
    </row>
    <row r="11" spans="1:7" x14ac:dyDescent="0.2">
      <c r="A11" s="1" t="s">
        <v>15</v>
      </c>
      <c r="B11" s="1">
        <v>188.51</v>
      </c>
      <c r="C11" s="1">
        <v>2177.9299999999998</v>
      </c>
      <c r="D11" s="1">
        <v>2600.4</v>
      </c>
      <c r="E11" s="1">
        <v>1020.06</v>
      </c>
      <c r="F11" s="1">
        <v>2109.58</v>
      </c>
      <c r="G11" s="1">
        <v>950.08</v>
      </c>
    </row>
    <row r="12" spans="1:7" x14ac:dyDescent="0.2">
      <c r="A12" s="1" t="s">
        <v>16</v>
      </c>
      <c r="B12" s="1">
        <v>249</v>
      </c>
      <c r="C12" s="1">
        <v>261.08</v>
      </c>
      <c r="D12" s="1">
        <v>262.02999999999997</v>
      </c>
      <c r="E12" s="1">
        <v>204.86</v>
      </c>
      <c r="F12" s="1">
        <v>250.55</v>
      </c>
      <c r="G12" s="1">
        <v>255.98</v>
      </c>
    </row>
    <row r="13" spans="1:7" x14ac:dyDescent="0.2">
      <c r="A13" s="1" t="s">
        <v>17</v>
      </c>
      <c r="B13" s="1">
        <v>31.12</v>
      </c>
      <c r="C13" s="1">
        <v>32.29</v>
      </c>
      <c r="D13" s="1">
        <v>22.37</v>
      </c>
      <c r="E13" s="1">
        <v>40.119999999999997</v>
      </c>
      <c r="F13" s="1">
        <v>29.56</v>
      </c>
      <c r="G13" s="1">
        <v>39.43</v>
      </c>
    </row>
    <row r="14" spans="1:7" x14ac:dyDescent="0.2">
      <c r="A14" s="1" t="s">
        <v>18</v>
      </c>
      <c r="B14" s="1">
        <v>122.23</v>
      </c>
      <c r="C14" s="1">
        <v>78.22</v>
      </c>
      <c r="D14" s="1">
        <v>63.09</v>
      </c>
      <c r="E14" s="1">
        <v>82.96</v>
      </c>
      <c r="F14" s="1">
        <v>61.91</v>
      </c>
      <c r="G14" s="1">
        <v>86.46</v>
      </c>
    </row>
    <row r="15" spans="1:7" x14ac:dyDescent="0.2">
      <c r="A15" s="1" t="s">
        <v>19</v>
      </c>
      <c r="B15" s="1">
        <v>7</v>
      </c>
      <c r="C15" s="1">
        <v>8</v>
      </c>
      <c r="D15" s="1">
        <v>8</v>
      </c>
      <c r="E15" s="1">
        <v>6</v>
      </c>
      <c r="F15" s="1">
        <v>7</v>
      </c>
      <c r="G15" s="1">
        <v>7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">
      <c r="A17" s="1" t="s">
        <v>21</v>
      </c>
      <c r="B17" s="1">
        <v>2383.5300000000002</v>
      </c>
      <c r="C17" s="1">
        <v>2772.45</v>
      </c>
      <c r="D17" s="1">
        <v>2546.14</v>
      </c>
      <c r="E17" s="1">
        <v>1225.6600000000001</v>
      </c>
      <c r="F17" s="1">
        <v>2170.2600000000002</v>
      </c>
      <c r="G17" s="1">
        <v>2198.4699999999998</v>
      </c>
    </row>
    <row r="18" spans="1:7" x14ac:dyDescent="0.2">
      <c r="A18" s="1" t="s">
        <v>22</v>
      </c>
      <c r="B18" s="1">
        <v>58.45</v>
      </c>
      <c r="C18" s="1">
        <v>0</v>
      </c>
      <c r="D18" s="1">
        <v>1.8</v>
      </c>
      <c r="E18" s="1">
        <v>319.33999999999997</v>
      </c>
      <c r="F18" s="1">
        <v>0</v>
      </c>
      <c r="G18" s="1">
        <v>0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0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2.8</v>
      </c>
      <c r="F20" s="1">
        <v>0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7.2</v>
      </c>
      <c r="F21" s="1">
        <v>10</v>
      </c>
      <c r="G21" s="1">
        <v>9.9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2.2999999999999998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5</v>
      </c>
      <c r="F24" s="1">
        <v>0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5</v>
      </c>
      <c r="F26" s="1">
        <v>10</v>
      </c>
      <c r="G26" s="1">
        <v>9.9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50</v>
      </c>
      <c r="F29" s="3">
        <f t="shared" si="1"/>
        <v>0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50</v>
      </c>
      <c r="F31" s="3">
        <f t="shared" si="3"/>
        <v>100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256.46060396039599</v>
      </c>
      <c r="C33" s="3">
        <v>303.35000000000002</v>
      </c>
      <c r="D33" s="3">
        <v>282.79000000000002</v>
      </c>
      <c r="E33" s="3">
        <v>55.95</v>
      </c>
      <c r="F33" s="3">
        <v>232.09</v>
      </c>
      <c r="G33" s="3">
        <v>238.36</v>
      </c>
    </row>
    <row r="35" spans="1:7" x14ac:dyDescent="0.2">
      <c r="A35" s="3" t="s">
        <v>36</v>
      </c>
      <c r="B35" s="3"/>
      <c r="C35" s="3"/>
      <c r="D35" s="3">
        <f>D33-C33</f>
        <v>-20.560000000000002</v>
      </c>
      <c r="E35" s="3"/>
      <c r="F35" s="3">
        <f>F33-E33</f>
        <v>176.14</v>
      </c>
      <c r="G3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AF67-BF6A-4EFA-90A6-E78546515FA9}">
  <dimension ref="A1:G35"/>
  <sheetViews>
    <sheetView topLeftCell="A10" zoomScale="80" zoomScaleNormal="80" workbookViewId="0">
      <selection activeCell="K38" sqref="K38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467.94</v>
      </c>
      <c r="C2" s="1">
        <v>543.87</v>
      </c>
      <c r="D2" s="1">
        <v>540.53</v>
      </c>
      <c r="E2" s="1">
        <v>486.69</v>
      </c>
      <c r="F2" s="1">
        <v>531.15</v>
      </c>
      <c r="G2" s="1">
        <v>567.54</v>
      </c>
    </row>
    <row r="3" spans="1:7" x14ac:dyDescent="0.2">
      <c r="A3" s="1" t="s">
        <v>7</v>
      </c>
      <c r="B3" s="1">
        <v>38.65</v>
      </c>
      <c r="C3" s="1">
        <v>51.23</v>
      </c>
      <c r="D3" s="1">
        <v>50.32</v>
      </c>
      <c r="E3" s="1">
        <v>43.16</v>
      </c>
      <c r="F3" s="1">
        <v>47.03</v>
      </c>
      <c r="G3" s="1">
        <v>58.21</v>
      </c>
    </row>
    <row r="4" spans="1:7" x14ac:dyDescent="0.2">
      <c r="A4" s="1" t="s">
        <v>8</v>
      </c>
      <c r="B4" s="1">
        <v>18523.599999999999</v>
      </c>
      <c r="C4" s="1">
        <v>28316.75</v>
      </c>
      <c r="D4" s="1">
        <v>27661.67</v>
      </c>
      <c r="E4" s="1">
        <v>21402.34</v>
      </c>
      <c r="F4" s="1">
        <v>25394.93</v>
      </c>
      <c r="G4" s="1">
        <v>33744.5</v>
      </c>
    </row>
    <row r="5" spans="1:7" x14ac:dyDescent="0.2">
      <c r="A5" s="1" t="s">
        <v>9</v>
      </c>
      <c r="B5" s="1">
        <v>2913.01</v>
      </c>
      <c r="C5" s="1">
        <v>3041.46</v>
      </c>
      <c r="D5" s="1">
        <v>1875.27</v>
      </c>
      <c r="E5" s="1">
        <v>958.21</v>
      </c>
      <c r="F5" s="1">
        <v>2016.2</v>
      </c>
      <c r="G5" s="1">
        <v>3264.24</v>
      </c>
    </row>
    <row r="6" spans="1:7" x14ac:dyDescent="0.2">
      <c r="A6" s="3" t="s">
        <v>10</v>
      </c>
      <c r="B6" s="3">
        <v>291.3</v>
      </c>
      <c r="C6" s="3">
        <v>307.22000000000003</v>
      </c>
      <c r="D6" s="3">
        <v>189.42</v>
      </c>
      <c r="E6" s="3">
        <v>96.79</v>
      </c>
      <c r="F6" s="3">
        <v>203.66</v>
      </c>
      <c r="G6" s="3">
        <v>333.09</v>
      </c>
    </row>
    <row r="7" spans="1:7" x14ac:dyDescent="0.2">
      <c r="A7" s="1" t="s">
        <v>11</v>
      </c>
      <c r="B7" s="1">
        <v>2653.36</v>
      </c>
      <c r="C7" s="1">
        <v>2801.39</v>
      </c>
      <c r="D7" s="1">
        <v>1773.49</v>
      </c>
      <c r="E7" s="1">
        <v>869.05</v>
      </c>
      <c r="F7" s="1">
        <v>1869.02</v>
      </c>
      <c r="G7" s="1">
        <v>3074.46</v>
      </c>
    </row>
    <row r="8" spans="1:7" x14ac:dyDescent="0.2">
      <c r="A8" s="1" t="s">
        <v>12</v>
      </c>
      <c r="B8" s="1">
        <v>265.33999999999997</v>
      </c>
      <c r="C8" s="1">
        <v>282.97000000000003</v>
      </c>
      <c r="D8" s="1">
        <v>179.14</v>
      </c>
      <c r="E8" s="1">
        <v>87.78</v>
      </c>
      <c r="F8" s="1">
        <v>188.79</v>
      </c>
      <c r="G8" s="1">
        <v>313.72000000000003</v>
      </c>
    </row>
    <row r="9" spans="1:7" x14ac:dyDescent="0.2">
      <c r="A9" s="1" t="s">
        <v>13</v>
      </c>
      <c r="B9" s="1">
        <v>2653.36</v>
      </c>
      <c r="C9" s="1">
        <v>2801.39</v>
      </c>
      <c r="D9" s="1">
        <v>1685.06</v>
      </c>
      <c r="E9" s="1">
        <v>681.95</v>
      </c>
      <c r="F9" s="1">
        <v>1859.59</v>
      </c>
      <c r="G9" s="1">
        <v>3025.69</v>
      </c>
    </row>
    <row r="10" spans="1:7" x14ac:dyDescent="0.2">
      <c r="A10" s="1" t="s">
        <v>14</v>
      </c>
      <c r="B10" s="1">
        <v>265.33999999999997</v>
      </c>
      <c r="C10" s="1">
        <v>282.97000000000003</v>
      </c>
      <c r="D10" s="1">
        <v>170.21</v>
      </c>
      <c r="E10" s="1">
        <v>68.88</v>
      </c>
      <c r="F10" s="1">
        <v>187.84</v>
      </c>
      <c r="G10" s="1">
        <v>308.74</v>
      </c>
    </row>
    <row r="11" spans="1:7" x14ac:dyDescent="0.2">
      <c r="A11" s="1" t="s">
        <v>15</v>
      </c>
      <c r="B11" s="1">
        <v>2357.9499999999998</v>
      </c>
      <c r="C11" s="1">
        <v>2775.95</v>
      </c>
      <c r="D11" s="1">
        <v>1686.24</v>
      </c>
      <c r="E11" s="1">
        <v>628.39</v>
      </c>
      <c r="F11" s="1">
        <v>1773.04</v>
      </c>
      <c r="G11" s="1">
        <v>2770.83</v>
      </c>
    </row>
    <row r="12" spans="1:7" x14ac:dyDescent="0.2">
      <c r="A12" s="1" t="s">
        <v>16</v>
      </c>
      <c r="B12" s="1">
        <v>256.83</v>
      </c>
      <c r="C12" s="1">
        <v>275.83999999999997</v>
      </c>
      <c r="D12" s="1">
        <v>273.01</v>
      </c>
      <c r="E12" s="1">
        <v>223.6</v>
      </c>
      <c r="F12" s="1">
        <v>265.06</v>
      </c>
      <c r="G12" s="1">
        <v>259.67</v>
      </c>
    </row>
    <row r="13" spans="1:7" x14ac:dyDescent="0.2">
      <c r="A13" s="1" t="s">
        <v>17</v>
      </c>
      <c r="B13" s="1">
        <v>36.24</v>
      </c>
      <c r="C13" s="1">
        <v>24.56</v>
      </c>
      <c r="D13" s="1">
        <v>21.41</v>
      </c>
      <c r="E13" s="1">
        <v>35.21</v>
      </c>
      <c r="F13" s="1">
        <v>28.33</v>
      </c>
      <c r="G13" s="1">
        <v>37.44</v>
      </c>
    </row>
    <row r="14" spans="1:7" x14ac:dyDescent="0.2">
      <c r="A14" s="1" t="s">
        <v>18</v>
      </c>
      <c r="B14" s="1">
        <v>92.65</v>
      </c>
      <c r="C14" s="1">
        <v>57.8</v>
      </c>
      <c r="D14" s="1">
        <v>48.09</v>
      </c>
      <c r="E14" s="1">
        <v>90.95</v>
      </c>
      <c r="F14" s="1">
        <v>64.67</v>
      </c>
      <c r="G14" s="1">
        <v>108.09</v>
      </c>
    </row>
    <row r="15" spans="1:7" x14ac:dyDescent="0.2">
      <c r="A15" s="1" t="s">
        <v>19</v>
      </c>
      <c r="B15" s="1">
        <v>7</v>
      </c>
      <c r="C15" s="1">
        <v>4</v>
      </c>
      <c r="D15" s="1">
        <v>5</v>
      </c>
      <c r="E15" s="1">
        <v>5</v>
      </c>
      <c r="F15" s="1">
        <v>7</v>
      </c>
      <c r="G15" s="1">
        <v>8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">
      <c r="A17" s="1" t="s">
        <v>21</v>
      </c>
      <c r="B17" s="1">
        <v>2653.36</v>
      </c>
      <c r="C17" s="1">
        <v>2801.39</v>
      </c>
      <c r="D17" s="1">
        <v>1729.27</v>
      </c>
      <c r="E17" s="1">
        <v>775.5</v>
      </c>
      <c r="F17" s="1">
        <v>1864.31</v>
      </c>
      <c r="G17" s="1">
        <v>3050.07</v>
      </c>
    </row>
    <row r="18" spans="1:7" x14ac:dyDescent="0.2">
      <c r="A18" s="1" t="s">
        <v>22</v>
      </c>
      <c r="B18" s="1">
        <v>0</v>
      </c>
      <c r="C18" s="1">
        <v>0</v>
      </c>
      <c r="D18" s="1">
        <v>44.22</v>
      </c>
      <c r="E18" s="1">
        <v>93.55</v>
      </c>
      <c r="F18" s="1">
        <v>4.72</v>
      </c>
      <c r="G18" s="1">
        <v>24.38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9</v>
      </c>
      <c r="F21" s="1">
        <v>10</v>
      </c>
      <c r="G21" s="1">
        <v>9.9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1.3</v>
      </c>
      <c r="F24" s="1">
        <v>0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8.6999999999999993</v>
      </c>
      <c r="F26" s="1">
        <v>10</v>
      </c>
      <c r="G26" s="1">
        <v>9.9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13</v>
      </c>
      <c r="F29" s="3">
        <f t="shared" si="1"/>
        <v>0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86.999999999999986</v>
      </c>
      <c r="F31" s="3">
        <f t="shared" si="3"/>
        <v>100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281.97000000000003</v>
      </c>
      <c r="C33" s="3">
        <v>304.18</v>
      </c>
      <c r="D33" s="3">
        <v>179.56</v>
      </c>
      <c r="E33" s="3">
        <v>73.989999999999995</v>
      </c>
      <c r="F33" s="3">
        <v>197.88</v>
      </c>
      <c r="G33" s="3">
        <v>323.87</v>
      </c>
    </row>
    <row r="35" spans="1:7" x14ac:dyDescent="0.2">
      <c r="A35" s="3" t="s">
        <v>36</v>
      </c>
      <c r="B35" s="3"/>
      <c r="C35" s="3"/>
      <c r="D35" s="3">
        <f>D33-C33</f>
        <v>-124.62</v>
      </c>
      <c r="E35" s="3"/>
      <c r="F35" s="3">
        <f>F33-E33</f>
        <v>123.89</v>
      </c>
      <c r="G3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B8C9-9AC4-49AA-8D72-52F5018B5ABD}">
  <dimension ref="A1:G35"/>
  <sheetViews>
    <sheetView topLeftCell="A10" zoomScale="80" zoomScaleNormal="80" workbookViewId="0">
      <selection activeCell="L21" sqref="L21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397.29</v>
      </c>
      <c r="C2" s="1">
        <v>376.98</v>
      </c>
      <c r="D2" s="1">
        <v>415.85</v>
      </c>
      <c r="E2" s="1">
        <v>375.69</v>
      </c>
      <c r="F2" s="1">
        <v>382.28</v>
      </c>
      <c r="G2" s="1">
        <v>395.07</v>
      </c>
    </row>
    <row r="3" spans="1:7" x14ac:dyDescent="0.2">
      <c r="A3" s="1" t="s">
        <v>7</v>
      </c>
      <c r="B3" s="1">
        <v>41.31</v>
      </c>
      <c r="C3" s="1">
        <v>38.24</v>
      </c>
      <c r="D3" s="1">
        <v>44.05</v>
      </c>
      <c r="E3" s="1">
        <v>40.86</v>
      </c>
      <c r="F3" s="1">
        <v>41.87</v>
      </c>
      <c r="G3" s="1">
        <v>38.89</v>
      </c>
    </row>
    <row r="4" spans="1:7" x14ac:dyDescent="0.2">
      <c r="A4" s="1" t="s">
        <v>8</v>
      </c>
      <c r="B4" s="1">
        <v>16751.04</v>
      </c>
      <c r="C4" s="1">
        <v>14717.99</v>
      </c>
      <c r="D4" s="1">
        <v>18653.45</v>
      </c>
      <c r="E4" s="1">
        <v>15799.09</v>
      </c>
      <c r="F4" s="1">
        <v>16311.73</v>
      </c>
      <c r="G4" s="1">
        <v>15678.72</v>
      </c>
    </row>
    <row r="5" spans="1:7" x14ac:dyDescent="0.2">
      <c r="A5" s="1" t="s">
        <v>9</v>
      </c>
      <c r="B5" s="1">
        <v>1533.58</v>
      </c>
      <c r="C5" s="1">
        <v>2304.5700000000002</v>
      </c>
      <c r="D5" s="1">
        <v>2102.59</v>
      </c>
      <c r="E5" s="1">
        <v>1177.5999999999999</v>
      </c>
      <c r="F5" s="1">
        <v>1305.22</v>
      </c>
      <c r="G5" s="1">
        <v>1893.98</v>
      </c>
    </row>
    <row r="6" spans="1:7" x14ac:dyDescent="0.2">
      <c r="A6" s="3" t="s">
        <v>10</v>
      </c>
      <c r="B6" s="3">
        <v>153.36000000000001</v>
      </c>
      <c r="C6" s="3">
        <v>232.78</v>
      </c>
      <c r="D6" s="3">
        <v>212.38</v>
      </c>
      <c r="E6" s="3">
        <v>118.95</v>
      </c>
      <c r="F6" s="3">
        <v>131.84</v>
      </c>
      <c r="G6" s="3">
        <v>193.26</v>
      </c>
    </row>
    <row r="7" spans="1:7" x14ac:dyDescent="0.2">
      <c r="A7" s="1" t="s">
        <v>11</v>
      </c>
      <c r="B7" s="1">
        <v>1397.01</v>
      </c>
      <c r="C7" s="1">
        <v>2090.5700000000002</v>
      </c>
      <c r="D7" s="1">
        <v>1987.38</v>
      </c>
      <c r="E7" s="1">
        <v>1091.9000000000001</v>
      </c>
      <c r="F7" s="1">
        <v>1213.47</v>
      </c>
      <c r="G7" s="1">
        <v>1801.11</v>
      </c>
    </row>
    <row r="8" spans="1:7" x14ac:dyDescent="0.2">
      <c r="A8" s="1" t="s">
        <v>12</v>
      </c>
      <c r="B8" s="1">
        <v>139.69999999999999</v>
      </c>
      <c r="C8" s="1">
        <v>211.17</v>
      </c>
      <c r="D8" s="1">
        <v>200.75</v>
      </c>
      <c r="E8" s="1">
        <v>110.29</v>
      </c>
      <c r="F8" s="1">
        <v>122.57</v>
      </c>
      <c r="G8" s="1">
        <v>183.79</v>
      </c>
    </row>
    <row r="9" spans="1:7" x14ac:dyDescent="0.2">
      <c r="A9" s="1" t="s">
        <v>13</v>
      </c>
      <c r="B9" s="1">
        <v>735.52</v>
      </c>
      <c r="C9" s="1">
        <v>2079.12</v>
      </c>
      <c r="D9" s="1">
        <v>1987.38</v>
      </c>
      <c r="E9" s="1">
        <v>996.4</v>
      </c>
      <c r="F9" s="1">
        <v>939.13</v>
      </c>
      <c r="G9" s="1">
        <v>1801.11</v>
      </c>
    </row>
    <row r="10" spans="1:7" x14ac:dyDescent="0.2">
      <c r="A10" s="1" t="s">
        <v>14</v>
      </c>
      <c r="B10" s="1">
        <v>73.55</v>
      </c>
      <c r="C10" s="1">
        <v>210.01</v>
      </c>
      <c r="D10" s="1">
        <v>200.75</v>
      </c>
      <c r="E10" s="1">
        <v>100.65</v>
      </c>
      <c r="F10" s="1">
        <v>94.86</v>
      </c>
      <c r="G10" s="1">
        <v>183.79</v>
      </c>
    </row>
    <row r="11" spans="1:7" x14ac:dyDescent="0.2">
      <c r="A11" s="1" t="s">
        <v>15</v>
      </c>
      <c r="B11" s="1">
        <v>800.75</v>
      </c>
      <c r="C11" s="1">
        <v>1673.23</v>
      </c>
      <c r="D11" s="1">
        <v>1904.64</v>
      </c>
      <c r="E11" s="1">
        <v>956.97</v>
      </c>
      <c r="F11" s="1">
        <v>597.67999999999995</v>
      </c>
      <c r="G11" s="1">
        <v>1391.42</v>
      </c>
    </row>
    <row r="12" spans="1:7" x14ac:dyDescent="0.2">
      <c r="A12" s="1" t="s">
        <v>16</v>
      </c>
      <c r="B12" s="1">
        <v>187.33</v>
      </c>
      <c r="C12" s="1">
        <v>208.4</v>
      </c>
      <c r="D12" s="1">
        <v>224.93</v>
      </c>
      <c r="E12" s="1">
        <v>199.06</v>
      </c>
      <c r="F12" s="1">
        <v>202.54</v>
      </c>
      <c r="G12" s="1">
        <v>219.3</v>
      </c>
    </row>
    <row r="13" spans="1:7" x14ac:dyDescent="0.2">
      <c r="A13" s="1" t="s">
        <v>17</v>
      </c>
      <c r="B13" s="1">
        <v>31.43</v>
      </c>
      <c r="C13" s="1">
        <v>22.56</v>
      </c>
      <c r="D13" s="1">
        <v>19.09</v>
      </c>
      <c r="E13" s="1">
        <v>16.78</v>
      </c>
      <c r="F13" s="1">
        <v>33.81</v>
      </c>
      <c r="G13" s="1">
        <v>28.66</v>
      </c>
    </row>
    <row r="14" spans="1:7" x14ac:dyDescent="0.2">
      <c r="A14" s="1" t="s">
        <v>18</v>
      </c>
      <c r="B14" s="1">
        <v>81.7</v>
      </c>
      <c r="C14" s="1">
        <v>51.48</v>
      </c>
      <c r="D14" s="1">
        <v>50.49</v>
      </c>
      <c r="E14" s="1">
        <v>60.52</v>
      </c>
      <c r="F14" s="1">
        <v>68</v>
      </c>
      <c r="G14" s="1">
        <v>59.47</v>
      </c>
    </row>
    <row r="15" spans="1:7" x14ac:dyDescent="0.2">
      <c r="A15" s="1" t="s">
        <v>19</v>
      </c>
      <c r="B15" s="1">
        <v>7</v>
      </c>
      <c r="C15" s="1">
        <v>8</v>
      </c>
      <c r="D15" s="1">
        <v>5</v>
      </c>
      <c r="E15" s="1">
        <v>5</v>
      </c>
      <c r="F15" s="1">
        <v>6</v>
      </c>
      <c r="G15" s="1">
        <v>8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">
      <c r="A17" s="1" t="s">
        <v>21</v>
      </c>
      <c r="B17" s="1">
        <v>1066.27</v>
      </c>
      <c r="C17" s="1">
        <v>2084.84</v>
      </c>
      <c r="D17" s="1">
        <v>1987.38</v>
      </c>
      <c r="E17" s="1">
        <v>1044.1500000000001</v>
      </c>
      <c r="F17" s="1">
        <v>1076.3</v>
      </c>
      <c r="G17" s="1">
        <v>1801.11</v>
      </c>
    </row>
    <row r="18" spans="1:7" x14ac:dyDescent="0.2">
      <c r="A18" s="1" t="s">
        <v>22</v>
      </c>
      <c r="B18" s="1">
        <v>330.74</v>
      </c>
      <c r="C18" s="1">
        <v>5.73</v>
      </c>
      <c r="D18" s="1">
        <v>0</v>
      </c>
      <c r="E18" s="1">
        <v>47.75</v>
      </c>
      <c r="F18" s="1">
        <v>137.16999999999999</v>
      </c>
      <c r="G18" s="1">
        <v>0</v>
      </c>
    </row>
    <row r="19" spans="1:7" x14ac:dyDescent="0.2">
      <c r="A19" s="1" t="s">
        <v>23</v>
      </c>
      <c r="B19" s="1">
        <v>2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">
      <c r="A20" s="1" t="s">
        <v>24</v>
      </c>
      <c r="B20" s="1">
        <v>2.9</v>
      </c>
      <c r="C20" s="1">
        <v>0</v>
      </c>
      <c r="D20" s="1">
        <v>0</v>
      </c>
      <c r="E20" s="1">
        <v>0</v>
      </c>
      <c r="F20" s="1">
        <v>1.3</v>
      </c>
      <c r="G20" s="1">
        <v>0</v>
      </c>
    </row>
    <row r="21" spans="1:7" x14ac:dyDescent="0.2">
      <c r="A21" s="1" t="s">
        <v>25</v>
      </c>
      <c r="B21" s="1">
        <v>7.2</v>
      </c>
      <c r="C21" s="1">
        <v>10</v>
      </c>
      <c r="D21" s="1">
        <v>10</v>
      </c>
      <c r="E21" s="1">
        <v>10</v>
      </c>
      <c r="F21" s="1">
        <v>8.6999999999999993</v>
      </c>
      <c r="G21" s="1">
        <v>9.9</v>
      </c>
    </row>
    <row r="22" spans="1:7" x14ac:dyDescent="0.2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1.9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2</v>
      </c>
      <c r="C24" s="1">
        <v>0</v>
      </c>
      <c r="D24" s="1">
        <v>0</v>
      </c>
      <c r="E24" s="1">
        <v>0</v>
      </c>
      <c r="F24" s="1">
        <v>1.7</v>
      </c>
      <c r="G24" s="1">
        <v>0</v>
      </c>
    </row>
    <row r="25" spans="1:7" x14ac:dyDescent="0.2">
      <c r="A25" s="1" t="s">
        <v>29</v>
      </c>
      <c r="B25" s="1">
        <v>2.5</v>
      </c>
      <c r="C25" s="1">
        <v>0</v>
      </c>
      <c r="D25" s="1">
        <v>0</v>
      </c>
      <c r="E25" s="1">
        <v>0</v>
      </c>
      <c r="F25" s="1">
        <v>2.2000000000000002</v>
      </c>
      <c r="G25" s="1">
        <v>0</v>
      </c>
    </row>
    <row r="26" spans="1:7" x14ac:dyDescent="0.2">
      <c r="A26" s="1" t="s">
        <v>30</v>
      </c>
      <c r="B26" s="1">
        <v>5.6</v>
      </c>
      <c r="C26" s="1">
        <v>10</v>
      </c>
      <c r="D26" s="1">
        <v>10</v>
      </c>
      <c r="E26" s="1">
        <v>10</v>
      </c>
      <c r="F26" s="1">
        <v>6.1</v>
      </c>
      <c r="G26" s="1">
        <v>9.9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">
      <c r="A29" s="3" t="s">
        <v>32</v>
      </c>
      <c r="B29" s="3">
        <f>B24/B28*100</f>
        <v>19.801980198019802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17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24.752475247524753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22.000000000000004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55.445544554455438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61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59.404188118811895</v>
      </c>
      <c r="C33" s="3">
        <v>230.06773999999999</v>
      </c>
      <c r="D33" s="3">
        <v>209.97750999999997</v>
      </c>
      <c r="E33" s="3">
        <v>105.43346999999999</v>
      </c>
      <c r="F33" s="3">
        <v>88.420740000000009</v>
      </c>
      <c r="G33" s="3">
        <v>191.96112121212127</v>
      </c>
    </row>
    <row r="35" spans="1:7" x14ac:dyDescent="0.2">
      <c r="A35" s="3" t="s">
        <v>36</v>
      </c>
      <c r="B35" s="3"/>
      <c r="C35" s="3"/>
      <c r="D35" s="3">
        <f>D33-C33</f>
        <v>-20.09023000000002</v>
      </c>
      <c r="E35" s="3"/>
      <c r="F35" s="3">
        <f>F33-E33</f>
        <v>-17.012729999999976</v>
      </c>
      <c r="G35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2D2F-96C7-426B-A5C1-71B10358D961}">
  <dimension ref="A1:G35"/>
  <sheetViews>
    <sheetView zoomScale="80" zoomScaleNormal="80" workbookViewId="0">
      <selection activeCell="L28" sqref="L28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510.21</v>
      </c>
      <c r="C2" s="1">
        <v>513.80999999999995</v>
      </c>
      <c r="D2" s="1">
        <v>544.04</v>
      </c>
      <c r="E2" s="1">
        <v>495.65</v>
      </c>
      <c r="F2" s="1">
        <v>494.94</v>
      </c>
      <c r="G2" s="1">
        <v>569.53</v>
      </c>
    </row>
    <row r="3" spans="1:7" x14ac:dyDescent="0.2">
      <c r="A3" s="1" t="s">
        <v>7</v>
      </c>
      <c r="B3" s="1">
        <v>46.1</v>
      </c>
      <c r="C3" s="1">
        <v>49.6</v>
      </c>
      <c r="D3" s="1">
        <v>53.2</v>
      </c>
      <c r="E3" s="1">
        <v>45.83</v>
      </c>
      <c r="F3" s="1">
        <v>48.9</v>
      </c>
      <c r="G3" s="1">
        <v>60.64</v>
      </c>
    </row>
    <row r="4" spans="1:7" x14ac:dyDescent="0.2">
      <c r="A4" s="1" t="s">
        <v>8</v>
      </c>
      <c r="B4" s="1">
        <v>23890.62</v>
      </c>
      <c r="C4" s="1">
        <v>26007.65</v>
      </c>
      <c r="D4" s="1">
        <v>29437.1</v>
      </c>
      <c r="E4" s="1">
        <v>23094.68</v>
      </c>
      <c r="F4" s="1">
        <v>24580.47</v>
      </c>
      <c r="G4" s="1">
        <v>35177.879999999997</v>
      </c>
    </row>
    <row r="5" spans="1:7" x14ac:dyDescent="0.2">
      <c r="A5" s="1" t="s">
        <v>9</v>
      </c>
      <c r="B5" s="1">
        <v>2346.34</v>
      </c>
      <c r="C5" s="1">
        <v>2515.4699999999998</v>
      </c>
      <c r="D5" s="1">
        <v>2464.14</v>
      </c>
      <c r="E5" s="1">
        <v>2045.67</v>
      </c>
      <c r="F5" s="1">
        <v>873.49</v>
      </c>
      <c r="G5" s="1">
        <v>1272.8</v>
      </c>
    </row>
    <row r="6" spans="1:7" x14ac:dyDescent="0.2">
      <c r="A6" s="3" t="s">
        <v>10</v>
      </c>
      <c r="B6" s="3">
        <v>234.63</v>
      </c>
      <c r="C6" s="3">
        <v>254.09</v>
      </c>
      <c r="D6" s="3">
        <v>248.9</v>
      </c>
      <c r="E6" s="3">
        <v>206.63</v>
      </c>
      <c r="F6" s="3">
        <v>88.23</v>
      </c>
      <c r="G6" s="3">
        <v>128.57</v>
      </c>
    </row>
    <row r="7" spans="1:7" x14ac:dyDescent="0.2">
      <c r="A7" s="1" t="s">
        <v>11</v>
      </c>
      <c r="B7" s="1">
        <v>2187.4</v>
      </c>
      <c r="C7" s="1">
        <v>2366.91</v>
      </c>
      <c r="D7" s="1">
        <v>2303.42</v>
      </c>
      <c r="E7" s="1">
        <v>1984.27</v>
      </c>
      <c r="F7" s="1">
        <v>845.79</v>
      </c>
      <c r="G7" s="1">
        <v>1224.83</v>
      </c>
    </row>
    <row r="8" spans="1:7" x14ac:dyDescent="0.2">
      <c r="A8" s="1" t="s">
        <v>12</v>
      </c>
      <c r="B8" s="1">
        <v>218.74</v>
      </c>
      <c r="C8" s="1">
        <v>239.08</v>
      </c>
      <c r="D8" s="1">
        <v>232.67</v>
      </c>
      <c r="E8" s="1">
        <v>200.43</v>
      </c>
      <c r="F8" s="1">
        <v>85.43</v>
      </c>
      <c r="G8" s="1">
        <v>123.72</v>
      </c>
    </row>
    <row r="9" spans="1:7" x14ac:dyDescent="0.2">
      <c r="A9" s="1" t="s">
        <v>13</v>
      </c>
      <c r="B9" s="1">
        <v>2187.4</v>
      </c>
      <c r="C9" s="1">
        <v>2366.91</v>
      </c>
      <c r="D9" s="1">
        <v>2303.42</v>
      </c>
      <c r="E9" s="1">
        <v>1962.51</v>
      </c>
      <c r="F9" s="1">
        <v>789.81</v>
      </c>
      <c r="G9" s="1">
        <v>1200.8800000000001</v>
      </c>
    </row>
    <row r="10" spans="1:7" x14ac:dyDescent="0.2">
      <c r="A10" s="1" t="s">
        <v>14</v>
      </c>
      <c r="B10" s="1">
        <v>218.74</v>
      </c>
      <c r="C10" s="1">
        <v>239.08</v>
      </c>
      <c r="D10" s="1">
        <v>232.67</v>
      </c>
      <c r="E10" s="1">
        <v>198.23</v>
      </c>
      <c r="F10" s="1">
        <v>79.78</v>
      </c>
      <c r="G10" s="1">
        <v>121.3</v>
      </c>
    </row>
    <row r="11" spans="1:7" x14ac:dyDescent="0.2">
      <c r="A11" s="1" t="s">
        <v>15</v>
      </c>
      <c r="B11" s="1">
        <v>574.97</v>
      </c>
      <c r="C11" s="1">
        <v>1987.32</v>
      </c>
      <c r="D11" s="1">
        <v>2185.4</v>
      </c>
      <c r="E11" s="1">
        <v>1846.39</v>
      </c>
      <c r="F11" s="1">
        <v>728.19</v>
      </c>
      <c r="G11" s="1">
        <v>1118.22</v>
      </c>
    </row>
    <row r="12" spans="1:7" x14ac:dyDescent="0.2">
      <c r="A12" s="1" t="s">
        <v>16</v>
      </c>
      <c r="B12" s="1">
        <v>267.33</v>
      </c>
      <c r="C12" s="1">
        <v>261.07</v>
      </c>
      <c r="D12" s="1">
        <v>269.26</v>
      </c>
      <c r="E12" s="1">
        <v>249.31</v>
      </c>
      <c r="F12" s="1">
        <v>258.39</v>
      </c>
      <c r="G12" s="1">
        <v>275.68</v>
      </c>
    </row>
    <row r="13" spans="1:7" x14ac:dyDescent="0.2">
      <c r="A13" s="1" t="s">
        <v>17</v>
      </c>
      <c r="B13" s="1">
        <v>32.78</v>
      </c>
      <c r="C13" s="1">
        <v>27.83</v>
      </c>
      <c r="D13" s="1">
        <v>21.18</v>
      </c>
      <c r="E13" s="1">
        <v>21.18</v>
      </c>
      <c r="F13" s="1">
        <v>22.83</v>
      </c>
      <c r="G13" s="1">
        <v>19.8</v>
      </c>
    </row>
    <row r="14" spans="1:7" x14ac:dyDescent="0.2">
      <c r="A14" s="1" t="s">
        <v>18</v>
      </c>
      <c r="B14" s="1">
        <v>100.2</v>
      </c>
      <c r="C14" s="1">
        <v>74.42</v>
      </c>
      <c r="D14" s="1">
        <v>52.21</v>
      </c>
      <c r="E14" s="1">
        <v>46.65</v>
      </c>
      <c r="F14" s="1">
        <v>55</v>
      </c>
      <c r="G14" s="1">
        <v>61.54</v>
      </c>
    </row>
    <row r="15" spans="1:7" x14ac:dyDescent="0.2">
      <c r="A15" s="1" t="s">
        <v>19</v>
      </c>
      <c r="B15" s="1">
        <v>6</v>
      </c>
      <c r="C15" s="1">
        <v>8</v>
      </c>
      <c r="D15" s="1">
        <v>4</v>
      </c>
      <c r="E15" s="1">
        <v>5</v>
      </c>
      <c r="F15" s="1">
        <v>3</v>
      </c>
      <c r="G15" s="1">
        <v>5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2187.4</v>
      </c>
      <c r="C17" s="1">
        <v>2366.91</v>
      </c>
      <c r="D17" s="1">
        <v>2303.42</v>
      </c>
      <c r="E17" s="1">
        <v>1973.39</v>
      </c>
      <c r="F17" s="1">
        <v>817.8</v>
      </c>
      <c r="G17" s="1">
        <v>1212.8499999999999</v>
      </c>
    </row>
    <row r="18" spans="1:7" x14ac:dyDescent="0.2">
      <c r="A18" s="1" t="s">
        <v>22</v>
      </c>
      <c r="B18" s="1">
        <v>0</v>
      </c>
      <c r="C18" s="1">
        <v>0</v>
      </c>
      <c r="D18" s="1">
        <v>0</v>
      </c>
      <c r="E18" s="1">
        <v>10.88</v>
      </c>
      <c r="F18" s="1">
        <v>27.99</v>
      </c>
      <c r="G18" s="1">
        <v>11.98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4">
        <v>229.46</v>
      </c>
      <c r="C33" s="5">
        <v>250.96</v>
      </c>
      <c r="D33" s="5">
        <v>246</v>
      </c>
      <c r="E33" s="5">
        <v>201.8</v>
      </c>
      <c r="F33" s="5">
        <v>82.8</v>
      </c>
      <c r="G33" s="5">
        <v>125.63</v>
      </c>
    </row>
    <row r="35" spans="1:7" x14ac:dyDescent="0.2">
      <c r="A35" s="3" t="s">
        <v>36</v>
      </c>
      <c r="B35" s="3"/>
      <c r="C35" s="3"/>
      <c r="D35" s="3">
        <f>D33-C33</f>
        <v>-4.960000000000008</v>
      </c>
      <c r="E35" s="3"/>
      <c r="F35" s="3">
        <f>F33-E33</f>
        <v>-119.00000000000001</v>
      </c>
      <c r="G35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0412-082E-423A-BB46-AC6AECF8BC14}">
  <dimension ref="A1:G35"/>
  <sheetViews>
    <sheetView topLeftCell="A4" zoomScale="80" zoomScaleNormal="80" workbookViewId="0">
      <selection activeCell="K15" sqref="K15:K28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409.85</v>
      </c>
      <c r="C2" s="1">
        <v>522.88</v>
      </c>
      <c r="D2" s="1">
        <v>560.95000000000005</v>
      </c>
      <c r="E2" s="1">
        <v>496</v>
      </c>
      <c r="F2" s="1">
        <v>507.85</v>
      </c>
      <c r="G2" s="1">
        <v>531.32000000000005</v>
      </c>
    </row>
    <row r="3" spans="1:7" x14ac:dyDescent="0.2">
      <c r="A3" s="1" t="s">
        <v>7</v>
      </c>
      <c r="B3" s="1">
        <v>45.83</v>
      </c>
      <c r="C3" s="1">
        <v>55.41</v>
      </c>
      <c r="D3" s="1">
        <v>62.94</v>
      </c>
      <c r="E3" s="1">
        <v>44.47</v>
      </c>
      <c r="F3" s="1">
        <v>45.09</v>
      </c>
      <c r="G3" s="1">
        <v>56.62</v>
      </c>
    </row>
    <row r="4" spans="1:7" x14ac:dyDescent="0.2">
      <c r="A4" s="1" t="s">
        <v>8</v>
      </c>
      <c r="B4" s="1">
        <v>19040.900000000001</v>
      </c>
      <c r="C4" s="1">
        <v>29476.19</v>
      </c>
      <c r="D4" s="1">
        <v>35918.78</v>
      </c>
      <c r="E4" s="1">
        <v>22419.64</v>
      </c>
      <c r="F4" s="1">
        <v>23292.17</v>
      </c>
      <c r="G4" s="1">
        <v>30625.29</v>
      </c>
    </row>
    <row r="5" spans="1:7" x14ac:dyDescent="0.2">
      <c r="A5" s="1" t="s">
        <v>9</v>
      </c>
      <c r="B5" s="1">
        <v>490.59</v>
      </c>
      <c r="C5" s="1">
        <v>1689.34</v>
      </c>
      <c r="D5" s="1">
        <v>2020.91</v>
      </c>
      <c r="E5" s="1">
        <v>1856.24</v>
      </c>
      <c r="F5" s="1">
        <v>1056.6199999999999</v>
      </c>
      <c r="G5" s="1">
        <v>2132.38</v>
      </c>
    </row>
    <row r="6" spans="1:7" x14ac:dyDescent="0.2">
      <c r="A6" s="3" t="s">
        <v>10</v>
      </c>
      <c r="B6" s="3">
        <v>49.06</v>
      </c>
      <c r="C6" s="3">
        <v>170.64</v>
      </c>
      <c r="D6" s="3">
        <v>204.13</v>
      </c>
      <c r="E6" s="3">
        <v>187.5</v>
      </c>
      <c r="F6" s="3">
        <v>106.73</v>
      </c>
      <c r="G6" s="3">
        <v>215.39</v>
      </c>
    </row>
    <row r="7" spans="1:7" x14ac:dyDescent="0.2">
      <c r="A7" s="1" t="s">
        <v>11</v>
      </c>
      <c r="B7" s="1">
        <v>404.97</v>
      </c>
      <c r="C7" s="1">
        <v>1641.08</v>
      </c>
      <c r="D7" s="1">
        <v>1951.58</v>
      </c>
      <c r="E7" s="1">
        <v>1814.09</v>
      </c>
      <c r="F7" s="1">
        <v>1014.1</v>
      </c>
      <c r="G7" s="1">
        <v>2070.79</v>
      </c>
    </row>
    <row r="8" spans="1:7" x14ac:dyDescent="0.2">
      <c r="A8" s="1" t="s">
        <v>12</v>
      </c>
      <c r="B8" s="1">
        <v>40.5</v>
      </c>
      <c r="C8" s="1">
        <v>165.77</v>
      </c>
      <c r="D8" s="1">
        <v>197.13</v>
      </c>
      <c r="E8" s="1">
        <v>183.24</v>
      </c>
      <c r="F8" s="1">
        <v>102.43</v>
      </c>
      <c r="G8" s="1">
        <v>209.17</v>
      </c>
    </row>
    <row r="9" spans="1:7" x14ac:dyDescent="0.2">
      <c r="A9" s="1" t="s">
        <v>13</v>
      </c>
      <c r="B9" s="1">
        <v>246.02</v>
      </c>
      <c r="C9" s="1">
        <v>1641.08</v>
      </c>
      <c r="D9" s="1">
        <v>1951.58</v>
      </c>
      <c r="E9" s="1">
        <v>1814.09</v>
      </c>
      <c r="F9" s="1">
        <v>870.51</v>
      </c>
      <c r="G9" s="1">
        <v>2070.79</v>
      </c>
    </row>
    <row r="10" spans="1:7" x14ac:dyDescent="0.2">
      <c r="A10" s="1" t="s">
        <v>14</v>
      </c>
      <c r="B10" s="1">
        <v>24.6</v>
      </c>
      <c r="C10" s="1">
        <v>165.77</v>
      </c>
      <c r="D10" s="1">
        <v>197.13</v>
      </c>
      <c r="E10" s="1">
        <v>183.24</v>
      </c>
      <c r="F10" s="1">
        <v>87.93</v>
      </c>
      <c r="G10" s="1">
        <v>209.17</v>
      </c>
    </row>
    <row r="11" spans="1:7" x14ac:dyDescent="0.2">
      <c r="A11" s="1" t="s">
        <v>15</v>
      </c>
      <c r="B11" s="1">
        <v>95.47</v>
      </c>
      <c r="C11" s="1">
        <v>1436.75</v>
      </c>
      <c r="D11" s="1">
        <v>1842.94</v>
      </c>
      <c r="E11" s="1">
        <v>1691.46</v>
      </c>
      <c r="F11" s="1">
        <v>844.13</v>
      </c>
      <c r="G11" s="1">
        <v>1877.9</v>
      </c>
    </row>
    <row r="12" spans="1:7" x14ac:dyDescent="0.2">
      <c r="A12" s="1" t="s">
        <v>16</v>
      </c>
      <c r="B12" s="1">
        <v>165.7</v>
      </c>
      <c r="C12" s="1">
        <v>248.1</v>
      </c>
      <c r="D12" s="1">
        <v>263.83</v>
      </c>
      <c r="E12" s="1">
        <v>255.48</v>
      </c>
      <c r="F12" s="1">
        <v>235.34</v>
      </c>
      <c r="G12" s="1">
        <v>265.61</v>
      </c>
    </row>
    <row r="13" spans="1:7" x14ac:dyDescent="0.2">
      <c r="A13" s="1" t="s">
        <v>17</v>
      </c>
      <c r="B13" s="1">
        <v>45.29</v>
      </c>
      <c r="C13" s="1">
        <v>29.83</v>
      </c>
      <c r="D13" s="1">
        <v>24.3</v>
      </c>
      <c r="E13" s="1">
        <v>19.47</v>
      </c>
      <c r="F13" s="1">
        <v>23.12</v>
      </c>
      <c r="G13" s="1">
        <v>19.84</v>
      </c>
    </row>
    <row r="14" spans="1:7" x14ac:dyDescent="0.2">
      <c r="A14" s="1" t="s">
        <v>18</v>
      </c>
      <c r="B14" s="1">
        <v>86.86</v>
      </c>
      <c r="C14" s="1">
        <v>78.75</v>
      </c>
      <c r="D14" s="1">
        <v>63.39</v>
      </c>
      <c r="E14" s="1">
        <v>66.48</v>
      </c>
      <c r="F14" s="1">
        <v>41.14</v>
      </c>
      <c r="G14" s="1">
        <v>51.06</v>
      </c>
    </row>
    <row r="15" spans="1:7" x14ac:dyDescent="0.2">
      <c r="A15" s="1" t="s">
        <v>19</v>
      </c>
      <c r="B15" s="1">
        <v>3</v>
      </c>
      <c r="C15" s="1">
        <v>7</v>
      </c>
      <c r="D15" s="1">
        <v>6</v>
      </c>
      <c r="E15" s="1">
        <v>3</v>
      </c>
      <c r="F15" s="1">
        <v>4</v>
      </c>
      <c r="G15" s="1">
        <v>5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325.49</v>
      </c>
      <c r="C17" s="1">
        <v>1641.08</v>
      </c>
      <c r="D17" s="1">
        <v>1951.58</v>
      </c>
      <c r="E17" s="1">
        <v>1814.09</v>
      </c>
      <c r="F17" s="1">
        <v>942.3</v>
      </c>
      <c r="G17" s="1">
        <v>2070.79</v>
      </c>
    </row>
    <row r="18" spans="1:7" x14ac:dyDescent="0.2">
      <c r="A18" s="1" t="s">
        <v>22</v>
      </c>
      <c r="B18" s="1">
        <v>79.47</v>
      </c>
      <c r="C18" s="1">
        <v>0</v>
      </c>
      <c r="D18" s="1">
        <v>0</v>
      </c>
      <c r="E18" s="1">
        <v>0</v>
      </c>
      <c r="F18" s="1">
        <v>71.8</v>
      </c>
      <c r="G18" s="1">
        <v>0</v>
      </c>
    </row>
    <row r="19" spans="1:7" x14ac:dyDescent="0.2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">
      <c r="A20" s="1" t="s">
        <v>24</v>
      </c>
      <c r="B20" s="1">
        <v>1</v>
      </c>
      <c r="C20" s="1">
        <v>0</v>
      </c>
      <c r="D20" s="1">
        <v>0</v>
      </c>
      <c r="E20" s="1">
        <v>0</v>
      </c>
      <c r="F20" s="1">
        <v>1.3</v>
      </c>
      <c r="G20" s="1">
        <v>0</v>
      </c>
    </row>
    <row r="21" spans="1:7" x14ac:dyDescent="0.2">
      <c r="A21" s="1" t="s">
        <v>25</v>
      </c>
      <c r="B21" s="1">
        <v>9.1</v>
      </c>
      <c r="C21" s="1">
        <v>10</v>
      </c>
      <c r="D21" s="1">
        <v>10</v>
      </c>
      <c r="E21" s="1">
        <v>10</v>
      </c>
      <c r="F21" s="1">
        <v>8.6999999999999993</v>
      </c>
      <c r="G21" s="1">
        <v>10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">
      <c r="A25" s="1" t="s">
        <v>29</v>
      </c>
      <c r="B25" s="1">
        <v>6.8</v>
      </c>
      <c r="C25" s="1">
        <v>0</v>
      </c>
      <c r="D25" s="1">
        <v>0</v>
      </c>
      <c r="E25" s="1">
        <v>0</v>
      </c>
      <c r="F25" s="1">
        <v>1.6</v>
      </c>
      <c r="G25" s="1">
        <v>0</v>
      </c>
    </row>
    <row r="26" spans="1:7" x14ac:dyDescent="0.2">
      <c r="A26" s="1" t="s">
        <v>30</v>
      </c>
      <c r="B26" s="1">
        <v>3.3</v>
      </c>
      <c r="C26" s="1">
        <v>10</v>
      </c>
      <c r="D26" s="1">
        <v>10</v>
      </c>
      <c r="E26" s="1">
        <v>10</v>
      </c>
      <c r="F26" s="1">
        <v>8.4</v>
      </c>
      <c r="G26" s="1">
        <v>10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67.32673267326733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16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32.673267326732677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84.000000000000014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25.83</v>
      </c>
      <c r="C33" s="3">
        <v>170.11</v>
      </c>
      <c r="D33" s="3">
        <v>201.27</v>
      </c>
      <c r="E33" s="3">
        <v>184.85</v>
      </c>
      <c r="F33" s="3">
        <v>90.68</v>
      </c>
      <c r="G33" s="3">
        <v>216.24</v>
      </c>
    </row>
    <row r="35" spans="1:7" x14ac:dyDescent="0.2">
      <c r="A35" s="3" t="s">
        <v>36</v>
      </c>
      <c r="B35" s="3"/>
      <c r="C35" s="3"/>
      <c r="D35" s="3">
        <f>D33-C33</f>
        <v>31.159999999999997</v>
      </c>
      <c r="E35" s="3"/>
      <c r="F35" s="3">
        <f>F33-E33</f>
        <v>-94.169999999999987</v>
      </c>
      <c r="G3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72EF-710E-4D87-8E7B-DBD0B46681AC}">
  <dimension ref="A1:G35"/>
  <sheetViews>
    <sheetView zoomScale="80" zoomScaleNormal="80" workbookViewId="0">
      <selection activeCell="I29" sqref="I29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484.71</v>
      </c>
      <c r="C2" s="1">
        <v>500.11</v>
      </c>
      <c r="D2" s="1">
        <v>461.65</v>
      </c>
      <c r="E2" s="1">
        <v>446.82</v>
      </c>
      <c r="F2" s="1">
        <v>436.69</v>
      </c>
      <c r="G2" s="1">
        <v>479.18</v>
      </c>
    </row>
    <row r="3" spans="1:7" x14ac:dyDescent="0.2">
      <c r="A3" s="1" t="s">
        <v>7</v>
      </c>
      <c r="B3" s="1">
        <v>40.950000000000003</v>
      </c>
      <c r="C3" s="1">
        <v>42.21</v>
      </c>
      <c r="D3" s="1">
        <v>41.28</v>
      </c>
      <c r="E3" s="1">
        <v>44.95</v>
      </c>
      <c r="F3" s="1">
        <v>47.1</v>
      </c>
      <c r="G3" s="1">
        <v>42.99</v>
      </c>
    </row>
    <row r="4" spans="1:7" x14ac:dyDescent="0.2">
      <c r="A4" s="1" t="s">
        <v>8</v>
      </c>
      <c r="B4" s="1">
        <v>20222</v>
      </c>
      <c r="C4" s="1">
        <v>21466.45</v>
      </c>
      <c r="D4" s="1">
        <v>19342.96</v>
      </c>
      <c r="E4" s="1">
        <v>20372.650000000001</v>
      </c>
      <c r="F4" s="1">
        <v>20874.66</v>
      </c>
      <c r="G4" s="1">
        <v>20985.49</v>
      </c>
    </row>
    <row r="5" spans="1:7" x14ac:dyDescent="0.2">
      <c r="A5" s="1" t="s">
        <v>9</v>
      </c>
      <c r="B5" s="1">
        <v>2241.7399999999998</v>
      </c>
      <c r="C5" s="1">
        <v>2641.83</v>
      </c>
      <c r="D5" s="1">
        <v>2175.7600000000002</v>
      </c>
      <c r="E5" s="1">
        <v>951.07</v>
      </c>
      <c r="F5" s="1">
        <v>776.97</v>
      </c>
      <c r="G5" s="1">
        <v>2059.12</v>
      </c>
    </row>
    <row r="6" spans="1:7" x14ac:dyDescent="0.2">
      <c r="A6" s="3" t="s">
        <v>10</v>
      </c>
      <c r="B6" s="3">
        <v>224.17</v>
      </c>
      <c r="C6" s="3">
        <v>266.85000000000002</v>
      </c>
      <c r="D6" s="3">
        <v>219.77</v>
      </c>
      <c r="E6" s="3">
        <v>96.07</v>
      </c>
      <c r="F6" s="3">
        <v>78.48</v>
      </c>
      <c r="G6" s="3">
        <v>207.99</v>
      </c>
    </row>
    <row r="7" spans="1:7" x14ac:dyDescent="0.2">
      <c r="A7" s="1" t="s">
        <v>11</v>
      </c>
      <c r="B7" s="1">
        <v>2123.52</v>
      </c>
      <c r="C7" s="1">
        <v>2485.81</v>
      </c>
      <c r="D7" s="1">
        <v>1995.32</v>
      </c>
      <c r="E7" s="1">
        <v>843.81</v>
      </c>
      <c r="F7" s="1">
        <v>644.6</v>
      </c>
      <c r="G7" s="1">
        <v>1819.39</v>
      </c>
    </row>
    <row r="8" spans="1:7" x14ac:dyDescent="0.2">
      <c r="A8" s="1" t="s">
        <v>12</v>
      </c>
      <c r="B8" s="1">
        <v>212.35</v>
      </c>
      <c r="C8" s="1">
        <v>251.09</v>
      </c>
      <c r="D8" s="1">
        <v>201.55</v>
      </c>
      <c r="E8" s="1">
        <v>85.23</v>
      </c>
      <c r="F8" s="1">
        <v>65.11</v>
      </c>
      <c r="G8" s="1">
        <v>183.78</v>
      </c>
    </row>
    <row r="9" spans="1:7" x14ac:dyDescent="0.2">
      <c r="A9" s="1" t="s">
        <v>13</v>
      </c>
      <c r="B9" s="1">
        <v>2123.52</v>
      </c>
      <c r="C9" s="1">
        <v>2485.81</v>
      </c>
      <c r="D9" s="1">
        <v>1995.32</v>
      </c>
      <c r="E9" s="1">
        <v>-306.99</v>
      </c>
      <c r="F9" s="1">
        <v>-359.23</v>
      </c>
      <c r="G9" s="1">
        <v>1819.39</v>
      </c>
    </row>
    <row r="10" spans="1:7" x14ac:dyDescent="0.2">
      <c r="A10" s="1" t="s">
        <v>14</v>
      </c>
      <c r="B10" s="1">
        <v>212.35</v>
      </c>
      <c r="C10" s="1">
        <v>251.09</v>
      </c>
      <c r="D10" s="1">
        <v>201.55</v>
      </c>
      <c r="E10" s="1">
        <v>-31.01</v>
      </c>
      <c r="F10" s="1">
        <v>-36.29</v>
      </c>
      <c r="G10" s="1">
        <v>183.78</v>
      </c>
    </row>
    <row r="11" spans="1:7" x14ac:dyDescent="0.2">
      <c r="A11" s="1" t="s">
        <v>15</v>
      </c>
      <c r="B11" s="1">
        <v>875.37</v>
      </c>
      <c r="C11" s="1">
        <v>2331.59</v>
      </c>
      <c r="D11" s="1">
        <v>1848.35</v>
      </c>
      <c r="E11" s="1">
        <v>70.38</v>
      </c>
      <c r="F11" s="1">
        <v>173.1</v>
      </c>
      <c r="G11" s="1">
        <v>1440.02</v>
      </c>
    </row>
    <row r="12" spans="1:7" x14ac:dyDescent="0.2">
      <c r="A12" s="1" t="s">
        <v>16</v>
      </c>
      <c r="B12" s="1">
        <v>238.09</v>
      </c>
      <c r="C12" s="1">
        <v>279.16000000000003</v>
      </c>
      <c r="D12" s="1">
        <v>258.14</v>
      </c>
      <c r="E12" s="1">
        <v>199.99</v>
      </c>
      <c r="F12" s="1">
        <v>186.93</v>
      </c>
      <c r="G12" s="1">
        <v>256.16000000000003</v>
      </c>
    </row>
    <row r="13" spans="1:7" x14ac:dyDescent="0.2">
      <c r="A13" s="1" t="s">
        <v>17</v>
      </c>
      <c r="B13" s="1">
        <v>46.97</v>
      </c>
      <c r="C13" s="1">
        <v>33.11</v>
      </c>
      <c r="D13" s="1">
        <v>25.81</v>
      </c>
      <c r="E13" s="1">
        <v>37</v>
      </c>
      <c r="F13" s="1">
        <v>36.51</v>
      </c>
      <c r="G13" s="1">
        <v>31.42</v>
      </c>
    </row>
    <row r="14" spans="1:7" x14ac:dyDescent="0.2">
      <c r="A14" s="1" t="s">
        <v>18</v>
      </c>
      <c r="B14" s="1">
        <v>101.66</v>
      </c>
      <c r="C14" s="1">
        <v>71.69</v>
      </c>
      <c r="D14" s="1">
        <v>72.48</v>
      </c>
      <c r="E14" s="1">
        <v>86.26</v>
      </c>
      <c r="F14" s="1">
        <v>89.04</v>
      </c>
      <c r="G14" s="1">
        <v>101.2</v>
      </c>
    </row>
    <row r="15" spans="1:7" x14ac:dyDescent="0.2">
      <c r="A15" s="1" t="s">
        <v>19</v>
      </c>
      <c r="B15" s="1">
        <v>7</v>
      </c>
      <c r="C15" s="1">
        <v>9</v>
      </c>
      <c r="D15" s="1">
        <v>8</v>
      </c>
      <c r="E15" s="1">
        <v>6</v>
      </c>
      <c r="F15" s="1">
        <v>3</v>
      </c>
      <c r="G15" s="1">
        <v>6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2123.52</v>
      </c>
      <c r="C17" s="1">
        <v>2485.81</v>
      </c>
      <c r="D17" s="1">
        <v>1995.32</v>
      </c>
      <c r="E17" s="1">
        <v>268.41000000000003</v>
      </c>
      <c r="F17" s="1">
        <v>142.68</v>
      </c>
      <c r="G17" s="1">
        <v>1819.39</v>
      </c>
    </row>
    <row r="18" spans="1:7" x14ac:dyDescent="0.2">
      <c r="A18" s="1" t="s">
        <v>22</v>
      </c>
      <c r="B18" s="1">
        <v>0</v>
      </c>
      <c r="C18" s="1">
        <v>0</v>
      </c>
      <c r="D18" s="1">
        <v>0</v>
      </c>
      <c r="E18" s="1">
        <v>575.4</v>
      </c>
      <c r="F18" s="1">
        <v>501.92</v>
      </c>
      <c r="G18" s="1">
        <v>0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2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3.8</v>
      </c>
      <c r="F20" s="1">
        <v>6.6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6.2</v>
      </c>
      <c r="F21" s="1">
        <v>3.4</v>
      </c>
      <c r="G21" s="1">
        <v>10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2.1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2.2999999999999998</v>
      </c>
      <c r="F24" s="1">
        <v>2.9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2.1</v>
      </c>
      <c r="F25" s="1">
        <v>5.2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5.6</v>
      </c>
      <c r="F26" s="1">
        <v>1.9</v>
      </c>
      <c r="G26" s="1">
        <v>10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23</v>
      </c>
      <c r="F29" s="3">
        <f t="shared" si="1"/>
        <v>28.999999999999996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21.000000000000004</v>
      </c>
      <c r="F30" s="3">
        <f t="shared" si="2"/>
        <v>52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55.999999999999993</v>
      </c>
      <c r="F31" s="3">
        <f t="shared" si="3"/>
        <v>19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218.55</v>
      </c>
      <c r="C33" s="3">
        <v>263.54000000000002</v>
      </c>
      <c r="D33" s="3">
        <v>217.7</v>
      </c>
      <c r="E33" s="3">
        <v>-11.91</v>
      </c>
      <c r="F33" s="3">
        <v>-33.090000000000003</v>
      </c>
      <c r="G33" s="3">
        <v>201.37</v>
      </c>
    </row>
    <row r="35" spans="1:7" x14ac:dyDescent="0.2">
      <c r="A35" s="3" t="s">
        <v>36</v>
      </c>
      <c r="B35" s="3"/>
      <c r="C35" s="3"/>
      <c r="D35" s="3">
        <f>D33-C33</f>
        <v>-45.840000000000032</v>
      </c>
      <c r="E35" s="3"/>
      <c r="F35" s="3">
        <f>F33-E33</f>
        <v>-21.180000000000003</v>
      </c>
      <c r="G35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BC59-E14F-4ED2-A723-618B75960CE9}">
  <dimension ref="A1:G35"/>
  <sheetViews>
    <sheetView zoomScale="80" zoomScaleNormal="80" workbookViewId="0">
      <selection activeCell="K20" sqref="K20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390.8</v>
      </c>
      <c r="C2" s="1">
        <v>408.36</v>
      </c>
      <c r="D2" s="1">
        <v>409.74</v>
      </c>
      <c r="E2" s="1">
        <v>450.97</v>
      </c>
      <c r="F2" s="1">
        <v>377.67</v>
      </c>
      <c r="G2" s="1">
        <v>294.64</v>
      </c>
    </row>
    <row r="3" spans="1:7" x14ac:dyDescent="0.2">
      <c r="A3" s="1" t="s">
        <v>7</v>
      </c>
      <c r="B3" s="1">
        <v>37.61</v>
      </c>
      <c r="C3" s="1">
        <v>37.409999999999997</v>
      </c>
      <c r="D3" s="1">
        <v>39.33</v>
      </c>
      <c r="E3" s="1">
        <v>42.5</v>
      </c>
      <c r="F3" s="1">
        <v>37.65</v>
      </c>
      <c r="G3" s="1">
        <v>31.8</v>
      </c>
    </row>
    <row r="4" spans="1:7" x14ac:dyDescent="0.2">
      <c r="A4" s="1" t="s">
        <v>8</v>
      </c>
      <c r="B4" s="1">
        <v>15033.4</v>
      </c>
      <c r="C4" s="1">
        <v>15574.8</v>
      </c>
      <c r="D4" s="1">
        <v>16456.89</v>
      </c>
      <c r="E4" s="1">
        <v>19497.53</v>
      </c>
      <c r="F4" s="1">
        <v>14549.42</v>
      </c>
      <c r="G4" s="1">
        <v>9598.15</v>
      </c>
    </row>
    <row r="5" spans="1:7" x14ac:dyDescent="0.2">
      <c r="A5" s="1" t="s">
        <v>9</v>
      </c>
      <c r="B5" s="1">
        <v>1829.45</v>
      </c>
      <c r="C5" s="1">
        <v>1888.76</v>
      </c>
      <c r="D5" s="1">
        <v>1246.69</v>
      </c>
      <c r="E5" s="1">
        <v>81.12</v>
      </c>
      <c r="F5" s="1">
        <v>992.22</v>
      </c>
      <c r="G5" s="1">
        <v>894.55</v>
      </c>
    </row>
    <row r="6" spans="1:7" x14ac:dyDescent="0.2">
      <c r="A6" s="3" t="s">
        <v>10</v>
      </c>
      <c r="B6" s="3">
        <v>182.94</v>
      </c>
      <c r="C6" s="3">
        <v>190.78</v>
      </c>
      <c r="D6" s="3">
        <v>125.93</v>
      </c>
      <c r="E6" s="3">
        <v>8.19</v>
      </c>
      <c r="F6" s="3">
        <v>100.22</v>
      </c>
      <c r="G6" s="3">
        <v>90.36</v>
      </c>
    </row>
    <row r="7" spans="1:7" x14ac:dyDescent="0.2">
      <c r="A7" s="1" t="s">
        <v>11</v>
      </c>
      <c r="B7" s="1">
        <v>1677.28</v>
      </c>
      <c r="C7" s="1">
        <v>1765.29</v>
      </c>
      <c r="D7" s="1">
        <v>1175.74</v>
      </c>
      <c r="E7" s="1">
        <v>62.67</v>
      </c>
      <c r="F7" s="1">
        <v>931.01</v>
      </c>
      <c r="G7" s="1">
        <v>798.99</v>
      </c>
    </row>
    <row r="8" spans="1:7" x14ac:dyDescent="0.2">
      <c r="A8" s="1" t="s">
        <v>12</v>
      </c>
      <c r="B8" s="1">
        <v>167.73</v>
      </c>
      <c r="C8" s="1">
        <v>178.31</v>
      </c>
      <c r="D8" s="1">
        <v>118.76</v>
      </c>
      <c r="E8" s="1">
        <v>6.33</v>
      </c>
      <c r="F8" s="1">
        <v>94.04</v>
      </c>
      <c r="G8" s="1">
        <v>80.709999999999994</v>
      </c>
    </row>
    <row r="9" spans="1:7" x14ac:dyDescent="0.2">
      <c r="A9" s="1" t="s">
        <v>13</v>
      </c>
      <c r="B9" s="1">
        <v>1672.18</v>
      </c>
      <c r="C9" s="1">
        <v>1765.29</v>
      </c>
      <c r="D9" s="1">
        <v>1160.78</v>
      </c>
      <c r="E9" s="1">
        <v>5.54</v>
      </c>
      <c r="F9" s="1">
        <v>-846.02</v>
      </c>
      <c r="G9" s="1">
        <v>717.85</v>
      </c>
    </row>
    <row r="10" spans="1:7" x14ac:dyDescent="0.2">
      <c r="A10" s="1" t="s">
        <v>14</v>
      </c>
      <c r="B10" s="1">
        <v>167.22</v>
      </c>
      <c r="C10" s="1">
        <v>178.31</v>
      </c>
      <c r="D10" s="1">
        <v>117.25</v>
      </c>
      <c r="E10" s="1">
        <v>0.56000000000000005</v>
      </c>
      <c r="F10" s="1">
        <v>-85.46</v>
      </c>
      <c r="G10" s="1">
        <v>72.510000000000005</v>
      </c>
    </row>
    <row r="11" spans="1:7" x14ac:dyDescent="0.2">
      <c r="A11" s="1" t="s">
        <v>15</v>
      </c>
      <c r="B11" s="1">
        <v>1546.91</v>
      </c>
      <c r="C11" s="1">
        <v>1661.91</v>
      </c>
      <c r="D11" s="1">
        <v>1075.79</v>
      </c>
      <c r="E11" s="1">
        <v>1.82</v>
      </c>
      <c r="F11" s="1">
        <v>600.65</v>
      </c>
      <c r="G11" s="1">
        <v>645.48</v>
      </c>
    </row>
    <row r="12" spans="1:7" x14ac:dyDescent="0.2">
      <c r="A12" s="1" t="s">
        <v>16</v>
      </c>
      <c r="B12" s="1">
        <v>212.71</v>
      </c>
      <c r="C12" s="1">
        <v>222.99</v>
      </c>
      <c r="D12" s="1">
        <v>204.91</v>
      </c>
      <c r="E12" s="1">
        <v>190.3</v>
      </c>
      <c r="F12" s="1">
        <v>190.69</v>
      </c>
      <c r="G12" s="1">
        <v>144.58000000000001</v>
      </c>
    </row>
    <row r="13" spans="1:7" x14ac:dyDescent="0.2">
      <c r="A13" s="1" t="s">
        <v>17</v>
      </c>
      <c r="B13" s="1">
        <v>24.83</v>
      </c>
      <c r="C13" s="1">
        <v>22.5</v>
      </c>
      <c r="D13" s="1">
        <v>23</v>
      </c>
      <c r="E13" s="1">
        <v>2.89</v>
      </c>
      <c r="F13" s="1">
        <v>32.69</v>
      </c>
      <c r="G13" s="1">
        <v>18.16</v>
      </c>
    </row>
    <row r="14" spans="1:7" x14ac:dyDescent="0.2">
      <c r="A14" s="1" t="s">
        <v>18</v>
      </c>
      <c r="B14" s="1">
        <v>77.16</v>
      </c>
      <c r="C14" s="1">
        <v>58.82</v>
      </c>
      <c r="D14" s="1">
        <v>79.02</v>
      </c>
      <c r="E14" s="1">
        <v>7.75</v>
      </c>
      <c r="F14" s="1">
        <v>78.47</v>
      </c>
      <c r="G14" s="1">
        <v>52.3</v>
      </c>
    </row>
    <row r="15" spans="1:7" x14ac:dyDescent="0.2">
      <c r="A15" s="1" t="s">
        <v>19</v>
      </c>
      <c r="B15" s="1">
        <v>7</v>
      </c>
      <c r="C15" s="1">
        <v>7</v>
      </c>
      <c r="D15" s="1">
        <v>3</v>
      </c>
      <c r="E15" s="1">
        <v>0</v>
      </c>
      <c r="F15" s="1">
        <v>4</v>
      </c>
      <c r="G15" s="1">
        <v>4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1674.73</v>
      </c>
      <c r="C17" s="1">
        <v>1765.29</v>
      </c>
      <c r="D17" s="1">
        <v>1168.26</v>
      </c>
      <c r="E17" s="1">
        <v>34.11</v>
      </c>
      <c r="F17" s="1">
        <v>42.49</v>
      </c>
      <c r="G17" s="1">
        <v>758.42</v>
      </c>
    </row>
    <row r="18" spans="1:7" x14ac:dyDescent="0.2">
      <c r="A18" s="1" t="s">
        <v>22</v>
      </c>
      <c r="B18" s="1">
        <v>2.5499999999999998</v>
      </c>
      <c r="C18" s="1">
        <v>0</v>
      </c>
      <c r="D18" s="1">
        <v>7.48</v>
      </c>
      <c r="E18" s="1">
        <v>28.57</v>
      </c>
      <c r="F18" s="1">
        <v>888.51</v>
      </c>
      <c r="G18" s="1">
        <v>40.57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2</v>
      </c>
      <c r="G19" s="1">
        <v>1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2.2000000000000002</v>
      </c>
      <c r="F20" s="1">
        <v>9.5</v>
      </c>
      <c r="G20" s="1">
        <v>1.1000000000000001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7.8</v>
      </c>
      <c r="F21" s="1">
        <v>0.5</v>
      </c>
      <c r="G21" s="1">
        <v>8.9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1.5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8.6999999999999993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1.3</v>
      </c>
      <c r="G25" s="1">
        <v>1.4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0</v>
      </c>
      <c r="G26" s="1">
        <v>8.6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86.999999999999986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13</v>
      </c>
      <c r="G30" s="3">
        <f t="shared" si="2"/>
        <v>13.999999999999998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0</v>
      </c>
      <c r="G31" s="3">
        <f t="shared" si="3"/>
        <v>86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177.48113861386139</v>
      </c>
      <c r="C33" s="3">
        <v>189.1</v>
      </c>
      <c r="D33" s="3">
        <v>119.66</v>
      </c>
      <c r="E33" s="3">
        <v>0.13</v>
      </c>
      <c r="F33" s="3">
        <v>-83.96</v>
      </c>
      <c r="G33" s="3">
        <v>76.040000000000006</v>
      </c>
    </row>
    <row r="35" spans="1:7" x14ac:dyDescent="0.2">
      <c r="A35" s="3" t="s">
        <v>36</v>
      </c>
      <c r="B35" s="3"/>
      <c r="C35" s="3"/>
      <c r="D35" s="3">
        <f>D33-C33</f>
        <v>-69.44</v>
      </c>
      <c r="E35" s="3"/>
      <c r="F35" s="3">
        <f>F33-E33</f>
        <v>-84.089999999999989</v>
      </c>
      <c r="G35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A39F-4B1F-4D42-B43A-622AEA4AEA5C}">
  <dimension ref="A1:G35"/>
  <sheetViews>
    <sheetView zoomScale="80" zoomScaleNormal="80" workbookViewId="0">
      <selection activeCell="K31" sqref="K31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459.25</v>
      </c>
      <c r="C2" s="1">
        <v>438.05</v>
      </c>
      <c r="D2" s="1">
        <v>447.69</v>
      </c>
      <c r="E2" s="1">
        <v>466.59</v>
      </c>
      <c r="F2" s="1">
        <v>441.42</v>
      </c>
      <c r="G2" s="1">
        <v>448.23</v>
      </c>
    </row>
    <row r="3" spans="1:7" x14ac:dyDescent="0.2">
      <c r="A3" s="1" t="s">
        <v>7</v>
      </c>
      <c r="B3" s="1">
        <v>42.35</v>
      </c>
      <c r="C3" s="1">
        <v>41.58</v>
      </c>
      <c r="D3" s="1">
        <v>42.14</v>
      </c>
      <c r="E3" s="1">
        <v>49.79</v>
      </c>
      <c r="F3" s="1">
        <v>47.04</v>
      </c>
      <c r="G3" s="1">
        <v>44.73</v>
      </c>
    </row>
    <row r="4" spans="1:7" x14ac:dyDescent="0.2">
      <c r="A4" s="1" t="s">
        <v>8</v>
      </c>
      <c r="B4" s="1">
        <v>19768.599999999999</v>
      </c>
      <c r="C4" s="1">
        <v>18509.810000000001</v>
      </c>
      <c r="D4" s="1">
        <v>19190.900000000001</v>
      </c>
      <c r="E4" s="1">
        <v>23630.86</v>
      </c>
      <c r="F4" s="1">
        <v>21123.200000000001</v>
      </c>
      <c r="G4" s="1">
        <v>20428.14</v>
      </c>
    </row>
    <row r="5" spans="1:7" x14ac:dyDescent="0.2">
      <c r="A5" s="1" t="s">
        <v>9</v>
      </c>
      <c r="B5" s="1">
        <v>1870.76</v>
      </c>
      <c r="C5" s="1">
        <v>2215.96</v>
      </c>
      <c r="D5" s="1">
        <v>1769.65</v>
      </c>
      <c r="E5" s="1">
        <v>1121.19</v>
      </c>
      <c r="F5" s="1">
        <v>949.38</v>
      </c>
      <c r="G5" s="1">
        <v>2038.22</v>
      </c>
    </row>
    <row r="6" spans="1:7" x14ac:dyDescent="0.2">
      <c r="A6" s="3" t="s">
        <v>10</v>
      </c>
      <c r="B6" s="3">
        <v>187.08</v>
      </c>
      <c r="C6" s="3">
        <v>223.83</v>
      </c>
      <c r="D6" s="3">
        <v>178.75</v>
      </c>
      <c r="E6" s="3">
        <v>113.25</v>
      </c>
      <c r="F6" s="3">
        <v>95.9</v>
      </c>
      <c r="G6" s="3">
        <v>205.88</v>
      </c>
    </row>
    <row r="7" spans="1:7" x14ac:dyDescent="0.2">
      <c r="A7" s="1" t="s">
        <v>11</v>
      </c>
      <c r="B7" s="1">
        <v>1768.49</v>
      </c>
      <c r="C7" s="1">
        <v>2084.37</v>
      </c>
      <c r="D7" s="1">
        <v>1718.57</v>
      </c>
      <c r="E7" s="1">
        <v>1088.78</v>
      </c>
      <c r="F7" s="1">
        <v>897.7</v>
      </c>
      <c r="G7" s="1">
        <v>1929.92</v>
      </c>
    </row>
    <row r="8" spans="1:7" x14ac:dyDescent="0.2">
      <c r="A8" s="1" t="s">
        <v>12</v>
      </c>
      <c r="B8" s="1">
        <v>176.85</v>
      </c>
      <c r="C8" s="1">
        <v>210.54</v>
      </c>
      <c r="D8" s="1">
        <v>173.59</v>
      </c>
      <c r="E8" s="1">
        <v>109.98</v>
      </c>
      <c r="F8" s="1">
        <v>90.68</v>
      </c>
      <c r="G8" s="1">
        <v>194.94</v>
      </c>
    </row>
    <row r="9" spans="1:7" x14ac:dyDescent="0.2">
      <c r="A9" s="1" t="s">
        <v>13</v>
      </c>
      <c r="B9" s="1">
        <v>1768.49</v>
      </c>
      <c r="C9" s="1">
        <v>2084.37</v>
      </c>
      <c r="D9" s="1">
        <v>1718.57</v>
      </c>
      <c r="E9" s="1">
        <v>1082.0899999999999</v>
      </c>
      <c r="F9" s="1">
        <v>-439.06</v>
      </c>
      <c r="G9" s="1">
        <v>1878.53</v>
      </c>
    </row>
    <row r="10" spans="1:7" x14ac:dyDescent="0.2">
      <c r="A10" s="1" t="s">
        <v>14</v>
      </c>
      <c r="B10" s="1">
        <v>176.85</v>
      </c>
      <c r="C10" s="1">
        <v>210.54</v>
      </c>
      <c r="D10" s="1">
        <v>173.59</v>
      </c>
      <c r="E10" s="1">
        <v>109.3</v>
      </c>
      <c r="F10" s="1">
        <v>-44.35</v>
      </c>
      <c r="G10" s="1">
        <v>189.75</v>
      </c>
    </row>
    <row r="11" spans="1:7" x14ac:dyDescent="0.2">
      <c r="A11" s="1" t="s">
        <v>15</v>
      </c>
      <c r="B11" s="1">
        <v>1548.97</v>
      </c>
      <c r="C11" s="1">
        <v>1958.01</v>
      </c>
      <c r="D11" s="1">
        <v>1619.41</v>
      </c>
      <c r="E11" s="1">
        <v>930.3</v>
      </c>
      <c r="F11" s="1">
        <v>388.43</v>
      </c>
      <c r="G11" s="1">
        <v>1642.29</v>
      </c>
    </row>
    <row r="12" spans="1:7" x14ac:dyDescent="0.2">
      <c r="A12" s="1" t="s">
        <v>16</v>
      </c>
      <c r="B12" s="1">
        <v>237</v>
      </c>
      <c r="C12" s="1">
        <v>252.84</v>
      </c>
      <c r="D12" s="1">
        <v>232.38</v>
      </c>
      <c r="E12" s="1">
        <v>243.23</v>
      </c>
      <c r="F12" s="1">
        <v>227.65</v>
      </c>
      <c r="G12" s="1">
        <v>232.95</v>
      </c>
    </row>
    <row r="13" spans="1:7" x14ac:dyDescent="0.2">
      <c r="A13" s="1" t="s">
        <v>17</v>
      </c>
      <c r="B13" s="1">
        <v>31.52</v>
      </c>
      <c r="C13" s="1">
        <v>27.97</v>
      </c>
      <c r="D13" s="1">
        <v>21.49</v>
      </c>
      <c r="E13" s="1">
        <v>27.28</v>
      </c>
      <c r="F13" s="1">
        <v>38.409999999999997</v>
      </c>
      <c r="G13" s="1">
        <v>32.729999999999997</v>
      </c>
    </row>
    <row r="14" spans="1:7" x14ac:dyDescent="0.2">
      <c r="A14" s="1" t="s">
        <v>18</v>
      </c>
      <c r="B14" s="1">
        <v>76.430000000000007</v>
      </c>
      <c r="C14" s="1">
        <v>62.07</v>
      </c>
      <c r="D14" s="1">
        <v>51.08</v>
      </c>
      <c r="E14" s="1">
        <v>62.88</v>
      </c>
      <c r="F14" s="1">
        <v>86.24</v>
      </c>
      <c r="G14" s="1">
        <v>72.39</v>
      </c>
    </row>
    <row r="15" spans="1:7" x14ac:dyDescent="0.2">
      <c r="A15" s="1" t="s">
        <v>19</v>
      </c>
      <c r="B15" s="1">
        <v>7</v>
      </c>
      <c r="C15" s="1">
        <v>8</v>
      </c>
      <c r="D15" s="1">
        <v>5</v>
      </c>
      <c r="E15" s="1">
        <v>4</v>
      </c>
      <c r="F15" s="1">
        <v>5</v>
      </c>
      <c r="G15" s="1">
        <v>8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1768.49</v>
      </c>
      <c r="C17" s="1">
        <v>2084.37</v>
      </c>
      <c r="D17" s="1">
        <v>1718.57</v>
      </c>
      <c r="E17" s="1">
        <v>1085.44</v>
      </c>
      <c r="F17" s="1">
        <v>229.32</v>
      </c>
      <c r="G17" s="1">
        <v>1904.23</v>
      </c>
    </row>
    <row r="18" spans="1:7" x14ac:dyDescent="0.2">
      <c r="A18" s="1" t="s">
        <v>22</v>
      </c>
      <c r="B18" s="1">
        <v>0</v>
      </c>
      <c r="C18" s="1">
        <v>0</v>
      </c>
      <c r="D18" s="1">
        <v>0</v>
      </c>
      <c r="E18" s="1">
        <v>3.35</v>
      </c>
      <c r="F18" s="1">
        <v>668.38</v>
      </c>
      <c r="G18" s="1">
        <v>25.7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</v>
      </c>
      <c r="G21" s="1">
        <v>10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6.2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1.8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2</v>
      </c>
      <c r="G26" s="1">
        <v>10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62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18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20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182.27</v>
      </c>
      <c r="C33" s="3">
        <v>219.39</v>
      </c>
      <c r="D33" s="3">
        <v>178.59</v>
      </c>
      <c r="E33" s="3">
        <v>112.04</v>
      </c>
      <c r="F33" s="3">
        <v>-15.09</v>
      </c>
      <c r="G33" s="3">
        <v>200.89</v>
      </c>
    </row>
    <row r="35" spans="1:7" x14ac:dyDescent="0.2">
      <c r="A35" s="3" t="s">
        <v>36</v>
      </c>
      <c r="B35" s="3"/>
      <c r="C35" s="3"/>
      <c r="D35" s="3">
        <f>D33-C33</f>
        <v>-40.799999999999983</v>
      </c>
      <c r="E35" s="3"/>
      <c r="F35" s="3">
        <f>F33-E33</f>
        <v>-127.13000000000001</v>
      </c>
      <c r="G35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5892-85EB-4985-8EBE-9EB61D5607C3}">
  <dimension ref="A1:G35"/>
  <sheetViews>
    <sheetView zoomScale="80" zoomScaleNormal="80" workbookViewId="0">
      <selection activeCell="J31" sqref="J31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449.97</v>
      </c>
      <c r="C2" s="1">
        <v>423.39</v>
      </c>
      <c r="D2" s="1">
        <v>453.37</v>
      </c>
      <c r="E2" s="1">
        <v>503.82</v>
      </c>
      <c r="F2" s="1">
        <v>446.29</v>
      </c>
      <c r="G2" s="1">
        <v>401.72</v>
      </c>
    </row>
    <row r="3" spans="1:7" x14ac:dyDescent="0.2">
      <c r="A3" s="1" t="s">
        <v>7</v>
      </c>
      <c r="B3" s="1">
        <v>43.24</v>
      </c>
      <c r="C3" s="1">
        <v>47.04</v>
      </c>
      <c r="D3" s="1">
        <v>46.33</v>
      </c>
      <c r="E3" s="1">
        <v>45.81</v>
      </c>
      <c r="F3" s="1">
        <v>42.97</v>
      </c>
      <c r="G3" s="1">
        <v>47.79</v>
      </c>
    </row>
    <row r="4" spans="1:7" x14ac:dyDescent="0.2">
      <c r="A4" s="1" t="s">
        <v>8</v>
      </c>
      <c r="B4" s="1">
        <v>19775.39</v>
      </c>
      <c r="C4" s="1">
        <v>20080.900000000001</v>
      </c>
      <c r="D4" s="1">
        <v>21331.74</v>
      </c>
      <c r="E4" s="1">
        <v>23476.33</v>
      </c>
      <c r="F4" s="1">
        <v>19609.759999999998</v>
      </c>
      <c r="G4" s="1">
        <v>19377.91</v>
      </c>
    </row>
    <row r="5" spans="1:7" x14ac:dyDescent="0.2">
      <c r="A5" s="1" t="s">
        <v>9</v>
      </c>
      <c r="B5" s="1">
        <v>2756.75</v>
      </c>
      <c r="C5" s="1">
        <v>1380.98</v>
      </c>
      <c r="D5" s="1">
        <v>382.81</v>
      </c>
      <c r="E5" s="1">
        <v>43.18</v>
      </c>
      <c r="F5" s="1">
        <v>1032.8800000000001</v>
      </c>
      <c r="G5" s="1">
        <v>1027.17</v>
      </c>
    </row>
    <row r="6" spans="1:7" x14ac:dyDescent="0.2">
      <c r="A6" s="3" t="s">
        <v>10</v>
      </c>
      <c r="B6" s="3">
        <v>275.68</v>
      </c>
      <c r="C6" s="3">
        <v>139.49</v>
      </c>
      <c r="D6" s="3">
        <v>38.67</v>
      </c>
      <c r="E6" s="3">
        <v>4.3600000000000003</v>
      </c>
      <c r="F6" s="3">
        <v>104.33</v>
      </c>
      <c r="G6" s="3">
        <v>103.75</v>
      </c>
    </row>
    <row r="7" spans="1:7" x14ac:dyDescent="0.2">
      <c r="A7" s="1" t="s">
        <v>11</v>
      </c>
      <c r="B7" s="1">
        <v>2615.0500000000002</v>
      </c>
      <c r="C7" s="1">
        <v>1233.4100000000001</v>
      </c>
      <c r="D7" s="1">
        <v>337.23</v>
      </c>
      <c r="E7" s="1">
        <v>34.86</v>
      </c>
      <c r="F7" s="1">
        <v>981.48</v>
      </c>
      <c r="G7" s="1">
        <v>902.2</v>
      </c>
    </row>
    <row r="8" spans="1:7" x14ac:dyDescent="0.2">
      <c r="A8" s="1" t="s">
        <v>12</v>
      </c>
      <c r="B8" s="1">
        <v>261.5</v>
      </c>
      <c r="C8" s="1">
        <v>124.59</v>
      </c>
      <c r="D8" s="1">
        <v>34.06</v>
      </c>
      <c r="E8" s="1">
        <v>3.52</v>
      </c>
      <c r="F8" s="1">
        <v>99.14</v>
      </c>
      <c r="G8" s="1">
        <v>91.13</v>
      </c>
    </row>
    <row r="9" spans="1:7" x14ac:dyDescent="0.2">
      <c r="A9" s="1" t="s">
        <v>13</v>
      </c>
      <c r="B9" s="1">
        <v>2615.0500000000002</v>
      </c>
      <c r="C9" s="1">
        <v>549.34</v>
      </c>
      <c r="D9" s="1">
        <v>324.85000000000002</v>
      </c>
      <c r="E9" s="1">
        <v>18.600000000000001</v>
      </c>
      <c r="F9" s="1">
        <v>-629.94000000000005</v>
      </c>
      <c r="G9" s="1">
        <v>348.56</v>
      </c>
    </row>
    <row r="10" spans="1:7" x14ac:dyDescent="0.2">
      <c r="A10" s="1" t="s">
        <v>14</v>
      </c>
      <c r="B10" s="1">
        <v>261.5</v>
      </c>
      <c r="C10" s="1">
        <v>55.49</v>
      </c>
      <c r="D10" s="1">
        <v>32.81</v>
      </c>
      <c r="E10" s="1">
        <v>1.88</v>
      </c>
      <c r="F10" s="1">
        <v>-63.63</v>
      </c>
      <c r="G10" s="1">
        <v>35.21</v>
      </c>
    </row>
    <row r="11" spans="1:7" x14ac:dyDescent="0.2">
      <c r="A11" s="1" t="s">
        <v>15</v>
      </c>
      <c r="B11" s="1">
        <v>2273.87</v>
      </c>
      <c r="C11" s="1">
        <v>218.87</v>
      </c>
      <c r="D11" s="1">
        <v>273.58999999999997</v>
      </c>
      <c r="E11" s="1">
        <v>18.39</v>
      </c>
      <c r="F11" s="1">
        <v>423.59</v>
      </c>
      <c r="G11" s="1">
        <v>147.49</v>
      </c>
    </row>
    <row r="12" spans="1:7" x14ac:dyDescent="0.2">
      <c r="A12" s="1" t="s">
        <v>16</v>
      </c>
      <c r="B12" s="1">
        <v>282.77999999999997</v>
      </c>
      <c r="C12" s="1">
        <v>197.52</v>
      </c>
      <c r="D12" s="1">
        <v>214.81</v>
      </c>
      <c r="E12" s="1">
        <v>246.76</v>
      </c>
      <c r="F12" s="1">
        <v>227.86</v>
      </c>
      <c r="G12" s="1">
        <v>192.69</v>
      </c>
    </row>
    <row r="13" spans="1:7" x14ac:dyDescent="0.2">
      <c r="A13" s="1" t="s">
        <v>17</v>
      </c>
      <c r="B13" s="1">
        <v>32.83</v>
      </c>
      <c r="C13" s="1">
        <v>43.64</v>
      </c>
      <c r="D13" s="1">
        <v>17.690000000000001</v>
      </c>
      <c r="E13" s="1">
        <v>22.56</v>
      </c>
      <c r="F13" s="1">
        <v>29.09</v>
      </c>
      <c r="G13" s="1">
        <v>38.83</v>
      </c>
    </row>
    <row r="14" spans="1:7" x14ac:dyDescent="0.2">
      <c r="A14" s="1" t="s">
        <v>18</v>
      </c>
      <c r="B14" s="1">
        <v>74.42</v>
      </c>
      <c r="C14" s="1">
        <v>93.44</v>
      </c>
      <c r="D14" s="1">
        <v>85.9</v>
      </c>
      <c r="E14" s="1">
        <v>27.36</v>
      </c>
      <c r="F14" s="1">
        <v>92.94</v>
      </c>
      <c r="G14" s="1">
        <v>84.21</v>
      </c>
    </row>
    <row r="15" spans="1:7" x14ac:dyDescent="0.2">
      <c r="A15" s="1" t="s">
        <v>19</v>
      </c>
      <c r="B15" s="1">
        <v>10</v>
      </c>
      <c r="C15" s="1">
        <v>8</v>
      </c>
      <c r="D15" s="1">
        <v>1</v>
      </c>
      <c r="E15" s="1">
        <v>1</v>
      </c>
      <c r="F15" s="1">
        <v>5</v>
      </c>
      <c r="G15" s="1">
        <v>7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2615.0500000000002</v>
      </c>
      <c r="C17" s="1">
        <v>891.37</v>
      </c>
      <c r="D17" s="1">
        <v>331.04</v>
      </c>
      <c r="E17" s="1">
        <v>26.73</v>
      </c>
      <c r="F17" s="1">
        <v>175.77</v>
      </c>
      <c r="G17" s="1">
        <v>625.38</v>
      </c>
    </row>
    <row r="18" spans="1:7" x14ac:dyDescent="0.2">
      <c r="A18" s="1" t="s">
        <v>22</v>
      </c>
      <c r="B18" s="1">
        <v>0</v>
      </c>
      <c r="C18" s="1">
        <v>342.03</v>
      </c>
      <c r="D18" s="1">
        <v>6.19</v>
      </c>
      <c r="E18" s="1">
        <v>8.1300000000000008</v>
      </c>
      <c r="F18" s="1">
        <v>805.71</v>
      </c>
      <c r="G18" s="1">
        <v>276.82</v>
      </c>
    </row>
    <row r="19" spans="1:7" x14ac:dyDescent="0.2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">
      <c r="A20" s="1" t="s">
        <v>24</v>
      </c>
      <c r="B20" s="1">
        <v>0</v>
      </c>
      <c r="C20" s="1">
        <v>1.6</v>
      </c>
      <c r="D20" s="1">
        <v>0</v>
      </c>
      <c r="E20" s="1">
        <v>0</v>
      </c>
      <c r="F20" s="1">
        <v>5.6</v>
      </c>
      <c r="G20" s="1">
        <v>2.2999999999999998</v>
      </c>
    </row>
    <row r="21" spans="1:7" x14ac:dyDescent="0.2">
      <c r="A21" s="1" t="s">
        <v>25</v>
      </c>
      <c r="B21" s="1">
        <v>10.1</v>
      </c>
      <c r="C21" s="1">
        <v>8.4</v>
      </c>
      <c r="D21" s="1">
        <v>10</v>
      </c>
      <c r="E21" s="1">
        <v>10</v>
      </c>
      <c r="F21" s="1">
        <v>4.4000000000000004</v>
      </c>
      <c r="G21" s="1">
        <v>7.7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1.1000000000000001</v>
      </c>
    </row>
    <row r="24" spans="1:7" x14ac:dyDescent="0.2">
      <c r="A24" s="1" t="s">
        <v>28</v>
      </c>
      <c r="B24" s="1">
        <v>0</v>
      </c>
      <c r="C24" s="1">
        <v>1.5</v>
      </c>
      <c r="D24" s="1">
        <v>0</v>
      </c>
      <c r="E24" s="1">
        <v>0</v>
      </c>
      <c r="F24" s="1">
        <v>6</v>
      </c>
      <c r="G24" s="1">
        <v>2.1</v>
      </c>
    </row>
    <row r="25" spans="1:7" x14ac:dyDescent="0.2">
      <c r="A25" s="1" t="s">
        <v>29</v>
      </c>
      <c r="B25" s="1">
        <v>0</v>
      </c>
      <c r="C25" s="1">
        <v>2.8</v>
      </c>
      <c r="D25" s="1">
        <v>4.4000000000000004</v>
      </c>
      <c r="E25" s="1">
        <v>10</v>
      </c>
      <c r="F25" s="1">
        <v>1.5</v>
      </c>
      <c r="G25" s="1">
        <v>2.7</v>
      </c>
    </row>
    <row r="26" spans="1:7" x14ac:dyDescent="0.2">
      <c r="A26" s="1" t="s">
        <v>30</v>
      </c>
      <c r="B26" s="1">
        <v>10.1</v>
      </c>
      <c r="C26" s="1">
        <v>5.7</v>
      </c>
      <c r="D26" s="1">
        <v>5.6</v>
      </c>
      <c r="E26" s="1">
        <v>0</v>
      </c>
      <c r="F26" s="1">
        <v>2.5</v>
      </c>
      <c r="G26" s="1">
        <v>5.2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15</v>
      </c>
      <c r="D29" s="3">
        <f t="shared" si="1"/>
        <v>0</v>
      </c>
      <c r="E29" s="3">
        <f t="shared" si="1"/>
        <v>0</v>
      </c>
      <c r="F29" s="3">
        <f t="shared" si="1"/>
        <v>60</v>
      </c>
      <c r="G29" s="3">
        <f t="shared" si="1"/>
        <v>21.000000000000004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27.999999999999996</v>
      </c>
      <c r="D30" s="3">
        <f t="shared" si="2"/>
        <v>44.000000000000007</v>
      </c>
      <c r="E30" s="3">
        <f t="shared" si="2"/>
        <v>100</v>
      </c>
      <c r="F30" s="3">
        <f t="shared" si="2"/>
        <v>15</v>
      </c>
      <c r="G30" s="3">
        <f t="shared" si="2"/>
        <v>27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57.000000000000007</v>
      </c>
      <c r="D31" s="3">
        <f t="shared" si="3"/>
        <v>55.999999999999993</v>
      </c>
      <c r="E31" s="3">
        <f t="shared" si="3"/>
        <v>0</v>
      </c>
      <c r="F31" s="3">
        <f t="shared" si="3"/>
        <v>25</v>
      </c>
      <c r="G31" s="3">
        <f t="shared" si="3"/>
        <v>52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268.7</v>
      </c>
      <c r="C33" s="3">
        <v>59.18</v>
      </c>
      <c r="D33" s="3">
        <v>35.049999999999997</v>
      </c>
      <c r="E33" s="3">
        <v>2.31</v>
      </c>
      <c r="F33" s="3">
        <v>-42.2</v>
      </c>
      <c r="G33" s="3">
        <v>11.35</v>
      </c>
    </row>
    <row r="35" spans="1:7" x14ac:dyDescent="0.2">
      <c r="A35" s="3" t="s">
        <v>36</v>
      </c>
      <c r="B35" s="3"/>
      <c r="C35" s="3"/>
      <c r="D35" s="3">
        <f>D33-C33</f>
        <v>-24.130000000000003</v>
      </c>
      <c r="E35" s="3"/>
      <c r="F35" s="3">
        <f>F33-E33</f>
        <v>-44.510000000000005</v>
      </c>
      <c r="G35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5995-A24A-4B74-9270-6AD71EE4D2D9}">
  <dimension ref="A1:G35"/>
  <sheetViews>
    <sheetView topLeftCell="A4" zoomScale="80" zoomScaleNormal="80" workbookViewId="0">
      <selection activeCell="I32" sqref="I32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397.02</v>
      </c>
      <c r="C2" s="1">
        <v>459.41</v>
      </c>
      <c r="D2" s="1">
        <v>464.29</v>
      </c>
      <c r="E2" s="1">
        <v>503.84</v>
      </c>
      <c r="F2" s="1">
        <v>468.22</v>
      </c>
      <c r="G2" s="1">
        <v>448.49</v>
      </c>
    </row>
    <row r="3" spans="1:7" x14ac:dyDescent="0.2">
      <c r="A3" s="1" t="s">
        <v>7</v>
      </c>
      <c r="B3" s="1">
        <v>30.07</v>
      </c>
      <c r="C3" s="1">
        <v>36</v>
      </c>
      <c r="D3" s="1">
        <v>39.58</v>
      </c>
      <c r="E3" s="1">
        <v>42.5</v>
      </c>
      <c r="F3" s="1">
        <v>39.74</v>
      </c>
      <c r="G3" s="1">
        <v>41.78</v>
      </c>
    </row>
    <row r="4" spans="1:7" x14ac:dyDescent="0.2">
      <c r="A4" s="1" t="s">
        <v>8</v>
      </c>
      <c r="B4" s="1">
        <v>12159.43</v>
      </c>
      <c r="C4" s="1">
        <v>16830.46</v>
      </c>
      <c r="D4" s="1">
        <v>18732.84</v>
      </c>
      <c r="E4" s="1">
        <v>21784.11</v>
      </c>
      <c r="F4" s="1">
        <v>18937.28</v>
      </c>
      <c r="G4" s="1">
        <v>19059.21</v>
      </c>
    </row>
    <row r="5" spans="1:7" x14ac:dyDescent="0.2">
      <c r="A5" s="1" t="s">
        <v>9</v>
      </c>
      <c r="B5" s="1">
        <v>2555.29</v>
      </c>
      <c r="C5" s="1">
        <v>1841.96</v>
      </c>
      <c r="D5" s="1">
        <v>2371.65</v>
      </c>
      <c r="E5" s="1">
        <v>147.53</v>
      </c>
      <c r="F5" s="1">
        <v>771.64</v>
      </c>
      <c r="G5" s="1">
        <v>724.19</v>
      </c>
    </row>
    <row r="6" spans="1:7" x14ac:dyDescent="0.2">
      <c r="A6" s="3" t="s">
        <v>10</v>
      </c>
      <c r="B6" s="3">
        <v>255.53</v>
      </c>
      <c r="C6" s="3">
        <v>186.06</v>
      </c>
      <c r="D6" s="3">
        <v>239.56</v>
      </c>
      <c r="E6" s="3">
        <v>14.9</v>
      </c>
      <c r="F6" s="3">
        <v>77.94</v>
      </c>
      <c r="G6" s="3">
        <v>73.150000000000006</v>
      </c>
    </row>
    <row r="7" spans="1:7" x14ac:dyDescent="0.2">
      <c r="A7" s="1" t="s">
        <v>11</v>
      </c>
      <c r="B7" s="1">
        <v>2425.3200000000002</v>
      </c>
      <c r="C7" s="1">
        <v>1692.16</v>
      </c>
      <c r="D7" s="1">
        <v>2298.96</v>
      </c>
      <c r="E7" s="1">
        <v>143.65</v>
      </c>
      <c r="F7" s="1">
        <v>733.79</v>
      </c>
      <c r="G7" s="1">
        <v>630.69000000000005</v>
      </c>
    </row>
    <row r="8" spans="1:7" x14ac:dyDescent="0.2">
      <c r="A8" s="1" t="s">
        <v>12</v>
      </c>
      <c r="B8" s="1">
        <v>242.53</v>
      </c>
      <c r="C8" s="1">
        <v>170.93</v>
      </c>
      <c r="D8" s="1">
        <v>232.22</v>
      </c>
      <c r="E8" s="1">
        <v>14.51</v>
      </c>
      <c r="F8" s="1">
        <v>74.12</v>
      </c>
      <c r="G8" s="1">
        <v>63.71</v>
      </c>
    </row>
    <row r="9" spans="1:7" x14ac:dyDescent="0.2">
      <c r="A9" s="1" t="s">
        <v>13</v>
      </c>
      <c r="B9" s="1">
        <v>2405.12</v>
      </c>
      <c r="C9" s="1">
        <v>1298.8599999999999</v>
      </c>
      <c r="D9" s="1">
        <v>2298.96</v>
      </c>
      <c r="E9" s="1">
        <v>-22.44</v>
      </c>
      <c r="F9" s="1">
        <v>-618.53</v>
      </c>
      <c r="G9" s="1">
        <v>147.38999999999999</v>
      </c>
    </row>
    <row r="10" spans="1:7" x14ac:dyDescent="0.2">
      <c r="A10" s="1" t="s">
        <v>14</v>
      </c>
      <c r="B10" s="1">
        <v>240.51</v>
      </c>
      <c r="C10" s="1">
        <v>131.19999999999999</v>
      </c>
      <c r="D10" s="1">
        <v>232.22</v>
      </c>
      <c r="E10" s="1">
        <v>-2.27</v>
      </c>
      <c r="F10" s="1">
        <v>-62.48</v>
      </c>
      <c r="G10" s="1">
        <v>14.89</v>
      </c>
    </row>
    <row r="11" spans="1:7" x14ac:dyDescent="0.2">
      <c r="A11" s="1" t="s">
        <v>15</v>
      </c>
      <c r="B11" s="1">
        <v>2308.84</v>
      </c>
      <c r="C11" s="1">
        <v>1212.5</v>
      </c>
      <c r="D11" s="1">
        <v>2205.14</v>
      </c>
      <c r="E11" s="1">
        <v>2.61</v>
      </c>
      <c r="F11" s="1">
        <v>526.76</v>
      </c>
      <c r="G11" s="1">
        <v>75.510000000000005</v>
      </c>
    </row>
    <row r="12" spans="1:7" x14ac:dyDescent="0.2">
      <c r="A12" s="1" t="s">
        <v>16</v>
      </c>
      <c r="B12" s="1">
        <v>237.26</v>
      </c>
      <c r="C12" s="1">
        <v>221.52</v>
      </c>
      <c r="D12" s="1">
        <v>249.14</v>
      </c>
      <c r="E12" s="1">
        <v>313.98</v>
      </c>
      <c r="F12" s="1">
        <v>260.54000000000002</v>
      </c>
      <c r="G12" s="1">
        <v>147.26</v>
      </c>
    </row>
    <row r="13" spans="1:7" x14ac:dyDescent="0.2">
      <c r="A13" s="1" t="s">
        <v>17</v>
      </c>
      <c r="B13" s="1">
        <v>28.07</v>
      </c>
      <c r="C13" s="1">
        <v>43.22</v>
      </c>
      <c r="D13" s="1">
        <v>25.5</v>
      </c>
      <c r="E13" s="1">
        <v>4.4400000000000004</v>
      </c>
      <c r="F13" s="1">
        <v>19.48</v>
      </c>
      <c r="G13" s="1">
        <v>72.599999999999994</v>
      </c>
    </row>
    <row r="14" spans="1:7" x14ac:dyDescent="0.2">
      <c r="A14" s="1" t="s">
        <v>18</v>
      </c>
      <c r="B14" s="1">
        <v>58.78</v>
      </c>
      <c r="C14" s="1">
        <v>100.69</v>
      </c>
      <c r="D14" s="1">
        <v>50.27</v>
      </c>
      <c r="E14" s="1">
        <v>9.44</v>
      </c>
      <c r="F14" s="1">
        <v>67.95</v>
      </c>
      <c r="G14" s="1">
        <v>96.89</v>
      </c>
    </row>
    <row r="15" spans="1:7" x14ac:dyDescent="0.2">
      <c r="A15" s="1" t="s">
        <v>19</v>
      </c>
      <c r="B15" s="1">
        <v>8</v>
      </c>
      <c r="C15" s="1">
        <v>8</v>
      </c>
      <c r="D15" s="1">
        <v>5</v>
      </c>
      <c r="E15" s="1">
        <v>0</v>
      </c>
      <c r="F15" s="1">
        <v>4</v>
      </c>
      <c r="G15" s="1">
        <v>3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2415.2199999999998</v>
      </c>
      <c r="C17" s="1">
        <v>1495.51</v>
      </c>
      <c r="D17" s="1">
        <v>2298.96</v>
      </c>
      <c r="E17" s="1">
        <v>60.61</v>
      </c>
      <c r="F17" s="1">
        <v>57.63</v>
      </c>
      <c r="G17" s="1">
        <v>389.04</v>
      </c>
    </row>
    <row r="18" spans="1:7" x14ac:dyDescent="0.2">
      <c r="A18" s="1" t="s">
        <v>22</v>
      </c>
      <c r="B18" s="1">
        <v>10.1</v>
      </c>
      <c r="C18" s="1">
        <v>196.65</v>
      </c>
      <c r="D18" s="1">
        <v>0</v>
      </c>
      <c r="E18" s="1">
        <v>83.04</v>
      </c>
      <c r="F18" s="1">
        <v>676.16</v>
      </c>
      <c r="G18" s="1">
        <v>241.65</v>
      </c>
    </row>
    <row r="19" spans="1:7" x14ac:dyDescent="0.2">
      <c r="A19" s="1" t="s">
        <v>23</v>
      </c>
      <c r="B19" s="1">
        <v>0</v>
      </c>
      <c r="C19" s="1">
        <v>1</v>
      </c>
      <c r="D19" s="1">
        <v>0</v>
      </c>
      <c r="E19" s="1">
        <v>2</v>
      </c>
      <c r="F19" s="1">
        <v>2</v>
      </c>
      <c r="G19" s="1">
        <v>2</v>
      </c>
    </row>
    <row r="20" spans="1:7" x14ac:dyDescent="0.2">
      <c r="A20" s="1" t="s">
        <v>24</v>
      </c>
      <c r="B20" s="1">
        <v>0</v>
      </c>
      <c r="C20" s="1">
        <v>1.2</v>
      </c>
      <c r="D20" s="1">
        <v>0</v>
      </c>
      <c r="E20" s="1">
        <v>2.7</v>
      </c>
      <c r="F20" s="1">
        <v>8.1</v>
      </c>
      <c r="G20" s="1">
        <v>2.4</v>
      </c>
    </row>
    <row r="21" spans="1:7" x14ac:dyDescent="0.2">
      <c r="A21" s="1" t="s">
        <v>25</v>
      </c>
      <c r="B21" s="1">
        <v>10.1</v>
      </c>
      <c r="C21" s="1">
        <v>8.8000000000000007</v>
      </c>
      <c r="D21" s="1">
        <v>10</v>
      </c>
      <c r="E21" s="1">
        <v>7.3</v>
      </c>
      <c r="F21" s="1">
        <v>1.9</v>
      </c>
      <c r="G21" s="1">
        <v>7.6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2.2000000000000002</v>
      </c>
      <c r="D24" s="1">
        <v>0</v>
      </c>
      <c r="E24" s="1">
        <v>0</v>
      </c>
      <c r="F24" s="1">
        <v>5.4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4.5999999999999996</v>
      </c>
      <c r="G25" s="1">
        <v>8.9</v>
      </c>
    </row>
    <row r="26" spans="1:7" x14ac:dyDescent="0.2">
      <c r="A26" s="1" t="s">
        <v>30</v>
      </c>
      <c r="B26" s="1">
        <v>10.1</v>
      </c>
      <c r="C26" s="1">
        <v>7.8</v>
      </c>
      <c r="D26" s="1">
        <v>10</v>
      </c>
      <c r="E26" s="1">
        <v>0</v>
      </c>
      <c r="F26" s="1">
        <v>0</v>
      </c>
      <c r="G26" s="1">
        <v>1.1000000000000001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22.000000000000004</v>
      </c>
      <c r="D29" s="3">
        <f t="shared" si="1"/>
        <v>0</v>
      </c>
      <c r="E29" s="3">
        <f t="shared" si="1"/>
        <v>0</v>
      </c>
      <c r="F29" s="3">
        <f t="shared" si="1"/>
        <v>54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46</v>
      </c>
      <c r="G30" s="3">
        <f t="shared" si="2"/>
        <v>89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78</v>
      </c>
      <c r="D31" s="3">
        <f t="shared" si="3"/>
        <v>100</v>
      </c>
      <c r="E31" s="3">
        <f t="shared" si="3"/>
        <v>0</v>
      </c>
      <c r="F31" s="3">
        <f t="shared" si="3"/>
        <v>0</v>
      </c>
      <c r="G31" s="3">
        <f t="shared" si="3"/>
        <v>11.000000000000002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244.71</v>
      </c>
      <c r="C33" s="3">
        <v>136.66</v>
      </c>
      <c r="D33" s="3">
        <v>239.33</v>
      </c>
      <c r="E33" s="3">
        <v>0.59</v>
      </c>
      <c r="F33" s="3">
        <v>-59.05</v>
      </c>
      <c r="G33" s="3">
        <v>7.71</v>
      </c>
    </row>
    <row r="35" spans="1:7" x14ac:dyDescent="0.2">
      <c r="A35" s="3" t="s">
        <v>36</v>
      </c>
      <c r="B35" s="3"/>
      <c r="C35" s="3"/>
      <c r="D35" s="3">
        <f>D33-C33</f>
        <v>102.67000000000002</v>
      </c>
      <c r="E35" s="3"/>
      <c r="F35" s="3">
        <f>F33-E33</f>
        <v>-59.64</v>
      </c>
      <c r="G35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31E8-AE72-4043-BD17-925F8E5D355D}">
  <dimension ref="A1:G35"/>
  <sheetViews>
    <sheetView topLeftCell="A4" zoomScale="80" zoomScaleNormal="80" workbookViewId="0">
      <selection activeCell="M18" sqref="M18:M23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380.97</v>
      </c>
      <c r="C2" s="1">
        <v>417.51</v>
      </c>
      <c r="D2" s="1">
        <v>432.72</v>
      </c>
      <c r="E2" s="1">
        <v>440.85</v>
      </c>
      <c r="F2" s="1">
        <v>374.34</v>
      </c>
      <c r="G2" s="1">
        <v>388.48</v>
      </c>
    </row>
    <row r="3" spans="1:7" x14ac:dyDescent="0.2">
      <c r="A3" s="1" t="s">
        <v>7</v>
      </c>
      <c r="B3" s="1">
        <v>42.21</v>
      </c>
      <c r="C3" s="1">
        <v>41.07</v>
      </c>
      <c r="D3" s="1">
        <v>42</v>
      </c>
      <c r="E3" s="1">
        <v>43.07</v>
      </c>
      <c r="F3" s="1">
        <v>43.4</v>
      </c>
      <c r="G3" s="1">
        <v>41.78</v>
      </c>
    </row>
    <row r="4" spans="1:7" x14ac:dyDescent="0.2">
      <c r="A4" s="1" t="s">
        <v>8</v>
      </c>
      <c r="B4" s="1">
        <v>16424.07</v>
      </c>
      <c r="C4" s="1">
        <v>17486.88</v>
      </c>
      <c r="D4" s="1">
        <v>18482.099999999999</v>
      </c>
      <c r="E4" s="1">
        <v>19293.41</v>
      </c>
      <c r="F4" s="1">
        <v>16294.44</v>
      </c>
      <c r="G4" s="1">
        <v>16457.89</v>
      </c>
    </row>
    <row r="5" spans="1:7" x14ac:dyDescent="0.2">
      <c r="A5" s="1" t="s">
        <v>9</v>
      </c>
      <c r="B5" s="1">
        <v>1511.03</v>
      </c>
      <c r="C5" s="1">
        <v>2018.39</v>
      </c>
      <c r="D5" s="1">
        <v>1735.32</v>
      </c>
      <c r="E5" s="1">
        <v>763.13</v>
      </c>
      <c r="F5" s="1">
        <v>1017.72</v>
      </c>
      <c r="G5" s="1">
        <v>1085.79</v>
      </c>
    </row>
    <row r="6" spans="1:7" x14ac:dyDescent="0.2">
      <c r="A6" s="3" t="s">
        <v>10</v>
      </c>
      <c r="B6" s="3">
        <v>151.1</v>
      </c>
      <c r="C6" s="3">
        <v>203.88</v>
      </c>
      <c r="D6" s="3">
        <v>175.28</v>
      </c>
      <c r="E6" s="3">
        <v>77.08</v>
      </c>
      <c r="F6" s="3">
        <v>102.8</v>
      </c>
      <c r="G6" s="3">
        <v>109.68</v>
      </c>
    </row>
    <row r="7" spans="1:7" x14ac:dyDescent="0.2">
      <c r="A7" s="1" t="s">
        <v>11</v>
      </c>
      <c r="B7" s="1">
        <v>1416.25</v>
      </c>
      <c r="C7" s="1">
        <v>1905.47</v>
      </c>
      <c r="D7" s="1">
        <v>1663.56</v>
      </c>
      <c r="E7" s="1">
        <v>730.82</v>
      </c>
      <c r="F7" s="1">
        <v>966.31</v>
      </c>
      <c r="G7" s="1">
        <v>987.58</v>
      </c>
    </row>
    <row r="8" spans="1:7" x14ac:dyDescent="0.2">
      <c r="A8" s="1" t="s">
        <v>12</v>
      </c>
      <c r="B8" s="1">
        <v>141.63</v>
      </c>
      <c r="C8" s="1">
        <v>192.47</v>
      </c>
      <c r="D8" s="1">
        <v>168.04</v>
      </c>
      <c r="E8" s="1">
        <v>73.819999999999993</v>
      </c>
      <c r="F8" s="1">
        <v>97.61</v>
      </c>
      <c r="G8" s="1">
        <v>99.76</v>
      </c>
    </row>
    <row r="9" spans="1:7" x14ac:dyDescent="0.2">
      <c r="A9" s="1" t="s">
        <v>13</v>
      </c>
      <c r="B9" s="1">
        <v>1416.25</v>
      </c>
      <c r="C9" s="1">
        <v>1905.47</v>
      </c>
      <c r="D9" s="1">
        <v>1663.56</v>
      </c>
      <c r="E9" s="1">
        <v>705.08</v>
      </c>
      <c r="F9" s="1">
        <v>-581.11</v>
      </c>
      <c r="G9" s="1">
        <v>751.05</v>
      </c>
    </row>
    <row r="10" spans="1:7" x14ac:dyDescent="0.2">
      <c r="A10" s="1" t="s">
        <v>14</v>
      </c>
      <c r="B10" s="1">
        <v>141.63</v>
      </c>
      <c r="C10" s="1">
        <v>192.47</v>
      </c>
      <c r="D10" s="1">
        <v>168.04</v>
      </c>
      <c r="E10" s="1">
        <v>71.22</v>
      </c>
      <c r="F10" s="1">
        <v>-58.7</v>
      </c>
      <c r="G10" s="1">
        <v>75.86</v>
      </c>
    </row>
    <row r="11" spans="1:7" x14ac:dyDescent="0.2">
      <c r="A11" s="1" t="s">
        <v>15</v>
      </c>
      <c r="B11" s="1">
        <v>1365.26</v>
      </c>
      <c r="C11" s="1">
        <v>1884.87</v>
      </c>
      <c r="D11" s="1">
        <v>1624.08</v>
      </c>
      <c r="E11" s="1">
        <v>662.32</v>
      </c>
      <c r="F11" s="1">
        <v>654.41</v>
      </c>
      <c r="G11" s="1">
        <v>676.25</v>
      </c>
    </row>
    <row r="12" spans="1:7" x14ac:dyDescent="0.2">
      <c r="A12" s="1" t="s">
        <v>16</v>
      </c>
      <c r="B12" s="1">
        <v>209.42</v>
      </c>
      <c r="C12" s="1">
        <v>230.12</v>
      </c>
      <c r="D12" s="1">
        <v>224.73</v>
      </c>
      <c r="E12" s="1">
        <v>239.02</v>
      </c>
      <c r="F12" s="1">
        <v>184.46</v>
      </c>
      <c r="G12" s="1">
        <v>197.96</v>
      </c>
    </row>
    <row r="13" spans="1:7" x14ac:dyDescent="0.2">
      <c r="A13" s="1" t="s">
        <v>17</v>
      </c>
      <c r="B13" s="1">
        <v>21.42</v>
      </c>
      <c r="C13" s="1">
        <v>20.010000000000002</v>
      </c>
      <c r="D13" s="1">
        <v>17.88</v>
      </c>
      <c r="E13" s="1">
        <v>15.39</v>
      </c>
      <c r="F13" s="1">
        <v>27.52</v>
      </c>
      <c r="G13" s="1">
        <v>23.07</v>
      </c>
    </row>
    <row r="14" spans="1:7" x14ac:dyDescent="0.2">
      <c r="A14" s="1" t="s">
        <v>18</v>
      </c>
      <c r="B14" s="1">
        <v>51.31</v>
      </c>
      <c r="C14" s="1">
        <v>46.02</v>
      </c>
      <c r="D14" s="1">
        <v>39.450000000000003</v>
      </c>
      <c r="E14" s="1">
        <v>39.659999999999997</v>
      </c>
      <c r="F14" s="1">
        <v>62.37</v>
      </c>
      <c r="G14" s="1">
        <v>70.59</v>
      </c>
    </row>
    <row r="15" spans="1:7" x14ac:dyDescent="0.2">
      <c r="A15" s="1" t="s">
        <v>19</v>
      </c>
      <c r="B15" s="1">
        <v>6</v>
      </c>
      <c r="C15" s="1">
        <v>4</v>
      </c>
      <c r="D15" s="1">
        <v>4</v>
      </c>
      <c r="E15" s="1">
        <v>2</v>
      </c>
      <c r="F15" s="1">
        <v>5</v>
      </c>
      <c r="G15" s="1">
        <v>6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1416.25</v>
      </c>
      <c r="C17" s="1">
        <v>1905.47</v>
      </c>
      <c r="D17" s="1">
        <v>1663.56</v>
      </c>
      <c r="E17" s="1">
        <v>717.95</v>
      </c>
      <c r="F17" s="1">
        <v>192.6</v>
      </c>
      <c r="G17" s="1">
        <v>869.32</v>
      </c>
    </row>
    <row r="18" spans="1:7" x14ac:dyDescent="0.2">
      <c r="A18" s="1" t="s">
        <v>22</v>
      </c>
      <c r="B18" s="1">
        <v>0</v>
      </c>
      <c r="C18" s="1">
        <v>0</v>
      </c>
      <c r="D18" s="1">
        <v>0</v>
      </c>
      <c r="E18" s="1">
        <v>12.87</v>
      </c>
      <c r="F18" s="1">
        <v>773.71</v>
      </c>
      <c r="G18" s="1">
        <v>118.27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5.0999999999999996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4.9000000000000004</v>
      </c>
      <c r="G21" s="1">
        <v>10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5.3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1.6</v>
      </c>
      <c r="F25" s="1">
        <v>1.9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8.4</v>
      </c>
      <c r="F26" s="1">
        <v>2.8</v>
      </c>
      <c r="G26" s="1">
        <v>10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53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16</v>
      </c>
      <c r="F30" s="3">
        <f t="shared" si="2"/>
        <v>19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84.000000000000014</v>
      </c>
      <c r="F31" s="3">
        <f t="shared" si="3"/>
        <v>27.999999999999996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151.63</v>
      </c>
      <c r="C33" s="3">
        <v>200.44</v>
      </c>
      <c r="D33" s="3">
        <v>171.81</v>
      </c>
      <c r="E33" s="3">
        <v>73.75</v>
      </c>
      <c r="F33" s="3">
        <v>-29.4</v>
      </c>
      <c r="G33" s="3">
        <v>81.62</v>
      </c>
    </row>
    <row r="35" spans="1:7" x14ac:dyDescent="0.2">
      <c r="A35" s="3" t="s">
        <v>36</v>
      </c>
      <c r="B35" s="3"/>
      <c r="C35" s="3"/>
      <c r="D35" s="3">
        <f>D33-C33</f>
        <v>-28.629999999999995</v>
      </c>
      <c r="E35" s="3"/>
      <c r="F35" s="3">
        <f>F33-E33</f>
        <v>-103.15</v>
      </c>
      <c r="G35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AB4F-322B-4D55-A25F-69CDB00D8F02}">
  <dimension ref="A1:G35"/>
  <sheetViews>
    <sheetView zoomScale="80" zoomScaleNormal="80" workbookViewId="0">
      <selection activeCell="L28" sqref="L28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438.28</v>
      </c>
      <c r="C2" s="1">
        <v>400.78</v>
      </c>
      <c r="D2" s="1">
        <v>478.71</v>
      </c>
      <c r="E2" s="1">
        <v>387.77</v>
      </c>
      <c r="F2" s="1">
        <v>422.23</v>
      </c>
      <c r="G2" s="1">
        <v>472.13</v>
      </c>
    </row>
    <row r="3" spans="1:7" x14ac:dyDescent="0.2">
      <c r="A3" s="1" t="s">
        <v>7</v>
      </c>
      <c r="B3" s="1">
        <v>38.49</v>
      </c>
      <c r="C3" s="1">
        <v>36.94</v>
      </c>
      <c r="D3" s="1">
        <v>40.799999999999997</v>
      </c>
      <c r="E3" s="1">
        <v>35.880000000000003</v>
      </c>
      <c r="F3" s="1">
        <v>38.380000000000003</v>
      </c>
      <c r="G3" s="1">
        <v>40.01</v>
      </c>
    </row>
    <row r="4" spans="1:7" x14ac:dyDescent="0.2">
      <c r="A4" s="1" t="s">
        <v>8</v>
      </c>
      <c r="B4" s="1">
        <v>17215.78</v>
      </c>
      <c r="C4" s="1">
        <v>15067.6</v>
      </c>
      <c r="D4" s="1">
        <v>19864.669999999998</v>
      </c>
      <c r="E4" s="1">
        <v>14214.58</v>
      </c>
      <c r="F4" s="1">
        <v>16497.830000000002</v>
      </c>
      <c r="G4" s="1">
        <v>19237.62</v>
      </c>
    </row>
    <row r="5" spans="1:7" x14ac:dyDescent="0.2">
      <c r="A5" s="1" t="s">
        <v>9</v>
      </c>
      <c r="B5" s="1">
        <v>2830.71</v>
      </c>
      <c r="C5" s="1">
        <v>2982.14</v>
      </c>
      <c r="D5" s="1">
        <v>2154.08</v>
      </c>
      <c r="E5" s="1">
        <v>1765.75</v>
      </c>
      <c r="F5" s="1">
        <v>2067.7399999999998</v>
      </c>
      <c r="G5" s="1">
        <v>2517.33</v>
      </c>
    </row>
    <row r="6" spans="1:7" x14ac:dyDescent="0.2">
      <c r="A6" s="3" t="s">
        <v>10</v>
      </c>
      <c r="B6" s="3">
        <v>283.07</v>
      </c>
      <c r="C6" s="3">
        <v>301.23</v>
      </c>
      <c r="D6" s="3">
        <v>217.58</v>
      </c>
      <c r="E6" s="3">
        <v>178.36</v>
      </c>
      <c r="F6" s="3">
        <v>208.86</v>
      </c>
      <c r="G6" s="3">
        <v>254.28</v>
      </c>
    </row>
    <row r="7" spans="1:7" x14ac:dyDescent="0.2">
      <c r="A7" s="1" t="s">
        <v>11</v>
      </c>
      <c r="B7" s="1">
        <v>2513.91</v>
      </c>
      <c r="C7" s="1">
        <v>2637.08</v>
      </c>
      <c r="D7" s="1">
        <v>2019.59</v>
      </c>
      <c r="E7" s="1">
        <v>1556.78</v>
      </c>
      <c r="F7" s="1">
        <v>1900.46</v>
      </c>
      <c r="G7" s="1">
        <v>2359.66</v>
      </c>
    </row>
    <row r="8" spans="1:7" x14ac:dyDescent="0.2">
      <c r="A8" s="1" t="s">
        <v>12</v>
      </c>
      <c r="B8" s="1">
        <v>251.39</v>
      </c>
      <c r="C8" s="1">
        <v>266.37</v>
      </c>
      <c r="D8" s="1">
        <v>204</v>
      </c>
      <c r="E8" s="1">
        <v>157.25</v>
      </c>
      <c r="F8" s="1">
        <v>191.97</v>
      </c>
      <c r="G8" s="1">
        <v>238.35</v>
      </c>
    </row>
    <row r="9" spans="1:7" x14ac:dyDescent="0.2">
      <c r="A9" s="1" t="s">
        <v>13</v>
      </c>
      <c r="B9" s="1">
        <v>2513.91</v>
      </c>
      <c r="C9" s="1">
        <v>2637.08</v>
      </c>
      <c r="D9" s="1">
        <v>2019.59</v>
      </c>
      <c r="E9" s="1">
        <v>1421.05</v>
      </c>
      <c r="F9" s="1">
        <v>1900.46</v>
      </c>
      <c r="G9" s="1">
        <v>2275.7399999999998</v>
      </c>
    </row>
    <row r="10" spans="1:7" x14ac:dyDescent="0.2">
      <c r="A10" s="1" t="s">
        <v>14</v>
      </c>
      <c r="B10" s="1">
        <v>251.39</v>
      </c>
      <c r="C10" s="1">
        <v>266.37</v>
      </c>
      <c r="D10" s="1">
        <v>204</v>
      </c>
      <c r="E10" s="1">
        <v>143.54</v>
      </c>
      <c r="F10" s="1">
        <v>191.97</v>
      </c>
      <c r="G10" s="1">
        <v>229.87</v>
      </c>
    </row>
    <row r="11" spans="1:7" x14ac:dyDescent="0.2">
      <c r="A11" s="1" t="s">
        <v>15</v>
      </c>
      <c r="B11" s="1">
        <v>2612.4499999999998</v>
      </c>
      <c r="C11" s="1">
        <v>2830.16</v>
      </c>
      <c r="D11" s="1">
        <v>1879.14</v>
      </c>
      <c r="E11" s="1">
        <v>1301.01</v>
      </c>
      <c r="F11" s="1">
        <v>1788.01</v>
      </c>
      <c r="G11" s="1">
        <v>2026.74</v>
      </c>
    </row>
    <row r="12" spans="1:7" x14ac:dyDescent="0.2">
      <c r="A12" s="1" t="s">
        <v>16</v>
      </c>
      <c r="B12" s="1">
        <v>263.24</v>
      </c>
      <c r="C12" s="1">
        <v>253.9</v>
      </c>
      <c r="D12" s="1">
        <v>249.39</v>
      </c>
      <c r="E12" s="1">
        <v>212.28</v>
      </c>
      <c r="F12" s="1">
        <v>242.35</v>
      </c>
      <c r="G12" s="1">
        <v>254.99</v>
      </c>
    </row>
    <row r="13" spans="1:7" x14ac:dyDescent="0.2">
      <c r="A13" s="1" t="s">
        <v>17</v>
      </c>
      <c r="B13" s="1">
        <v>25.07</v>
      </c>
      <c r="C13" s="1">
        <v>24.29</v>
      </c>
      <c r="D13" s="1">
        <v>23.06</v>
      </c>
      <c r="E13" s="1">
        <v>22.71</v>
      </c>
      <c r="F13" s="1">
        <v>25.07</v>
      </c>
      <c r="G13" s="1">
        <v>34.020000000000003</v>
      </c>
    </row>
    <row r="14" spans="1:7" x14ac:dyDescent="0.2">
      <c r="A14" s="1" t="s">
        <v>18</v>
      </c>
      <c r="B14" s="1">
        <v>60.16</v>
      </c>
      <c r="C14" s="1">
        <v>46.06</v>
      </c>
      <c r="D14" s="1">
        <v>53.26</v>
      </c>
      <c r="E14" s="1">
        <v>41.49</v>
      </c>
      <c r="F14" s="1">
        <v>55.7</v>
      </c>
      <c r="G14" s="1">
        <v>79.25</v>
      </c>
    </row>
    <row r="15" spans="1:7" x14ac:dyDescent="0.2">
      <c r="A15" s="1" t="s">
        <v>19</v>
      </c>
      <c r="B15" s="1">
        <v>7</v>
      </c>
      <c r="C15" s="1">
        <v>7</v>
      </c>
      <c r="D15" s="1">
        <v>7</v>
      </c>
      <c r="E15" s="1">
        <v>10</v>
      </c>
      <c r="F15" s="1">
        <v>6</v>
      </c>
      <c r="G15" s="1">
        <v>9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2513.91</v>
      </c>
      <c r="C17" s="1">
        <v>2637.08</v>
      </c>
      <c r="D17" s="1">
        <v>2019.59</v>
      </c>
      <c r="E17" s="1">
        <v>1488.91</v>
      </c>
      <c r="F17" s="1">
        <v>1900.46</v>
      </c>
      <c r="G17" s="1">
        <v>2317.6999999999998</v>
      </c>
    </row>
    <row r="18" spans="1:7" x14ac:dyDescent="0.2">
      <c r="A18" s="1" t="s">
        <v>22</v>
      </c>
      <c r="B18" s="1">
        <v>0</v>
      </c>
      <c r="C18" s="1">
        <v>0</v>
      </c>
      <c r="D18" s="1">
        <v>0</v>
      </c>
      <c r="E18" s="1">
        <v>67.87</v>
      </c>
      <c r="F18" s="1">
        <v>0</v>
      </c>
      <c r="G18" s="1">
        <v>41.96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273.5</v>
      </c>
      <c r="C33" s="3">
        <v>297.92</v>
      </c>
      <c r="D33" s="3">
        <v>219.9</v>
      </c>
      <c r="E33" s="3">
        <v>158.49</v>
      </c>
      <c r="F33" s="3">
        <v>202.39</v>
      </c>
      <c r="G33" s="3">
        <v>240.64</v>
      </c>
    </row>
    <row r="35" spans="1:7" x14ac:dyDescent="0.2">
      <c r="A35" s="3" t="s">
        <v>36</v>
      </c>
      <c r="B35" s="3"/>
      <c r="C35" s="3"/>
      <c r="D35" s="3">
        <f>D33-C33</f>
        <v>-78.02000000000001</v>
      </c>
      <c r="E35" s="3"/>
      <c r="F35" s="3">
        <f>F33-E33</f>
        <v>43.899999999999977</v>
      </c>
      <c r="G35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D49E-AFB3-4AB0-B7C5-71C942E7623F}">
  <dimension ref="A1:G35"/>
  <sheetViews>
    <sheetView zoomScale="80" zoomScaleNormal="80" workbookViewId="0">
      <selection activeCell="K13" sqref="K13:K24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451.43</v>
      </c>
      <c r="C2" s="1">
        <v>477.2</v>
      </c>
      <c r="D2" s="1">
        <v>509.8</v>
      </c>
      <c r="E2" s="1">
        <v>479.32</v>
      </c>
      <c r="F2" s="1">
        <v>521.83000000000004</v>
      </c>
      <c r="G2" s="1">
        <v>440.04</v>
      </c>
    </row>
    <row r="3" spans="1:7" x14ac:dyDescent="0.2">
      <c r="A3" s="1" t="s">
        <v>7</v>
      </c>
      <c r="B3" s="1">
        <v>41.99</v>
      </c>
      <c r="C3" s="1">
        <v>48.38</v>
      </c>
      <c r="D3" s="1">
        <v>50.85</v>
      </c>
      <c r="E3" s="1">
        <v>47.8</v>
      </c>
      <c r="F3" s="1">
        <v>49.36</v>
      </c>
      <c r="G3" s="1">
        <v>48.15</v>
      </c>
    </row>
    <row r="4" spans="1:7" x14ac:dyDescent="0.2">
      <c r="A4" s="1" t="s">
        <v>8</v>
      </c>
      <c r="B4" s="1">
        <v>19285.310000000001</v>
      </c>
      <c r="C4" s="1">
        <v>23442.79</v>
      </c>
      <c r="D4" s="1">
        <v>26347.51</v>
      </c>
      <c r="E4" s="1">
        <v>23243.13</v>
      </c>
      <c r="F4" s="1">
        <v>26209.439999999999</v>
      </c>
      <c r="G4" s="1">
        <v>21546.52</v>
      </c>
    </row>
    <row r="5" spans="1:7" x14ac:dyDescent="0.2">
      <c r="A5" s="1" t="s">
        <v>9</v>
      </c>
      <c r="B5" s="1">
        <v>2175.1</v>
      </c>
      <c r="C5" s="1">
        <v>1509.55</v>
      </c>
      <c r="D5" s="1">
        <v>2084.36</v>
      </c>
      <c r="E5" s="1">
        <v>1425.39</v>
      </c>
      <c r="F5" s="1">
        <v>576.21</v>
      </c>
      <c r="G5" s="1">
        <v>1110.73</v>
      </c>
    </row>
    <row r="6" spans="1:7" x14ac:dyDescent="0.2">
      <c r="A6" s="3" t="s">
        <v>10</v>
      </c>
      <c r="B6" s="3">
        <v>217.51</v>
      </c>
      <c r="C6" s="3">
        <v>152.47999999999999</v>
      </c>
      <c r="D6" s="3">
        <v>210.54</v>
      </c>
      <c r="E6" s="3">
        <v>143.97999999999999</v>
      </c>
      <c r="F6" s="3">
        <v>58.2</v>
      </c>
      <c r="G6" s="3">
        <v>112.2</v>
      </c>
    </row>
    <row r="7" spans="1:7" x14ac:dyDescent="0.2">
      <c r="A7" s="1" t="s">
        <v>11</v>
      </c>
      <c r="B7" s="1">
        <v>2039.24</v>
      </c>
      <c r="C7" s="1">
        <v>1411.77</v>
      </c>
      <c r="D7" s="1">
        <v>1917.6</v>
      </c>
      <c r="E7" s="1">
        <v>1317.08</v>
      </c>
      <c r="F7" s="1">
        <v>488.38</v>
      </c>
      <c r="G7" s="1">
        <v>975.91</v>
      </c>
    </row>
    <row r="8" spans="1:7" x14ac:dyDescent="0.2">
      <c r="A8" s="1" t="s">
        <v>12</v>
      </c>
      <c r="B8" s="1">
        <v>203.92</v>
      </c>
      <c r="C8" s="1">
        <v>142.6</v>
      </c>
      <c r="D8" s="1">
        <v>193.7</v>
      </c>
      <c r="E8" s="1">
        <v>133.04</v>
      </c>
      <c r="F8" s="1">
        <v>49.33</v>
      </c>
      <c r="G8" s="1">
        <v>98.58</v>
      </c>
    </row>
    <row r="9" spans="1:7" x14ac:dyDescent="0.2">
      <c r="A9" s="1" t="s">
        <v>13</v>
      </c>
      <c r="B9" s="1">
        <v>2039.24</v>
      </c>
      <c r="C9" s="1">
        <v>1318.06</v>
      </c>
      <c r="D9" s="1">
        <v>1917.6</v>
      </c>
      <c r="E9" s="1">
        <v>674.15</v>
      </c>
      <c r="F9" s="1">
        <v>205.97</v>
      </c>
      <c r="G9" s="1">
        <v>807.04</v>
      </c>
    </row>
    <row r="10" spans="1:7" x14ac:dyDescent="0.2">
      <c r="A10" s="1" t="s">
        <v>14</v>
      </c>
      <c r="B10" s="1">
        <v>203.92</v>
      </c>
      <c r="C10" s="1">
        <v>133.13999999999999</v>
      </c>
      <c r="D10" s="1">
        <v>193.7</v>
      </c>
      <c r="E10" s="1">
        <v>68.099999999999994</v>
      </c>
      <c r="F10" s="1">
        <v>20.81</v>
      </c>
      <c r="G10" s="1">
        <v>81.52</v>
      </c>
    </row>
    <row r="11" spans="1:7" x14ac:dyDescent="0.2">
      <c r="A11" s="1" t="s">
        <v>15</v>
      </c>
      <c r="B11" s="1">
        <v>1891.46</v>
      </c>
      <c r="C11" s="1">
        <v>1086.5899999999999</v>
      </c>
      <c r="D11" s="1">
        <v>1603.87</v>
      </c>
      <c r="E11" s="1">
        <v>216.73</v>
      </c>
      <c r="F11" s="1">
        <v>135.11000000000001</v>
      </c>
      <c r="G11" s="1">
        <v>586.71</v>
      </c>
    </row>
    <row r="12" spans="1:7" x14ac:dyDescent="0.2">
      <c r="A12" s="1" t="s">
        <v>16</v>
      </c>
      <c r="B12" s="1">
        <v>236.86</v>
      </c>
      <c r="C12" s="1">
        <v>221.31</v>
      </c>
      <c r="D12" s="1">
        <v>243.23</v>
      </c>
      <c r="E12" s="1">
        <v>230.46</v>
      </c>
      <c r="F12" s="1">
        <v>155.13</v>
      </c>
      <c r="G12" s="1">
        <v>176.68</v>
      </c>
    </row>
    <row r="13" spans="1:7" x14ac:dyDescent="0.2">
      <c r="A13" s="1" t="s">
        <v>17</v>
      </c>
      <c r="B13" s="1">
        <v>24.73</v>
      </c>
      <c r="C13" s="1">
        <v>44.02</v>
      </c>
      <c r="D13" s="1">
        <v>35.21</v>
      </c>
      <c r="E13" s="1">
        <v>39.53</v>
      </c>
      <c r="F13" s="1">
        <v>39.619999999999997</v>
      </c>
      <c r="G13" s="1">
        <v>35.450000000000003</v>
      </c>
    </row>
    <row r="14" spans="1:7" x14ac:dyDescent="0.2">
      <c r="A14" s="1" t="s">
        <v>18</v>
      </c>
      <c r="B14" s="1">
        <v>61.97</v>
      </c>
      <c r="C14" s="1">
        <v>87.76</v>
      </c>
      <c r="D14" s="1">
        <v>92.52</v>
      </c>
      <c r="E14" s="1">
        <v>86.24</v>
      </c>
      <c r="F14" s="1">
        <v>102.87</v>
      </c>
      <c r="G14" s="1">
        <v>69.77</v>
      </c>
    </row>
    <row r="15" spans="1:7" x14ac:dyDescent="0.2">
      <c r="A15" s="1" t="s">
        <v>19</v>
      </c>
      <c r="B15" s="1">
        <v>6</v>
      </c>
      <c r="C15" s="1">
        <v>5</v>
      </c>
      <c r="D15" s="1">
        <v>7</v>
      </c>
      <c r="E15" s="1">
        <v>5</v>
      </c>
      <c r="F15" s="1">
        <v>6</v>
      </c>
      <c r="G15" s="1">
        <v>6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2039.24</v>
      </c>
      <c r="C17" s="1">
        <v>1364.92</v>
      </c>
      <c r="D17" s="1">
        <v>1917.6</v>
      </c>
      <c r="E17" s="1">
        <v>995.61</v>
      </c>
      <c r="F17" s="1">
        <v>347.18</v>
      </c>
      <c r="G17" s="1">
        <v>891.47</v>
      </c>
    </row>
    <row r="18" spans="1:7" x14ac:dyDescent="0.2">
      <c r="A18" s="1" t="s">
        <v>22</v>
      </c>
      <c r="B18" s="1">
        <v>0</v>
      </c>
      <c r="C18" s="1">
        <v>46.85</v>
      </c>
      <c r="D18" s="1">
        <v>0</v>
      </c>
      <c r="E18" s="1">
        <v>321.45999999999998</v>
      </c>
      <c r="F18" s="1">
        <v>141.21</v>
      </c>
      <c r="G18" s="1">
        <v>84.44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2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3.9</v>
      </c>
      <c r="F20" s="1">
        <v>2.5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6.1</v>
      </c>
      <c r="F21" s="1">
        <v>7.5</v>
      </c>
      <c r="G21" s="1">
        <v>10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4.2</v>
      </c>
      <c r="F24" s="1">
        <v>1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3.8</v>
      </c>
      <c r="G25" s="1">
        <v>2.1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5.8</v>
      </c>
      <c r="F26" s="1">
        <v>5.2</v>
      </c>
      <c r="G26" s="1">
        <v>7.9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42.000000000000007</v>
      </c>
      <c r="F29" s="3">
        <f t="shared" si="1"/>
        <v>10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38</v>
      </c>
      <c r="G30" s="3">
        <f t="shared" si="2"/>
        <v>21.000000000000004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57.999999999999993</v>
      </c>
      <c r="F31" s="3">
        <f t="shared" si="3"/>
        <v>52</v>
      </c>
      <c r="G31" s="3">
        <f t="shared" si="3"/>
        <v>79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212.51</v>
      </c>
      <c r="C33" s="3">
        <v>140.74</v>
      </c>
      <c r="D33" s="3">
        <v>204.56</v>
      </c>
      <c r="E33" s="3">
        <v>11.13</v>
      </c>
      <c r="F33" s="3">
        <v>30.09</v>
      </c>
      <c r="G33" s="3">
        <v>88.23</v>
      </c>
    </row>
    <row r="35" spans="1:7" x14ac:dyDescent="0.2">
      <c r="A35" s="3" t="s">
        <v>36</v>
      </c>
      <c r="B35" s="3"/>
      <c r="C35" s="3"/>
      <c r="D35" s="3">
        <f>D33-C33</f>
        <v>63.819999999999993</v>
      </c>
      <c r="E35" s="3"/>
      <c r="F35" s="3">
        <f>F33-E33</f>
        <v>18.96</v>
      </c>
      <c r="G35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D5FD-0009-4005-A2A0-8627AAE202B3}">
  <dimension ref="A1:G35"/>
  <sheetViews>
    <sheetView zoomScale="80" zoomScaleNormal="80" workbookViewId="0">
      <selection activeCell="J38" sqref="J38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457.03</v>
      </c>
      <c r="C2" s="1">
        <v>508.07</v>
      </c>
      <c r="D2" s="1">
        <v>447.37</v>
      </c>
      <c r="E2" s="1">
        <v>430.65</v>
      </c>
      <c r="F2" s="1">
        <v>435.71</v>
      </c>
      <c r="G2" s="1">
        <v>491.04</v>
      </c>
    </row>
    <row r="3" spans="1:7" x14ac:dyDescent="0.2">
      <c r="A3" s="1" t="s">
        <v>7</v>
      </c>
      <c r="B3" s="1">
        <v>39.29</v>
      </c>
      <c r="C3" s="1">
        <v>52.93</v>
      </c>
      <c r="D3" s="1">
        <v>42.95</v>
      </c>
      <c r="E3" s="1">
        <v>41.87</v>
      </c>
      <c r="F3" s="1">
        <v>42.25</v>
      </c>
      <c r="G3" s="1">
        <v>49.7</v>
      </c>
    </row>
    <row r="4" spans="1:7" x14ac:dyDescent="0.2">
      <c r="A4" s="1" t="s">
        <v>8</v>
      </c>
      <c r="B4" s="1">
        <v>18293.259999999998</v>
      </c>
      <c r="C4" s="1">
        <v>27352.720000000001</v>
      </c>
      <c r="D4" s="1">
        <v>19538.38</v>
      </c>
      <c r="E4" s="1">
        <v>18368.2</v>
      </c>
      <c r="F4" s="1">
        <v>18723.13</v>
      </c>
      <c r="G4" s="1">
        <v>24805.84</v>
      </c>
    </row>
    <row r="5" spans="1:7" x14ac:dyDescent="0.2">
      <c r="A5" s="1" t="s">
        <v>9</v>
      </c>
      <c r="B5" s="1">
        <v>1765.18</v>
      </c>
      <c r="C5" s="1">
        <v>2151.7600000000002</v>
      </c>
      <c r="D5" s="1">
        <v>2033.43</v>
      </c>
      <c r="E5" s="1">
        <v>1152.26</v>
      </c>
      <c r="F5" s="1">
        <v>868.1</v>
      </c>
      <c r="G5" s="1">
        <v>869.29</v>
      </c>
    </row>
    <row r="6" spans="1:7" x14ac:dyDescent="0.2">
      <c r="A6" s="3" t="s">
        <v>10</v>
      </c>
      <c r="B6" s="3">
        <v>176.52</v>
      </c>
      <c r="C6" s="3">
        <v>217.35</v>
      </c>
      <c r="D6" s="3">
        <v>205.4</v>
      </c>
      <c r="E6" s="3">
        <v>116.39</v>
      </c>
      <c r="F6" s="3">
        <v>87.69</v>
      </c>
      <c r="G6" s="3">
        <v>87.81</v>
      </c>
    </row>
    <row r="7" spans="1:7" x14ac:dyDescent="0.2">
      <c r="A7" s="1" t="s">
        <v>11</v>
      </c>
      <c r="B7" s="1">
        <v>1615.65</v>
      </c>
      <c r="C7" s="1">
        <v>2037.5</v>
      </c>
      <c r="D7" s="1">
        <v>1956.06</v>
      </c>
      <c r="E7" s="1">
        <v>1067.43</v>
      </c>
      <c r="F7" s="1">
        <v>817.87</v>
      </c>
      <c r="G7" s="1">
        <v>767.26</v>
      </c>
    </row>
    <row r="8" spans="1:7" x14ac:dyDescent="0.2">
      <c r="A8" s="1" t="s">
        <v>12</v>
      </c>
      <c r="B8" s="1">
        <v>161.57</v>
      </c>
      <c r="C8" s="1">
        <v>205.81</v>
      </c>
      <c r="D8" s="1">
        <v>197.58</v>
      </c>
      <c r="E8" s="1">
        <v>107.82</v>
      </c>
      <c r="F8" s="1">
        <v>82.61</v>
      </c>
      <c r="G8" s="1">
        <v>77.5</v>
      </c>
    </row>
    <row r="9" spans="1:7" x14ac:dyDescent="0.2">
      <c r="A9" s="1" t="s">
        <v>13</v>
      </c>
      <c r="B9" s="1">
        <v>1612.32</v>
      </c>
      <c r="C9" s="1">
        <v>2037.5</v>
      </c>
      <c r="D9" s="1">
        <v>1956.06</v>
      </c>
      <c r="E9" s="1">
        <v>1040.52</v>
      </c>
      <c r="F9" s="1">
        <v>300.77</v>
      </c>
      <c r="G9" s="1">
        <v>211.87</v>
      </c>
    </row>
    <row r="10" spans="1:7" x14ac:dyDescent="0.2">
      <c r="A10" s="1" t="s">
        <v>14</v>
      </c>
      <c r="B10" s="1">
        <v>161.22999999999999</v>
      </c>
      <c r="C10" s="1">
        <v>205.81</v>
      </c>
      <c r="D10" s="1">
        <v>197.58</v>
      </c>
      <c r="E10" s="1">
        <v>105.1</v>
      </c>
      <c r="F10" s="1">
        <v>30.38</v>
      </c>
      <c r="G10" s="1">
        <v>21.4</v>
      </c>
    </row>
    <row r="11" spans="1:7" x14ac:dyDescent="0.2">
      <c r="A11" s="1" t="s">
        <v>15</v>
      </c>
      <c r="B11" s="1">
        <v>1402.22</v>
      </c>
      <c r="C11" s="1">
        <v>1907.2</v>
      </c>
      <c r="D11" s="1">
        <v>1716.7</v>
      </c>
      <c r="E11" s="1">
        <v>1013.84</v>
      </c>
      <c r="F11" s="1">
        <v>134.04</v>
      </c>
      <c r="G11" s="1">
        <v>80.63</v>
      </c>
    </row>
    <row r="12" spans="1:7" x14ac:dyDescent="0.2">
      <c r="A12" s="1" t="s">
        <v>16</v>
      </c>
      <c r="B12" s="1">
        <v>239.7</v>
      </c>
      <c r="C12" s="1">
        <v>239.54</v>
      </c>
      <c r="D12" s="1">
        <v>236.8</v>
      </c>
      <c r="E12" s="1">
        <v>232.45</v>
      </c>
      <c r="F12" s="1">
        <v>227.41</v>
      </c>
      <c r="G12" s="1">
        <v>183.64</v>
      </c>
    </row>
    <row r="13" spans="1:7" x14ac:dyDescent="0.2">
      <c r="A13" s="1" t="s">
        <v>17</v>
      </c>
      <c r="B13" s="1">
        <v>22.08</v>
      </c>
      <c r="C13" s="1">
        <v>25.43</v>
      </c>
      <c r="D13" s="1">
        <v>21.34</v>
      </c>
      <c r="E13" s="1">
        <v>20.56</v>
      </c>
      <c r="F13" s="1">
        <v>25.66</v>
      </c>
      <c r="G13" s="1">
        <v>56.35</v>
      </c>
    </row>
    <row r="14" spans="1:7" x14ac:dyDescent="0.2">
      <c r="A14" s="1" t="s">
        <v>18</v>
      </c>
      <c r="B14" s="1">
        <v>67.23</v>
      </c>
      <c r="C14" s="1">
        <v>52.44</v>
      </c>
      <c r="D14" s="1">
        <v>48.01</v>
      </c>
      <c r="E14" s="1">
        <v>59.99</v>
      </c>
      <c r="F14" s="1">
        <v>68.03</v>
      </c>
      <c r="G14" s="1">
        <v>92.85</v>
      </c>
    </row>
    <row r="15" spans="1:7" x14ac:dyDescent="0.2">
      <c r="A15" s="1" t="s">
        <v>19</v>
      </c>
      <c r="B15" s="1">
        <v>5</v>
      </c>
      <c r="C15" s="1">
        <v>8</v>
      </c>
      <c r="D15" s="1">
        <v>5</v>
      </c>
      <c r="E15" s="1">
        <v>7</v>
      </c>
      <c r="F15" s="1">
        <v>5</v>
      </c>
      <c r="G15" s="1">
        <v>3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1613.99</v>
      </c>
      <c r="C17" s="1">
        <v>2037.5</v>
      </c>
      <c r="D17" s="1">
        <v>1956.06</v>
      </c>
      <c r="E17" s="1">
        <v>1053.97</v>
      </c>
      <c r="F17" s="1">
        <v>559.32000000000005</v>
      </c>
      <c r="G17" s="1">
        <v>489.57</v>
      </c>
    </row>
    <row r="18" spans="1:7" x14ac:dyDescent="0.2">
      <c r="A18" s="1" t="s">
        <v>22</v>
      </c>
      <c r="B18" s="1">
        <v>1.66</v>
      </c>
      <c r="C18" s="1">
        <v>0</v>
      </c>
      <c r="D18" s="1">
        <v>0</v>
      </c>
      <c r="E18" s="1">
        <v>13.45</v>
      </c>
      <c r="F18" s="1">
        <v>258.55</v>
      </c>
      <c r="G18" s="1">
        <v>277.69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2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2.8</v>
      </c>
      <c r="G20" s="1">
        <v>2.5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7.2</v>
      </c>
      <c r="G21" s="1">
        <v>7.5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4.5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</v>
      </c>
      <c r="G25" s="1">
        <v>5.0999999999999996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3.5</v>
      </c>
      <c r="G26" s="1">
        <v>4.9000000000000004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45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20</v>
      </c>
      <c r="G30" s="3">
        <f t="shared" si="2"/>
        <v>51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35</v>
      </c>
      <c r="G31" s="3">
        <f t="shared" si="3"/>
        <v>49.000000000000007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173.57</v>
      </c>
      <c r="C33" s="3">
        <v>215.82</v>
      </c>
      <c r="D33" s="3">
        <v>205.3</v>
      </c>
      <c r="E33" s="3">
        <v>114.17</v>
      </c>
      <c r="F33" s="3">
        <v>-3.49</v>
      </c>
      <c r="G33" s="3">
        <v>11.22</v>
      </c>
    </row>
    <row r="35" spans="1:7" x14ac:dyDescent="0.2">
      <c r="A35" s="3" t="s">
        <v>36</v>
      </c>
      <c r="B35" s="3"/>
      <c r="C35" s="3"/>
      <c r="D35" s="3">
        <f>D33-C33</f>
        <v>-10.519999999999982</v>
      </c>
      <c r="E35" s="3"/>
      <c r="F35" s="3">
        <f>F33-E33</f>
        <v>-117.66</v>
      </c>
      <c r="G3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ED9B-C2E6-4C34-9EDF-9A5365B595E3}">
  <dimension ref="A1:G35"/>
  <sheetViews>
    <sheetView zoomScale="80" zoomScaleNormal="80" workbookViewId="0">
      <selection activeCell="J36" sqref="J36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369.73</v>
      </c>
      <c r="C2" s="1">
        <v>373.54</v>
      </c>
      <c r="D2" s="1">
        <v>461.75</v>
      </c>
      <c r="E2" s="1">
        <v>328.68</v>
      </c>
      <c r="F2" s="1">
        <v>381.09</v>
      </c>
      <c r="G2" s="1">
        <v>341.77</v>
      </c>
    </row>
    <row r="3" spans="1:7" x14ac:dyDescent="0.2">
      <c r="A3" s="1" t="s">
        <v>7</v>
      </c>
      <c r="B3" s="1">
        <v>38.01</v>
      </c>
      <c r="C3" s="1">
        <v>36.630000000000003</v>
      </c>
      <c r="D3" s="1">
        <v>40.86</v>
      </c>
      <c r="E3" s="1">
        <v>31.13</v>
      </c>
      <c r="F3" s="1">
        <v>33.78</v>
      </c>
      <c r="G3" s="1">
        <v>37.44</v>
      </c>
    </row>
    <row r="4" spans="1:7" x14ac:dyDescent="0.2">
      <c r="A4" s="1" t="s">
        <v>8</v>
      </c>
      <c r="B4" s="1">
        <v>14284.35</v>
      </c>
      <c r="C4" s="1">
        <v>13854.73</v>
      </c>
      <c r="D4" s="1">
        <v>19196.150000000001</v>
      </c>
      <c r="E4" s="1">
        <v>10443.65</v>
      </c>
      <c r="F4" s="1">
        <v>13079.18</v>
      </c>
      <c r="G4" s="1">
        <v>13007.05</v>
      </c>
    </row>
    <row r="5" spans="1:7" x14ac:dyDescent="0.2">
      <c r="A5" s="1" t="s">
        <v>9</v>
      </c>
      <c r="B5" s="1">
        <v>1026.8399999999999</v>
      </c>
      <c r="C5" s="1">
        <v>839.89</v>
      </c>
      <c r="D5" s="1">
        <v>1660.14</v>
      </c>
      <c r="E5" s="1">
        <v>1652.03</v>
      </c>
      <c r="F5" s="1">
        <v>1459.77</v>
      </c>
      <c r="G5" s="1">
        <v>1026</v>
      </c>
    </row>
    <row r="6" spans="1:7" x14ac:dyDescent="0.2">
      <c r="A6" s="3" t="s">
        <v>10</v>
      </c>
      <c r="B6" s="3">
        <v>102.68</v>
      </c>
      <c r="C6" s="3">
        <v>84.84</v>
      </c>
      <c r="D6" s="3">
        <v>167.69</v>
      </c>
      <c r="E6" s="3">
        <v>166.87</v>
      </c>
      <c r="F6" s="3">
        <v>147.44999999999999</v>
      </c>
      <c r="G6" s="3">
        <v>103.64</v>
      </c>
    </row>
    <row r="7" spans="1:7" x14ac:dyDescent="0.2">
      <c r="A7" s="1" t="s">
        <v>11</v>
      </c>
      <c r="B7" s="1">
        <v>927.26</v>
      </c>
      <c r="C7" s="1">
        <v>711.65</v>
      </c>
      <c r="D7" s="1">
        <v>1549.16</v>
      </c>
      <c r="E7" s="1">
        <v>1466.1</v>
      </c>
      <c r="F7" s="1">
        <v>1238.0899999999999</v>
      </c>
      <c r="G7" s="1">
        <v>883.15</v>
      </c>
    </row>
    <row r="8" spans="1:7" x14ac:dyDescent="0.2">
      <c r="A8" s="1" t="s">
        <v>12</v>
      </c>
      <c r="B8" s="1">
        <v>92.73</v>
      </c>
      <c r="C8" s="1">
        <v>71.88</v>
      </c>
      <c r="D8" s="1">
        <v>156.47999999999999</v>
      </c>
      <c r="E8" s="1">
        <v>148.09</v>
      </c>
      <c r="F8" s="1">
        <v>125.06</v>
      </c>
      <c r="G8" s="1">
        <v>89.21</v>
      </c>
    </row>
    <row r="9" spans="1:7" x14ac:dyDescent="0.2">
      <c r="A9" s="1" t="s">
        <v>13</v>
      </c>
      <c r="B9" s="1">
        <v>-531.28</v>
      </c>
      <c r="C9" s="1">
        <v>488.47</v>
      </c>
      <c r="D9" s="1">
        <v>1549.16</v>
      </c>
      <c r="E9" s="1">
        <v>1466.1</v>
      </c>
      <c r="F9" s="1">
        <v>913.98</v>
      </c>
      <c r="G9" s="1">
        <v>-279.81</v>
      </c>
    </row>
    <row r="10" spans="1:7" x14ac:dyDescent="0.2">
      <c r="A10" s="1" t="s">
        <v>14</v>
      </c>
      <c r="B10" s="1">
        <v>-53.13</v>
      </c>
      <c r="C10" s="1">
        <v>49.34</v>
      </c>
      <c r="D10" s="1">
        <v>156.47999999999999</v>
      </c>
      <c r="E10" s="1">
        <v>148.09</v>
      </c>
      <c r="F10" s="1">
        <v>92.32</v>
      </c>
      <c r="G10" s="1">
        <v>-28.26</v>
      </c>
    </row>
    <row r="11" spans="1:7" x14ac:dyDescent="0.2">
      <c r="A11" s="1" t="s">
        <v>15</v>
      </c>
      <c r="B11" s="1">
        <v>440.12</v>
      </c>
      <c r="C11" s="1">
        <v>390.97</v>
      </c>
      <c r="D11" s="1">
        <v>1539.07</v>
      </c>
      <c r="E11" s="1">
        <v>1455.88</v>
      </c>
      <c r="F11" s="1">
        <v>992.8</v>
      </c>
      <c r="G11" s="1">
        <v>150.77000000000001</v>
      </c>
    </row>
    <row r="12" spans="1:7" x14ac:dyDescent="0.2">
      <c r="A12" s="1" t="s">
        <v>16</v>
      </c>
      <c r="B12" s="1">
        <v>172.27</v>
      </c>
      <c r="C12" s="1">
        <v>186.06</v>
      </c>
      <c r="D12" s="1">
        <v>246</v>
      </c>
      <c r="E12" s="1">
        <v>190.52</v>
      </c>
      <c r="F12" s="1">
        <v>199.67</v>
      </c>
      <c r="G12" s="1">
        <v>160.82</v>
      </c>
    </row>
    <row r="13" spans="1:7" x14ac:dyDescent="0.2">
      <c r="A13" s="1" t="s">
        <v>17</v>
      </c>
      <c r="B13" s="1">
        <v>27.41</v>
      </c>
      <c r="C13" s="1">
        <v>24.24</v>
      </c>
      <c r="D13" s="1">
        <v>21.38</v>
      </c>
      <c r="E13" s="1">
        <v>21.31</v>
      </c>
      <c r="F13" s="1">
        <v>23.67</v>
      </c>
      <c r="G13" s="1">
        <v>27.57</v>
      </c>
    </row>
    <row r="14" spans="1:7" x14ac:dyDescent="0.2">
      <c r="A14" s="1" t="s">
        <v>18</v>
      </c>
      <c r="B14" s="1">
        <v>57.73</v>
      </c>
      <c r="C14" s="1">
        <v>58.67</v>
      </c>
      <c r="D14" s="1">
        <v>55.91</v>
      </c>
      <c r="E14" s="1">
        <v>48.93</v>
      </c>
      <c r="F14" s="1">
        <v>49.61</v>
      </c>
      <c r="G14" s="1">
        <v>61.02</v>
      </c>
    </row>
    <row r="15" spans="1:7" x14ac:dyDescent="0.2">
      <c r="A15" s="1" t="s">
        <v>19</v>
      </c>
      <c r="B15" s="1">
        <v>6</v>
      </c>
      <c r="C15" s="1">
        <v>7</v>
      </c>
      <c r="D15" s="1">
        <v>4</v>
      </c>
      <c r="E15" s="1">
        <v>8</v>
      </c>
      <c r="F15" s="1">
        <v>3</v>
      </c>
      <c r="G15" s="1">
        <v>6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197.99</v>
      </c>
      <c r="C17" s="1">
        <v>600.05999999999995</v>
      </c>
      <c r="D17" s="1">
        <v>1549.16</v>
      </c>
      <c r="E17" s="1">
        <v>1466.1</v>
      </c>
      <c r="F17" s="1">
        <v>1076.04</v>
      </c>
      <c r="G17" s="1">
        <v>301.67</v>
      </c>
    </row>
    <row r="18" spans="1:7" x14ac:dyDescent="0.2">
      <c r="A18" s="1" t="s">
        <v>22</v>
      </c>
      <c r="B18" s="1">
        <v>729.27</v>
      </c>
      <c r="C18" s="1">
        <v>111.59</v>
      </c>
      <c r="D18" s="1">
        <v>0</v>
      </c>
      <c r="E18" s="1">
        <v>0</v>
      </c>
      <c r="F18" s="1">
        <v>162.05000000000001</v>
      </c>
      <c r="G18" s="1">
        <v>581.48</v>
      </c>
    </row>
    <row r="19" spans="1:7" x14ac:dyDescent="0.2">
      <c r="A19" s="1" t="s">
        <v>23</v>
      </c>
      <c r="B19" s="1">
        <v>4</v>
      </c>
      <c r="C19" s="1">
        <v>1</v>
      </c>
      <c r="D19" s="1">
        <v>0</v>
      </c>
      <c r="E19" s="1">
        <v>0</v>
      </c>
      <c r="F19" s="1">
        <v>1</v>
      </c>
      <c r="G19" s="1">
        <v>2</v>
      </c>
    </row>
    <row r="20" spans="1:7" x14ac:dyDescent="0.2">
      <c r="A20" s="1" t="s">
        <v>24</v>
      </c>
      <c r="B20" s="1">
        <v>6.2</v>
      </c>
      <c r="C20" s="1">
        <v>1.1000000000000001</v>
      </c>
      <c r="D20" s="1">
        <v>0</v>
      </c>
      <c r="E20" s="1">
        <v>0</v>
      </c>
      <c r="F20" s="1">
        <v>1</v>
      </c>
      <c r="G20" s="1">
        <v>3.6</v>
      </c>
    </row>
    <row r="21" spans="1:7" x14ac:dyDescent="0.2">
      <c r="A21" s="1" t="s">
        <v>25</v>
      </c>
      <c r="B21" s="1">
        <v>3.9</v>
      </c>
      <c r="C21" s="1">
        <v>8.9</v>
      </c>
      <c r="D21" s="1">
        <v>10</v>
      </c>
      <c r="E21" s="1">
        <v>10</v>
      </c>
      <c r="F21" s="1">
        <v>9</v>
      </c>
      <c r="G21" s="1">
        <v>6.4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1.1000000000000001</v>
      </c>
    </row>
    <row r="24" spans="1:7" x14ac:dyDescent="0.2">
      <c r="A24" s="1" t="s">
        <v>28</v>
      </c>
      <c r="B24" s="1">
        <v>3.6</v>
      </c>
      <c r="C24" s="1">
        <v>1.5</v>
      </c>
      <c r="D24" s="1">
        <v>0</v>
      </c>
      <c r="E24" s="1">
        <v>0</v>
      </c>
      <c r="F24" s="1">
        <v>1.4</v>
      </c>
      <c r="G24" s="1">
        <v>3.4</v>
      </c>
    </row>
    <row r="25" spans="1:7" x14ac:dyDescent="0.2">
      <c r="A25" s="1" t="s">
        <v>29</v>
      </c>
      <c r="B25" s="1">
        <v>4.7</v>
      </c>
      <c r="C25" s="1">
        <v>2.8</v>
      </c>
      <c r="D25" s="1">
        <v>0</v>
      </c>
      <c r="E25" s="1">
        <v>0</v>
      </c>
      <c r="F25" s="1">
        <v>0</v>
      </c>
      <c r="G25" s="1">
        <v>4.5999999999999996</v>
      </c>
    </row>
    <row r="26" spans="1:7" x14ac:dyDescent="0.2">
      <c r="A26" s="1" t="s">
        <v>30</v>
      </c>
      <c r="B26" s="1">
        <v>1.8</v>
      </c>
      <c r="C26" s="1">
        <v>5.7</v>
      </c>
      <c r="D26" s="1">
        <v>10</v>
      </c>
      <c r="E26" s="1">
        <v>10</v>
      </c>
      <c r="F26" s="1">
        <v>8.6</v>
      </c>
      <c r="G26" s="1">
        <v>2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35.64356435643564</v>
      </c>
      <c r="C29" s="3">
        <f t="shared" ref="C29:G29" si="1">C24/C28*100</f>
        <v>15</v>
      </c>
      <c r="D29" s="3">
        <f t="shared" si="1"/>
        <v>0</v>
      </c>
      <c r="E29" s="3">
        <f t="shared" si="1"/>
        <v>0</v>
      </c>
      <c r="F29" s="3">
        <f t="shared" si="1"/>
        <v>13.999999999999998</v>
      </c>
      <c r="G29" s="3">
        <f t="shared" si="1"/>
        <v>34</v>
      </c>
    </row>
    <row r="30" spans="1:7" x14ac:dyDescent="0.2">
      <c r="A30" s="3" t="s">
        <v>33</v>
      </c>
      <c r="B30" s="3">
        <f>B25/B28*100</f>
        <v>46.53465346534653</v>
      </c>
      <c r="C30" s="3">
        <f t="shared" ref="C30:G30" si="2">C25/C28*100</f>
        <v>27.999999999999996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46</v>
      </c>
    </row>
    <row r="31" spans="1:7" x14ac:dyDescent="0.2">
      <c r="A31" s="3" t="s">
        <v>34</v>
      </c>
      <c r="B31" s="3">
        <f>B26/B28*100</f>
        <v>17.82178217821782</v>
      </c>
      <c r="C31" s="3">
        <f t="shared" ref="C31:G31" si="3">C26/C28*100</f>
        <v>57.000000000000007</v>
      </c>
      <c r="D31" s="3">
        <f t="shared" si="3"/>
        <v>100</v>
      </c>
      <c r="E31" s="3">
        <f t="shared" si="3"/>
        <v>100</v>
      </c>
      <c r="F31" s="3">
        <f t="shared" si="3"/>
        <v>86</v>
      </c>
      <c r="G31" s="3">
        <f t="shared" si="3"/>
        <v>20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-52.86</v>
      </c>
      <c r="C33" s="3">
        <v>50.95</v>
      </c>
      <c r="D33" s="3">
        <v>164.81</v>
      </c>
      <c r="E33" s="3">
        <v>165.05</v>
      </c>
      <c r="F33" s="3">
        <v>104.58</v>
      </c>
      <c r="G33" s="3">
        <v>-4.2300000000000004</v>
      </c>
    </row>
    <row r="35" spans="1:7" x14ac:dyDescent="0.2">
      <c r="A35" s="3" t="s">
        <v>36</v>
      </c>
      <c r="B35" s="3"/>
      <c r="C35" s="3"/>
      <c r="D35" s="3">
        <f>D33-C33</f>
        <v>113.86</v>
      </c>
      <c r="E35" s="3"/>
      <c r="F35" s="3">
        <f>F33-E33</f>
        <v>-60.470000000000013</v>
      </c>
      <c r="G35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64FF-08CF-4AA3-BDA1-4B4026FC3998}">
  <dimension ref="A1:G35"/>
  <sheetViews>
    <sheetView zoomScale="80" zoomScaleNormal="80" workbookViewId="0">
      <selection activeCell="M12" sqref="M12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489.47</v>
      </c>
      <c r="C2" s="1">
        <v>474.47</v>
      </c>
      <c r="D2" s="1">
        <v>455.42</v>
      </c>
      <c r="E2" s="1">
        <v>435.58</v>
      </c>
      <c r="F2" s="1">
        <v>483.61</v>
      </c>
      <c r="G2" s="1">
        <v>478.76</v>
      </c>
    </row>
    <row r="3" spans="1:7" x14ac:dyDescent="0.2">
      <c r="A3" s="1" t="s">
        <v>7</v>
      </c>
      <c r="B3" s="1">
        <v>53.87</v>
      </c>
      <c r="C3" s="1">
        <v>43.42</v>
      </c>
      <c r="D3" s="1">
        <v>39.93</v>
      </c>
      <c r="E3" s="1">
        <v>43.79</v>
      </c>
      <c r="F3" s="1">
        <v>45.83</v>
      </c>
      <c r="G3" s="1">
        <v>49.39</v>
      </c>
    </row>
    <row r="4" spans="1:7" x14ac:dyDescent="0.2">
      <c r="A4" s="1" t="s">
        <v>8</v>
      </c>
      <c r="B4" s="1">
        <v>26813.14</v>
      </c>
      <c r="C4" s="1">
        <v>20971.91</v>
      </c>
      <c r="D4" s="1">
        <v>18510.669999999998</v>
      </c>
      <c r="E4" s="1">
        <v>19381.88</v>
      </c>
      <c r="F4" s="1">
        <v>22557.65</v>
      </c>
      <c r="G4" s="1">
        <v>24077.919999999998</v>
      </c>
    </row>
    <row r="5" spans="1:7" x14ac:dyDescent="0.2">
      <c r="A5" s="1" t="s">
        <v>9</v>
      </c>
      <c r="B5" s="1">
        <v>2279.91</v>
      </c>
      <c r="C5" s="1">
        <v>2501.21</v>
      </c>
      <c r="D5" s="1">
        <v>2295.19</v>
      </c>
      <c r="E5" s="1">
        <v>1706.03</v>
      </c>
      <c r="F5" s="1">
        <v>1597.33</v>
      </c>
      <c r="G5" s="1">
        <v>1832.36</v>
      </c>
    </row>
    <row r="6" spans="1:7" x14ac:dyDescent="0.2">
      <c r="A6" s="3" t="s">
        <v>10</v>
      </c>
      <c r="B6" s="3">
        <v>227.99</v>
      </c>
      <c r="C6" s="3">
        <v>252.65</v>
      </c>
      <c r="D6" s="3">
        <v>231.84</v>
      </c>
      <c r="E6" s="3">
        <v>172.33</v>
      </c>
      <c r="F6" s="3">
        <v>161.35</v>
      </c>
      <c r="G6" s="3">
        <v>185.09</v>
      </c>
    </row>
    <row r="7" spans="1:7" x14ac:dyDescent="0.2">
      <c r="A7" s="1" t="s">
        <v>11</v>
      </c>
      <c r="B7" s="1">
        <v>2150.2800000000002</v>
      </c>
      <c r="C7" s="1">
        <v>2342.5300000000002</v>
      </c>
      <c r="D7" s="1">
        <v>2166.5700000000002</v>
      </c>
      <c r="E7" s="1">
        <v>1573.29</v>
      </c>
      <c r="F7" s="1">
        <v>1509.8</v>
      </c>
      <c r="G7" s="1">
        <v>1702.9</v>
      </c>
    </row>
    <row r="8" spans="1:7" x14ac:dyDescent="0.2">
      <c r="A8" s="1" t="s">
        <v>12</v>
      </c>
      <c r="B8" s="1">
        <v>215.03</v>
      </c>
      <c r="C8" s="1">
        <v>236.62</v>
      </c>
      <c r="D8" s="1">
        <v>218.85</v>
      </c>
      <c r="E8" s="1">
        <v>158.91999999999999</v>
      </c>
      <c r="F8" s="1">
        <v>152.5</v>
      </c>
      <c r="G8" s="1">
        <v>172.01</v>
      </c>
    </row>
    <row r="9" spans="1:7" x14ac:dyDescent="0.2">
      <c r="A9" s="1" t="s">
        <v>13</v>
      </c>
      <c r="B9" s="1">
        <v>2150.2800000000002</v>
      </c>
      <c r="C9" s="1">
        <v>2342.5300000000002</v>
      </c>
      <c r="D9" s="1">
        <v>2166.5700000000002</v>
      </c>
      <c r="E9" s="1">
        <v>1555</v>
      </c>
      <c r="F9" s="1">
        <v>1155.32</v>
      </c>
      <c r="G9" s="1">
        <v>969.31</v>
      </c>
    </row>
    <row r="10" spans="1:7" x14ac:dyDescent="0.2">
      <c r="A10" s="1" t="s">
        <v>14</v>
      </c>
      <c r="B10" s="1">
        <v>215.03</v>
      </c>
      <c r="C10" s="1">
        <v>236.62</v>
      </c>
      <c r="D10" s="1">
        <v>218.85</v>
      </c>
      <c r="E10" s="1">
        <v>157.07</v>
      </c>
      <c r="F10" s="1">
        <v>116.7</v>
      </c>
      <c r="G10" s="1">
        <v>97.91</v>
      </c>
    </row>
    <row r="11" spans="1:7" x14ac:dyDescent="0.2">
      <c r="A11" s="1" t="s">
        <v>15</v>
      </c>
      <c r="B11" s="1">
        <v>2018.89</v>
      </c>
      <c r="C11" s="1">
        <v>2268.35</v>
      </c>
      <c r="D11" s="1">
        <v>2134.79</v>
      </c>
      <c r="E11" s="1">
        <v>1528.87</v>
      </c>
      <c r="F11" s="1">
        <v>912.49</v>
      </c>
      <c r="G11" s="1">
        <v>755.63</v>
      </c>
    </row>
    <row r="12" spans="1:7" x14ac:dyDescent="0.2">
      <c r="A12" s="1" t="s">
        <v>16</v>
      </c>
      <c r="B12" s="1">
        <v>263.92</v>
      </c>
      <c r="C12" s="1">
        <v>282.12</v>
      </c>
      <c r="D12" s="1">
        <v>267.32</v>
      </c>
      <c r="E12" s="1">
        <v>245.6</v>
      </c>
      <c r="F12" s="1">
        <v>248.06</v>
      </c>
      <c r="G12" s="1">
        <v>245.71</v>
      </c>
    </row>
    <row r="13" spans="1:7" x14ac:dyDescent="0.2">
      <c r="A13" s="1" t="s">
        <v>17</v>
      </c>
      <c r="B13" s="1">
        <v>24.89</v>
      </c>
      <c r="C13" s="1">
        <v>28.44</v>
      </c>
      <c r="D13" s="1">
        <v>21.04</v>
      </c>
      <c r="E13" s="1">
        <v>20.75</v>
      </c>
      <c r="F13" s="1">
        <v>26.28</v>
      </c>
      <c r="G13" s="1">
        <v>42.77</v>
      </c>
    </row>
    <row r="14" spans="1:7" x14ac:dyDescent="0.2">
      <c r="A14" s="1" t="s">
        <v>18</v>
      </c>
      <c r="B14" s="1">
        <v>56.21</v>
      </c>
      <c r="C14" s="1">
        <v>57.8</v>
      </c>
      <c r="D14" s="1">
        <v>51.97</v>
      </c>
      <c r="E14" s="1">
        <v>52.33</v>
      </c>
      <c r="F14" s="1">
        <v>82.24</v>
      </c>
      <c r="G14" s="1">
        <v>80.77</v>
      </c>
    </row>
    <row r="15" spans="1:7" x14ac:dyDescent="0.2">
      <c r="A15" s="1" t="s">
        <v>19</v>
      </c>
      <c r="B15" s="1">
        <v>5</v>
      </c>
      <c r="C15" s="1">
        <v>6</v>
      </c>
      <c r="D15" s="1">
        <v>4</v>
      </c>
      <c r="E15" s="1">
        <v>3</v>
      </c>
      <c r="F15" s="1">
        <v>4</v>
      </c>
      <c r="G15" s="1">
        <v>6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2150.2800000000002</v>
      </c>
      <c r="C17" s="1">
        <v>2342.5300000000002</v>
      </c>
      <c r="D17" s="1">
        <v>2166.5700000000002</v>
      </c>
      <c r="E17" s="1">
        <v>1564.14</v>
      </c>
      <c r="F17" s="1">
        <v>1332.56</v>
      </c>
      <c r="G17" s="1">
        <v>1336.1</v>
      </c>
    </row>
    <row r="18" spans="1:7" x14ac:dyDescent="0.2">
      <c r="A18" s="1" t="s">
        <v>22</v>
      </c>
      <c r="B18" s="1">
        <v>0</v>
      </c>
      <c r="C18" s="1">
        <v>0</v>
      </c>
      <c r="D18" s="1">
        <v>0</v>
      </c>
      <c r="E18" s="1">
        <v>9.15</v>
      </c>
      <c r="F18" s="1">
        <v>177.24</v>
      </c>
      <c r="G18" s="1">
        <v>366.8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2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2.2999999999999998</v>
      </c>
      <c r="G20" s="1">
        <v>3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7.7</v>
      </c>
      <c r="G21" s="1">
        <v>7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1.8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3.4</v>
      </c>
      <c r="G24" s="1">
        <v>3.8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6.6</v>
      </c>
      <c r="G26" s="1">
        <v>6.2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34</v>
      </c>
      <c r="G29" s="3">
        <f t="shared" si="1"/>
        <v>38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65.999999999999986</v>
      </c>
      <c r="G31" s="3">
        <f t="shared" si="3"/>
        <v>62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220.16</v>
      </c>
      <c r="C33" s="3">
        <v>247.56</v>
      </c>
      <c r="D33" s="3">
        <v>234.01</v>
      </c>
      <c r="E33" s="3">
        <v>170.52</v>
      </c>
      <c r="F33" s="3">
        <v>100.23</v>
      </c>
      <c r="G33" s="3">
        <v>69.64</v>
      </c>
    </row>
    <row r="35" spans="1:7" x14ac:dyDescent="0.2">
      <c r="A35" s="3" t="s">
        <v>36</v>
      </c>
      <c r="B35" s="3"/>
      <c r="C35" s="3"/>
      <c r="D35" s="3">
        <f>D33-C33</f>
        <v>-13.550000000000011</v>
      </c>
      <c r="E35" s="3"/>
      <c r="F35" s="3">
        <f>F33-E33</f>
        <v>-70.290000000000006</v>
      </c>
      <c r="G35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BA48-D77A-43AC-98A8-0B33F08E2B5C}">
  <dimension ref="A1:G35"/>
  <sheetViews>
    <sheetView topLeftCell="A4" zoomScale="80" zoomScaleNormal="80" workbookViewId="0">
      <selection activeCell="N25" sqref="N25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398.56</v>
      </c>
      <c r="C2" s="1">
        <v>482.41</v>
      </c>
      <c r="D2" s="1">
        <v>497.33</v>
      </c>
      <c r="E2" s="1">
        <v>508.97</v>
      </c>
      <c r="F2" s="1">
        <v>497.66</v>
      </c>
      <c r="G2" s="1">
        <v>318.57</v>
      </c>
    </row>
    <row r="3" spans="1:7" x14ac:dyDescent="0.2">
      <c r="A3" s="1" t="s">
        <v>7</v>
      </c>
      <c r="B3" s="1">
        <v>38.590000000000003</v>
      </c>
      <c r="C3" s="1">
        <v>46.79</v>
      </c>
      <c r="D3" s="1">
        <v>48.88</v>
      </c>
      <c r="E3" s="1">
        <v>50.67</v>
      </c>
      <c r="F3" s="1">
        <v>49.27</v>
      </c>
      <c r="G3" s="1">
        <v>47.91</v>
      </c>
    </row>
    <row r="4" spans="1:7" x14ac:dyDescent="0.2">
      <c r="A4" s="1" t="s">
        <v>8</v>
      </c>
      <c r="B4" s="1">
        <v>15719.89</v>
      </c>
      <c r="C4" s="1">
        <v>22924.03</v>
      </c>
      <c r="D4" s="1">
        <v>24781.77</v>
      </c>
      <c r="E4" s="1">
        <v>26200.14</v>
      </c>
      <c r="F4" s="1">
        <v>24957.37</v>
      </c>
      <c r="G4" s="1">
        <v>15557.85</v>
      </c>
    </row>
    <row r="5" spans="1:7" x14ac:dyDescent="0.2">
      <c r="A5" s="1" t="s">
        <v>9</v>
      </c>
      <c r="B5" s="1">
        <v>1674.17</v>
      </c>
      <c r="C5" s="1">
        <v>1984.26</v>
      </c>
      <c r="D5" s="1">
        <v>2142.7399999999998</v>
      </c>
      <c r="E5" s="1">
        <v>976.57</v>
      </c>
      <c r="F5" s="1">
        <v>1134.81</v>
      </c>
      <c r="G5" s="1">
        <v>1484.23</v>
      </c>
    </row>
    <row r="6" spans="1:7" x14ac:dyDescent="0.2">
      <c r="A6" s="3" t="s">
        <v>10</v>
      </c>
      <c r="B6" s="3">
        <v>167.42</v>
      </c>
      <c r="C6" s="3">
        <v>200.43</v>
      </c>
      <c r="D6" s="3">
        <v>216.44</v>
      </c>
      <c r="E6" s="3">
        <v>98.64</v>
      </c>
      <c r="F6" s="3">
        <v>114.63</v>
      </c>
      <c r="G6" s="3">
        <v>151.44999999999999</v>
      </c>
    </row>
    <row r="7" spans="1:7" x14ac:dyDescent="0.2">
      <c r="A7" s="1" t="s">
        <v>11</v>
      </c>
      <c r="B7" s="1">
        <v>1570.78</v>
      </c>
      <c r="C7" s="1">
        <v>1881.5</v>
      </c>
      <c r="D7" s="1">
        <v>2029.81</v>
      </c>
      <c r="E7" s="1">
        <v>937.7</v>
      </c>
      <c r="F7" s="1">
        <v>1041.42</v>
      </c>
      <c r="G7" s="1">
        <v>1320.5</v>
      </c>
    </row>
    <row r="8" spans="1:7" x14ac:dyDescent="0.2">
      <c r="A8" s="1" t="s">
        <v>12</v>
      </c>
      <c r="B8" s="1">
        <v>157.08000000000001</v>
      </c>
      <c r="C8" s="1">
        <v>190.05</v>
      </c>
      <c r="D8" s="1">
        <v>205.03</v>
      </c>
      <c r="E8" s="1">
        <v>94.72</v>
      </c>
      <c r="F8" s="1">
        <v>105.19</v>
      </c>
      <c r="G8" s="1">
        <v>134.75</v>
      </c>
    </row>
    <row r="9" spans="1:7" x14ac:dyDescent="0.2">
      <c r="A9" s="1" t="s">
        <v>13</v>
      </c>
      <c r="B9" s="1">
        <v>1546.56</v>
      </c>
      <c r="C9" s="1">
        <v>1881.5</v>
      </c>
      <c r="D9" s="1">
        <v>2029.81</v>
      </c>
      <c r="E9" s="1">
        <v>892.71</v>
      </c>
      <c r="F9" s="1">
        <v>-667.27</v>
      </c>
      <c r="G9" s="1">
        <v>687.01</v>
      </c>
    </row>
    <row r="10" spans="1:7" x14ac:dyDescent="0.2">
      <c r="A10" s="1" t="s">
        <v>14</v>
      </c>
      <c r="B10" s="1">
        <v>154.66</v>
      </c>
      <c r="C10" s="1">
        <v>190.05</v>
      </c>
      <c r="D10" s="1">
        <v>205.03</v>
      </c>
      <c r="E10" s="1">
        <v>90.17</v>
      </c>
      <c r="F10" s="1">
        <v>-67.400000000000006</v>
      </c>
      <c r="G10" s="1">
        <v>70.099999999999994</v>
      </c>
    </row>
    <row r="11" spans="1:7" x14ac:dyDescent="0.2">
      <c r="A11" s="1" t="s">
        <v>15</v>
      </c>
      <c r="B11" s="1">
        <v>1344.5</v>
      </c>
      <c r="C11" s="1">
        <v>952.83</v>
      </c>
      <c r="D11" s="1">
        <v>1976.62</v>
      </c>
      <c r="E11" s="1">
        <v>822.24</v>
      </c>
      <c r="F11" s="1">
        <v>536.75</v>
      </c>
      <c r="G11" s="1">
        <v>574.52</v>
      </c>
    </row>
    <row r="12" spans="1:7" x14ac:dyDescent="0.2">
      <c r="A12" s="1" t="s">
        <v>16</v>
      </c>
      <c r="B12" s="1">
        <v>229.78</v>
      </c>
      <c r="C12" s="1">
        <v>249.37</v>
      </c>
      <c r="D12" s="1">
        <v>269.92</v>
      </c>
      <c r="E12" s="1">
        <v>257.8</v>
      </c>
      <c r="F12" s="1">
        <v>209.34</v>
      </c>
      <c r="G12" s="1">
        <v>175.29</v>
      </c>
    </row>
    <row r="13" spans="1:7" x14ac:dyDescent="0.2">
      <c r="A13" s="1" t="s">
        <v>17</v>
      </c>
      <c r="B13" s="1">
        <v>30.79</v>
      </c>
      <c r="C13" s="1">
        <v>37.5</v>
      </c>
      <c r="D13" s="1">
        <v>21.22</v>
      </c>
      <c r="E13" s="1">
        <v>22.82</v>
      </c>
      <c r="F13" s="1">
        <v>40.200000000000003</v>
      </c>
      <c r="G13" s="1">
        <v>25</v>
      </c>
    </row>
    <row r="14" spans="1:7" x14ac:dyDescent="0.2">
      <c r="A14" s="1" t="s">
        <v>18</v>
      </c>
      <c r="B14" s="1">
        <v>66.59</v>
      </c>
      <c r="C14" s="1">
        <v>93.78</v>
      </c>
      <c r="D14" s="1">
        <v>76.040000000000006</v>
      </c>
      <c r="E14" s="1">
        <v>56.93</v>
      </c>
      <c r="F14" s="1">
        <v>93.94</v>
      </c>
      <c r="G14" s="1">
        <v>49.48</v>
      </c>
    </row>
    <row r="15" spans="1:7" x14ac:dyDescent="0.2">
      <c r="A15" s="1" t="s">
        <v>19</v>
      </c>
      <c r="B15" s="1">
        <v>6</v>
      </c>
      <c r="C15" s="1">
        <v>6</v>
      </c>
      <c r="D15" s="1">
        <v>3</v>
      </c>
      <c r="E15" s="1">
        <v>6</v>
      </c>
      <c r="F15" s="1">
        <v>6</v>
      </c>
      <c r="G15" s="1">
        <v>5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">
      <c r="A17" s="1" t="s">
        <v>21</v>
      </c>
      <c r="B17" s="1">
        <v>1558.67</v>
      </c>
      <c r="C17" s="1">
        <v>1881.5</v>
      </c>
      <c r="D17" s="1">
        <v>2029.81</v>
      </c>
      <c r="E17" s="1">
        <v>915.21</v>
      </c>
      <c r="F17" s="1">
        <v>187.08</v>
      </c>
      <c r="G17" s="1">
        <v>1003.75</v>
      </c>
    </row>
    <row r="18" spans="1:7" x14ac:dyDescent="0.2">
      <c r="A18" s="1" t="s">
        <v>22</v>
      </c>
      <c r="B18" s="1">
        <v>12.11</v>
      </c>
      <c r="C18" s="1">
        <v>0</v>
      </c>
      <c r="D18" s="1">
        <v>0</v>
      </c>
      <c r="E18" s="1">
        <v>22.5</v>
      </c>
      <c r="F18" s="1">
        <v>854.35</v>
      </c>
      <c r="G18" s="1">
        <v>316.75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2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6.3</v>
      </c>
      <c r="G20" s="1">
        <v>3.3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3.7</v>
      </c>
      <c r="G21" s="1">
        <v>6.6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6.4</v>
      </c>
      <c r="G24" s="1">
        <v>3.5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1.4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2.2000000000000002</v>
      </c>
      <c r="G26" s="1">
        <v>6.4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64</v>
      </c>
      <c r="G29" s="3">
        <f t="shared" si="1"/>
        <v>35.353535353535356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13.999999999999998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22.000000000000004</v>
      </c>
      <c r="G31" s="3">
        <f t="shared" si="3"/>
        <v>64.646464646464651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157.78</v>
      </c>
      <c r="C33" s="3">
        <v>198.01</v>
      </c>
      <c r="D33" s="3">
        <v>214.15</v>
      </c>
      <c r="E33" s="3">
        <v>93.53</v>
      </c>
      <c r="F33" s="3">
        <v>-65.790000000000006</v>
      </c>
      <c r="G33" s="3">
        <v>27.97</v>
      </c>
    </row>
    <row r="35" spans="1:7" x14ac:dyDescent="0.2">
      <c r="A35" s="3" t="s">
        <v>36</v>
      </c>
      <c r="B35" s="3"/>
      <c r="C35" s="3"/>
      <c r="D35" s="3">
        <f>D33-C33</f>
        <v>16.140000000000015</v>
      </c>
      <c r="E35" s="3"/>
      <c r="F35" s="3">
        <f>F33-E33</f>
        <v>-159.32</v>
      </c>
      <c r="G35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2122-39C8-4504-ABAD-5A30321699DE}">
  <dimension ref="A1:G35"/>
  <sheetViews>
    <sheetView zoomScale="80" zoomScaleNormal="80" workbookViewId="0">
      <selection activeCell="P13" sqref="P13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410.25</v>
      </c>
      <c r="C2" s="1">
        <v>378.08</v>
      </c>
      <c r="D2" s="1">
        <v>348.25</v>
      </c>
      <c r="E2" s="1">
        <v>418.52</v>
      </c>
      <c r="F2" s="1">
        <v>406.43</v>
      </c>
      <c r="G2" s="1">
        <v>438.36</v>
      </c>
    </row>
    <row r="3" spans="1:7" x14ac:dyDescent="0.2">
      <c r="A3" s="1" t="s">
        <v>7</v>
      </c>
      <c r="B3" s="1">
        <v>40.92</v>
      </c>
      <c r="C3" s="1">
        <v>42.19</v>
      </c>
      <c r="D3" s="1">
        <v>37.89</v>
      </c>
      <c r="E3" s="1">
        <v>45.83</v>
      </c>
      <c r="F3" s="1">
        <v>43.47</v>
      </c>
      <c r="G3" s="1">
        <v>44.64</v>
      </c>
    </row>
    <row r="4" spans="1:7" x14ac:dyDescent="0.2">
      <c r="A4" s="1" t="s">
        <v>8</v>
      </c>
      <c r="B4" s="1">
        <v>17143.34</v>
      </c>
      <c r="C4" s="1">
        <v>16248.64</v>
      </c>
      <c r="D4" s="1">
        <v>13367.69</v>
      </c>
      <c r="E4" s="1">
        <v>19531.7</v>
      </c>
      <c r="F4" s="1">
        <v>18006.02</v>
      </c>
      <c r="G4" s="1">
        <v>19972.5</v>
      </c>
    </row>
    <row r="5" spans="1:7" x14ac:dyDescent="0.2">
      <c r="A5" s="1" t="s">
        <v>9</v>
      </c>
      <c r="B5" s="1">
        <v>1629.04</v>
      </c>
      <c r="C5" s="1">
        <v>2349.11</v>
      </c>
      <c r="D5" s="1">
        <v>2430.85</v>
      </c>
      <c r="E5" s="1">
        <v>1037.8399999999999</v>
      </c>
      <c r="F5" s="1">
        <v>1271.3800000000001</v>
      </c>
      <c r="G5" s="1">
        <v>2722.79</v>
      </c>
    </row>
    <row r="6" spans="1:7" x14ac:dyDescent="0.2">
      <c r="A6" s="3" t="s">
        <v>10</v>
      </c>
      <c r="B6" s="3">
        <v>162.9</v>
      </c>
      <c r="C6" s="3">
        <v>237.28</v>
      </c>
      <c r="D6" s="3">
        <v>245.54</v>
      </c>
      <c r="E6" s="3">
        <v>104.83</v>
      </c>
      <c r="F6" s="3">
        <v>128.41999999999999</v>
      </c>
      <c r="G6" s="3">
        <v>277.83999999999997</v>
      </c>
    </row>
    <row r="7" spans="1:7" x14ac:dyDescent="0.2">
      <c r="A7" s="1" t="s">
        <v>11</v>
      </c>
      <c r="B7" s="1">
        <v>1496.96</v>
      </c>
      <c r="C7" s="1">
        <v>2090.2800000000002</v>
      </c>
      <c r="D7" s="1">
        <v>2239.52</v>
      </c>
      <c r="E7" s="1">
        <v>1006.18</v>
      </c>
      <c r="F7" s="1">
        <v>1122.95</v>
      </c>
      <c r="G7" s="1">
        <v>2565.5100000000002</v>
      </c>
    </row>
    <row r="8" spans="1:7" x14ac:dyDescent="0.2">
      <c r="A8" s="1" t="s">
        <v>12</v>
      </c>
      <c r="B8" s="1">
        <v>149.69999999999999</v>
      </c>
      <c r="C8" s="1">
        <v>211.14</v>
      </c>
      <c r="D8" s="1">
        <v>226.21</v>
      </c>
      <c r="E8" s="1">
        <v>101.63</v>
      </c>
      <c r="F8" s="1">
        <v>113.43</v>
      </c>
      <c r="G8" s="1">
        <v>261.79000000000002</v>
      </c>
    </row>
    <row r="9" spans="1:7" x14ac:dyDescent="0.2">
      <c r="A9" s="1" t="s">
        <v>13</v>
      </c>
      <c r="B9" s="1">
        <v>1424.43</v>
      </c>
      <c r="C9" s="1">
        <v>2090.2800000000002</v>
      </c>
      <c r="D9" s="1">
        <v>2239.52</v>
      </c>
      <c r="E9" s="1">
        <v>934.76</v>
      </c>
      <c r="F9" s="1">
        <v>1004.04</v>
      </c>
      <c r="G9" s="1">
        <v>2565.5100000000002</v>
      </c>
    </row>
    <row r="10" spans="1:7" x14ac:dyDescent="0.2">
      <c r="A10" s="1" t="s">
        <v>14</v>
      </c>
      <c r="B10" s="1">
        <v>142.44</v>
      </c>
      <c r="C10" s="1">
        <v>211.14</v>
      </c>
      <c r="D10" s="1">
        <v>226.21</v>
      </c>
      <c r="E10" s="1">
        <v>94.42</v>
      </c>
      <c r="F10" s="1">
        <v>101.42</v>
      </c>
      <c r="G10" s="1">
        <v>261.79000000000002</v>
      </c>
    </row>
    <row r="11" spans="1:7" x14ac:dyDescent="0.2">
      <c r="A11" s="1" t="s">
        <v>15</v>
      </c>
      <c r="B11" s="1">
        <v>1281.46</v>
      </c>
      <c r="C11" s="1">
        <v>2088.6999999999998</v>
      </c>
      <c r="D11" s="1">
        <v>2172.13</v>
      </c>
      <c r="E11" s="1">
        <v>893.93</v>
      </c>
      <c r="F11" s="1">
        <v>988.3</v>
      </c>
      <c r="G11" s="1">
        <v>2440.14</v>
      </c>
    </row>
    <row r="12" spans="1:7" x14ac:dyDescent="0.2">
      <c r="A12" s="1" t="s">
        <v>16</v>
      </c>
      <c r="B12" s="1">
        <v>215.92</v>
      </c>
      <c r="C12" s="1">
        <v>225.64</v>
      </c>
      <c r="D12" s="1">
        <v>208.56</v>
      </c>
      <c r="E12" s="1">
        <v>220.17</v>
      </c>
      <c r="F12" s="1">
        <v>224.87</v>
      </c>
      <c r="G12" s="1">
        <v>252.36</v>
      </c>
    </row>
    <row r="13" spans="1:7" x14ac:dyDescent="0.2">
      <c r="A13" s="1" t="s">
        <v>17</v>
      </c>
      <c r="B13" s="1">
        <v>30.84</v>
      </c>
      <c r="C13" s="1">
        <v>25.83</v>
      </c>
      <c r="D13" s="1">
        <v>23.04</v>
      </c>
      <c r="E13" s="1">
        <v>16.97</v>
      </c>
      <c r="F13" s="1">
        <v>24.62</v>
      </c>
      <c r="G13" s="1">
        <v>31.84</v>
      </c>
    </row>
    <row r="14" spans="1:7" x14ac:dyDescent="0.2">
      <c r="A14" s="1" t="s">
        <v>18</v>
      </c>
      <c r="B14" s="1">
        <v>85.51</v>
      </c>
      <c r="C14" s="1">
        <v>64.33</v>
      </c>
      <c r="D14" s="1">
        <v>55.59</v>
      </c>
      <c r="E14" s="1">
        <v>47.43</v>
      </c>
      <c r="F14" s="1">
        <v>67.94</v>
      </c>
      <c r="G14" s="1">
        <v>66.2</v>
      </c>
    </row>
    <row r="15" spans="1:7" x14ac:dyDescent="0.2">
      <c r="A15" s="1" t="s">
        <v>19</v>
      </c>
      <c r="B15" s="1">
        <v>4</v>
      </c>
      <c r="C15" s="1">
        <v>6</v>
      </c>
      <c r="D15" s="1">
        <v>11</v>
      </c>
      <c r="E15" s="1">
        <v>5</v>
      </c>
      <c r="F15" s="1">
        <v>4</v>
      </c>
      <c r="G15" s="1">
        <v>8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">
      <c r="A17" s="1" t="s">
        <v>21</v>
      </c>
      <c r="B17" s="1">
        <v>1460.7</v>
      </c>
      <c r="C17" s="1">
        <v>2090.2800000000002</v>
      </c>
      <c r="D17" s="1">
        <v>2239.52</v>
      </c>
      <c r="E17" s="1">
        <v>970.47</v>
      </c>
      <c r="F17" s="1">
        <v>1063.5</v>
      </c>
      <c r="G17" s="1">
        <v>2565.5100000000002</v>
      </c>
    </row>
    <row r="18" spans="1:7" x14ac:dyDescent="0.2">
      <c r="A18" s="1" t="s">
        <v>22</v>
      </c>
      <c r="B18" s="1">
        <v>36.26</v>
      </c>
      <c r="C18" s="1">
        <v>0</v>
      </c>
      <c r="D18" s="1">
        <v>0</v>
      </c>
      <c r="E18" s="1">
        <v>35.71</v>
      </c>
      <c r="F18" s="1">
        <v>59.46</v>
      </c>
      <c r="G18" s="1">
        <v>0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1.1000000000000001</v>
      </c>
      <c r="F20" s="1">
        <v>1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8.9</v>
      </c>
      <c r="F21" s="1">
        <v>9</v>
      </c>
      <c r="G21" s="1">
        <v>9.9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2.1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7.9</v>
      </c>
      <c r="G26" s="1">
        <v>9.9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21.000000000000004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79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154.77000000000001</v>
      </c>
      <c r="C33" s="3">
        <v>236.53</v>
      </c>
      <c r="D33" s="3">
        <v>246.69</v>
      </c>
      <c r="E33" s="3">
        <v>98.57</v>
      </c>
      <c r="F33" s="3">
        <v>113.98</v>
      </c>
      <c r="G33" s="3">
        <v>274.56</v>
      </c>
    </row>
    <row r="35" spans="1:7" x14ac:dyDescent="0.2">
      <c r="A35" s="3" t="s">
        <v>36</v>
      </c>
      <c r="B35" s="3"/>
      <c r="C35" s="3"/>
      <c r="D35" s="3">
        <f>D33-C33</f>
        <v>10.159999999999997</v>
      </c>
      <c r="E35" s="3"/>
      <c r="F35" s="3">
        <f>F33-E33</f>
        <v>15.410000000000011</v>
      </c>
      <c r="G35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6CB2-9225-4523-A21E-18851C8FFCDA}">
  <dimension ref="A1:G35"/>
  <sheetViews>
    <sheetView zoomScale="80" zoomScaleNormal="80" workbookViewId="0">
      <selection activeCell="L35" sqref="L35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466.1</v>
      </c>
      <c r="C2" s="1">
        <v>422.12</v>
      </c>
      <c r="D2" s="1">
        <v>464.99</v>
      </c>
      <c r="E2" s="1">
        <v>455.37</v>
      </c>
      <c r="F2" s="1">
        <v>437.63</v>
      </c>
      <c r="G2" s="1">
        <v>452.18</v>
      </c>
    </row>
    <row r="3" spans="1:7" x14ac:dyDescent="0.2">
      <c r="A3" s="1" t="s">
        <v>7</v>
      </c>
      <c r="B3" s="1">
        <v>46.01</v>
      </c>
      <c r="C3" s="1">
        <v>41.39</v>
      </c>
      <c r="D3" s="1">
        <v>44.97</v>
      </c>
      <c r="E3" s="1">
        <v>42.45</v>
      </c>
      <c r="F3" s="1">
        <v>43.23</v>
      </c>
      <c r="G3" s="1">
        <v>41.94</v>
      </c>
    </row>
    <row r="4" spans="1:7" x14ac:dyDescent="0.2">
      <c r="A4" s="1" t="s">
        <v>8</v>
      </c>
      <c r="B4" s="1">
        <v>21845.08</v>
      </c>
      <c r="C4" s="1">
        <v>17791.21</v>
      </c>
      <c r="D4" s="1">
        <v>21326.880000000001</v>
      </c>
      <c r="E4" s="1">
        <v>19733.27</v>
      </c>
      <c r="F4" s="1">
        <v>19255.78</v>
      </c>
      <c r="G4" s="1">
        <v>19325.439999999999</v>
      </c>
    </row>
    <row r="5" spans="1:7" x14ac:dyDescent="0.2">
      <c r="A5" s="1" t="s">
        <v>9</v>
      </c>
      <c r="B5" s="1">
        <v>2447.7800000000002</v>
      </c>
      <c r="C5" s="1">
        <v>2555.83</v>
      </c>
      <c r="D5" s="1">
        <v>2502.14</v>
      </c>
      <c r="E5" s="1">
        <v>1834.06</v>
      </c>
      <c r="F5" s="1">
        <v>1340.68</v>
      </c>
      <c r="G5" s="1">
        <v>2743.63</v>
      </c>
    </row>
    <row r="6" spans="1:7" x14ac:dyDescent="0.2">
      <c r="A6" s="3" t="s">
        <v>10</v>
      </c>
      <c r="B6" s="3">
        <v>244.78</v>
      </c>
      <c r="C6" s="3">
        <v>258.16000000000003</v>
      </c>
      <c r="D6" s="3">
        <v>252.74</v>
      </c>
      <c r="E6" s="3">
        <v>185.26</v>
      </c>
      <c r="F6" s="3">
        <v>135.41999999999999</v>
      </c>
      <c r="G6" s="3">
        <v>277.13</v>
      </c>
    </row>
    <row r="7" spans="1:7" x14ac:dyDescent="0.2">
      <c r="A7" s="1" t="s">
        <v>11</v>
      </c>
      <c r="B7" s="1">
        <v>2342.9499999999998</v>
      </c>
      <c r="C7" s="1">
        <v>2360.61</v>
      </c>
      <c r="D7" s="1">
        <v>2417.4299999999998</v>
      </c>
      <c r="E7" s="1">
        <v>1734.2</v>
      </c>
      <c r="F7" s="1">
        <v>1261.04</v>
      </c>
      <c r="G7" s="1">
        <v>2547.15</v>
      </c>
    </row>
    <row r="8" spans="1:7" x14ac:dyDescent="0.2">
      <c r="A8" s="1" t="s">
        <v>12</v>
      </c>
      <c r="B8" s="1">
        <v>234.29</v>
      </c>
      <c r="C8" s="1">
        <v>238.45</v>
      </c>
      <c r="D8" s="1">
        <v>244.19</v>
      </c>
      <c r="E8" s="1">
        <v>175.17</v>
      </c>
      <c r="F8" s="1">
        <v>127.38</v>
      </c>
      <c r="G8" s="1">
        <v>257.29000000000002</v>
      </c>
    </row>
    <row r="9" spans="1:7" x14ac:dyDescent="0.2">
      <c r="A9" s="1" t="s">
        <v>13</v>
      </c>
      <c r="B9" s="1">
        <v>2318.0100000000002</v>
      </c>
      <c r="C9" s="1">
        <v>2360.61</v>
      </c>
      <c r="D9" s="1">
        <v>2417.4299999999998</v>
      </c>
      <c r="E9" s="1">
        <v>1725.19</v>
      </c>
      <c r="F9" s="1">
        <v>718.48</v>
      </c>
      <c r="G9" s="1">
        <v>2547.15</v>
      </c>
    </row>
    <row r="10" spans="1:7" x14ac:dyDescent="0.2">
      <c r="A10" s="1" t="s">
        <v>14</v>
      </c>
      <c r="B10" s="1">
        <v>231.8</v>
      </c>
      <c r="C10" s="1">
        <v>238.45</v>
      </c>
      <c r="D10" s="1">
        <v>244.19</v>
      </c>
      <c r="E10" s="1">
        <v>174.26</v>
      </c>
      <c r="F10" s="1">
        <v>72.569999999999993</v>
      </c>
      <c r="G10" s="1">
        <v>257.29000000000002</v>
      </c>
    </row>
    <row r="11" spans="1:7" x14ac:dyDescent="0.2">
      <c r="A11" s="1" t="s">
        <v>15</v>
      </c>
      <c r="B11" s="1">
        <v>1769.87</v>
      </c>
      <c r="C11" s="1">
        <v>2045.51</v>
      </c>
      <c r="D11" s="1">
        <v>2211.15</v>
      </c>
      <c r="E11" s="1">
        <v>1607.04</v>
      </c>
      <c r="F11" s="1">
        <v>560.94000000000005</v>
      </c>
      <c r="G11" s="1">
        <v>2572.15</v>
      </c>
    </row>
    <row r="12" spans="1:7" x14ac:dyDescent="0.2">
      <c r="A12" s="1" t="s">
        <v>16</v>
      </c>
      <c r="B12" s="1">
        <v>245.81</v>
      </c>
      <c r="C12" s="1">
        <v>235.71</v>
      </c>
      <c r="D12" s="1">
        <v>270.69</v>
      </c>
      <c r="E12" s="1">
        <v>250.28</v>
      </c>
      <c r="F12" s="1">
        <v>228.11</v>
      </c>
      <c r="G12" s="1">
        <v>254.63</v>
      </c>
    </row>
    <row r="13" spans="1:7" x14ac:dyDescent="0.2">
      <c r="A13" s="1" t="s">
        <v>17</v>
      </c>
      <c r="B13" s="1">
        <v>27.38</v>
      </c>
      <c r="C13" s="1">
        <v>26.45</v>
      </c>
      <c r="D13" s="1">
        <v>22.44</v>
      </c>
      <c r="E13" s="1">
        <v>24.29</v>
      </c>
      <c r="F13" s="1">
        <v>35.1</v>
      </c>
      <c r="G13" s="1">
        <v>23.43</v>
      </c>
    </row>
    <row r="14" spans="1:7" x14ac:dyDescent="0.2">
      <c r="A14" s="1" t="s">
        <v>18</v>
      </c>
      <c r="B14" s="1">
        <v>63.38</v>
      </c>
      <c r="C14" s="1">
        <v>81.84</v>
      </c>
      <c r="D14" s="1">
        <v>47.83</v>
      </c>
      <c r="E14" s="1">
        <v>52.93</v>
      </c>
      <c r="F14" s="1">
        <v>82.47</v>
      </c>
      <c r="G14" s="1">
        <v>57.32</v>
      </c>
    </row>
    <row r="15" spans="1:7" x14ac:dyDescent="0.2">
      <c r="A15" s="1" t="s">
        <v>19</v>
      </c>
      <c r="B15" s="1">
        <v>5</v>
      </c>
      <c r="C15" s="1">
        <v>7</v>
      </c>
      <c r="D15" s="1">
        <v>7</v>
      </c>
      <c r="E15" s="1">
        <v>7</v>
      </c>
      <c r="F15" s="1">
        <v>5</v>
      </c>
      <c r="G15" s="1">
        <v>8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2330.48</v>
      </c>
      <c r="C17" s="1">
        <v>2360.61</v>
      </c>
      <c r="D17" s="1">
        <v>2417.4299999999998</v>
      </c>
      <c r="E17" s="1">
        <v>1729.69</v>
      </c>
      <c r="F17" s="1">
        <v>989.76</v>
      </c>
      <c r="G17" s="1">
        <v>2547.15</v>
      </c>
    </row>
    <row r="18" spans="1:7" x14ac:dyDescent="0.2">
      <c r="A18" s="1" t="s">
        <v>22</v>
      </c>
      <c r="B18" s="1">
        <v>12.47</v>
      </c>
      <c r="C18" s="1">
        <v>0</v>
      </c>
      <c r="D18" s="1">
        <v>0</v>
      </c>
      <c r="E18" s="1">
        <v>4.51</v>
      </c>
      <c r="F18" s="1">
        <v>271.27999999999997</v>
      </c>
      <c r="G18" s="1">
        <v>0</v>
      </c>
    </row>
    <row r="19" spans="1:7" x14ac:dyDescent="0.2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2.1</v>
      </c>
      <c r="G20" s="1">
        <v>0</v>
      </c>
    </row>
    <row r="21" spans="1:7" x14ac:dyDescent="0.2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7.9</v>
      </c>
      <c r="G21" s="1">
        <v>10</v>
      </c>
    </row>
    <row r="22" spans="1:7" x14ac:dyDescent="0.2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2.2999999999999998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7.7</v>
      </c>
      <c r="G26" s="1">
        <v>10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23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77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238.7</v>
      </c>
      <c r="C33" s="3">
        <v>254.55</v>
      </c>
      <c r="D33" s="3">
        <v>250.36</v>
      </c>
      <c r="E33" s="3">
        <v>186.07</v>
      </c>
      <c r="F33" s="3">
        <v>63.29</v>
      </c>
      <c r="G33" s="3">
        <v>274.95999999999998</v>
      </c>
    </row>
    <row r="35" spans="1:7" x14ac:dyDescent="0.2">
      <c r="A35" s="3" t="s">
        <v>36</v>
      </c>
      <c r="B35" s="3"/>
      <c r="C35" s="3"/>
      <c r="D35" s="3">
        <f>D33-C33</f>
        <v>-4.1899999999999977</v>
      </c>
      <c r="E35" s="3"/>
      <c r="F35" s="3">
        <f>F33-E33</f>
        <v>-122.78</v>
      </c>
      <c r="G35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F2F-E37E-4E36-BC13-F2E7BDAE0261}">
  <dimension ref="A1:G35"/>
  <sheetViews>
    <sheetView zoomScale="80" zoomScaleNormal="80" workbookViewId="0">
      <selection activeCell="M23" sqref="M23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>
        <v>468.39</v>
      </c>
      <c r="C2" s="1">
        <v>397.44</v>
      </c>
      <c r="D2" s="1">
        <v>394.08</v>
      </c>
      <c r="E2" s="1">
        <v>436.85</v>
      </c>
      <c r="F2" s="1">
        <v>426.14</v>
      </c>
      <c r="G2" s="1">
        <v>437.77</v>
      </c>
    </row>
    <row r="3" spans="1:7" x14ac:dyDescent="0.2">
      <c r="A3" s="1" t="s">
        <v>7</v>
      </c>
      <c r="B3" s="1">
        <v>44.19</v>
      </c>
      <c r="C3" s="1">
        <v>42.51</v>
      </c>
      <c r="D3" s="1">
        <v>37.76</v>
      </c>
      <c r="E3" s="1">
        <v>44.53</v>
      </c>
      <c r="F3" s="1">
        <v>44.79</v>
      </c>
      <c r="G3" s="1">
        <v>41.26</v>
      </c>
    </row>
    <row r="4" spans="1:7" x14ac:dyDescent="0.2">
      <c r="A4" s="1" t="s">
        <v>8</v>
      </c>
      <c r="B4" s="1">
        <v>21053.279999999999</v>
      </c>
      <c r="C4" s="1">
        <v>17149.560000000001</v>
      </c>
      <c r="D4" s="1">
        <v>15048.2</v>
      </c>
      <c r="E4" s="1">
        <v>19780.439999999999</v>
      </c>
      <c r="F4" s="1">
        <v>19380.23</v>
      </c>
      <c r="G4" s="1">
        <v>18536.939999999999</v>
      </c>
    </row>
    <row r="5" spans="1:7" x14ac:dyDescent="0.2">
      <c r="A5" s="1" t="s">
        <v>9</v>
      </c>
      <c r="B5" s="1">
        <v>1708.36</v>
      </c>
      <c r="C5" s="1">
        <v>1866</v>
      </c>
      <c r="D5" s="1">
        <v>2249.85</v>
      </c>
      <c r="E5" s="1">
        <v>159.1</v>
      </c>
      <c r="F5" s="1">
        <v>1042.71</v>
      </c>
      <c r="G5" s="1">
        <v>2841.69</v>
      </c>
    </row>
    <row r="6" spans="1:7" x14ac:dyDescent="0.2">
      <c r="A6" s="3" t="s">
        <v>10</v>
      </c>
      <c r="B6" s="3">
        <v>170.84</v>
      </c>
      <c r="C6" s="3">
        <v>188.48</v>
      </c>
      <c r="D6" s="3">
        <v>227.26</v>
      </c>
      <c r="E6" s="3">
        <v>16.07</v>
      </c>
      <c r="F6" s="3">
        <v>105.32</v>
      </c>
      <c r="G6" s="3">
        <v>287.04000000000002</v>
      </c>
    </row>
    <row r="7" spans="1:7" x14ac:dyDescent="0.2">
      <c r="A7" s="1" t="s">
        <v>11</v>
      </c>
      <c r="B7" s="1">
        <v>1569.21</v>
      </c>
      <c r="C7" s="1">
        <v>1646.71</v>
      </c>
      <c r="D7" s="1">
        <v>2109.9299999999998</v>
      </c>
      <c r="E7" s="1">
        <v>153.91</v>
      </c>
      <c r="F7" s="1">
        <v>957.33</v>
      </c>
      <c r="G7" s="1">
        <v>2685.2</v>
      </c>
    </row>
    <row r="8" spans="1:7" x14ac:dyDescent="0.2">
      <c r="A8" s="1" t="s">
        <v>12</v>
      </c>
      <c r="B8" s="1">
        <v>156.91999999999999</v>
      </c>
      <c r="C8" s="1">
        <v>166.33</v>
      </c>
      <c r="D8" s="1">
        <v>213.12</v>
      </c>
      <c r="E8" s="1">
        <v>15.55</v>
      </c>
      <c r="F8" s="1">
        <v>96.7</v>
      </c>
      <c r="G8" s="1">
        <v>271.23</v>
      </c>
    </row>
    <row r="9" spans="1:7" x14ac:dyDescent="0.2">
      <c r="A9" s="1" t="s">
        <v>13</v>
      </c>
      <c r="B9" s="1">
        <v>721.45</v>
      </c>
      <c r="C9" s="1">
        <v>822.35</v>
      </c>
      <c r="D9" s="1">
        <v>2109.9299999999998</v>
      </c>
      <c r="E9" s="1">
        <v>-44.81</v>
      </c>
      <c r="F9" s="1">
        <v>-710.49</v>
      </c>
      <c r="G9" s="1">
        <v>2685.2</v>
      </c>
    </row>
    <row r="10" spans="1:7" x14ac:dyDescent="0.2">
      <c r="A10" s="1" t="s">
        <v>14</v>
      </c>
      <c r="B10" s="1">
        <v>72.150000000000006</v>
      </c>
      <c r="C10" s="1">
        <v>83.07</v>
      </c>
      <c r="D10" s="1">
        <v>213.12</v>
      </c>
      <c r="E10" s="1">
        <v>-4.53</v>
      </c>
      <c r="F10" s="1">
        <v>-71.77</v>
      </c>
      <c r="G10" s="1">
        <v>271.23</v>
      </c>
    </row>
    <row r="11" spans="1:7" x14ac:dyDescent="0.2">
      <c r="A11" s="1" t="s">
        <v>15</v>
      </c>
      <c r="B11" s="1">
        <v>202.88</v>
      </c>
      <c r="C11" s="1">
        <v>181.01</v>
      </c>
      <c r="D11" s="1">
        <v>1941.29</v>
      </c>
      <c r="E11" s="1">
        <v>8.98</v>
      </c>
      <c r="F11" s="1">
        <v>617.11</v>
      </c>
      <c r="G11" s="1">
        <v>2153.34</v>
      </c>
    </row>
    <row r="12" spans="1:7" x14ac:dyDescent="0.2">
      <c r="A12" s="1" t="s">
        <v>16</v>
      </c>
      <c r="B12" s="1">
        <v>231.66</v>
      </c>
      <c r="C12" s="1">
        <v>197.81</v>
      </c>
      <c r="D12" s="1">
        <v>227.29</v>
      </c>
      <c r="E12" s="1">
        <v>222.09</v>
      </c>
      <c r="F12" s="1">
        <v>212.14</v>
      </c>
      <c r="G12" s="1">
        <v>244.82</v>
      </c>
    </row>
    <row r="13" spans="1:7" x14ac:dyDescent="0.2">
      <c r="A13" s="1" t="s">
        <v>17</v>
      </c>
      <c r="B13" s="1">
        <v>33.24</v>
      </c>
      <c r="C13" s="1">
        <v>38.94</v>
      </c>
      <c r="D13" s="1">
        <v>23.75</v>
      </c>
      <c r="E13" s="1">
        <v>1.71</v>
      </c>
      <c r="F13" s="1">
        <v>36.56</v>
      </c>
      <c r="G13" s="1">
        <v>30.21</v>
      </c>
    </row>
    <row r="14" spans="1:7" x14ac:dyDescent="0.2">
      <c r="A14" s="1" t="s">
        <v>18</v>
      </c>
      <c r="B14" s="1">
        <v>76.930000000000007</v>
      </c>
      <c r="C14" s="1">
        <v>79.17</v>
      </c>
      <c r="D14" s="1">
        <v>66.78</v>
      </c>
      <c r="E14" s="1">
        <v>4.63</v>
      </c>
      <c r="F14" s="1">
        <v>70.73</v>
      </c>
      <c r="G14" s="1">
        <v>79.849999999999994</v>
      </c>
    </row>
    <row r="15" spans="1:7" x14ac:dyDescent="0.2">
      <c r="A15" s="1" t="s">
        <v>19</v>
      </c>
      <c r="B15" s="1">
        <v>7</v>
      </c>
      <c r="C15" s="1">
        <v>5</v>
      </c>
      <c r="D15" s="1">
        <v>8</v>
      </c>
      <c r="E15" s="1">
        <v>0</v>
      </c>
      <c r="F15" s="1">
        <v>5</v>
      </c>
      <c r="G15" s="1">
        <v>9</v>
      </c>
    </row>
    <row r="16" spans="1:7" x14ac:dyDescent="0.2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">
      <c r="A17" s="1" t="s">
        <v>21</v>
      </c>
      <c r="B17" s="1">
        <v>1145.33</v>
      </c>
      <c r="C17" s="1">
        <v>1234.53</v>
      </c>
      <c r="D17" s="1">
        <v>2109.9299999999998</v>
      </c>
      <c r="E17" s="1">
        <v>54.55</v>
      </c>
      <c r="F17" s="1">
        <v>123.42</v>
      </c>
      <c r="G17" s="1">
        <v>2685.2</v>
      </c>
    </row>
    <row r="18" spans="1:7" x14ac:dyDescent="0.2">
      <c r="A18" s="1" t="s">
        <v>22</v>
      </c>
      <c r="B18" s="1">
        <v>423.88</v>
      </c>
      <c r="C18" s="1">
        <v>412.18</v>
      </c>
      <c r="D18" s="1">
        <v>0</v>
      </c>
      <c r="E18" s="1">
        <v>99.36</v>
      </c>
      <c r="F18" s="1">
        <v>833.91</v>
      </c>
      <c r="G18" s="1">
        <v>0</v>
      </c>
    </row>
    <row r="19" spans="1:7" x14ac:dyDescent="0.2">
      <c r="A19" s="1" t="s">
        <v>23</v>
      </c>
      <c r="B19" s="1">
        <v>1</v>
      </c>
      <c r="C19" s="1">
        <v>2</v>
      </c>
      <c r="D19" s="1">
        <v>0</v>
      </c>
      <c r="E19" s="1">
        <v>2</v>
      </c>
      <c r="F19" s="1">
        <v>3</v>
      </c>
      <c r="G19" s="1">
        <v>0</v>
      </c>
    </row>
    <row r="20" spans="1:7" x14ac:dyDescent="0.2">
      <c r="A20" s="1" t="s">
        <v>24</v>
      </c>
      <c r="B20" s="1">
        <v>3.9</v>
      </c>
      <c r="C20" s="1">
        <v>3.1</v>
      </c>
      <c r="D20" s="1">
        <v>0</v>
      </c>
      <c r="E20" s="1">
        <v>3.2</v>
      </c>
      <c r="F20" s="1">
        <v>7.6</v>
      </c>
      <c r="G20" s="1">
        <v>0</v>
      </c>
    </row>
    <row r="21" spans="1:7" x14ac:dyDescent="0.2">
      <c r="A21" s="1" t="s">
        <v>25</v>
      </c>
      <c r="B21" s="1">
        <v>6.2</v>
      </c>
      <c r="C21" s="1">
        <v>6.9</v>
      </c>
      <c r="D21" s="1">
        <v>10</v>
      </c>
      <c r="E21" s="1">
        <v>6.8</v>
      </c>
      <c r="F21" s="1">
        <v>2.4</v>
      </c>
      <c r="G21" s="1">
        <v>10</v>
      </c>
    </row>
    <row r="22" spans="1:7" x14ac:dyDescent="0.2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">
      <c r="A23" s="1" t="s">
        <v>27</v>
      </c>
      <c r="B23" s="1">
        <v>2.2000000000000002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">
      <c r="A24" s="1" t="s">
        <v>28</v>
      </c>
      <c r="B24" s="1">
        <v>3.9</v>
      </c>
      <c r="C24" s="1">
        <v>3.2</v>
      </c>
      <c r="D24" s="1">
        <v>0</v>
      </c>
      <c r="E24" s="1">
        <v>0</v>
      </c>
      <c r="F24" s="1">
        <v>8.1</v>
      </c>
      <c r="G24" s="1">
        <v>0</v>
      </c>
    </row>
    <row r="25" spans="1:7" x14ac:dyDescent="0.2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1.9</v>
      </c>
      <c r="G25" s="1">
        <v>0</v>
      </c>
    </row>
    <row r="26" spans="1:7" x14ac:dyDescent="0.2">
      <c r="A26" s="1" t="s">
        <v>30</v>
      </c>
      <c r="B26" s="1">
        <v>6.2</v>
      </c>
      <c r="C26" s="1">
        <v>6.8</v>
      </c>
      <c r="D26" s="1">
        <v>10</v>
      </c>
      <c r="E26" s="1">
        <v>0</v>
      </c>
      <c r="F26" s="1">
        <v>0</v>
      </c>
      <c r="G26" s="1">
        <v>10</v>
      </c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">
      <c r="A29" s="3" t="s">
        <v>32</v>
      </c>
      <c r="B29" s="3">
        <f>B24/B28*100</f>
        <v>38.613861386138616</v>
      </c>
      <c r="C29" s="3">
        <f t="shared" ref="C29:G29" si="1">C24/C28*100</f>
        <v>32</v>
      </c>
      <c r="D29" s="3">
        <f t="shared" si="1"/>
        <v>0</v>
      </c>
      <c r="E29" s="3">
        <f t="shared" si="1"/>
        <v>0</v>
      </c>
      <c r="F29" s="3">
        <f t="shared" si="1"/>
        <v>81</v>
      </c>
      <c r="G29" s="3">
        <f t="shared" si="1"/>
        <v>0</v>
      </c>
    </row>
    <row r="30" spans="1:7" x14ac:dyDescent="0.2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19</v>
      </c>
      <c r="G30" s="3">
        <f t="shared" si="2"/>
        <v>0</v>
      </c>
    </row>
    <row r="31" spans="1:7" x14ac:dyDescent="0.2">
      <c r="A31" s="3" t="s">
        <v>34</v>
      </c>
      <c r="B31" s="3">
        <f>B26/B28*100</f>
        <v>61.386138613861384</v>
      </c>
      <c r="C31" s="3">
        <f t="shared" ref="C31:G31" si="3">C26/C28*100</f>
        <v>68</v>
      </c>
      <c r="D31" s="3">
        <f t="shared" si="3"/>
        <v>100</v>
      </c>
      <c r="E31" s="3">
        <f t="shared" si="3"/>
        <v>0</v>
      </c>
      <c r="F31" s="3">
        <f t="shared" si="3"/>
        <v>0</v>
      </c>
      <c r="G31" s="3">
        <f t="shared" si="3"/>
        <v>100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>
        <v>49.83</v>
      </c>
      <c r="C33" s="3">
        <v>79.62</v>
      </c>
      <c r="D33" s="3">
        <v>230.42</v>
      </c>
      <c r="E33" s="3">
        <v>-0.76</v>
      </c>
      <c r="F33" s="3">
        <v>-75.59</v>
      </c>
      <c r="G33" s="3">
        <v>285.66000000000003</v>
      </c>
    </row>
    <row r="35" spans="1:7" x14ac:dyDescent="0.2">
      <c r="A35" s="3" t="s">
        <v>36</v>
      </c>
      <c r="B35" s="3"/>
      <c r="C35" s="3"/>
      <c r="D35" s="3">
        <f>D33-C33</f>
        <v>150.79999999999998</v>
      </c>
      <c r="E35" s="3"/>
      <c r="F35" s="3">
        <f>F33-E33</f>
        <v>-74.83</v>
      </c>
      <c r="G35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6CEB-6C5E-42EE-8C94-7EF96F65460E}">
  <dimension ref="A1:G35"/>
  <sheetViews>
    <sheetView zoomScale="80" zoomScaleNormal="80" workbookViewId="0">
      <selection activeCell="D23" sqref="D23"/>
    </sheetView>
  </sheetViews>
  <sheetFormatPr baseColWidth="10" defaultColWidth="8.83203125" defaultRowHeight="15" x14ac:dyDescent="0.2"/>
  <cols>
    <col min="1" max="1" width="58.83203125" customWidth="1"/>
    <col min="2" max="7" width="12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 t="s">
        <v>6</v>
      </c>
      <c r="B2" s="1"/>
      <c r="C2" s="1"/>
      <c r="D2" s="1"/>
      <c r="E2" s="1"/>
      <c r="F2" s="1"/>
      <c r="G2" s="1"/>
    </row>
    <row r="3" spans="1:7" x14ac:dyDescent="0.2">
      <c r="A3" s="1" t="s">
        <v>7</v>
      </c>
      <c r="B3" s="1"/>
      <c r="C3" s="1"/>
      <c r="D3" s="1"/>
      <c r="E3" s="1"/>
      <c r="F3" s="1"/>
      <c r="G3" s="1"/>
    </row>
    <row r="4" spans="1:7" x14ac:dyDescent="0.2">
      <c r="A4" s="1" t="s">
        <v>8</v>
      </c>
      <c r="B4" s="1"/>
      <c r="C4" s="1"/>
      <c r="D4" s="1"/>
      <c r="E4" s="1"/>
      <c r="F4" s="1"/>
      <c r="G4" s="1"/>
    </row>
    <row r="5" spans="1:7" x14ac:dyDescent="0.2">
      <c r="A5" s="1" t="s">
        <v>9</v>
      </c>
      <c r="B5" s="1"/>
      <c r="C5" s="1"/>
      <c r="D5" s="1"/>
      <c r="E5" s="1"/>
      <c r="F5" s="1"/>
      <c r="G5" s="1"/>
    </row>
    <row r="6" spans="1:7" x14ac:dyDescent="0.2">
      <c r="A6" s="3" t="s">
        <v>10</v>
      </c>
      <c r="B6" s="3"/>
      <c r="C6" s="3"/>
      <c r="D6" s="3"/>
      <c r="E6" s="3"/>
      <c r="F6" s="3"/>
      <c r="G6" s="3"/>
    </row>
    <row r="7" spans="1:7" x14ac:dyDescent="0.2">
      <c r="A7" s="1" t="s">
        <v>11</v>
      </c>
      <c r="B7" s="1"/>
      <c r="C7" s="1"/>
      <c r="D7" s="1"/>
      <c r="E7" s="1"/>
      <c r="F7" s="1"/>
      <c r="G7" s="1"/>
    </row>
    <row r="8" spans="1:7" x14ac:dyDescent="0.2">
      <c r="A8" s="1" t="s">
        <v>12</v>
      </c>
      <c r="B8" s="1"/>
      <c r="C8" s="1"/>
      <c r="D8" s="1"/>
      <c r="E8" s="1"/>
      <c r="F8" s="1"/>
      <c r="G8" s="1"/>
    </row>
    <row r="9" spans="1:7" x14ac:dyDescent="0.2">
      <c r="A9" s="1" t="s">
        <v>13</v>
      </c>
      <c r="B9" s="1"/>
      <c r="C9" s="1"/>
      <c r="D9" s="1"/>
      <c r="E9" s="1"/>
      <c r="F9" s="1"/>
      <c r="G9" s="1"/>
    </row>
    <row r="10" spans="1:7" x14ac:dyDescent="0.2">
      <c r="A10" s="1" t="s">
        <v>14</v>
      </c>
      <c r="B10" s="1"/>
      <c r="C10" s="1"/>
      <c r="D10" s="1"/>
      <c r="E10" s="1"/>
      <c r="F10" s="1"/>
      <c r="G10" s="1"/>
    </row>
    <row r="11" spans="1:7" x14ac:dyDescent="0.2">
      <c r="A11" s="1" t="s">
        <v>15</v>
      </c>
      <c r="B11" s="1"/>
      <c r="C11" s="1"/>
      <c r="D11" s="1"/>
      <c r="E11" s="1"/>
      <c r="F11" s="1"/>
      <c r="G11" s="1"/>
    </row>
    <row r="12" spans="1:7" x14ac:dyDescent="0.2">
      <c r="A12" s="1" t="s">
        <v>16</v>
      </c>
      <c r="B12" s="1"/>
      <c r="C12" s="1"/>
      <c r="D12" s="1"/>
      <c r="E12" s="1"/>
      <c r="F12" s="1"/>
      <c r="G12" s="1"/>
    </row>
    <row r="13" spans="1:7" x14ac:dyDescent="0.2">
      <c r="A13" s="1" t="s">
        <v>17</v>
      </c>
      <c r="B13" s="1"/>
      <c r="C13" s="1"/>
      <c r="D13" s="1"/>
      <c r="E13" s="1"/>
      <c r="F13" s="1"/>
      <c r="G13" s="1"/>
    </row>
    <row r="14" spans="1:7" x14ac:dyDescent="0.2">
      <c r="A14" s="1" t="s">
        <v>18</v>
      </c>
      <c r="B14" s="1"/>
      <c r="C14" s="1"/>
      <c r="D14" s="1"/>
      <c r="E14" s="1"/>
      <c r="F14" s="1"/>
      <c r="G14" s="1"/>
    </row>
    <row r="15" spans="1:7" x14ac:dyDescent="0.2">
      <c r="A15" s="1" t="s">
        <v>19</v>
      </c>
      <c r="B15" s="1"/>
      <c r="C15" s="1"/>
      <c r="D15" s="1"/>
      <c r="E15" s="1"/>
      <c r="F15" s="1"/>
      <c r="G15" s="1"/>
    </row>
    <row r="16" spans="1:7" x14ac:dyDescent="0.2">
      <c r="A16" s="1" t="s">
        <v>20</v>
      </c>
      <c r="B16" s="1"/>
      <c r="C16" s="1"/>
      <c r="D16" s="1"/>
      <c r="E16" s="1"/>
      <c r="F16" s="1"/>
      <c r="G16" s="1"/>
    </row>
    <row r="17" spans="1:7" x14ac:dyDescent="0.2">
      <c r="A17" s="1" t="s">
        <v>21</v>
      </c>
      <c r="B17" s="1"/>
      <c r="C17" s="1"/>
      <c r="D17" s="1"/>
      <c r="E17" s="1"/>
      <c r="F17" s="1"/>
      <c r="G17" s="1"/>
    </row>
    <row r="18" spans="1:7" x14ac:dyDescent="0.2">
      <c r="A18" s="1" t="s">
        <v>22</v>
      </c>
      <c r="B18" s="1"/>
      <c r="C18" s="1"/>
      <c r="D18" s="1"/>
      <c r="E18" s="1"/>
      <c r="F18" s="1"/>
      <c r="G18" s="1"/>
    </row>
    <row r="19" spans="1:7" x14ac:dyDescent="0.2">
      <c r="A19" s="1" t="s">
        <v>23</v>
      </c>
      <c r="B19" s="1"/>
      <c r="C19" s="1"/>
      <c r="D19" s="1"/>
      <c r="E19" s="1"/>
      <c r="F19" s="1"/>
      <c r="G19" s="1"/>
    </row>
    <row r="20" spans="1:7" x14ac:dyDescent="0.2">
      <c r="A20" s="1" t="s">
        <v>24</v>
      </c>
      <c r="B20" s="1"/>
      <c r="C20" s="1"/>
      <c r="D20" s="1"/>
      <c r="E20" s="1"/>
      <c r="F20" s="1"/>
      <c r="G20" s="1"/>
    </row>
    <row r="21" spans="1:7" x14ac:dyDescent="0.2">
      <c r="A21" s="1" t="s">
        <v>25</v>
      </c>
      <c r="B21" s="1"/>
      <c r="C21" s="1"/>
      <c r="D21" s="1"/>
      <c r="E21" s="1"/>
      <c r="F21" s="1"/>
      <c r="G21" s="1"/>
    </row>
    <row r="22" spans="1:7" x14ac:dyDescent="0.2">
      <c r="A22" s="1" t="s">
        <v>26</v>
      </c>
      <c r="B22" s="1"/>
      <c r="C22" s="1"/>
      <c r="D22" s="1"/>
      <c r="E22" s="1"/>
      <c r="F22" s="1"/>
      <c r="G22" s="1"/>
    </row>
    <row r="23" spans="1:7" x14ac:dyDescent="0.2">
      <c r="A23" s="1" t="s">
        <v>27</v>
      </c>
      <c r="B23" s="1"/>
      <c r="C23" s="1"/>
      <c r="D23" s="1"/>
      <c r="E23" s="1"/>
      <c r="F23" s="1"/>
      <c r="G23" s="1"/>
    </row>
    <row r="24" spans="1:7" x14ac:dyDescent="0.2">
      <c r="A24" s="1" t="s">
        <v>28</v>
      </c>
      <c r="B24" s="1"/>
      <c r="C24" s="1"/>
      <c r="D24" s="1"/>
      <c r="E24" s="1"/>
      <c r="F24" s="1"/>
      <c r="G24" s="1"/>
    </row>
    <row r="25" spans="1:7" x14ac:dyDescent="0.2">
      <c r="A25" s="1" t="s">
        <v>29</v>
      </c>
      <c r="B25" s="1"/>
      <c r="C25" s="1"/>
      <c r="D25" s="1"/>
      <c r="E25" s="1"/>
      <c r="F25" s="1"/>
      <c r="G25" s="1"/>
    </row>
    <row r="26" spans="1:7" x14ac:dyDescent="0.2">
      <c r="A26" s="1" t="s">
        <v>30</v>
      </c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3" t="s">
        <v>35</v>
      </c>
      <c r="B33" s="3"/>
      <c r="C33" s="3"/>
      <c r="D33" s="3"/>
      <c r="E33" s="3"/>
      <c r="F33" s="3"/>
      <c r="G33" s="3"/>
    </row>
    <row r="35" spans="1:7" x14ac:dyDescent="0.2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220913B001.1</vt:lpstr>
      <vt:lpstr>220913B002.1</vt:lpstr>
      <vt:lpstr>220913B002.2</vt:lpstr>
      <vt:lpstr>220913B002.4</vt:lpstr>
      <vt:lpstr>220926B001.1</vt:lpstr>
      <vt:lpstr>220926B001.2</vt:lpstr>
      <vt:lpstr>220926B001.4</vt:lpstr>
      <vt:lpstr>220926B002.3</vt:lpstr>
      <vt:lpstr>220927B002.2</vt:lpstr>
      <vt:lpstr>220927B002.4</vt:lpstr>
      <vt:lpstr>220927B002.5</vt:lpstr>
      <vt:lpstr>230406B001.1</vt:lpstr>
      <vt:lpstr>230406B001.3</vt:lpstr>
      <vt:lpstr>230406B001.4</vt:lpstr>
      <vt:lpstr>230406B002.1</vt:lpstr>
      <vt:lpstr>230406B002.2</vt:lpstr>
      <vt:lpstr>230406B002.3</vt:lpstr>
      <vt:lpstr>230406B002.4</vt:lpstr>
      <vt:lpstr>230406B002.5</vt:lpstr>
      <vt:lpstr>230406B003.1</vt:lpstr>
      <vt:lpstr>230406B003.2</vt:lpstr>
      <vt:lpstr>230406B003.3</vt:lpstr>
      <vt:lpstr>230406B003.4</vt:lpstr>
      <vt:lpstr>230406B003.5</vt:lpstr>
      <vt:lpstr>230615B001.2</vt:lpstr>
      <vt:lpstr>230615B001.4</vt:lpstr>
      <vt:lpstr>230615B002.1</vt:lpstr>
      <vt:lpstr>230615B002.2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Walsh, Breanna M. (Medical Student)</cp:lastModifiedBy>
  <dcterms:created xsi:type="dcterms:W3CDTF">2023-04-03T19:10:28Z</dcterms:created>
  <dcterms:modified xsi:type="dcterms:W3CDTF">2025-09-14T20:54:30Z</dcterms:modified>
</cp:coreProperties>
</file>