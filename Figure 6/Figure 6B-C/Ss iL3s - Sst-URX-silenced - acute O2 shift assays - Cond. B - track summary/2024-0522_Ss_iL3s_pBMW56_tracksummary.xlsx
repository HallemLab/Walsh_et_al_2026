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22\WormLab Data\"/>
    </mc:Choice>
  </mc:AlternateContent>
  <xr:revisionPtr revIDLastSave="0" documentId="13_ncr:1_{0C3DDFF5-57CA-4E58-85EB-F531E30376C7}" xr6:coauthVersionLast="47" xr6:coauthVersionMax="47" xr10:uidLastSave="{00000000-0000-0000-0000-000000000000}"/>
  <bookViews>
    <workbookView xWindow="1356" yWindow="1260" windowWidth="21036" windowHeight="11256" firstSheet="3" activeTab="7" xr2:uid="{07A3E24F-F535-4DE4-844B-3DADD2CD414A}"/>
  </bookViews>
  <sheets>
    <sheet name="240522Bttx001.1" sheetId="2" r:id="rId1"/>
    <sheet name="240522Bttx001.2" sheetId="3" r:id="rId2"/>
    <sheet name="240522Bttx001.3" sheetId="4" r:id="rId3"/>
    <sheet name="240522Bttx002.1" sheetId="5" r:id="rId4"/>
    <sheet name="240522Bttx002.2" sheetId="6" r:id="rId5"/>
    <sheet name="240522Bttx003.1" sheetId="7" r:id="rId6"/>
    <sheet name="240522Bttx003.2" sheetId="8" r:id="rId7"/>
    <sheet name="240522Bttx003.3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G31" i="9"/>
  <c r="F31" i="9"/>
  <c r="E31" i="9"/>
  <c r="C31" i="9"/>
  <c r="G28" i="9"/>
  <c r="G30" i="9" s="1"/>
  <c r="F28" i="9"/>
  <c r="F30" i="9" s="1"/>
  <c r="E28" i="9"/>
  <c r="E30" i="9" s="1"/>
  <c r="D28" i="9"/>
  <c r="D29" i="9" s="1"/>
  <c r="C28" i="9"/>
  <c r="C29" i="9" s="1"/>
  <c r="B28" i="9"/>
  <c r="B29" i="9" s="1"/>
  <c r="G37" i="8"/>
  <c r="E37" i="8"/>
  <c r="C37" i="8"/>
  <c r="F35" i="8"/>
  <c r="D35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G28" i="8"/>
  <c r="F28" i="8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C31" i="7"/>
  <c r="B31" i="7"/>
  <c r="C30" i="7"/>
  <c r="B30" i="7"/>
  <c r="C29" i="7"/>
  <c r="B29" i="7"/>
  <c r="G28" i="7"/>
  <c r="G29" i="7" s="1"/>
  <c r="F28" i="7"/>
  <c r="F31" i="7" s="1"/>
  <c r="E28" i="7"/>
  <c r="E31" i="7" s="1"/>
  <c r="D28" i="7"/>
  <c r="D31" i="7" s="1"/>
  <c r="C28" i="7"/>
  <c r="B28" i="7"/>
  <c r="G37" i="6"/>
  <c r="E37" i="6"/>
  <c r="C37" i="6"/>
  <c r="F35" i="6"/>
  <c r="D35" i="6"/>
  <c r="G31" i="6"/>
  <c r="D30" i="6"/>
  <c r="B30" i="6"/>
  <c r="G28" i="6"/>
  <c r="G30" i="6" s="1"/>
  <c r="F28" i="6"/>
  <c r="F31" i="6" s="1"/>
  <c r="E28" i="6"/>
  <c r="E31" i="6" s="1"/>
  <c r="D28" i="6"/>
  <c r="D31" i="6" s="1"/>
  <c r="C28" i="6"/>
  <c r="C31" i="6" s="1"/>
  <c r="B28" i="6"/>
  <c r="B31" i="6" s="1"/>
  <c r="G37" i="5"/>
  <c r="E37" i="5"/>
  <c r="C37" i="5"/>
  <c r="F35" i="5"/>
  <c r="D35" i="5"/>
  <c r="G31" i="5"/>
  <c r="G28" i="5"/>
  <c r="G30" i="5" s="1"/>
  <c r="F28" i="5"/>
  <c r="F31" i="5" s="1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G28" i="1"/>
  <c r="F28" i="1"/>
  <c r="E28" i="1"/>
  <c r="D28" i="1"/>
  <c r="C28" i="1"/>
  <c r="C29" i="1" s="1"/>
  <c r="B28" i="1"/>
  <c r="B29" i="1" s="1"/>
  <c r="E29" i="9" l="1"/>
  <c r="F29" i="9"/>
  <c r="G29" i="9"/>
  <c r="B30" i="9"/>
  <c r="C30" i="9"/>
  <c r="D30" i="9"/>
  <c r="B31" i="9"/>
  <c r="D31" i="9"/>
  <c r="D29" i="7"/>
  <c r="D30" i="7"/>
  <c r="G30" i="7"/>
  <c r="G31" i="7"/>
  <c r="E29" i="7"/>
  <c r="F29" i="7"/>
  <c r="E30" i="7"/>
  <c r="F30" i="7"/>
  <c r="B29" i="6"/>
  <c r="C29" i="6"/>
  <c r="D29" i="6"/>
  <c r="C30" i="6"/>
  <c r="E29" i="6"/>
  <c r="F29" i="6"/>
  <c r="G29" i="6"/>
  <c r="E30" i="6"/>
  <c r="F30" i="6"/>
  <c r="E29" i="5"/>
  <c r="F29" i="5"/>
  <c r="G29" i="5"/>
  <c r="B30" i="5"/>
  <c r="C30" i="5"/>
  <c r="D30" i="5"/>
  <c r="E30" i="5"/>
  <c r="F30" i="5"/>
  <c r="B31" i="5"/>
  <c r="C31" i="5"/>
  <c r="D31" i="5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<sst xmlns="http://schemas.openxmlformats.org/spreadsheetml/2006/main" count="342" uniqueCount="37">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</sst>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B272-C0BF-447D-8279-683433C89A6E}">
  <dimension ref="A1:G37"/>
  <sheetViews>
    <sheetView zoomScale="70" zoomScaleNormal="70" workbookViewId="0">
      <selection activeCell="J20" sqref="J2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204.47</v>
      </c>
      <c r="C2" s="1">
        <v>218.39</v>
      </c>
      <c r="D2" s="1">
        <v>219.89</v>
      </c>
      <c r="E2" s="1">
        <v>391.14</v>
      </c>
      <c r="F2" s="1">
        <v>417.07</v>
      </c>
      <c r="G2" s="1">
        <v>317.27</v>
      </c>
    </row>
    <row r="3" spans="1:7" x14ac:dyDescent="0.3">
      <c r="A3" s="1" t="s">
        <v>7</v>
      </c>
      <c r="B3" s="1">
        <v>66.38</v>
      </c>
      <c r="C3" s="1">
        <v>71.23</v>
      </c>
      <c r="D3" s="1">
        <v>71.97</v>
      </c>
      <c r="E3" s="1">
        <v>42.42</v>
      </c>
      <c r="F3" s="1">
        <v>44.58</v>
      </c>
      <c r="G3" s="1">
        <v>40.75</v>
      </c>
    </row>
    <row r="4" spans="1:7" x14ac:dyDescent="0.3">
      <c r="A4" s="1" t="s">
        <v>8</v>
      </c>
      <c r="B4" s="1">
        <v>13811.36</v>
      </c>
      <c r="C4" s="1">
        <v>15748.23</v>
      </c>
      <c r="D4" s="1">
        <v>16084.12</v>
      </c>
      <c r="E4" s="1">
        <v>16856.21</v>
      </c>
      <c r="F4" s="1">
        <v>18894.46</v>
      </c>
      <c r="G4" s="1">
        <v>13149.44</v>
      </c>
    </row>
    <row r="5" spans="1:7" x14ac:dyDescent="0.3">
      <c r="A5" s="1" t="s">
        <v>9</v>
      </c>
      <c r="B5" s="1">
        <v>471.47</v>
      </c>
      <c r="C5" s="1">
        <v>415.32</v>
      </c>
      <c r="D5" s="1">
        <v>438.77</v>
      </c>
      <c r="E5" s="1">
        <v>944.19</v>
      </c>
      <c r="F5" s="1">
        <v>352.02</v>
      </c>
      <c r="G5" s="1">
        <v>621.91</v>
      </c>
    </row>
    <row r="6" spans="1:7" x14ac:dyDescent="0.3">
      <c r="A6" s="3" t="s">
        <v>10</v>
      </c>
      <c r="B6" s="3">
        <v>47.15</v>
      </c>
      <c r="C6" s="3">
        <v>41.95</v>
      </c>
      <c r="D6" s="3">
        <v>44.32</v>
      </c>
      <c r="E6" s="3">
        <v>95.37</v>
      </c>
      <c r="F6" s="3">
        <v>35.56</v>
      </c>
      <c r="G6" s="3">
        <v>63.46</v>
      </c>
    </row>
    <row r="7" spans="1:7" x14ac:dyDescent="0.3">
      <c r="A7" s="1" t="s">
        <v>11</v>
      </c>
      <c r="B7" s="1">
        <v>355.4</v>
      </c>
      <c r="C7" s="1">
        <v>291.76</v>
      </c>
      <c r="D7" s="1">
        <v>311.76</v>
      </c>
      <c r="E7" s="1">
        <v>882.52</v>
      </c>
      <c r="F7" s="1">
        <v>300.10000000000002</v>
      </c>
      <c r="G7" s="1">
        <v>546.41</v>
      </c>
    </row>
    <row r="8" spans="1:7" x14ac:dyDescent="0.3">
      <c r="A8" s="1" t="s">
        <v>12</v>
      </c>
      <c r="B8" s="1">
        <v>35.54</v>
      </c>
      <c r="C8" s="1">
        <v>29.47</v>
      </c>
      <c r="D8" s="1">
        <v>31.49</v>
      </c>
      <c r="E8" s="1">
        <v>89.14</v>
      </c>
      <c r="F8" s="1">
        <v>30.31</v>
      </c>
      <c r="G8" s="1">
        <v>55.76</v>
      </c>
    </row>
    <row r="9" spans="1:7" x14ac:dyDescent="0.3">
      <c r="A9" s="1" t="s">
        <v>13</v>
      </c>
      <c r="B9" s="1">
        <v>81.23</v>
      </c>
      <c r="C9" s="1">
        <v>58.29</v>
      </c>
      <c r="D9" s="1">
        <v>-128.81</v>
      </c>
      <c r="E9" s="1">
        <v>115.16</v>
      </c>
      <c r="F9" s="1">
        <v>61.53</v>
      </c>
      <c r="G9" s="1">
        <v>139.80000000000001</v>
      </c>
    </row>
    <row r="10" spans="1:7" x14ac:dyDescent="0.3">
      <c r="A10" s="1" t="s">
        <v>14</v>
      </c>
      <c r="B10" s="1">
        <v>8.1199999999999992</v>
      </c>
      <c r="C10" s="1">
        <v>5.89</v>
      </c>
      <c r="D10" s="1">
        <v>-13.01</v>
      </c>
      <c r="E10" s="1">
        <v>11.63</v>
      </c>
      <c r="F10" s="1">
        <v>6.21</v>
      </c>
      <c r="G10" s="1">
        <v>14.26</v>
      </c>
    </row>
    <row r="11" spans="1:7" x14ac:dyDescent="0.3">
      <c r="A11" s="1" t="s">
        <v>15</v>
      </c>
      <c r="B11" s="1">
        <v>37.369999999999997</v>
      </c>
      <c r="C11" s="1">
        <v>54.16</v>
      </c>
      <c r="D11" s="1">
        <v>20.53</v>
      </c>
      <c r="E11" s="1">
        <v>62.95</v>
      </c>
      <c r="F11" s="1">
        <v>56.27</v>
      </c>
      <c r="G11" s="1">
        <v>127.06</v>
      </c>
    </row>
    <row r="12" spans="1:7" x14ac:dyDescent="0.3">
      <c r="A12" s="1" t="s">
        <v>16</v>
      </c>
      <c r="B12" s="1">
        <v>90.86</v>
      </c>
      <c r="C12" s="1">
        <v>98.53</v>
      </c>
      <c r="D12" s="1">
        <v>94.45</v>
      </c>
      <c r="E12" s="1">
        <v>200.32</v>
      </c>
      <c r="F12" s="1">
        <v>175.18</v>
      </c>
      <c r="G12" s="1">
        <v>140.18</v>
      </c>
    </row>
    <row r="13" spans="1:7" x14ac:dyDescent="0.3">
      <c r="A13" s="1" t="s">
        <v>17</v>
      </c>
      <c r="B13" s="1">
        <v>14.75</v>
      </c>
      <c r="C13" s="1">
        <v>21.78</v>
      </c>
      <c r="D13" s="1">
        <v>20.100000000000001</v>
      </c>
      <c r="E13" s="1">
        <v>42.22</v>
      </c>
      <c r="F13" s="1">
        <v>34.619999999999997</v>
      </c>
      <c r="G13" s="1">
        <v>34.74</v>
      </c>
    </row>
    <row r="14" spans="1:7" x14ac:dyDescent="0.3">
      <c r="A14" s="1" t="s">
        <v>18</v>
      </c>
      <c r="B14" s="1">
        <v>37.58</v>
      </c>
      <c r="C14" s="1">
        <v>45.57</v>
      </c>
      <c r="D14" s="1">
        <v>45.75</v>
      </c>
      <c r="E14" s="1">
        <v>64.16</v>
      </c>
      <c r="F14" s="1">
        <v>53.98</v>
      </c>
      <c r="G14" s="1">
        <v>55.75</v>
      </c>
    </row>
    <row r="15" spans="1:7" x14ac:dyDescent="0.3">
      <c r="A15" s="1" t="s">
        <v>19</v>
      </c>
      <c r="B15" s="1">
        <v>4</v>
      </c>
      <c r="C15" s="1">
        <v>5</v>
      </c>
      <c r="D15" s="1">
        <v>5</v>
      </c>
      <c r="E15" s="1">
        <v>1</v>
      </c>
      <c r="F15" s="1">
        <v>2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218.32</v>
      </c>
      <c r="C17" s="1">
        <v>175.03</v>
      </c>
      <c r="D17" s="1">
        <v>91.47</v>
      </c>
      <c r="E17" s="1">
        <v>498.84</v>
      </c>
      <c r="F17" s="1">
        <v>180.82</v>
      </c>
      <c r="G17" s="1">
        <v>343.1</v>
      </c>
    </row>
    <row r="18" spans="1:7" x14ac:dyDescent="0.3">
      <c r="A18" s="1" t="s">
        <v>22</v>
      </c>
      <c r="B18" s="1">
        <v>137.08000000000001</v>
      </c>
      <c r="C18" s="1">
        <v>116.73</v>
      </c>
      <c r="D18" s="1">
        <v>220.28</v>
      </c>
      <c r="E18" s="1">
        <v>383.68</v>
      </c>
      <c r="F18" s="1">
        <v>119.29</v>
      </c>
      <c r="G18" s="1">
        <v>203.3</v>
      </c>
    </row>
    <row r="19" spans="1:7" x14ac:dyDescent="0.3">
      <c r="A19" s="1" t="s">
        <v>23</v>
      </c>
      <c r="B19" s="1">
        <v>3</v>
      </c>
      <c r="C19" s="1">
        <v>2</v>
      </c>
      <c r="D19" s="1">
        <v>2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4.2</v>
      </c>
      <c r="C20" s="1">
        <v>2.6</v>
      </c>
      <c r="D20" s="1">
        <v>5.5</v>
      </c>
      <c r="E20" s="1">
        <v>0</v>
      </c>
      <c r="F20" s="1">
        <v>0</v>
      </c>
      <c r="G20" s="1">
        <v>3.5</v>
      </c>
    </row>
    <row r="21" spans="1:7" x14ac:dyDescent="0.3">
      <c r="A21" s="1" t="s">
        <v>25</v>
      </c>
      <c r="B21" s="1">
        <v>5.9</v>
      </c>
      <c r="C21" s="1">
        <v>7.4</v>
      </c>
      <c r="D21" s="1">
        <v>4.5</v>
      </c>
      <c r="E21" s="1">
        <v>10</v>
      </c>
      <c r="F21" s="1">
        <v>10</v>
      </c>
      <c r="G21" s="1">
        <v>6.4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7.9</v>
      </c>
      <c r="F25" s="1">
        <v>10</v>
      </c>
      <c r="G25" s="1">
        <v>5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2.1</v>
      </c>
      <c r="F26" s="1">
        <v>0</v>
      </c>
      <c r="G26" s="1">
        <v>4.9000000000000004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79</v>
      </c>
      <c r="F30" s="3">
        <f t="shared" si="2"/>
        <v>100</v>
      </c>
      <c r="G30" s="3">
        <f t="shared" si="2"/>
        <v>50.505050505050505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21.000000000000004</v>
      </c>
      <c r="F31" s="3">
        <f t="shared" si="3"/>
        <v>0</v>
      </c>
      <c r="G31" s="3">
        <f t="shared" si="3"/>
        <v>49.494949494949495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-3.2</v>
      </c>
      <c r="C33" s="3">
        <v>4.59</v>
      </c>
      <c r="D33" s="3">
        <v>-10.4</v>
      </c>
      <c r="E33" s="3">
        <v>7.11</v>
      </c>
      <c r="F33" s="3">
        <v>6.65</v>
      </c>
      <c r="G33" s="3">
        <v>15.49</v>
      </c>
    </row>
    <row r="35" spans="1:7" x14ac:dyDescent="0.3">
      <c r="A35" s="3" t="s">
        <v>36</v>
      </c>
      <c r="B35" s="3"/>
      <c r="C35" s="3"/>
      <c r="D35" s="3">
        <f>D33-C33</f>
        <v>-14.99</v>
      </c>
      <c r="E35" s="3"/>
      <c r="F35" s="3">
        <f>F33-E33</f>
        <v>-0.45999999999999996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17.510000000000002</v>
      </c>
      <c r="F37" s="3"/>
      <c r="G37" s="3">
        <f>G33-F33</f>
        <v>8.84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32FC-47B9-4EBC-8616-20A380029F0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460.47</v>
      </c>
      <c r="C2" s="1">
        <v>473.07</v>
      </c>
      <c r="D2" s="1">
        <v>485.84</v>
      </c>
      <c r="E2" s="1">
        <v>450.89</v>
      </c>
      <c r="F2" s="1">
        <v>462.9</v>
      </c>
      <c r="G2" s="1">
        <v>460.84</v>
      </c>
    </row>
    <row r="3" spans="1:7" x14ac:dyDescent="0.3">
      <c r="A3" s="1" t="s">
        <v>7</v>
      </c>
      <c r="B3" s="1">
        <v>47.76</v>
      </c>
      <c r="C3" s="1">
        <v>46.98</v>
      </c>
      <c r="D3" s="1">
        <v>48.96</v>
      </c>
      <c r="E3" s="1">
        <v>46.87</v>
      </c>
      <c r="F3" s="1">
        <v>48.46</v>
      </c>
      <c r="G3" s="1">
        <v>44.81</v>
      </c>
    </row>
    <row r="4" spans="1:7" x14ac:dyDescent="0.3">
      <c r="A4" s="1" t="s">
        <v>8</v>
      </c>
      <c r="B4" s="1">
        <v>22357.17</v>
      </c>
      <c r="C4" s="1">
        <v>22576.93</v>
      </c>
      <c r="D4" s="1">
        <v>24192.36</v>
      </c>
      <c r="E4" s="1">
        <v>21445.11</v>
      </c>
      <c r="F4" s="1">
        <v>22749.39</v>
      </c>
      <c r="G4" s="1">
        <v>21051.74</v>
      </c>
    </row>
    <row r="5" spans="1:7" x14ac:dyDescent="0.3">
      <c r="A5" s="1" t="s">
        <v>9</v>
      </c>
      <c r="B5" s="1">
        <v>2012.93</v>
      </c>
      <c r="C5" s="1">
        <v>2124.6999999999998</v>
      </c>
      <c r="D5" s="1">
        <v>2985.51</v>
      </c>
      <c r="E5" s="1">
        <v>1633.28</v>
      </c>
      <c r="F5" s="1">
        <v>1548.9</v>
      </c>
      <c r="G5" s="1">
        <v>2264.0500000000002</v>
      </c>
    </row>
    <row r="6" spans="1:7" x14ac:dyDescent="0.3">
      <c r="A6" s="3" t="s">
        <v>10</v>
      </c>
      <c r="B6" s="3">
        <v>201.29</v>
      </c>
      <c r="C6" s="3">
        <v>214.62</v>
      </c>
      <c r="D6" s="3">
        <v>301.57</v>
      </c>
      <c r="E6" s="3">
        <v>164.98</v>
      </c>
      <c r="F6" s="3">
        <v>156.44999999999999</v>
      </c>
      <c r="G6" s="3">
        <v>231.03</v>
      </c>
    </row>
    <row r="7" spans="1:7" x14ac:dyDescent="0.3">
      <c r="A7" s="1" t="s">
        <v>11</v>
      </c>
      <c r="B7" s="1">
        <v>1850.97</v>
      </c>
      <c r="C7" s="1">
        <v>1812.57</v>
      </c>
      <c r="D7" s="1">
        <v>2670.12</v>
      </c>
      <c r="E7" s="1">
        <v>1394.44</v>
      </c>
      <c r="F7" s="1">
        <v>1332.07</v>
      </c>
      <c r="G7" s="1">
        <v>2031.94</v>
      </c>
    </row>
    <row r="8" spans="1:7" x14ac:dyDescent="0.3">
      <c r="A8" s="1" t="s">
        <v>12</v>
      </c>
      <c r="B8" s="1">
        <v>185.1</v>
      </c>
      <c r="C8" s="1">
        <v>183.09</v>
      </c>
      <c r="D8" s="1">
        <v>269.70999999999998</v>
      </c>
      <c r="E8" s="1">
        <v>140.85</v>
      </c>
      <c r="F8" s="1">
        <v>134.55000000000001</v>
      </c>
      <c r="G8" s="1">
        <v>207.34</v>
      </c>
    </row>
    <row r="9" spans="1:7" x14ac:dyDescent="0.3">
      <c r="A9" s="1" t="s">
        <v>13</v>
      </c>
      <c r="B9" s="1">
        <v>1850.97</v>
      </c>
      <c r="C9" s="1">
        <v>1783.35</v>
      </c>
      <c r="D9" s="1">
        <v>2670.12</v>
      </c>
      <c r="E9" s="1">
        <v>703.13</v>
      </c>
      <c r="F9" s="1">
        <v>-1224.02</v>
      </c>
      <c r="G9" s="1">
        <v>2031.94</v>
      </c>
    </row>
    <row r="10" spans="1:7" x14ac:dyDescent="0.3">
      <c r="A10" s="1" t="s">
        <v>14</v>
      </c>
      <c r="B10" s="1">
        <v>185.1</v>
      </c>
      <c r="C10" s="1">
        <v>180.14</v>
      </c>
      <c r="D10" s="1">
        <v>269.70999999999998</v>
      </c>
      <c r="E10" s="1">
        <v>71.02</v>
      </c>
      <c r="F10" s="1">
        <v>-123.64</v>
      </c>
      <c r="G10" s="1">
        <v>207.34</v>
      </c>
    </row>
    <row r="11" spans="1:7" x14ac:dyDescent="0.3">
      <c r="A11" s="1" t="s">
        <v>15</v>
      </c>
      <c r="B11" s="1">
        <v>832.37</v>
      </c>
      <c r="C11" s="1">
        <v>1358.54</v>
      </c>
      <c r="D11" s="1">
        <v>576</v>
      </c>
      <c r="E11" s="1">
        <v>291.99</v>
      </c>
      <c r="F11" s="1">
        <v>357.84</v>
      </c>
      <c r="G11" s="1">
        <v>1819.36</v>
      </c>
    </row>
    <row r="12" spans="1:7" x14ac:dyDescent="0.3">
      <c r="A12" s="1" t="s">
        <v>16</v>
      </c>
      <c r="B12" s="1">
        <v>244.94</v>
      </c>
      <c r="C12" s="1">
        <v>229.32</v>
      </c>
      <c r="D12" s="1">
        <v>250.4</v>
      </c>
      <c r="E12" s="1">
        <v>177.69</v>
      </c>
      <c r="F12" s="1">
        <v>168.76</v>
      </c>
      <c r="G12" s="1">
        <v>243.97</v>
      </c>
    </row>
    <row r="13" spans="1:7" x14ac:dyDescent="0.3">
      <c r="A13" s="1" t="s">
        <v>17</v>
      </c>
      <c r="B13" s="1">
        <v>40.06</v>
      </c>
      <c r="C13" s="1">
        <v>43.41</v>
      </c>
      <c r="D13" s="1">
        <v>47.76</v>
      </c>
      <c r="E13" s="1">
        <v>42.51</v>
      </c>
      <c r="F13" s="1">
        <v>56.45</v>
      </c>
      <c r="G13" s="1">
        <v>33</v>
      </c>
    </row>
    <row r="14" spans="1:7" x14ac:dyDescent="0.3">
      <c r="A14" s="1" t="s">
        <v>18</v>
      </c>
      <c r="B14" s="1">
        <v>93.79</v>
      </c>
      <c r="C14" s="1">
        <v>103.32</v>
      </c>
      <c r="D14" s="1">
        <v>94.72</v>
      </c>
      <c r="E14" s="1">
        <v>94.08</v>
      </c>
      <c r="F14" s="1">
        <v>108.72</v>
      </c>
      <c r="G14" s="1">
        <v>81.89</v>
      </c>
    </row>
    <row r="15" spans="1:7" x14ac:dyDescent="0.3">
      <c r="A15" s="1" t="s">
        <v>19</v>
      </c>
      <c r="B15" s="1">
        <v>8</v>
      </c>
      <c r="C15" s="1">
        <v>10</v>
      </c>
      <c r="D15" s="1">
        <v>10</v>
      </c>
      <c r="E15" s="1">
        <v>7</v>
      </c>
      <c r="F15" s="1">
        <v>8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1850.97</v>
      </c>
      <c r="C17" s="1">
        <v>1797.96</v>
      </c>
      <c r="D17" s="1">
        <v>2670.12</v>
      </c>
      <c r="E17" s="1">
        <v>1048.78</v>
      </c>
      <c r="F17" s="1">
        <v>54.03</v>
      </c>
      <c r="G17" s="1">
        <v>2031.94</v>
      </c>
    </row>
    <row r="18" spans="1:7" x14ac:dyDescent="0.3">
      <c r="A18" s="1" t="s">
        <v>22</v>
      </c>
      <c r="B18" s="1">
        <v>0</v>
      </c>
      <c r="C18" s="1">
        <v>14.61</v>
      </c>
      <c r="D18" s="1">
        <v>0</v>
      </c>
      <c r="E18" s="1">
        <v>345.66</v>
      </c>
      <c r="F18" s="1">
        <v>1278.05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5.2</v>
      </c>
      <c r="F20" s="1">
        <v>9.1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4.8</v>
      </c>
      <c r="F21" s="1">
        <v>0.9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6.6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3.4</v>
      </c>
      <c r="F26" s="1">
        <v>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100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65.999999999999986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34</v>
      </c>
      <c r="F31" s="3">
        <f t="shared" si="3"/>
        <v>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195.28</v>
      </c>
      <c r="C33" s="3">
        <v>209.72</v>
      </c>
      <c r="D33" s="3">
        <v>291.81</v>
      </c>
      <c r="E33" s="3">
        <v>15.71</v>
      </c>
      <c r="F33" s="3">
        <v>-119.1</v>
      </c>
      <c r="G33" s="3">
        <v>230.67</v>
      </c>
    </row>
    <row r="35" spans="1:7" x14ac:dyDescent="0.3">
      <c r="A35" s="3" t="s">
        <v>36</v>
      </c>
      <c r="B35" s="3"/>
      <c r="C35" s="3"/>
      <c r="D35" s="3">
        <f>D33-C33</f>
        <v>82.09</v>
      </c>
      <c r="E35" s="3"/>
      <c r="F35" s="3">
        <f>F33-E33</f>
        <v>-134.81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-276.10000000000002</v>
      </c>
      <c r="F37" s="3"/>
      <c r="G37" s="3">
        <f>G33-F33</f>
        <v>349.77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BDAB-3CCA-49C1-A236-091CFE095C2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525.29999999999995</v>
      </c>
      <c r="C2" s="1">
        <v>530.52</v>
      </c>
      <c r="D2" s="1">
        <v>533.44000000000005</v>
      </c>
      <c r="E2" s="1">
        <v>512.32000000000005</v>
      </c>
      <c r="F2" s="1">
        <v>515.25</v>
      </c>
      <c r="G2" s="1">
        <v>483.79</v>
      </c>
    </row>
    <row r="3" spans="1:7" x14ac:dyDescent="0.3">
      <c r="A3" s="1" t="s">
        <v>7</v>
      </c>
      <c r="B3" s="1">
        <v>63.15</v>
      </c>
      <c r="C3" s="1">
        <v>63.34</v>
      </c>
      <c r="D3" s="1">
        <v>63.05</v>
      </c>
      <c r="E3" s="1">
        <v>63.69</v>
      </c>
      <c r="F3" s="1">
        <v>67.37</v>
      </c>
      <c r="G3" s="1">
        <v>70.41</v>
      </c>
    </row>
    <row r="4" spans="1:7" x14ac:dyDescent="0.3">
      <c r="A4" s="1" t="s">
        <v>8</v>
      </c>
      <c r="B4" s="1">
        <v>33657.839999999997</v>
      </c>
      <c r="C4" s="1">
        <v>34059.54</v>
      </c>
      <c r="D4" s="1">
        <v>34134.92</v>
      </c>
      <c r="E4" s="1">
        <v>33062.82</v>
      </c>
      <c r="F4" s="1">
        <v>35302.400000000001</v>
      </c>
      <c r="G4" s="1">
        <v>34623.1</v>
      </c>
    </row>
    <row r="5" spans="1:7" x14ac:dyDescent="0.3">
      <c r="A5" s="1" t="s">
        <v>9</v>
      </c>
      <c r="B5" s="1">
        <v>419.61</v>
      </c>
      <c r="C5" s="1">
        <v>530.89</v>
      </c>
      <c r="D5" s="1">
        <v>455.01</v>
      </c>
      <c r="E5" s="1">
        <v>578.33000000000004</v>
      </c>
      <c r="F5" s="1">
        <v>504.3</v>
      </c>
      <c r="G5" s="1">
        <v>995.79</v>
      </c>
    </row>
    <row r="6" spans="1:7" x14ac:dyDescent="0.3">
      <c r="A6" s="3" t="s">
        <v>10</v>
      </c>
      <c r="B6" s="3">
        <v>41.96</v>
      </c>
      <c r="C6" s="3">
        <v>53.63</v>
      </c>
      <c r="D6" s="3">
        <v>45.96</v>
      </c>
      <c r="E6" s="3">
        <v>58.42</v>
      </c>
      <c r="F6" s="3">
        <v>50.94</v>
      </c>
      <c r="G6" s="3">
        <v>101.61</v>
      </c>
    </row>
    <row r="7" spans="1:7" x14ac:dyDescent="0.3">
      <c r="A7" s="1" t="s">
        <v>11</v>
      </c>
      <c r="B7" s="1">
        <v>390.11</v>
      </c>
      <c r="C7" s="1">
        <v>476.02</v>
      </c>
      <c r="D7" s="1">
        <v>415.15</v>
      </c>
      <c r="E7" s="1">
        <v>527.16999999999996</v>
      </c>
      <c r="F7" s="1">
        <v>460.45</v>
      </c>
      <c r="G7" s="1">
        <v>869.45</v>
      </c>
    </row>
    <row r="8" spans="1:7" x14ac:dyDescent="0.3">
      <c r="A8" s="1" t="s">
        <v>12</v>
      </c>
      <c r="B8" s="1">
        <v>39.01</v>
      </c>
      <c r="C8" s="1">
        <v>48.08</v>
      </c>
      <c r="D8" s="1">
        <v>41.93</v>
      </c>
      <c r="E8" s="1">
        <v>53.25</v>
      </c>
      <c r="F8" s="1">
        <v>46.51</v>
      </c>
      <c r="G8" s="1">
        <v>88.72</v>
      </c>
    </row>
    <row r="9" spans="1:7" x14ac:dyDescent="0.3">
      <c r="A9" s="1" t="s">
        <v>13</v>
      </c>
      <c r="B9" s="1">
        <v>47.52</v>
      </c>
      <c r="C9" s="1">
        <v>-46.92</v>
      </c>
      <c r="D9" s="1">
        <v>-47.27</v>
      </c>
      <c r="E9" s="1">
        <v>54.17</v>
      </c>
      <c r="F9" s="1">
        <v>96.2</v>
      </c>
      <c r="G9" s="1">
        <v>-399.1</v>
      </c>
    </row>
    <row r="10" spans="1:7" x14ac:dyDescent="0.3">
      <c r="A10" s="1" t="s">
        <v>14</v>
      </c>
      <c r="B10" s="1">
        <v>4.75</v>
      </c>
      <c r="C10" s="1">
        <v>-4.74</v>
      </c>
      <c r="D10" s="1">
        <v>-4.78</v>
      </c>
      <c r="E10" s="1">
        <v>5.47</v>
      </c>
      <c r="F10" s="1">
        <v>9.7200000000000006</v>
      </c>
      <c r="G10" s="1">
        <v>-40.72</v>
      </c>
    </row>
    <row r="11" spans="1:7" x14ac:dyDescent="0.3">
      <c r="A11" s="1" t="s">
        <v>15</v>
      </c>
      <c r="B11" s="1">
        <v>17.190000000000001</v>
      </c>
      <c r="C11" s="1">
        <v>1.4</v>
      </c>
      <c r="D11" s="1">
        <v>5.9</v>
      </c>
      <c r="E11" s="1">
        <v>26.65</v>
      </c>
      <c r="F11" s="1">
        <v>49.37</v>
      </c>
      <c r="G11" s="1">
        <v>311.52</v>
      </c>
    </row>
    <row r="12" spans="1:7" x14ac:dyDescent="0.3">
      <c r="A12" s="1" t="s">
        <v>16</v>
      </c>
      <c r="B12" s="1">
        <v>233.23</v>
      </c>
      <c r="C12" s="1">
        <v>212.33</v>
      </c>
      <c r="D12" s="1">
        <v>210.44</v>
      </c>
      <c r="E12" s="1">
        <v>203.37</v>
      </c>
      <c r="F12" s="1">
        <v>244.46</v>
      </c>
      <c r="G12" s="1">
        <v>217.03</v>
      </c>
    </row>
    <row r="13" spans="1:7" x14ac:dyDescent="0.3">
      <c r="A13" s="1" t="s">
        <v>17</v>
      </c>
      <c r="B13" s="1">
        <v>55.6</v>
      </c>
      <c r="C13" s="1">
        <v>54.08</v>
      </c>
      <c r="D13" s="1">
        <v>55.7</v>
      </c>
      <c r="E13" s="1">
        <v>51.67</v>
      </c>
      <c r="F13" s="1">
        <v>41.25</v>
      </c>
      <c r="G13" s="1">
        <v>24.07</v>
      </c>
    </row>
    <row r="14" spans="1:7" x14ac:dyDescent="0.3">
      <c r="A14" s="1" t="s">
        <v>18</v>
      </c>
      <c r="B14" s="1">
        <v>75.45</v>
      </c>
      <c r="C14" s="1">
        <v>67.989999999999995</v>
      </c>
      <c r="D14" s="1">
        <v>68.58</v>
      </c>
      <c r="E14" s="1">
        <v>80.319999999999993</v>
      </c>
      <c r="F14" s="1">
        <v>60.7</v>
      </c>
      <c r="G14" s="1">
        <v>64.349999999999994</v>
      </c>
    </row>
    <row r="15" spans="1:7" x14ac:dyDescent="0.3">
      <c r="A15" s="1" t="s">
        <v>19</v>
      </c>
      <c r="B15" s="1">
        <v>1</v>
      </c>
      <c r="C15" s="1">
        <v>2</v>
      </c>
      <c r="D15" s="1">
        <v>1</v>
      </c>
      <c r="E15" s="1">
        <v>1</v>
      </c>
      <c r="F15" s="1">
        <v>2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218.82</v>
      </c>
      <c r="C17" s="1">
        <v>214.55</v>
      </c>
      <c r="D17" s="1">
        <v>183.94</v>
      </c>
      <c r="E17" s="1">
        <v>290.67</v>
      </c>
      <c r="F17" s="1">
        <v>278.33</v>
      </c>
      <c r="G17" s="1">
        <v>235.17</v>
      </c>
    </row>
    <row r="18" spans="1:7" x14ac:dyDescent="0.3">
      <c r="A18" s="1" t="s">
        <v>22</v>
      </c>
      <c r="B18" s="1">
        <v>171.29</v>
      </c>
      <c r="C18" s="1">
        <v>261.47000000000003</v>
      </c>
      <c r="D18" s="1">
        <v>231.21</v>
      </c>
      <c r="E18" s="1">
        <v>236.5</v>
      </c>
      <c r="F18" s="1">
        <v>182.12</v>
      </c>
      <c r="G18" s="1">
        <v>634.28</v>
      </c>
    </row>
    <row r="19" spans="1:7" x14ac:dyDescent="0.3">
      <c r="A19" s="1" t="s">
        <v>23</v>
      </c>
      <c r="B19" s="1">
        <v>1</v>
      </c>
      <c r="C19" s="1">
        <v>1</v>
      </c>
      <c r="D19" s="1">
        <v>3</v>
      </c>
      <c r="E19" s="1">
        <v>1</v>
      </c>
      <c r="F19" s="1">
        <v>2</v>
      </c>
      <c r="G19" s="1">
        <v>2</v>
      </c>
    </row>
    <row r="20" spans="1:7" x14ac:dyDescent="0.3">
      <c r="A20" s="1" t="s">
        <v>24</v>
      </c>
      <c r="B20" s="1">
        <v>1.5</v>
      </c>
      <c r="C20" s="1">
        <v>1.6</v>
      </c>
      <c r="D20" s="1">
        <v>3.7</v>
      </c>
      <c r="E20" s="1">
        <v>1.2</v>
      </c>
      <c r="F20" s="1">
        <v>2.6</v>
      </c>
      <c r="G20" s="1">
        <v>5.8</v>
      </c>
    </row>
    <row r="21" spans="1:7" x14ac:dyDescent="0.3">
      <c r="A21" s="1" t="s">
        <v>25</v>
      </c>
      <c r="B21" s="1">
        <v>8.6</v>
      </c>
      <c r="C21" s="1">
        <v>8.4</v>
      </c>
      <c r="D21" s="1">
        <v>6.3</v>
      </c>
      <c r="E21" s="1">
        <v>8.8000000000000007</v>
      </c>
      <c r="F21" s="1">
        <v>7.4</v>
      </c>
      <c r="G21" s="1">
        <v>4.0999999999999996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5.0999999999999996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1.7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3.1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51.515151515151516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17.171717171717169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31.313131313131315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3.18</v>
      </c>
      <c r="C33" s="3">
        <v>-1.1100000000000001</v>
      </c>
      <c r="D33" s="3">
        <v>0.86</v>
      </c>
      <c r="E33" s="3">
        <v>2.89</v>
      </c>
      <c r="F33" s="3">
        <v>3.81</v>
      </c>
      <c r="G33" s="3">
        <v>-39.32</v>
      </c>
    </row>
    <row r="35" spans="1:7" x14ac:dyDescent="0.3">
      <c r="A35" s="3" t="s">
        <v>36</v>
      </c>
      <c r="B35" s="3"/>
      <c r="C35" s="3"/>
      <c r="D35" s="3">
        <f>D33-C33</f>
        <v>1.9700000000000002</v>
      </c>
      <c r="E35" s="3"/>
      <c r="F35" s="3">
        <f>F33-E33</f>
        <v>0.91999999999999993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2.0300000000000002</v>
      </c>
      <c r="F37" s="3"/>
      <c r="G37" s="3">
        <f>G33-F33</f>
        <v>-43.13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146E-B9FF-4A4D-ADAC-A98930681FA4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298.31</v>
      </c>
      <c r="C2" s="1">
        <v>377.9</v>
      </c>
      <c r="D2" s="1">
        <v>380.63</v>
      </c>
      <c r="E2" s="1">
        <v>355.41</v>
      </c>
      <c r="F2" s="1">
        <v>363.86</v>
      </c>
      <c r="G2" s="1">
        <v>416.82</v>
      </c>
    </row>
    <row r="3" spans="1:7" x14ac:dyDescent="0.3">
      <c r="A3" s="1" t="s">
        <v>7</v>
      </c>
      <c r="B3" s="1">
        <v>43.09</v>
      </c>
      <c r="C3" s="1">
        <v>45.25</v>
      </c>
      <c r="D3" s="1">
        <v>49.06</v>
      </c>
      <c r="E3" s="1">
        <v>44.7</v>
      </c>
      <c r="F3" s="1">
        <v>47.63</v>
      </c>
      <c r="G3" s="1">
        <v>48.51</v>
      </c>
    </row>
    <row r="4" spans="1:7" x14ac:dyDescent="0.3">
      <c r="A4" s="1" t="s">
        <v>8</v>
      </c>
      <c r="B4" s="1">
        <v>13137.31</v>
      </c>
      <c r="C4" s="1">
        <v>17392.150000000001</v>
      </c>
      <c r="D4" s="1">
        <v>19028.78</v>
      </c>
      <c r="E4" s="1">
        <v>16249.7</v>
      </c>
      <c r="F4" s="1">
        <v>17663.03</v>
      </c>
      <c r="G4" s="1">
        <v>20590.900000000001</v>
      </c>
    </row>
    <row r="5" spans="1:7" x14ac:dyDescent="0.3">
      <c r="A5" s="1" t="s">
        <v>9</v>
      </c>
      <c r="B5" s="1">
        <v>1919.59</v>
      </c>
      <c r="C5" s="1">
        <v>1642.58</v>
      </c>
      <c r="D5" s="1">
        <v>1606.12</v>
      </c>
      <c r="E5" s="1">
        <v>1936.54</v>
      </c>
      <c r="F5" s="1">
        <v>1300.6199999999999</v>
      </c>
      <c r="G5" s="1">
        <v>1420.5</v>
      </c>
    </row>
    <row r="6" spans="1:7" x14ac:dyDescent="0.3">
      <c r="A6" s="3" t="s">
        <v>10</v>
      </c>
      <c r="B6" s="3">
        <v>191.96</v>
      </c>
      <c r="C6" s="3">
        <v>165.92</v>
      </c>
      <c r="D6" s="3">
        <v>162.22999999999999</v>
      </c>
      <c r="E6" s="3">
        <v>195.61</v>
      </c>
      <c r="F6" s="3">
        <v>131.38</v>
      </c>
      <c r="G6" s="3">
        <v>144.94999999999999</v>
      </c>
    </row>
    <row r="7" spans="1:7" x14ac:dyDescent="0.3">
      <c r="A7" s="1" t="s">
        <v>11</v>
      </c>
      <c r="B7" s="1">
        <v>1710.18</v>
      </c>
      <c r="C7" s="1">
        <v>1514.69</v>
      </c>
      <c r="D7" s="1">
        <v>1379.5</v>
      </c>
      <c r="E7" s="1">
        <v>1759.33</v>
      </c>
      <c r="F7" s="1">
        <v>1224.31</v>
      </c>
      <c r="G7" s="1">
        <v>1344.25</v>
      </c>
    </row>
    <row r="8" spans="1:7" x14ac:dyDescent="0.3">
      <c r="A8" s="1" t="s">
        <v>12</v>
      </c>
      <c r="B8" s="1">
        <v>171.02</v>
      </c>
      <c r="C8" s="1">
        <v>153</v>
      </c>
      <c r="D8" s="1">
        <v>139.34</v>
      </c>
      <c r="E8" s="1">
        <v>177.71</v>
      </c>
      <c r="F8" s="1">
        <v>123.67</v>
      </c>
      <c r="G8" s="1">
        <v>137.16999999999999</v>
      </c>
    </row>
    <row r="9" spans="1:7" x14ac:dyDescent="0.3">
      <c r="A9" s="1" t="s">
        <v>13</v>
      </c>
      <c r="B9" s="1">
        <v>1636.2</v>
      </c>
      <c r="C9" s="1">
        <v>1514.69</v>
      </c>
      <c r="D9" s="1">
        <v>1181.4000000000001</v>
      </c>
      <c r="E9" s="1">
        <v>1750.73</v>
      </c>
      <c r="F9" s="1">
        <v>1041.6300000000001</v>
      </c>
      <c r="G9" s="1">
        <v>1273.3</v>
      </c>
    </row>
    <row r="10" spans="1:7" x14ac:dyDescent="0.3">
      <c r="A10" s="1" t="s">
        <v>14</v>
      </c>
      <c r="B10" s="1">
        <v>163.62</v>
      </c>
      <c r="C10" s="1">
        <v>153</v>
      </c>
      <c r="D10" s="1">
        <v>119.33</v>
      </c>
      <c r="E10" s="1">
        <v>176.84</v>
      </c>
      <c r="F10" s="1">
        <v>105.21</v>
      </c>
      <c r="G10" s="1">
        <v>129.93</v>
      </c>
    </row>
    <row r="11" spans="1:7" x14ac:dyDescent="0.3">
      <c r="A11" s="1" t="s">
        <v>15</v>
      </c>
      <c r="B11" s="1">
        <v>1593.06</v>
      </c>
      <c r="C11" s="1">
        <v>1341.05</v>
      </c>
      <c r="D11" s="1">
        <v>790.55</v>
      </c>
      <c r="E11" s="1">
        <v>1238.3699999999999</v>
      </c>
      <c r="F11" s="1">
        <v>810.29</v>
      </c>
      <c r="G11" s="1">
        <v>972.83</v>
      </c>
    </row>
    <row r="12" spans="1:7" x14ac:dyDescent="0.3">
      <c r="A12" s="1" t="s">
        <v>16</v>
      </c>
      <c r="B12" s="1">
        <v>159.49</v>
      </c>
      <c r="C12" s="1">
        <v>230.64</v>
      </c>
      <c r="D12" s="1">
        <v>185.03</v>
      </c>
      <c r="E12" s="1">
        <v>211.21</v>
      </c>
      <c r="F12" s="1">
        <v>217.14</v>
      </c>
      <c r="G12" s="1">
        <v>234.45</v>
      </c>
    </row>
    <row r="13" spans="1:7" x14ac:dyDescent="0.3">
      <c r="A13" s="1" t="s">
        <v>17</v>
      </c>
      <c r="B13" s="1">
        <v>18.170000000000002</v>
      </c>
      <c r="C13" s="1">
        <v>21.94</v>
      </c>
      <c r="D13" s="1">
        <v>39.54</v>
      </c>
      <c r="E13" s="1">
        <v>29.9</v>
      </c>
      <c r="F13" s="1">
        <v>29.53</v>
      </c>
      <c r="G13" s="1">
        <v>39.68</v>
      </c>
    </row>
    <row r="14" spans="1:7" x14ac:dyDescent="0.3">
      <c r="A14" s="1" t="s">
        <v>18</v>
      </c>
      <c r="B14" s="1">
        <v>62.65</v>
      </c>
      <c r="C14" s="1">
        <v>66.88</v>
      </c>
      <c r="D14" s="1">
        <v>77.680000000000007</v>
      </c>
      <c r="E14" s="1">
        <v>78.64</v>
      </c>
      <c r="F14" s="1">
        <v>62.34</v>
      </c>
      <c r="G14" s="1">
        <v>74.459999999999994</v>
      </c>
    </row>
    <row r="15" spans="1:7" x14ac:dyDescent="0.3">
      <c r="A15" s="1" t="s">
        <v>19</v>
      </c>
      <c r="B15" s="1">
        <v>7</v>
      </c>
      <c r="C15" s="1">
        <v>6</v>
      </c>
      <c r="D15" s="1">
        <v>8</v>
      </c>
      <c r="E15" s="1">
        <v>8</v>
      </c>
      <c r="F15" s="1">
        <v>6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1673.19</v>
      </c>
      <c r="C17" s="1">
        <v>1514.69</v>
      </c>
      <c r="D17" s="1">
        <v>1280.45</v>
      </c>
      <c r="E17" s="1">
        <v>1755.03</v>
      </c>
      <c r="F17" s="1">
        <v>1132.97</v>
      </c>
      <c r="G17" s="1">
        <v>1308.77</v>
      </c>
    </row>
    <row r="18" spans="1:7" x14ac:dyDescent="0.3">
      <c r="A18" s="1" t="s">
        <v>22</v>
      </c>
      <c r="B18" s="1">
        <v>36.99</v>
      </c>
      <c r="C18" s="1">
        <v>0</v>
      </c>
      <c r="D18" s="1">
        <v>99.05</v>
      </c>
      <c r="E18" s="1">
        <v>4.3</v>
      </c>
      <c r="F18" s="1">
        <v>91.34</v>
      </c>
      <c r="G18" s="1">
        <v>35.47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1.7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8.3000000000000007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17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83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179.89</v>
      </c>
      <c r="C33" s="3">
        <v>167.8</v>
      </c>
      <c r="D33" s="3">
        <v>132.83000000000001</v>
      </c>
      <c r="E33" s="3">
        <v>196.12</v>
      </c>
      <c r="F33" s="3">
        <v>108.43</v>
      </c>
      <c r="G33" s="3">
        <v>133.44</v>
      </c>
    </row>
    <row r="35" spans="1:7" x14ac:dyDescent="0.3">
      <c r="A35" s="3" t="s">
        <v>36</v>
      </c>
      <c r="B35" s="3"/>
      <c r="C35" s="3"/>
      <c r="D35" s="3">
        <f>D33-C33</f>
        <v>-34.97</v>
      </c>
      <c r="E35" s="3"/>
      <c r="F35" s="3">
        <f>F33-E33</f>
        <v>-87.69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63.289999999999992</v>
      </c>
      <c r="F37" s="3"/>
      <c r="G37" s="3">
        <f>G33-F33</f>
        <v>25.009999999999991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9085-0566-46C8-A16F-DDD1A1895F94}">
  <dimension ref="A1:G37"/>
  <sheetViews>
    <sheetView zoomScale="70" zoomScaleNormal="70" workbookViewId="0">
      <selection activeCell="L21" sqref="L2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311.95</v>
      </c>
      <c r="C2" s="1">
        <v>377.18</v>
      </c>
      <c r="D2" s="1">
        <v>383.51</v>
      </c>
      <c r="E2" s="1">
        <v>365.54</v>
      </c>
      <c r="F2" s="1">
        <v>346.93</v>
      </c>
      <c r="G2" s="1">
        <v>372.21</v>
      </c>
    </row>
    <row r="3" spans="1:7" x14ac:dyDescent="0.3">
      <c r="A3" s="1" t="s">
        <v>7</v>
      </c>
      <c r="B3" s="1">
        <v>52.45</v>
      </c>
      <c r="C3" s="1">
        <v>55</v>
      </c>
      <c r="D3" s="1">
        <v>47.9</v>
      </c>
      <c r="E3" s="1">
        <v>50.21</v>
      </c>
      <c r="F3" s="1">
        <v>43.44</v>
      </c>
      <c r="G3" s="1">
        <v>44.69</v>
      </c>
    </row>
    <row r="4" spans="1:7" x14ac:dyDescent="0.3">
      <c r="A4" s="1" t="s">
        <v>8</v>
      </c>
      <c r="B4" s="1">
        <v>16508.02</v>
      </c>
      <c r="C4" s="1">
        <v>20998.720000000001</v>
      </c>
      <c r="D4" s="1">
        <v>18649.759999999998</v>
      </c>
      <c r="E4" s="1">
        <v>18719.52</v>
      </c>
      <c r="F4" s="1">
        <v>15389.75</v>
      </c>
      <c r="G4" s="1">
        <v>16965.77</v>
      </c>
    </row>
    <row r="5" spans="1:7" x14ac:dyDescent="0.3">
      <c r="A5" s="1" t="s">
        <v>9</v>
      </c>
      <c r="B5" s="1">
        <v>742.37</v>
      </c>
      <c r="C5" s="1">
        <v>726.68</v>
      </c>
      <c r="D5" s="1">
        <v>1248.95</v>
      </c>
      <c r="E5" s="1">
        <v>1264.77</v>
      </c>
      <c r="F5" s="1">
        <v>1014.25</v>
      </c>
      <c r="G5" s="1">
        <v>1271.29</v>
      </c>
    </row>
    <row r="6" spans="1:7" x14ac:dyDescent="0.3">
      <c r="A6" s="3" t="s">
        <v>10</v>
      </c>
      <c r="B6" s="3">
        <v>74.239999999999995</v>
      </c>
      <c r="C6" s="3">
        <v>73.400000000000006</v>
      </c>
      <c r="D6" s="3">
        <v>126.16</v>
      </c>
      <c r="E6" s="3">
        <v>127.75</v>
      </c>
      <c r="F6" s="3">
        <v>102.45</v>
      </c>
      <c r="G6" s="3">
        <v>129.72</v>
      </c>
    </row>
    <row r="7" spans="1:7" x14ac:dyDescent="0.3">
      <c r="A7" s="1" t="s">
        <v>11</v>
      </c>
      <c r="B7" s="1">
        <v>530.33000000000004</v>
      </c>
      <c r="C7" s="1">
        <v>634.08000000000004</v>
      </c>
      <c r="D7" s="1">
        <v>1052.01</v>
      </c>
      <c r="E7" s="1">
        <v>1031.71</v>
      </c>
      <c r="F7" s="1">
        <v>851.51</v>
      </c>
      <c r="G7" s="1">
        <v>1148.97</v>
      </c>
    </row>
    <row r="8" spans="1:7" x14ac:dyDescent="0.3">
      <c r="A8" s="1" t="s">
        <v>12</v>
      </c>
      <c r="B8" s="1">
        <v>53.03</v>
      </c>
      <c r="C8" s="1">
        <v>64.05</v>
      </c>
      <c r="D8" s="1">
        <v>106.26</v>
      </c>
      <c r="E8" s="1">
        <v>104.21</v>
      </c>
      <c r="F8" s="1">
        <v>86.01</v>
      </c>
      <c r="G8" s="1">
        <v>117.24</v>
      </c>
    </row>
    <row r="9" spans="1:7" x14ac:dyDescent="0.3">
      <c r="A9" s="1" t="s">
        <v>13</v>
      </c>
      <c r="B9" s="1">
        <v>140.47999999999999</v>
      </c>
      <c r="C9" s="1">
        <v>487.51</v>
      </c>
      <c r="D9" s="1">
        <v>979.34</v>
      </c>
      <c r="E9" s="1">
        <v>993.48</v>
      </c>
      <c r="F9" s="1">
        <v>-396.19</v>
      </c>
      <c r="G9" s="1">
        <v>1144.24</v>
      </c>
    </row>
    <row r="10" spans="1:7" x14ac:dyDescent="0.3">
      <c r="A10" s="1" t="s">
        <v>14</v>
      </c>
      <c r="B10" s="1">
        <v>14.05</v>
      </c>
      <c r="C10" s="1">
        <v>49.24</v>
      </c>
      <c r="D10" s="1">
        <v>98.92</v>
      </c>
      <c r="E10" s="1">
        <v>100.35</v>
      </c>
      <c r="F10" s="1">
        <v>-40.020000000000003</v>
      </c>
      <c r="G10" s="1">
        <v>116.76</v>
      </c>
    </row>
    <row r="11" spans="1:7" x14ac:dyDescent="0.3">
      <c r="A11" s="1" t="s">
        <v>15</v>
      </c>
      <c r="B11" s="1">
        <v>122.51</v>
      </c>
      <c r="C11" s="1">
        <v>172.74</v>
      </c>
      <c r="D11" s="1">
        <v>381.82</v>
      </c>
      <c r="E11" s="1">
        <v>749.87</v>
      </c>
      <c r="F11" s="1">
        <v>109.35</v>
      </c>
      <c r="G11" s="1">
        <v>1016.31</v>
      </c>
    </row>
    <row r="12" spans="1:7" x14ac:dyDescent="0.3">
      <c r="A12" s="1" t="s">
        <v>16</v>
      </c>
      <c r="B12" s="1">
        <v>136.68</v>
      </c>
      <c r="C12" s="1">
        <v>133.80000000000001</v>
      </c>
      <c r="D12" s="1">
        <v>159.30000000000001</v>
      </c>
      <c r="E12" s="1">
        <v>165.5</v>
      </c>
      <c r="F12" s="1">
        <v>182.03</v>
      </c>
      <c r="G12" s="1">
        <v>209.57</v>
      </c>
    </row>
    <row r="13" spans="1:7" x14ac:dyDescent="0.3">
      <c r="A13" s="1" t="s">
        <v>17</v>
      </c>
      <c r="B13" s="1">
        <v>36.24</v>
      </c>
      <c r="C13" s="1">
        <v>36.590000000000003</v>
      </c>
      <c r="D13" s="1">
        <v>40.19</v>
      </c>
      <c r="E13" s="1">
        <v>41.76</v>
      </c>
      <c r="F13" s="1">
        <v>23.19</v>
      </c>
      <c r="G13" s="1">
        <v>23.16</v>
      </c>
    </row>
    <row r="14" spans="1:7" x14ac:dyDescent="0.3">
      <c r="A14" s="1" t="s">
        <v>18</v>
      </c>
      <c r="B14" s="1">
        <v>76.25</v>
      </c>
      <c r="C14" s="1">
        <v>75.75</v>
      </c>
      <c r="D14" s="1">
        <v>94.47</v>
      </c>
      <c r="E14" s="1">
        <v>71.599999999999994</v>
      </c>
      <c r="F14" s="1">
        <v>75.02</v>
      </c>
      <c r="G14" s="1">
        <v>64.680000000000007</v>
      </c>
    </row>
    <row r="15" spans="1:7" x14ac:dyDescent="0.3">
      <c r="A15" s="1" t="s">
        <v>19</v>
      </c>
      <c r="B15" s="1">
        <v>4</v>
      </c>
      <c r="C15" s="1">
        <v>4</v>
      </c>
      <c r="D15" s="1">
        <v>4</v>
      </c>
      <c r="E15" s="1">
        <v>6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335.4</v>
      </c>
      <c r="C17" s="1">
        <v>560.79999999999995</v>
      </c>
      <c r="D17" s="1">
        <v>1015.67</v>
      </c>
      <c r="E17" s="1">
        <v>1012.6</v>
      </c>
      <c r="F17" s="1">
        <v>227.66</v>
      </c>
      <c r="G17" s="1">
        <v>1146.5999999999999</v>
      </c>
    </row>
    <row r="18" spans="1:7" x14ac:dyDescent="0.3">
      <c r="A18" s="1" t="s">
        <v>22</v>
      </c>
      <c r="B18" s="1">
        <v>194.93</v>
      </c>
      <c r="C18" s="1">
        <v>73.28</v>
      </c>
      <c r="D18" s="1">
        <v>36.340000000000003</v>
      </c>
      <c r="E18" s="1">
        <v>19.12</v>
      </c>
      <c r="F18" s="1">
        <v>623.85</v>
      </c>
      <c r="G18" s="1">
        <v>2.36</v>
      </c>
    </row>
    <row r="19" spans="1:7" x14ac:dyDescent="0.3">
      <c r="A19" s="1" t="s">
        <v>23</v>
      </c>
      <c r="B19" s="1">
        <v>2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3.4</v>
      </c>
      <c r="C20" s="1">
        <v>0</v>
      </c>
      <c r="D20" s="1">
        <v>1.1000000000000001</v>
      </c>
      <c r="E20" s="1">
        <v>0</v>
      </c>
      <c r="F20" s="1">
        <v>3.4</v>
      </c>
      <c r="G20" s="1">
        <v>0</v>
      </c>
    </row>
    <row r="21" spans="1:7" x14ac:dyDescent="0.3">
      <c r="A21" s="1" t="s">
        <v>25</v>
      </c>
      <c r="B21" s="1">
        <v>6.7</v>
      </c>
      <c r="C21" s="1">
        <v>10</v>
      </c>
      <c r="D21" s="1">
        <v>8.9</v>
      </c>
      <c r="E21" s="1">
        <v>10</v>
      </c>
      <c r="F21" s="1">
        <v>6.6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2.6</v>
      </c>
      <c r="G24" s="1">
        <v>0</v>
      </c>
    </row>
    <row r="25" spans="1:7" x14ac:dyDescent="0.3">
      <c r="A25" s="1" t="s">
        <v>29</v>
      </c>
      <c r="B25" s="1">
        <v>7.9</v>
      </c>
      <c r="C25" s="1">
        <v>3.1</v>
      </c>
      <c r="D25" s="1">
        <v>1.7</v>
      </c>
      <c r="E25" s="1">
        <v>1.1000000000000001</v>
      </c>
      <c r="F25" s="1">
        <v>4.3</v>
      </c>
      <c r="G25" s="1">
        <v>0</v>
      </c>
    </row>
    <row r="26" spans="1:7" x14ac:dyDescent="0.3">
      <c r="A26" s="1" t="s">
        <v>30</v>
      </c>
      <c r="B26" s="1">
        <v>2.2000000000000002</v>
      </c>
      <c r="C26" s="1">
        <v>6.9</v>
      </c>
      <c r="D26" s="1">
        <v>8.3000000000000007</v>
      </c>
      <c r="E26" s="1">
        <v>8.9</v>
      </c>
      <c r="F26" s="1">
        <v>3.1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78.217821782178206</v>
      </c>
      <c r="C30" s="3">
        <f t="shared" ref="C30:G30" si="2">C25/C28*100</f>
        <v>31</v>
      </c>
      <c r="D30" s="3">
        <f t="shared" si="2"/>
        <v>17</v>
      </c>
      <c r="E30" s="3">
        <f t="shared" si="2"/>
        <v>11.000000000000002</v>
      </c>
      <c r="F30" s="3">
        <f t="shared" si="2"/>
        <v>43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21.782178217821784</v>
      </c>
      <c r="C31" s="3">
        <f t="shared" ref="C31:G31" si="3">C26/C28*100</f>
        <v>69</v>
      </c>
      <c r="D31" s="3">
        <f t="shared" si="3"/>
        <v>83</v>
      </c>
      <c r="E31" s="3">
        <f t="shared" si="3"/>
        <v>89</v>
      </c>
      <c r="F31" s="3">
        <f t="shared" si="3"/>
        <v>31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-1.49</v>
      </c>
      <c r="C33" s="3">
        <v>50.73</v>
      </c>
      <c r="D33" s="3">
        <v>105.41</v>
      </c>
      <c r="E33" s="3">
        <v>114.42</v>
      </c>
      <c r="F33" s="3">
        <v>9.49</v>
      </c>
      <c r="G33" s="3">
        <v>125.24</v>
      </c>
    </row>
    <row r="35" spans="1:7" x14ac:dyDescent="0.3">
      <c r="A35" s="3" t="s">
        <v>36</v>
      </c>
      <c r="B35" s="3"/>
      <c r="C35" s="3"/>
      <c r="D35" s="3">
        <f>D33-C33</f>
        <v>54.68</v>
      </c>
      <c r="E35" s="3"/>
      <c r="F35" s="3">
        <f>F33-E33</f>
        <v>-104.93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9.0100000000000051</v>
      </c>
      <c r="F37" s="3"/>
      <c r="G37" s="3">
        <f>G33-F33</f>
        <v>115.75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294C-D2BB-4A0B-8620-A7828A75C79E}">
  <dimension ref="A1:G37"/>
  <sheetViews>
    <sheetView zoomScale="70" zoomScaleNormal="70" workbookViewId="0">
      <selection activeCell="I30" sqref="I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424.59</v>
      </c>
      <c r="C2" s="1">
        <v>437.55</v>
      </c>
      <c r="D2" s="1">
        <v>439.35</v>
      </c>
      <c r="E2" s="1">
        <v>490.38</v>
      </c>
      <c r="F2" s="1">
        <v>490.34</v>
      </c>
      <c r="G2" s="1">
        <v>502.22</v>
      </c>
    </row>
    <row r="3" spans="1:7" x14ac:dyDescent="0.3">
      <c r="A3" s="1" t="s">
        <v>7</v>
      </c>
      <c r="B3" s="1">
        <v>44.18</v>
      </c>
      <c r="C3" s="1">
        <v>44.81</v>
      </c>
      <c r="D3" s="1">
        <v>44.99</v>
      </c>
      <c r="E3" s="1">
        <v>44.14</v>
      </c>
      <c r="F3" s="1">
        <v>43.79</v>
      </c>
      <c r="G3" s="1">
        <v>48.66</v>
      </c>
    </row>
    <row r="4" spans="1:7" x14ac:dyDescent="0.3">
      <c r="A4" s="1" t="s">
        <v>8</v>
      </c>
      <c r="B4" s="1">
        <v>19075.11</v>
      </c>
      <c r="C4" s="1">
        <v>19939.439999999999</v>
      </c>
      <c r="D4" s="1">
        <v>20104.259999999998</v>
      </c>
      <c r="E4" s="1">
        <v>22014.39</v>
      </c>
      <c r="F4" s="1">
        <v>21838.66</v>
      </c>
      <c r="G4" s="1">
        <v>24856.639999999999</v>
      </c>
    </row>
    <row r="5" spans="1:7" x14ac:dyDescent="0.3">
      <c r="A5" s="1" t="s">
        <v>9</v>
      </c>
      <c r="B5" s="1">
        <v>322.05</v>
      </c>
      <c r="C5" s="1">
        <v>147.38</v>
      </c>
      <c r="D5" s="1">
        <v>123.96</v>
      </c>
      <c r="E5" s="1">
        <v>91.73</v>
      </c>
      <c r="F5" s="1">
        <v>126.81</v>
      </c>
      <c r="G5" s="1">
        <v>86.95</v>
      </c>
    </row>
    <row r="6" spans="1:7" x14ac:dyDescent="0.3">
      <c r="A6" s="3" t="s">
        <v>10</v>
      </c>
      <c r="B6" s="3">
        <v>32.200000000000003</v>
      </c>
      <c r="C6" s="3">
        <v>14.89</v>
      </c>
      <c r="D6" s="3">
        <v>12.52</v>
      </c>
      <c r="E6" s="3">
        <v>9.27</v>
      </c>
      <c r="F6" s="3">
        <v>12.81</v>
      </c>
      <c r="G6" s="3">
        <v>8.8699999999999992</v>
      </c>
    </row>
    <row r="7" spans="1:7" x14ac:dyDescent="0.3">
      <c r="A7" s="1" t="s">
        <v>11</v>
      </c>
      <c r="B7" s="1">
        <v>299.58999999999997</v>
      </c>
      <c r="C7" s="1">
        <v>126.78</v>
      </c>
      <c r="D7" s="1">
        <v>103.43</v>
      </c>
      <c r="E7" s="1">
        <v>71.06</v>
      </c>
      <c r="F7" s="1">
        <v>107.4</v>
      </c>
      <c r="G7" s="1">
        <v>77.09</v>
      </c>
    </row>
    <row r="8" spans="1:7" x14ac:dyDescent="0.3">
      <c r="A8" s="1" t="s">
        <v>12</v>
      </c>
      <c r="B8" s="1">
        <v>29.96</v>
      </c>
      <c r="C8" s="1">
        <v>12.81</v>
      </c>
      <c r="D8" s="1">
        <v>10.45</v>
      </c>
      <c r="E8" s="1">
        <v>7.18</v>
      </c>
      <c r="F8" s="1">
        <v>10.85</v>
      </c>
      <c r="G8" s="1">
        <v>7.87</v>
      </c>
    </row>
    <row r="9" spans="1:7" x14ac:dyDescent="0.3">
      <c r="A9" s="1" t="s">
        <v>13</v>
      </c>
      <c r="B9" s="1">
        <v>-134.33000000000001</v>
      </c>
      <c r="C9" s="1">
        <v>19.09</v>
      </c>
      <c r="D9" s="1">
        <v>12.37</v>
      </c>
      <c r="E9" s="1">
        <v>7.19</v>
      </c>
      <c r="F9" s="1">
        <v>-16.05</v>
      </c>
      <c r="G9" s="1">
        <v>9.1999999999999993</v>
      </c>
    </row>
    <row r="10" spans="1:7" x14ac:dyDescent="0.3">
      <c r="A10" s="1" t="s">
        <v>14</v>
      </c>
      <c r="B10" s="1">
        <v>-13.43</v>
      </c>
      <c r="C10" s="1">
        <v>1.93</v>
      </c>
      <c r="D10" s="1">
        <v>1.25</v>
      </c>
      <c r="E10" s="1">
        <v>0.73</v>
      </c>
      <c r="F10" s="1">
        <v>-1.62</v>
      </c>
      <c r="G10" s="1">
        <v>0.94</v>
      </c>
    </row>
    <row r="11" spans="1:7" x14ac:dyDescent="0.3">
      <c r="A11" s="1" t="s">
        <v>15</v>
      </c>
      <c r="B11" s="1">
        <v>121.67</v>
      </c>
      <c r="C11" s="1">
        <v>4.7699999999999996</v>
      </c>
      <c r="D11" s="1">
        <v>4.5</v>
      </c>
      <c r="E11" s="1">
        <v>5.89</v>
      </c>
      <c r="F11" s="1">
        <v>5.24</v>
      </c>
      <c r="G11" s="1">
        <v>1.1399999999999999</v>
      </c>
    </row>
    <row r="12" spans="1:7" x14ac:dyDescent="0.3">
      <c r="A12" s="1" t="s">
        <v>16</v>
      </c>
      <c r="B12" s="1">
        <v>171.36</v>
      </c>
      <c r="C12" s="1">
        <v>180.59</v>
      </c>
      <c r="D12" s="1">
        <v>179.26</v>
      </c>
      <c r="E12" s="1">
        <v>174.09</v>
      </c>
      <c r="F12" s="1">
        <v>169.81</v>
      </c>
      <c r="G12" s="1">
        <v>234.54</v>
      </c>
    </row>
    <row r="13" spans="1:7" x14ac:dyDescent="0.3">
      <c r="A13" s="1" t="s">
        <v>17</v>
      </c>
      <c r="B13" s="1">
        <v>29.52</v>
      </c>
      <c r="C13" s="1">
        <v>44.89</v>
      </c>
      <c r="D13" s="1">
        <v>45.6</v>
      </c>
      <c r="E13" s="1">
        <v>20.2</v>
      </c>
      <c r="F13" s="1">
        <v>19.190000000000001</v>
      </c>
      <c r="G13" s="1">
        <v>10.31</v>
      </c>
    </row>
    <row r="14" spans="1:7" x14ac:dyDescent="0.3">
      <c r="A14" s="1" t="s">
        <v>18</v>
      </c>
      <c r="B14" s="1">
        <v>91.52</v>
      </c>
      <c r="C14" s="1">
        <v>50.37</v>
      </c>
      <c r="D14" s="1">
        <v>50.22</v>
      </c>
      <c r="E14" s="1">
        <v>27.94</v>
      </c>
      <c r="F14" s="1">
        <v>27.01</v>
      </c>
      <c r="G14" s="1">
        <v>18.190000000000001</v>
      </c>
    </row>
    <row r="15" spans="1:7" x14ac:dyDescent="0.3">
      <c r="A15" s="1" t="s">
        <v>19</v>
      </c>
      <c r="B15" s="1">
        <v>4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82.63</v>
      </c>
      <c r="C17" s="1">
        <v>72.94</v>
      </c>
      <c r="D17" s="1">
        <v>57.9</v>
      </c>
      <c r="E17" s="1">
        <v>39.119999999999997</v>
      </c>
      <c r="F17" s="1">
        <v>45.67</v>
      </c>
      <c r="G17" s="1">
        <v>43.14</v>
      </c>
    </row>
    <row r="18" spans="1:7" x14ac:dyDescent="0.3">
      <c r="A18" s="1" t="s">
        <v>22</v>
      </c>
      <c r="B18" s="1">
        <v>216.96</v>
      </c>
      <c r="C18" s="1">
        <v>53.85</v>
      </c>
      <c r="D18" s="1">
        <v>45.53</v>
      </c>
      <c r="E18" s="1">
        <v>31.93</v>
      </c>
      <c r="F18" s="1">
        <v>61.73</v>
      </c>
      <c r="G18" s="1">
        <v>33.950000000000003</v>
      </c>
    </row>
    <row r="19" spans="1:7" x14ac:dyDescent="0.3">
      <c r="A19" s="1" t="s">
        <v>23</v>
      </c>
      <c r="B19" s="1">
        <v>3</v>
      </c>
      <c r="C19" s="1">
        <v>1</v>
      </c>
      <c r="D19" s="1">
        <v>1</v>
      </c>
      <c r="E19" s="1">
        <v>2</v>
      </c>
      <c r="F19" s="1">
        <v>2</v>
      </c>
      <c r="G19" s="1">
        <v>1</v>
      </c>
    </row>
    <row r="20" spans="1:7" x14ac:dyDescent="0.3">
      <c r="A20" s="1" t="s">
        <v>24</v>
      </c>
      <c r="B20" s="1">
        <v>5.3</v>
      </c>
      <c r="C20" s="1">
        <v>1</v>
      </c>
      <c r="D20" s="1">
        <v>1.5</v>
      </c>
      <c r="E20" s="1">
        <v>2.6</v>
      </c>
      <c r="F20" s="1">
        <v>2.4</v>
      </c>
      <c r="G20" s="1">
        <v>1.2</v>
      </c>
    </row>
    <row r="21" spans="1:7" x14ac:dyDescent="0.3">
      <c r="A21" s="1" t="s">
        <v>25</v>
      </c>
      <c r="B21" s="1">
        <v>4.8</v>
      </c>
      <c r="C21" s="1">
        <v>9</v>
      </c>
      <c r="D21" s="1">
        <v>8.5</v>
      </c>
      <c r="E21" s="1">
        <v>7.4</v>
      </c>
      <c r="F21" s="1">
        <v>7.6</v>
      </c>
      <c r="G21" s="1">
        <v>8.6999999999999993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2.2999999999999998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7.8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22.772277227722771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77.227722772277232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-14.52</v>
      </c>
      <c r="C33" s="3">
        <v>0.15</v>
      </c>
      <c r="D33" s="3">
        <v>0.31</v>
      </c>
      <c r="E33" s="3">
        <v>0.15</v>
      </c>
      <c r="F33" s="3">
        <v>-0.2</v>
      </c>
      <c r="G33" s="3">
        <v>-0.18</v>
      </c>
    </row>
    <row r="35" spans="1:7" x14ac:dyDescent="0.3">
      <c r="A35" s="3" t="s">
        <v>36</v>
      </c>
      <c r="B35" s="3"/>
      <c r="C35" s="3"/>
      <c r="D35" s="3">
        <f>D33-C33</f>
        <v>0.16</v>
      </c>
      <c r="E35" s="3"/>
      <c r="F35" s="3">
        <f>F33-E33</f>
        <v>-0.35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-0.16</v>
      </c>
      <c r="F37" s="3"/>
      <c r="G37" s="3">
        <f>G33-F33</f>
        <v>2.0000000000000018E-2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9472-0B9F-47BF-ACA1-1C5BA388C138}">
  <dimension ref="A1:G37"/>
  <sheetViews>
    <sheetView zoomScale="70" zoomScaleNormal="70" workbookViewId="0">
      <selection activeCell="I35" sqref="I3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389.91</v>
      </c>
      <c r="C2" s="1">
        <v>407.82</v>
      </c>
      <c r="D2" s="1">
        <v>430.73</v>
      </c>
      <c r="E2" s="1">
        <v>430.29</v>
      </c>
      <c r="F2" s="1">
        <v>397.43</v>
      </c>
      <c r="G2" s="1">
        <v>398.66</v>
      </c>
    </row>
    <row r="3" spans="1:7" x14ac:dyDescent="0.3">
      <c r="A3" s="1" t="s">
        <v>7</v>
      </c>
      <c r="B3" s="1">
        <v>52.49</v>
      </c>
      <c r="C3" s="1">
        <v>55.33</v>
      </c>
      <c r="D3" s="1">
        <v>54.51</v>
      </c>
      <c r="E3" s="1">
        <v>51.55</v>
      </c>
      <c r="F3" s="1">
        <v>52.01</v>
      </c>
      <c r="G3" s="1">
        <v>47.79</v>
      </c>
    </row>
    <row r="4" spans="1:7" x14ac:dyDescent="0.3">
      <c r="A4" s="1" t="s">
        <v>8</v>
      </c>
      <c r="B4" s="1">
        <v>20826.39</v>
      </c>
      <c r="C4" s="1">
        <v>22845.43</v>
      </c>
      <c r="D4" s="1">
        <v>23924.17</v>
      </c>
      <c r="E4" s="1">
        <v>22538.01</v>
      </c>
      <c r="F4" s="1">
        <v>20920.14</v>
      </c>
      <c r="G4" s="1">
        <v>19521.86</v>
      </c>
    </row>
    <row r="5" spans="1:7" x14ac:dyDescent="0.3">
      <c r="A5" s="1" t="s">
        <v>9</v>
      </c>
      <c r="B5" s="1">
        <v>1899.72</v>
      </c>
      <c r="C5" s="1">
        <v>2801.39</v>
      </c>
      <c r="D5" s="1">
        <v>2991.26</v>
      </c>
      <c r="E5" s="1">
        <v>3354.03</v>
      </c>
      <c r="F5" s="1">
        <v>2359.31</v>
      </c>
      <c r="G5" s="1">
        <v>3327.44</v>
      </c>
    </row>
    <row r="6" spans="1:7" x14ac:dyDescent="0.3">
      <c r="A6" s="3" t="s">
        <v>10</v>
      </c>
      <c r="B6" s="3">
        <v>189.97</v>
      </c>
      <c r="C6" s="3">
        <v>282.97000000000003</v>
      </c>
      <c r="D6" s="3">
        <v>302.14999999999998</v>
      </c>
      <c r="E6" s="3">
        <v>338.79</v>
      </c>
      <c r="F6" s="3">
        <v>238.31</v>
      </c>
      <c r="G6" s="3">
        <v>339.53</v>
      </c>
    </row>
    <row r="7" spans="1:7" x14ac:dyDescent="0.3">
      <c r="A7" s="1" t="s">
        <v>11</v>
      </c>
      <c r="B7" s="1">
        <v>1637.86</v>
      </c>
      <c r="C7" s="1">
        <v>2620.13</v>
      </c>
      <c r="D7" s="1">
        <v>2756.99</v>
      </c>
      <c r="E7" s="1">
        <v>2998.78</v>
      </c>
      <c r="F7" s="1">
        <v>2140.39</v>
      </c>
      <c r="G7" s="1">
        <v>3004.07</v>
      </c>
    </row>
    <row r="8" spans="1:7" x14ac:dyDescent="0.3">
      <c r="A8" s="1" t="s">
        <v>12</v>
      </c>
      <c r="B8" s="1">
        <v>163.79</v>
      </c>
      <c r="C8" s="1">
        <v>264.66000000000003</v>
      </c>
      <c r="D8" s="1">
        <v>278.48</v>
      </c>
      <c r="E8" s="1">
        <v>302.91000000000003</v>
      </c>
      <c r="F8" s="1">
        <v>216.2</v>
      </c>
      <c r="G8" s="1">
        <v>306.54000000000002</v>
      </c>
    </row>
    <row r="9" spans="1:7" x14ac:dyDescent="0.3">
      <c r="A9" s="1" t="s">
        <v>13</v>
      </c>
      <c r="B9" s="1">
        <v>1611.47</v>
      </c>
      <c r="C9" s="1">
        <v>2620.13</v>
      </c>
      <c r="D9" s="1">
        <v>2756.99</v>
      </c>
      <c r="E9" s="1">
        <v>2998.78</v>
      </c>
      <c r="F9" s="1">
        <v>2139.15</v>
      </c>
      <c r="G9" s="1">
        <v>3004.07</v>
      </c>
    </row>
    <row r="10" spans="1:7" x14ac:dyDescent="0.3">
      <c r="A10" s="1" t="s">
        <v>14</v>
      </c>
      <c r="B10" s="1">
        <v>161.15</v>
      </c>
      <c r="C10" s="1">
        <v>264.66000000000003</v>
      </c>
      <c r="D10" s="1">
        <v>278.48</v>
      </c>
      <c r="E10" s="1">
        <v>302.91000000000003</v>
      </c>
      <c r="F10" s="1">
        <v>216.08</v>
      </c>
      <c r="G10" s="1">
        <v>306.54000000000002</v>
      </c>
    </row>
    <row r="11" spans="1:7" x14ac:dyDescent="0.3">
      <c r="A11" s="1" t="s">
        <v>15</v>
      </c>
      <c r="B11" s="1">
        <v>1284.49</v>
      </c>
      <c r="C11" s="1">
        <v>1052.8900000000001</v>
      </c>
      <c r="D11" s="1">
        <v>777.06</v>
      </c>
      <c r="E11" s="1">
        <v>689.81</v>
      </c>
      <c r="F11" s="1">
        <v>808.16</v>
      </c>
      <c r="G11" s="1">
        <v>664.28</v>
      </c>
    </row>
    <row r="12" spans="1:7" x14ac:dyDescent="0.3">
      <c r="A12" s="1" t="s">
        <v>16</v>
      </c>
      <c r="B12" s="1">
        <v>209.87</v>
      </c>
      <c r="C12" s="1">
        <v>242.56</v>
      </c>
      <c r="D12" s="1">
        <v>266.2</v>
      </c>
      <c r="E12" s="1">
        <v>257.98</v>
      </c>
      <c r="F12" s="1">
        <v>228.8</v>
      </c>
      <c r="G12" s="1">
        <v>231.06</v>
      </c>
    </row>
    <row r="13" spans="1:7" x14ac:dyDescent="0.3">
      <c r="A13" s="1" t="s">
        <v>17</v>
      </c>
      <c r="B13" s="1">
        <v>33.25</v>
      </c>
      <c r="C13" s="1">
        <v>31.27</v>
      </c>
      <c r="D13" s="1">
        <v>35.01</v>
      </c>
      <c r="E13" s="1">
        <v>30.42</v>
      </c>
      <c r="F13" s="1">
        <v>25.78</v>
      </c>
      <c r="G13" s="1">
        <v>37.049999999999997</v>
      </c>
    </row>
    <row r="14" spans="1:7" x14ac:dyDescent="0.3">
      <c r="A14" s="1" t="s">
        <v>18</v>
      </c>
      <c r="B14" s="1">
        <v>86.04</v>
      </c>
      <c r="C14" s="1">
        <v>70.010000000000005</v>
      </c>
      <c r="D14" s="1">
        <v>77.97</v>
      </c>
      <c r="E14" s="1">
        <v>79.02</v>
      </c>
      <c r="F14" s="1">
        <v>70.34</v>
      </c>
      <c r="G14" s="1">
        <v>73.12</v>
      </c>
    </row>
    <row r="15" spans="1:7" x14ac:dyDescent="0.3">
      <c r="A15" s="1" t="s">
        <v>19</v>
      </c>
      <c r="B15" s="1">
        <v>4</v>
      </c>
      <c r="C15" s="1">
        <v>7</v>
      </c>
      <c r="D15" s="1">
        <v>8</v>
      </c>
      <c r="E15" s="1">
        <v>7</v>
      </c>
      <c r="F15" s="1">
        <v>7</v>
      </c>
      <c r="G15" s="1">
        <v>8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1624.67</v>
      </c>
      <c r="C17" s="1">
        <v>2620.13</v>
      </c>
      <c r="D17" s="1">
        <v>2756.99</v>
      </c>
      <c r="E17" s="1">
        <v>2998.78</v>
      </c>
      <c r="F17" s="1">
        <v>2139.77</v>
      </c>
      <c r="G17" s="1">
        <v>3004.07</v>
      </c>
    </row>
    <row r="18" spans="1:7" x14ac:dyDescent="0.3">
      <c r="A18" s="1" t="s">
        <v>22</v>
      </c>
      <c r="B18" s="1">
        <v>13.2</v>
      </c>
      <c r="C18" s="1">
        <v>0</v>
      </c>
      <c r="D18" s="1">
        <v>0</v>
      </c>
      <c r="E18" s="1">
        <v>0</v>
      </c>
      <c r="F18" s="1">
        <v>0.62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9.1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9.9009900990099009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90.099009900990097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177.86</v>
      </c>
      <c r="C33" s="3">
        <v>274.69</v>
      </c>
      <c r="D33" s="3">
        <v>298.04000000000002</v>
      </c>
      <c r="E33" s="3">
        <v>331.4</v>
      </c>
      <c r="F33" s="3">
        <v>235.25</v>
      </c>
      <c r="G33" s="3">
        <v>321.8</v>
      </c>
    </row>
    <row r="35" spans="1:7" x14ac:dyDescent="0.3">
      <c r="A35" s="3" t="s">
        <v>36</v>
      </c>
      <c r="B35" s="3"/>
      <c r="C35" s="3"/>
      <c r="D35" s="3">
        <f>D33-C33</f>
        <v>23.350000000000023</v>
      </c>
      <c r="E35" s="3"/>
      <c r="F35" s="3">
        <f>F33-E33</f>
        <v>-96.149999999999977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33.359999999999957</v>
      </c>
      <c r="F37" s="3"/>
      <c r="G37" s="3">
        <f>G33-F33</f>
        <v>86.550000000000011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1B22-78EA-41E2-8866-3ABE47D86A65}">
  <dimension ref="A1:G37"/>
  <sheetViews>
    <sheetView tabSelected="1" zoomScale="70" zoomScaleNormal="70" workbookViewId="0">
      <selection activeCell="I23" sqref="I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398.4</v>
      </c>
      <c r="C2" s="1">
        <v>400.79</v>
      </c>
      <c r="D2" s="1">
        <v>404.01</v>
      </c>
      <c r="E2" s="1">
        <v>404.12</v>
      </c>
      <c r="F2" s="1">
        <v>443.83</v>
      </c>
      <c r="G2" s="1">
        <v>477.76</v>
      </c>
    </row>
    <row r="3" spans="1:7" x14ac:dyDescent="0.3">
      <c r="A3" s="1" t="s">
        <v>7</v>
      </c>
      <c r="B3" s="1">
        <v>61.64</v>
      </c>
      <c r="C3" s="1">
        <v>60.69</v>
      </c>
      <c r="D3" s="1">
        <v>60.81</v>
      </c>
      <c r="E3" s="1">
        <v>60.45</v>
      </c>
      <c r="F3" s="1">
        <v>61.24</v>
      </c>
      <c r="G3" s="1">
        <v>60.43</v>
      </c>
    </row>
    <row r="4" spans="1:7" x14ac:dyDescent="0.3">
      <c r="A4" s="1" t="s">
        <v>8</v>
      </c>
      <c r="B4" s="1">
        <v>24906.15</v>
      </c>
      <c r="C4" s="1">
        <v>24663.37</v>
      </c>
      <c r="D4" s="1">
        <v>24925.85</v>
      </c>
      <c r="E4" s="1">
        <v>24766.639999999999</v>
      </c>
      <c r="F4" s="1">
        <v>27630.63</v>
      </c>
      <c r="G4" s="1">
        <v>29307.5</v>
      </c>
    </row>
    <row r="5" spans="1:7" x14ac:dyDescent="0.3">
      <c r="A5" s="1" t="s">
        <v>9</v>
      </c>
      <c r="B5" s="1">
        <v>371.14</v>
      </c>
      <c r="C5" s="1">
        <v>360.78</v>
      </c>
      <c r="D5" s="1">
        <v>308.52</v>
      </c>
      <c r="E5" s="1">
        <v>345.55</v>
      </c>
      <c r="F5" s="1">
        <v>270.31</v>
      </c>
      <c r="G5" s="1">
        <v>684.07</v>
      </c>
    </row>
    <row r="6" spans="1:7" x14ac:dyDescent="0.3">
      <c r="A6" s="3" t="s">
        <v>10</v>
      </c>
      <c r="B6" s="3">
        <v>37.11</v>
      </c>
      <c r="C6" s="3">
        <v>36.44</v>
      </c>
      <c r="D6" s="3">
        <v>31.16</v>
      </c>
      <c r="E6" s="3">
        <v>34.9</v>
      </c>
      <c r="F6" s="3">
        <v>27.3</v>
      </c>
      <c r="G6" s="3">
        <v>69.8</v>
      </c>
    </row>
    <row r="7" spans="1:7" x14ac:dyDescent="0.3">
      <c r="A7" s="1" t="s">
        <v>11</v>
      </c>
      <c r="B7" s="1">
        <v>325.05</v>
      </c>
      <c r="C7" s="1">
        <v>323.11</v>
      </c>
      <c r="D7" s="1">
        <v>272.87</v>
      </c>
      <c r="E7" s="1">
        <v>295.16000000000003</v>
      </c>
      <c r="F7" s="1">
        <v>243.67</v>
      </c>
      <c r="G7" s="1">
        <v>623.6</v>
      </c>
    </row>
    <row r="8" spans="1:7" x14ac:dyDescent="0.3">
      <c r="A8" s="1" t="s">
        <v>12</v>
      </c>
      <c r="B8" s="1">
        <v>32.5</v>
      </c>
      <c r="C8" s="1">
        <v>32.64</v>
      </c>
      <c r="D8" s="1">
        <v>27.56</v>
      </c>
      <c r="E8" s="1">
        <v>29.81</v>
      </c>
      <c r="F8" s="1">
        <v>24.61</v>
      </c>
      <c r="G8" s="1">
        <v>63.63</v>
      </c>
    </row>
    <row r="9" spans="1:7" x14ac:dyDescent="0.3">
      <c r="A9" s="1" t="s">
        <v>13</v>
      </c>
      <c r="B9" s="1">
        <v>-45.75</v>
      </c>
      <c r="C9" s="1">
        <v>-36.97</v>
      </c>
      <c r="D9" s="1">
        <v>-31.3</v>
      </c>
      <c r="E9" s="1">
        <v>31.33</v>
      </c>
      <c r="F9" s="1">
        <v>120.36</v>
      </c>
      <c r="G9" s="1">
        <v>-385.32</v>
      </c>
    </row>
    <row r="10" spans="1:7" x14ac:dyDescent="0.3">
      <c r="A10" s="1" t="s">
        <v>14</v>
      </c>
      <c r="B10" s="1">
        <v>-4.57</v>
      </c>
      <c r="C10" s="1">
        <v>-3.73</v>
      </c>
      <c r="D10" s="1">
        <v>-3.16</v>
      </c>
      <c r="E10" s="1">
        <v>3.16</v>
      </c>
      <c r="F10" s="1">
        <v>12.16</v>
      </c>
      <c r="G10" s="1">
        <v>-39.32</v>
      </c>
    </row>
    <row r="11" spans="1:7" x14ac:dyDescent="0.3">
      <c r="A11" s="1" t="s">
        <v>15</v>
      </c>
      <c r="B11" s="1">
        <v>22.18</v>
      </c>
      <c r="C11" s="1">
        <v>21.66</v>
      </c>
      <c r="D11" s="1">
        <v>0.56000000000000005</v>
      </c>
      <c r="E11" s="1">
        <v>12.7</v>
      </c>
      <c r="F11" s="1">
        <v>94.5</v>
      </c>
      <c r="G11" s="1">
        <v>202.89</v>
      </c>
    </row>
    <row r="12" spans="1:7" x14ac:dyDescent="0.3">
      <c r="A12" s="1" t="s">
        <v>16</v>
      </c>
      <c r="B12" s="1">
        <v>171.35</v>
      </c>
      <c r="C12" s="1">
        <v>163.56</v>
      </c>
      <c r="D12" s="1">
        <v>170.13</v>
      </c>
      <c r="E12" s="1">
        <v>172.63</v>
      </c>
      <c r="F12" s="1">
        <v>200.64</v>
      </c>
      <c r="G12" s="1">
        <v>227.08</v>
      </c>
    </row>
    <row r="13" spans="1:7" x14ac:dyDescent="0.3">
      <c r="A13" s="1" t="s">
        <v>17</v>
      </c>
      <c r="B13" s="1">
        <v>24.4</v>
      </c>
      <c r="C13" s="1">
        <v>25.98</v>
      </c>
      <c r="D13" s="1">
        <v>26.1</v>
      </c>
      <c r="E13" s="1">
        <v>26.19</v>
      </c>
      <c r="F13" s="1">
        <v>21</v>
      </c>
      <c r="G13" s="1">
        <v>28.16</v>
      </c>
    </row>
    <row r="14" spans="1:7" x14ac:dyDescent="0.3">
      <c r="A14" s="1" t="s">
        <v>18</v>
      </c>
      <c r="B14" s="1">
        <v>33.94</v>
      </c>
      <c r="C14" s="1">
        <v>36.229999999999997</v>
      </c>
      <c r="D14" s="1">
        <v>33.33</v>
      </c>
      <c r="E14" s="1">
        <v>38.78</v>
      </c>
      <c r="F14" s="1">
        <v>40.32</v>
      </c>
      <c r="G14" s="1">
        <v>77.88</v>
      </c>
    </row>
    <row r="15" spans="1:7" x14ac:dyDescent="0.3">
      <c r="A15" s="1" t="s">
        <v>19</v>
      </c>
      <c r="B15" s="1">
        <v>2</v>
      </c>
      <c r="C15" s="1">
        <v>2</v>
      </c>
      <c r="D15" s="1">
        <v>5</v>
      </c>
      <c r="E15" s="1">
        <v>3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139.65</v>
      </c>
      <c r="C17" s="1">
        <v>143.07</v>
      </c>
      <c r="D17" s="1">
        <v>120.79</v>
      </c>
      <c r="E17" s="1">
        <v>163.24</v>
      </c>
      <c r="F17" s="1">
        <v>182.01</v>
      </c>
      <c r="G17" s="1">
        <v>119.14</v>
      </c>
    </row>
    <row r="18" spans="1:7" x14ac:dyDescent="0.3">
      <c r="A18" s="1" t="s">
        <v>22</v>
      </c>
      <c r="B18" s="1">
        <v>185.4</v>
      </c>
      <c r="C18" s="1">
        <v>180.04</v>
      </c>
      <c r="D18" s="1">
        <v>152.08000000000001</v>
      </c>
      <c r="E18" s="1">
        <v>131.91999999999999</v>
      </c>
      <c r="F18" s="1">
        <v>61.65</v>
      </c>
      <c r="G18" s="1">
        <v>504.46</v>
      </c>
    </row>
    <row r="19" spans="1:7" x14ac:dyDescent="0.3">
      <c r="A19" s="1" t="s">
        <v>23</v>
      </c>
      <c r="B19" s="1">
        <v>3</v>
      </c>
      <c r="C19" s="1">
        <v>4</v>
      </c>
      <c r="D19" s="1">
        <v>3</v>
      </c>
      <c r="E19" s="1">
        <v>2</v>
      </c>
      <c r="F19" s="1">
        <v>0</v>
      </c>
      <c r="G19" s="1">
        <v>2</v>
      </c>
    </row>
    <row r="20" spans="1:7" x14ac:dyDescent="0.3">
      <c r="A20" s="1" t="s">
        <v>24</v>
      </c>
      <c r="B20" s="1">
        <v>3.3</v>
      </c>
      <c r="C20" s="1">
        <v>5.0999999999999996</v>
      </c>
      <c r="D20" s="1">
        <v>3.4</v>
      </c>
      <c r="E20" s="1">
        <v>2.7</v>
      </c>
      <c r="F20" s="1">
        <v>0</v>
      </c>
      <c r="G20" s="1">
        <v>5</v>
      </c>
    </row>
    <row r="21" spans="1:7" x14ac:dyDescent="0.3">
      <c r="A21" s="1" t="s">
        <v>25</v>
      </c>
      <c r="B21" s="1">
        <v>6.8</v>
      </c>
      <c r="C21" s="1">
        <v>4.9000000000000004</v>
      </c>
      <c r="D21" s="1">
        <v>6.6</v>
      </c>
      <c r="E21" s="1">
        <v>7.3</v>
      </c>
      <c r="F21" s="1">
        <v>10</v>
      </c>
      <c r="G21" s="1">
        <v>4.9000000000000004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5.7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9</v>
      </c>
      <c r="G25" s="1">
        <v>1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3.2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57.575757575757578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90</v>
      </c>
      <c r="G30" s="3">
        <f t="shared" si="2"/>
        <v>10.1010101010101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10</v>
      </c>
      <c r="G31" s="3">
        <f t="shared" si="3"/>
        <v>32.323232323232325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-1.48</v>
      </c>
      <c r="C33" s="3">
        <v>0.05</v>
      </c>
      <c r="D33" s="3">
        <v>-1.48</v>
      </c>
      <c r="E33" s="3">
        <v>-2.02</v>
      </c>
      <c r="F33" s="3">
        <v>10.050000000000001</v>
      </c>
      <c r="G33" s="3">
        <v>-28.34</v>
      </c>
    </row>
    <row r="35" spans="1:7" x14ac:dyDescent="0.3">
      <c r="A35" s="3" t="s">
        <v>36</v>
      </c>
      <c r="B35" s="3"/>
      <c r="C35" s="3"/>
      <c r="D35" s="3">
        <f>D33-C33</f>
        <v>-1.53</v>
      </c>
      <c r="E35" s="3"/>
      <c r="F35" s="3">
        <f>F33-E33</f>
        <v>12.07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-0.54</v>
      </c>
      <c r="F37" s="3"/>
      <c r="G37" s="3">
        <f>G33-F33</f>
        <v>-38.39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3979-FC71-4782-A8D9-0B4D8389A5C9}">
  <dimension ref="A1:G37"/>
  <sheetViews>
    <sheetView zoomScale="70" zoomScaleNormal="70" workbookViewId="0">
      <selection activeCell="K10" sqref="K1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240522Bttx001.1</vt:lpstr>
      <vt:lpstr>240522Bttx001.2</vt:lpstr>
      <vt:lpstr>240522Bttx001.3</vt:lpstr>
      <vt:lpstr>240522Bttx002.1</vt:lpstr>
      <vt:lpstr>240522Bttx002.2</vt:lpstr>
      <vt:lpstr>240522Bttx003.1</vt:lpstr>
      <vt:lpstr>240522Bttx003.2</vt:lpstr>
      <vt:lpstr>240522Bttx003.3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2024-06-18T23:32:41Z</dcterms:created>
  <dcterms:modified xsi:type="dcterms:W3CDTF">2024-06-19T05:43:36Z</dcterms:modified>
</cp:coreProperties>
</file>