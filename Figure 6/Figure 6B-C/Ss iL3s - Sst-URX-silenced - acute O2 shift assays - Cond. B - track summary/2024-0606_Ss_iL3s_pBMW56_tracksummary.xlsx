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606\WormLab Data\"/>
    </mc:Choice>
  </mc:AlternateContent>
  <xr:revisionPtr revIDLastSave="0" documentId="13_ncr:1_{B970A73F-CCE6-4E06-829F-D1241BD2D487}" xr6:coauthVersionLast="36" xr6:coauthVersionMax="36" xr10:uidLastSave="{00000000-0000-0000-0000-000000000000}"/>
  <bookViews>
    <workbookView xWindow="0" yWindow="0" windowWidth="24360" windowHeight="10935" xr2:uid="{9164A1E7-C6F3-4E18-A159-AE4A4DD606BF}"/>
  </bookViews>
  <sheets>
    <sheet name="240606Bttx002.1" sheetId="2" r:id="rId1"/>
    <sheet name="templat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E37" i="2"/>
  <c r="C37" i="2"/>
  <c r="F35" i="2"/>
  <c r="D35" i="2"/>
  <c r="G31" i="2"/>
  <c r="G29" i="2"/>
  <c r="G28" i="2"/>
  <c r="G30" i="2" s="1"/>
  <c r="F28" i="2"/>
  <c r="F31" i="2" s="1"/>
  <c r="E28" i="2"/>
  <c r="E29" i="2" s="1"/>
  <c r="D28" i="2"/>
  <c r="D29" i="2" s="1"/>
  <c r="C28" i="2"/>
  <c r="C29" i="2" s="1"/>
  <c r="B28" i="2"/>
  <c r="B29" i="2" s="1"/>
  <c r="B30" i="2" l="1"/>
  <c r="E30" i="2"/>
  <c r="F30" i="2"/>
  <c r="D31" i="2"/>
  <c r="F29" i="2"/>
  <c r="C30" i="2"/>
  <c r="E31" i="2"/>
  <c r="D30" i="2"/>
  <c r="B31" i="2"/>
  <c r="C31" i="2"/>
  <c r="G37" i="1"/>
  <c r="E37" i="1"/>
  <c r="C37" i="1"/>
  <c r="F35" i="1"/>
  <c r="D35" i="1"/>
  <c r="F31" i="1"/>
  <c r="D31" i="1"/>
  <c r="G29" i="1"/>
  <c r="G28" i="1"/>
  <c r="G31" i="1" s="1"/>
  <c r="F28" i="1"/>
  <c r="F30" i="1" s="1"/>
  <c r="E28" i="1"/>
  <c r="E31" i="1" s="1"/>
  <c r="D28" i="1"/>
  <c r="D30" i="1" s="1"/>
  <c r="C28" i="1"/>
  <c r="C31" i="1" s="1"/>
  <c r="B28" i="1"/>
  <c r="B31" i="1" s="1"/>
  <c r="E29" i="1" l="1"/>
  <c r="C29" i="1"/>
  <c r="D29" i="1"/>
  <c r="F29" i="1"/>
  <c r="B30" i="1"/>
  <c r="C30" i="1"/>
  <c r="E30" i="1"/>
  <c r="B29" i="1"/>
  <c r="G30" i="1"/>
</calcChain>
</file>

<file path=xl/sharedStrings.xml><?xml version="1.0" encoding="utf-8"?>
<sst xmlns="http://schemas.openxmlformats.org/spreadsheetml/2006/main" count="76" uniqueCount="37">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</sst>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2341-B6BC-4900-9092-A813FDA5339E}">
  <dimension ref="A1:G37"/>
  <sheetViews>
    <sheetView tabSelected="1"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384.53</v>
      </c>
      <c r="C2" s="1">
        <v>364.96</v>
      </c>
      <c r="D2" s="1">
        <v>340.05</v>
      </c>
      <c r="E2" s="1">
        <v>363.71</v>
      </c>
      <c r="F2" s="1">
        <v>417.34</v>
      </c>
      <c r="G2" s="1">
        <v>489.74</v>
      </c>
    </row>
    <row r="3" spans="1:7" x14ac:dyDescent="0.25">
      <c r="A3" s="1" t="s">
        <v>7</v>
      </c>
      <c r="B3" s="1">
        <v>49.97</v>
      </c>
      <c r="C3" s="1">
        <v>44.11</v>
      </c>
      <c r="D3" s="1">
        <v>46.93</v>
      </c>
      <c r="E3" s="1">
        <v>42.45</v>
      </c>
      <c r="F3" s="1">
        <v>40.380000000000003</v>
      </c>
      <c r="G3" s="1">
        <v>41.57</v>
      </c>
    </row>
    <row r="4" spans="1:7" x14ac:dyDescent="0.25">
      <c r="A4" s="1" t="s">
        <v>8</v>
      </c>
      <c r="B4" s="1">
        <v>19558.86</v>
      </c>
      <c r="C4" s="1">
        <v>16392.14</v>
      </c>
      <c r="D4" s="1">
        <v>16149.33</v>
      </c>
      <c r="E4" s="1">
        <v>15638.36</v>
      </c>
      <c r="F4" s="1">
        <v>17155.259999999998</v>
      </c>
      <c r="G4" s="1">
        <v>20708.03</v>
      </c>
    </row>
    <row r="5" spans="1:7" x14ac:dyDescent="0.25">
      <c r="A5" s="1" t="s">
        <v>9</v>
      </c>
      <c r="B5" s="1">
        <v>1585.52</v>
      </c>
      <c r="C5" s="1">
        <v>2168.7600000000002</v>
      </c>
      <c r="D5" s="1">
        <v>1662.81</v>
      </c>
      <c r="E5" s="1">
        <v>1166.02</v>
      </c>
      <c r="F5" s="1">
        <v>2866.82</v>
      </c>
      <c r="G5" s="1">
        <v>1995.49</v>
      </c>
    </row>
    <row r="6" spans="1:7" x14ac:dyDescent="0.25">
      <c r="A6" s="3" t="s">
        <v>10</v>
      </c>
      <c r="B6" s="3">
        <v>158.55000000000001</v>
      </c>
      <c r="C6" s="3">
        <v>219.07</v>
      </c>
      <c r="D6" s="3">
        <v>167.96</v>
      </c>
      <c r="E6" s="3">
        <v>117.78</v>
      </c>
      <c r="F6" s="3">
        <v>289.58</v>
      </c>
      <c r="G6" s="3">
        <v>203.62</v>
      </c>
    </row>
    <row r="7" spans="1:7" x14ac:dyDescent="0.25">
      <c r="A7" s="1" t="s">
        <v>11</v>
      </c>
      <c r="B7" s="1">
        <v>1365.91</v>
      </c>
      <c r="C7" s="1">
        <v>1944.45</v>
      </c>
      <c r="D7" s="1">
        <v>1331.9</v>
      </c>
      <c r="E7" s="1">
        <v>999.9</v>
      </c>
      <c r="F7" s="1">
        <v>2632.95</v>
      </c>
      <c r="G7" s="1">
        <v>1850.89</v>
      </c>
    </row>
    <row r="8" spans="1:7" x14ac:dyDescent="0.25">
      <c r="A8" s="1" t="s">
        <v>12</v>
      </c>
      <c r="B8" s="1">
        <v>136.59</v>
      </c>
      <c r="C8" s="1">
        <v>196.41</v>
      </c>
      <c r="D8" s="1">
        <v>134.54</v>
      </c>
      <c r="E8" s="1">
        <v>101</v>
      </c>
      <c r="F8" s="1">
        <v>265.95</v>
      </c>
      <c r="G8" s="1">
        <v>188.87</v>
      </c>
    </row>
    <row r="9" spans="1:7" x14ac:dyDescent="0.25">
      <c r="A9" s="1" t="s">
        <v>13</v>
      </c>
      <c r="B9" s="1">
        <v>969.18</v>
      </c>
      <c r="C9" s="1">
        <v>1607.74</v>
      </c>
      <c r="D9" s="1">
        <v>1159.8499999999999</v>
      </c>
      <c r="E9" s="1">
        <v>-617.85</v>
      </c>
      <c r="F9" s="1">
        <v>2491.91</v>
      </c>
      <c r="G9" s="1">
        <v>1850.89</v>
      </c>
    </row>
    <row r="10" spans="1:7" x14ac:dyDescent="0.25">
      <c r="A10" s="1" t="s">
        <v>14</v>
      </c>
      <c r="B10" s="1">
        <v>96.92</v>
      </c>
      <c r="C10" s="1">
        <v>162.4</v>
      </c>
      <c r="D10" s="1">
        <v>117.16</v>
      </c>
      <c r="E10" s="1">
        <v>-62.41</v>
      </c>
      <c r="F10" s="1">
        <v>251.71</v>
      </c>
      <c r="G10" s="1">
        <v>188.87</v>
      </c>
    </row>
    <row r="11" spans="1:7" x14ac:dyDescent="0.25">
      <c r="A11" s="1" t="s">
        <v>15</v>
      </c>
      <c r="B11" s="1">
        <v>545.34</v>
      </c>
      <c r="C11" s="1">
        <v>1204.0999999999999</v>
      </c>
      <c r="D11" s="1">
        <v>1040.56</v>
      </c>
      <c r="E11" s="1">
        <v>203.56</v>
      </c>
      <c r="F11" s="1">
        <v>2242.0700000000002</v>
      </c>
      <c r="G11" s="1">
        <v>1700.6</v>
      </c>
    </row>
    <row r="12" spans="1:7" x14ac:dyDescent="0.25">
      <c r="A12" s="1" t="s">
        <v>16</v>
      </c>
      <c r="B12" s="1">
        <v>183.27</v>
      </c>
      <c r="C12" s="1">
        <v>187.68</v>
      </c>
      <c r="D12" s="1">
        <v>184.45</v>
      </c>
      <c r="E12" s="1">
        <v>157.06</v>
      </c>
      <c r="F12" s="1">
        <v>211.95</v>
      </c>
      <c r="G12" s="1">
        <v>261.20999999999998</v>
      </c>
    </row>
    <row r="13" spans="1:7" x14ac:dyDescent="0.25">
      <c r="A13" s="1" t="s">
        <v>17</v>
      </c>
      <c r="B13" s="1">
        <v>34.49</v>
      </c>
      <c r="C13" s="1">
        <v>39.39</v>
      </c>
      <c r="D13" s="1">
        <v>30.32</v>
      </c>
      <c r="E13" s="1">
        <v>56.84</v>
      </c>
      <c r="F13" s="1">
        <v>34.729999999999997</v>
      </c>
      <c r="G13" s="1">
        <v>29.86</v>
      </c>
    </row>
    <row r="14" spans="1:7" x14ac:dyDescent="0.25">
      <c r="A14" s="1" t="s">
        <v>18</v>
      </c>
      <c r="B14" s="1">
        <v>85.34</v>
      </c>
      <c r="C14" s="1">
        <v>96.97</v>
      </c>
      <c r="D14" s="1">
        <v>98.63</v>
      </c>
      <c r="E14" s="1">
        <v>89.47</v>
      </c>
      <c r="F14" s="1">
        <v>74.88</v>
      </c>
      <c r="G14" s="1">
        <v>74.17</v>
      </c>
    </row>
    <row r="15" spans="1:7" x14ac:dyDescent="0.25">
      <c r="A15" s="1" t="s">
        <v>19</v>
      </c>
      <c r="B15" s="1">
        <v>7</v>
      </c>
      <c r="C15" s="1">
        <v>5</v>
      </c>
      <c r="D15" s="1">
        <v>6</v>
      </c>
      <c r="E15" s="1">
        <v>6</v>
      </c>
      <c r="F15" s="1">
        <v>4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1167.54</v>
      </c>
      <c r="C17" s="1">
        <v>1776.09</v>
      </c>
      <c r="D17" s="1">
        <v>1245.8699999999999</v>
      </c>
      <c r="E17" s="1">
        <v>191.02</v>
      </c>
      <c r="F17" s="1">
        <v>2562.4299999999998</v>
      </c>
      <c r="G17" s="1">
        <v>1850.89</v>
      </c>
    </row>
    <row r="18" spans="1:7" x14ac:dyDescent="0.25">
      <c r="A18" s="1" t="s">
        <v>22</v>
      </c>
      <c r="B18" s="1">
        <v>198.37</v>
      </c>
      <c r="C18" s="1">
        <v>168.36</v>
      </c>
      <c r="D18" s="1">
        <v>86.02</v>
      </c>
      <c r="E18" s="1">
        <v>808.88</v>
      </c>
      <c r="F18" s="1">
        <v>70.52</v>
      </c>
      <c r="G18" s="1">
        <v>0</v>
      </c>
    </row>
    <row r="19" spans="1:7" x14ac:dyDescent="0.25">
      <c r="A19" s="1" t="s">
        <v>23</v>
      </c>
      <c r="B19" s="1">
        <v>3</v>
      </c>
      <c r="C19" s="1">
        <v>1</v>
      </c>
      <c r="D19" s="1">
        <v>0</v>
      </c>
      <c r="E19" s="1">
        <v>2</v>
      </c>
      <c r="F19" s="1">
        <v>0</v>
      </c>
      <c r="G19" s="1">
        <v>0</v>
      </c>
    </row>
    <row r="20" spans="1:7" x14ac:dyDescent="0.25">
      <c r="A20" s="1" t="s">
        <v>24</v>
      </c>
      <c r="B20" s="1">
        <v>3.6</v>
      </c>
      <c r="C20" s="1">
        <v>2.7</v>
      </c>
      <c r="D20" s="1">
        <v>0</v>
      </c>
      <c r="E20" s="1">
        <v>5.3</v>
      </c>
      <c r="F20" s="1">
        <v>0</v>
      </c>
      <c r="G20" s="1">
        <v>0</v>
      </c>
    </row>
    <row r="21" spans="1:7" x14ac:dyDescent="0.25">
      <c r="A21" s="1" t="s">
        <v>25</v>
      </c>
      <c r="B21" s="1">
        <v>6.5</v>
      </c>
      <c r="C21" s="1">
        <v>7.3</v>
      </c>
      <c r="D21" s="1">
        <v>10</v>
      </c>
      <c r="E21" s="1">
        <v>4.7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2.1</v>
      </c>
      <c r="F23" s="1">
        <v>0</v>
      </c>
      <c r="G23" s="1">
        <v>0</v>
      </c>
    </row>
    <row r="24" spans="1:7" x14ac:dyDescent="0.25">
      <c r="A24" s="1" t="s">
        <v>28</v>
      </c>
      <c r="B24" s="1">
        <v>1.3</v>
      </c>
      <c r="C24" s="1">
        <v>2.4</v>
      </c>
      <c r="D24" s="1">
        <v>0</v>
      </c>
      <c r="E24" s="1">
        <v>4</v>
      </c>
      <c r="F24" s="1">
        <v>1.1000000000000001</v>
      </c>
      <c r="G24" s="1">
        <v>0</v>
      </c>
    </row>
    <row r="25" spans="1:7" x14ac:dyDescent="0.25">
      <c r="A25" s="1" t="s">
        <v>29</v>
      </c>
      <c r="B25" s="1">
        <v>3.9</v>
      </c>
      <c r="C25" s="1">
        <v>0</v>
      </c>
      <c r="D25" s="1">
        <v>2.9</v>
      </c>
      <c r="E25" s="1">
        <v>1.4</v>
      </c>
      <c r="F25" s="1">
        <v>1.5</v>
      </c>
      <c r="G25" s="1">
        <v>0</v>
      </c>
    </row>
    <row r="26" spans="1:7" x14ac:dyDescent="0.25">
      <c r="A26" s="1" t="s">
        <v>30</v>
      </c>
      <c r="B26" s="1">
        <v>4.9000000000000004</v>
      </c>
      <c r="C26" s="1">
        <v>7.6</v>
      </c>
      <c r="D26" s="1">
        <v>7.1</v>
      </c>
      <c r="E26" s="1">
        <v>4.5999999999999996</v>
      </c>
      <c r="F26" s="1">
        <v>7.4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12.871287128712869</v>
      </c>
      <c r="C29" s="3">
        <f t="shared" ref="C29:G29" si="1">C24/C28*100</f>
        <v>24</v>
      </c>
      <c r="D29" s="3">
        <f t="shared" si="1"/>
        <v>0</v>
      </c>
      <c r="E29" s="3">
        <f t="shared" si="1"/>
        <v>40</v>
      </c>
      <c r="F29" s="3">
        <f t="shared" si="1"/>
        <v>11.000000000000002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38.613861386138609</v>
      </c>
      <c r="C30" s="3">
        <f t="shared" ref="C30:G30" si="2">C25/C28*100</f>
        <v>0</v>
      </c>
      <c r="D30" s="3">
        <f t="shared" si="2"/>
        <v>28.999999999999996</v>
      </c>
      <c r="E30" s="3">
        <f t="shared" si="2"/>
        <v>13.999999999999998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48.514851485148512</v>
      </c>
      <c r="C31" s="3">
        <f t="shared" ref="C31:G31" si="3">C26/C28*100</f>
        <v>76</v>
      </c>
      <c r="D31" s="3">
        <f t="shared" si="3"/>
        <v>71</v>
      </c>
      <c r="E31" s="3">
        <f t="shared" si="3"/>
        <v>46</v>
      </c>
      <c r="F31" s="3">
        <f t="shared" si="3"/>
        <v>74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90.4</v>
      </c>
      <c r="C33" s="3">
        <v>135.44</v>
      </c>
      <c r="D33" s="3">
        <v>126.54</v>
      </c>
      <c r="E33" s="3">
        <v>-37.71</v>
      </c>
      <c r="F33" s="3">
        <v>262.14999999999998</v>
      </c>
      <c r="G33" s="3">
        <v>199.23</v>
      </c>
    </row>
    <row r="35" spans="1:7" x14ac:dyDescent="0.25">
      <c r="A35" s="3" t="s">
        <v>36</v>
      </c>
      <c r="B35" s="3"/>
      <c r="C35" s="3"/>
      <c r="D35" s="3">
        <f>D33-C33</f>
        <v>-8.8999999999999915</v>
      </c>
      <c r="E35" s="3"/>
      <c r="F35" s="3">
        <f>F33-E33</f>
        <v>299.85999999999996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-164.25</v>
      </c>
      <c r="F37" s="3"/>
      <c r="G37" s="3">
        <f>G33-F33</f>
        <v>-62.919999999999987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96B8-C0D1-4913-9719-8573F395E9E5}">
  <dimension ref="A1:G37"/>
  <sheetViews>
    <sheetView zoomScale="90" zoomScaleNormal="90" workbookViewId="0">
      <selection activeCell="L30" sqref="L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240606Bttx002.1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2024-07-10T22:07:37Z</dcterms:created>
  <dcterms:modified xsi:type="dcterms:W3CDTF">2024-07-11T17:42:46Z</dcterms:modified>
</cp:coreProperties>
</file>