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705\WormLab Data\"/>
    </mc:Choice>
  </mc:AlternateContent>
  <xr:revisionPtr revIDLastSave="0" documentId="13_ncr:1_{B00FCE75-E032-401A-8E75-28375EBD557A}" xr6:coauthVersionLast="36" xr6:coauthVersionMax="36" xr10:uidLastSave="{00000000-0000-0000-0000-000000000000}"/>
  <bookViews>
    <workbookView xWindow="0" yWindow="0" windowWidth="24360" windowHeight="10935" activeTab="3" xr2:uid="{8D7895EB-5C83-4515-8D31-0C39A3BA1331}"/>
  </bookViews>
  <sheets>
    <sheet name="240705Bttx001.1" sheetId="2" r:id="rId1"/>
    <sheet name="240705Bttx001.2" sheetId="3" r:id="rId2"/>
    <sheet name="240705Bttx002.1" sheetId="4" r:id="rId3"/>
    <sheet name="240705Bttx003.2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30" i="4" s="1"/>
  <c r="F28" i="4"/>
  <c r="F29" i="4" s="1"/>
  <c r="E28" i="4"/>
  <c r="E30" i="4" s="1"/>
  <c r="D28" i="4"/>
  <c r="D30" i="4" s="1"/>
  <c r="C28" i="4"/>
  <c r="C31" i="4" s="1"/>
  <c r="B28" i="4"/>
  <c r="B31" i="4" s="1"/>
  <c r="G37" i="3"/>
  <c r="E37" i="3"/>
  <c r="C37" i="3"/>
  <c r="F35" i="3"/>
  <c r="D35" i="3"/>
  <c r="D31" i="3"/>
  <c r="C31" i="3"/>
  <c r="B31" i="3"/>
  <c r="F30" i="3"/>
  <c r="E30" i="3"/>
  <c r="D30" i="3"/>
  <c r="C30" i="3"/>
  <c r="B30" i="3"/>
  <c r="F29" i="3"/>
  <c r="G28" i="3"/>
  <c r="G31" i="3" s="1"/>
  <c r="F28" i="3"/>
  <c r="F31" i="3" s="1"/>
  <c r="E28" i="3"/>
  <c r="E31" i="3" s="1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1" i="2" s="1"/>
  <c r="F28" i="2"/>
  <c r="F30" i="2" s="1"/>
  <c r="E28" i="2"/>
  <c r="E30" i="2" s="1"/>
  <c r="D28" i="2"/>
  <c r="D31" i="2" s="1"/>
  <c r="C28" i="2"/>
  <c r="C31" i="2" s="1"/>
  <c r="B28" i="2"/>
  <c r="B31" i="2" s="1"/>
  <c r="B29" i="4" l="1"/>
  <c r="D31" i="4"/>
  <c r="E31" i="4"/>
  <c r="F31" i="4"/>
  <c r="G31" i="4"/>
  <c r="G29" i="4"/>
  <c r="C30" i="4"/>
  <c r="F30" i="4"/>
  <c r="C29" i="4"/>
  <c r="D29" i="4"/>
  <c r="E29" i="4"/>
  <c r="B30" i="4"/>
  <c r="G30" i="3"/>
  <c r="E29" i="3"/>
  <c r="G29" i="3"/>
  <c r="E31" i="2"/>
  <c r="F31" i="2"/>
  <c r="B29" i="2"/>
  <c r="C29" i="2"/>
  <c r="D29" i="2"/>
  <c r="E29" i="2"/>
  <c r="F29" i="2"/>
  <c r="G29" i="2"/>
  <c r="B30" i="2"/>
  <c r="C30" i="2"/>
  <c r="D30" i="2"/>
  <c r="G30" i="2"/>
  <c r="G37" i="1"/>
  <c r="E37" i="1"/>
  <c r="C37" i="1"/>
  <c r="F35" i="1"/>
  <c r="D35" i="1"/>
  <c r="G31" i="1"/>
  <c r="F31" i="1"/>
  <c r="C31" i="1"/>
  <c r="B31" i="1"/>
  <c r="G30" i="1"/>
  <c r="F30" i="1"/>
  <c r="E30" i="1"/>
  <c r="C30" i="1"/>
  <c r="B30" i="1"/>
  <c r="C29" i="1"/>
  <c r="B29" i="1"/>
  <c r="G28" i="1"/>
  <c r="G29" i="1" s="1"/>
  <c r="F28" i="1"/>
  <c r="F29" i="1" s="1"/>
  <c r="E28" i="1"/>
  <c r="E31" i="1" s="1"/>
  <c r="D28" i="1"/>
  <c r="D30" i="1" s="1"/>
  <c r="C28" i="1"/>
  <c r="B28" i="1"/>
  <c r="D31" i="1" l="1"/>
  <c r="D29" i="1"/>
  <c r="E29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<sst xmlns="http://schemas.openxmlformats.org/spreadsheetml/2006/main" count="190" uniqueCount="37">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</sst>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A925-98FD-405C-A854-DCEC1F5589BE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350.43</v>
      </c>
      <c r="C2" s="1">
        <v>322.48</v>
      </c>
      <c r="D2" s="1">
        <v>329.64</v>
      </c>
      <c r="E2" s="1">
        <v>404.81</v>
      </c>
      <c r="F2" s="1">
        <v>419.66</v>
      </c>
      <c r="G2" s="1">
        <v>437.76</v>
      </c>
    </row>
    <row r="3" spans="1:7" x14ac:dyDescent="0.25">
      <c r="A3" s="1" t="s">
        <v>7</v>
      </c>
      <c r="B3" s="1">
        <v>55.04</v>
      </c>
      <c r="C3" s="1">
        <v>42.56</v>
      </c>
      <c r="D3" s="1">
        <v>43.08</v>
      </c>
      <c r="E3" s="1">
        <v>46.85</v>
      </c>
      <c r="F3" s="1">
        <v>46.66</v>
      </c>
      <c r="G3" s="1">
        <v>55.94</v>
      </c>
    </row>
    <row r="4" spans="1:7" x14ac:dyDescent="0.25">
      <c r="A4" s="1" t="s">
        <v>8</v>
      </c>
      <c r="B4" s="1">
        <v>19528.75</v>
      </c>
      <c r="C4" s="1">
        <v>13884.56</v>
      </c>
      <c r="D4" s="1">
        <v>14511.15</v>
      </c>
      <c r="E4" s="1">
        <v>19252.509999999998</v>
      </c>
      <c r="F4" s="1">
        <v>19909.39</v>
      </c>
      <c r="G4" s="1">
        <v>24923.84</v>
      </c>
    </row>
    <row r="5" spans="1:7" x14ac:dyDescent="0.25">
      <c r="A5" s="1" t="s">
        <v>9</v>
      </c>
      <c r="B5" s="1">
        <v>1321.88</v>
      </c>
      <c r="C5" s="1">
        <v>1966.87</v>
      </c>
      <c r="D5" s="1">
        <v>2300.12</v>
      </c>
      <c r="E5" s="1">
        <v>2141.34</v>
      </c>
      <c r="F5" s="1">
        <v>1027.9000000000001</v>
      </c>
      <c r="G5" s="1">
        <v>1221.17</v>
      </c>
    </row>
    <row r="6" spans="1:7" x14ac:dyDescent="0.25">
      <c r="A6" s="3" t="s">
        <v>10</v>
      </c>
      <c r="B6" s="3">
        <v>132.19</v>
      </c>
      <c r="C6" s="3">
        <v>198.67</v>
      </c>
      <c r="D6" s="3">
        <v>232.34</v>
      </c>
      <c r="E6" s="3">
        <v>216.3</v>
      </c>
      <c r="F6" s="3">
        <v>103.83</v>
      </c>
      <c r="G6" s="3">
        <v>124.61</v>
      </c>
    </row>
    <row r="7" spans="1:7" x14ac:dyDescent="0.25">
      <c r="A7" s="1" t="s">
        <v>11</v>
      </c>
      <c r="B7" s="1">
        <v>939.99</v>
      </c>
      <c r="C7" s="1">
        <v>1772.82</v>
      </c>
      <c r="D7" s="1">
        <v>2126.77</v>
      </c>
      <c r="E7" s="1">
        <v>1929.13</v>
      </c>
      <c r="F7" s="1">
        <v>990.53</v>
      </c>
      <c r="G7" s="1">
        <v>1168.22</v>
      </c>
    </row>
    <row r="8" spans="1:7" x14ac:dyDescent="0.25">
      <c r="A8" s="1" t="s">
        <v>12</v>
      </c>
      <c r="B8" s="1">
        <v>94</v>
      </c>
      <c r="C8" s="1">
        <v>179.07</v>
      </c>
      <c r="D8" s="1">
        <v>214.82</v>
      </c>
      <c r="E8" s="1">
        <v>194.86</v>
      </c>
      <c r="F8" s="1">
        <v>100.05</v>
      </c>
      <c r="G8" s="1">
        <v>119.21</v>
      </c>
    </row>
    <row r="9" spans="1:7" x14ac:dyDescent="0.25">
      <c r="A9" s="1" t="s">
        <v>13</v>
      </c>
      <c r="B9" s="1">
        <v>648.41999999999996</v>
      </c>
      <c r="C9" s="1">
        <v>1762.73</v>
      </c>
      <c r="D9" s="1">
        <v>2126.77</v>
      </c>
      <c r="E9" s="1">
        <v>1929.13</v>
      </c>
      <c r="F9" s="1">
        <v>958.09</v>
      </c>
      <c r="G9" s="1">
        <v>1166.31</v>
      </c>
    </row>
    <row r="10" spans="1:7" x14ac:dyDescent="0.25">
      <c r="A10" s="1" t="s">
        <v>14</v>
      </c>
      <c r="B10" s="1">
        <v>64.84</v>
      </c>
      <c r="C10" s="1">
        <v>178.05</v>
      </c>
      <c r="D10" s="1">
        <v>214.82</v>
      </c>
      <c r="E10" s="1">
        <v>194.86</v>
      </c>
      <c r="F10" s="1">
        <v>96.78</v>
      </c>
      <c r="G10" s="1">
        <v>119.01</v>
      </c>
    </row>
    <row r="11" spans="1:7" x14ac:dyDescent="0.25">
      <c r="A11" s="1" t="s">
        <v>15</v>
      </c>
      <c r="B11" s="1">
        <v>286.95999999999998</v>
      </c>
      <c r="C11" s="1">
        <v>1764.21</v>
      </c>
      <c r="D11" s="1">
        <v>2049.81</v>
      </c>
      <c r="E11" s="1">
        <v>1742.92</v>
      </c>
      <c r="F11" s="1">
        <v>892.26</v>
      </c>
      <c r="G11" s="1">
        <v>1075.5999999999999</v>
      </c>
    </row>
    <row r="12" spans="1:7" x14ac:dyDescent="0.25">
      <c r="A12" s="1" t="s">
        <v>16</v>
      </c>
      <c r="B12" s="1">
        <v>162.16</v>
      </c>
      <c r="C12" s="1">
        <v>202.53</v>
      </c>
      <c r="D12" s="1">
        <v>200.61</v>
      </c>
      <c r="E12" s="1">
        <v>251.63</v>
      </c>
      <c r="F12" s="1">
        <v>232.65</v>
      </c>
      <c r="G12" s="1">
        <v>240.79</v>
      </c>
    </row>
    <row r="13" spans="1:7" x14ac:dyDescent="0.25">
      <c r="A13" s="1" t="s">
        <v>17</v>
      </c>
      <c r="B13" s="1">
        <v>29.41</v>
      </c>
      <c r="C13" s="1">
        <v>19</v>
      </c>
      <c r="D13" s="1">
        <v>18.11</v>
      </c>
      <c r="E13" s="1">
        <v>30.52</v>
      </c>
      <c r="F13" s="1">
        <v>24.13</v>
      </c>
      <c r="G13" s="1">
        <v>19.57</v>
      </c>
    </row>
    <row r="14" spans="1:7" x14ac:dyDescent="0.25">
      <c r="A14" s="1" t="s">
        <v>18</v>
      </c>
      <c r="B14" s="1">
        <v>64.33</v>
      </c>
      <c r="C14" s="1">
        <v>43.27</v>
      </c>
      <c r="D14" s="1">
        <v>47.54</v>
      </c>
      <c r="E14" s="1">
        <v>72.55</v>
      </c>
      <c r="F14" s="1">
        <v>55.14</v>
      </c>
      <c r="G14" s="1">
        <v>63.75</v>
      </c>
    </row>
    <row r="15" spans="1:7" x14ac:dyDescent="0.25">
      <c r="A15" s="1" t="s">
        <v>19</v>
      </c>
      <c r="B15" s="1">
        <v>7</v>
      </c>
      <c r="C15" s="1">
        <v>7</v>
      </c>
      <c r="D15" s="1">
        <v>7</v>
      </c>
      <c r="E15" s="1">
        <v>6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794.2</v>
      </c>
      <c r="C17" s="1">
        <v>1767.78</v>
      </c>
      <c r="D17" s="1">
        <v>2126.77</v>
      </c>
      <c r="E17" s="1">
        <v>1929.13</v>
      </c>
      <c r="F17" s="1">
        <v>974.31</v>
      </c>
      <c r="G17" s="1">
        <v>1167.27</v>
      </c>
    </row>
    <row r="18" spans="1:7" x14ac:dyDescent="0.25">
      <c r="A18" s="1" t="s">
        <v>22</v>
      </c>
      <c r="B18" s="1">
        <v>145.79</v>
      </c>
      <c r="C18" s="1">
        <v>5.04</v>
      </c>
      <c r="D18" s="1">
        <v>0</v>
      </c>
      <c r="E18" s="1">
        <v>0</v>
      </c>
      <c r="F18" s="1">
        <v>16.22</v>
      </c>
      <c r="G18" s="1">
        <v>0.96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2.2999999999999998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7.8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3.1</v>
      </c>
      <c r="C25" s="1">
        <v>0</v>
      </c>
      <c r="D25" s="1">
        <v>0</v>
      </c>
      <c r="E25" s="1">
        <v>0</v>
      </c>
      <c r="F25" s="1">
        <v>1.5</v>
      </c>
      <c r="G25" s="1">
        <v>0</v>
      </c>
    </row>
    <row r="26" spans="1:7" x14ac:dyDescent="0.25">
      <c r="A26" s="1" t="s">
        <v>30</v>
      </c>
      <c r="B26" s="1">
        <v>7</v>
      </c>
      <c r="C26" s="1">
        <v>10</v>
      </c>
      <c r="D26" s="1">
        <v>10</v>
      </c>
      <c r="E26" s="1">
        <v>10</v>
      </c>
      <c r="F26" s="1">
        <v>8.5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30.693069306930692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69.306930693069319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88.68</v>
      </c>
      <c r="C33" s="3">
        <v>199.98</v>
      </c>
      <c r="D33" s="3">
        <v>228.14</v>
      </c>
      <c r="E33" s="3">
        <v>214.34</v>
      </c>
      <c r="F33" s="3">
        <v>101.31</v>
      </c>
      <c r="G33" s="3">
        <v>124.03</v>
      </c>
    </row>
    <row r="35" spans="1:7" x14ac:dyDescent="0.25">
      <c r="A35" s="3" t="s">
        <v>36</v>
      </c>
      <c r="B35" s="3"/>
      <c r="C35" s="3"/>
      <c r="D35" s="3">
        <f>D33-C33</f>
        <v>28.159999999999997</v>
      </c>
      <c r="E35" s="3"/>
      <c r="F35" s="3">
        <f>F33-E33</f>
        <v>-113.03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-13.799999999999983</v>
      </c>
      <c r="F37" s="3"/>
      <c r="G37" s="3">
        <f>G33-F33</f>
        <v>22.72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C1E0-775E-4827-8DCD-9BCD3349A746}">
  <dimension ref="A1:G37"/>
  <sheetViews>
    <sheetView zoomScale="80" zoomScaleNormal="80" workbookViewId="0">
      <selection activeCell="M19" sqref="M1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411.89</v>
      </c>
      <c r="C2" s="1">
        <v>353.85</v>
      </c>
      <c r="D2" s="1">
        <v>325.48</v>
      </c>
      <c r="E2" s="1">
        <v>360.22</v>
      </c>
      <c r="F2" s="1">
        <v>358.48</v>
      </c>
      <c r="G2" s="1">
        <v>380.61</v>
      </c>
    </row>
    <row r="3" spans="1:7" x14ac:dyDescent="0.25">
      <c r="A3" s="1" t="s">
        <v>7</v>
      </c>
      <c r="B3" s="1">
        <v>47.32</v>
      </c>
      <c r="C3" s="1">
        <v>45.44</v>
      </c>
      <c r="D3" s="1">
        <v>45.69</v>
      </c>
      <c r="E3" s="1">
        <v>49.25</v>
      </c>
      <c r="F3" s="1">
        <v>50.03</v>
      </c>
      <c r="G3" s="1">
        <v>45.55</v>
      </c>
    </row>
    <row r="4" spans="1:7" x14ac:dyDescent="0.25">
      <c r="A4" s="1" t="s">
        <v>8</v>
      </c>
      <c r="B4" s="1">
        <v>19896.36</v>
      </c>
      <c r="C4" s="1">
        <v>16217.88</v>
      </c>
      <c r="D4" s="1">
        <v>15048.29</v>
      </c>
      <c r="E4" s="1">
        <v>18055.86</v>
      </c>
      <c r="F4" s="1">
        <v>18382.07</v>
      </c>
      <c r="G4" s="1">
        <v>17611.169999999998</v>
      </c>
    </row>
    <row r="5" spans="1:7" x14ac:dyDescent="0.25">
      <c r="A5" s="1" t="s">
        <v>9</v>
      </c>
      <c r="B5" s="1">
        <v>155.6</v>
      </c>
      <c r="C5" s="1">
        <v>693.72</v>
      </c>
      <c r="D5" s="1">
        <v>827.31</v>
      </c>
      <c r="E5" s="1">
        <v>654.69000000000005</v>
      </c>
      <c r="F5" s="1">
        <v>864.41</v>
      </c>
      <c r="G5" s="1">
        <v>447.53</v>
      </c>
    </row>
    <row r="6" spans="1:7" x14ac:dyDescent="0.25">
      <c r="A6" s="3" t="s">
        <v>10</v>
      </c>
      <c r="B6" s="3">
        <v>15.56</v>
      </c>
      <c r="C6" s="3">
        <v>70.069999999999993</v>
      </c>
      <c r="D6" s="3">
        <v>83.57</v>
      </c>
      <c r="E6" s="3">
        <v>66.13</v>
      </c>
      <c r="F6" s="3">
        <v>87.31</v>
      </c>
      <c r="G6" s="3">
        <v>45.67</v>
      </c>
    </row>
    <row r="7" spans="1:7" x14ac:dyDescent="0.25">
      <c r="A7" s="1" t="s">
        <v>11</v>
      </c>
      <c r="B7" s="1">
        <v>144.06</v>
      </c>
      <c r="C7" s="1">
        <v>582.78</v>
      </c>
      <c r="D7" s="1">
        <v>765.95</v>
      </c>
      <c r="E7" s="1">
        <v>512.38</v>
      </c>
      <c r="F7" s="1">
        <v>704.43</v>
      </c>
      <c r="G7" s="1">
        <v>361.68</v>
      </c>
    </row>
    <row r="8" spans="1:7" x14ac:dyDescent="0.25">
      <c r="A8" s="1" t="s">
        <v>12</v>
      </c>
      <c r="B8" s="1">
        <v>14.41</v>
      </c>
      <c r="C8" s="1">
        <v>58.87</v>
      </c>
      <c r="D8" s="1">
        <v>77.37</v>
      </c>
      <c r="E8" s="1">
        <v>51.76</v>
      </c>
      <c r="F8" s="1">
        <v>71.16</v>
      </c>
      <c r="G8" s="1">
        <v>36.909999999999997</v>
      </c>
    </row>
    <row r="9" spans="1:7" x14ac:dyDescent="0.25">
      <c r="A9" s="1" t="s">
        <v>13</v>
      </c>
      <c r="B9" s="1">
        <v>-93.35</v>
      </c>
      <c r="C9" s="1">
        <v>-223.14</v>
      </c>
      <c r="D9" s="1">
        <v>511.94</v>
      </c>
      <c r="E9" s="1">
        <v>436.29</v>
      </c>
      <c r="F9" s="1">
        <v>-347.17</v>
      </c>
      <c r="G9" s="1">
        <v>230.02</v>
      </c>
    </row>
    <row r="10" spans="1:7" x14ac:dyDescent="0.25">
      <c r="A10" s="1" t="s">
        <v>14</v>
      </c>
      <c r="B10" s="1">
        <v>-9.34</v>
      </c>
      <c r="C10" s="1">
        <v>-22.54</v>
      </c>
      <c r="D10" s="1">
        <v>51.71</v>
      </c>
      <c r="E10" s="1">
        <v>44.07</v>
      </c>
      <c r="F10" s="1">
        <v>-35.07</v>
      </c>
      <c r="G10" s="1">
        <v>23.47</v>
      </c>
    </row>
    <row r="11" spans="1:7" x14ac:dyDescent="0.25">
      <c r="A11" s="1" t="s">
        <v>15</v>
      </c>
      <c r="B11" s="1">
        <v>64.739999999999995</v>
      </c>
      <c r="C11" s="1">
        <v>31.09</v>
      </c>
      <c r="D11" s="1">
        <v>347.82</v>
      </c>
      <c r="E11" s="1">
        <v>278.14</v>
      </c>
      <c r="F11" s="1">
        <v>260.60000000000002</v>
      </c>
      <c r="G11" s="1">
        <v>120.89</v>
      </c>
    </row>
    <row r="12" spans="1:7" x14ac:dyDescent="0.25">
      <c r="A12" s="1" t="s">
        <v>16</v>
      </c>
      <c r="B12" s="1">
        <v>202.4</v>
      </c>
      <c r="C12" s="1">
        <v>140.34</v>
      </c>
      <c r="D12" s="1">
        <v>160.16</v>
      </c>
      <c r="E12" s="1">
        <v>181.83</v>
      </c>
      <c r="F12" s="1">
        <v>174.74</v>
      </c>
      <c r="G12" s="1">
        <v>133.63</v>
      </c>
    </row>
    <row r="13" spans="1:7" x14ac:dyDescent="0.25">
      <c r="A13" s="1" t="s">
        <v>17</v>
      </c>
      <c r="B13" s="1">
        <v>22.76</v>
      </c>
      <c r="C13" s="1">
        <v>45.67</v>
      </c>
      <c r="D13" s="1">
        <v>32.78</v>
      </c>
      <c r="E13" s="1">
        <v>29</v>
      </c>
      <c r="F13" s="1">
        <v>41.96</v>
      </c>
      <c r="G13" s="1">
        <v>39.950000000000003</v>
      </c>
    </row>
    <row r="14" spans="1:7" x14ac:dyDescent="0.25">
      <c r="A14" s="1" t="s">
        <v>18</v>
      </c>
      <c r="B14" s="1">
        <v>44.58</v>
      </c>
      <c r="C14" s="1">
        <v>70.290000000000006</v>
      </c>
      <c r="D14" s="1">
        <v>65.239999999999995</v>
      </c>
      <c r="E14" s="1">
        <v>69.61</v>
      </c>
      <c r="F14" s="1">
        <v>82.49</v>
      </c>
      <c r="G14" s="1">
        <v>75.260000000000005</v>
      </c>
    </row>
    <row r="15" spans="1:7" x14ac:dyDescent="0.25">
      <c r="A15" s="1" t="s">
        <v>19</v>
      </c>
      <c r="B15" s="1">
        <v>1</v>
      </c>
      <c r="C15" s="1">
        <v>5</v>
      </c>
      <c r="D15" s="1">
        <v>5</v>
      </c>
      <c r="E15" s="1">
        <v>3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25.35</v>
      </c>
      <c r="C17" s="1">
        <v>179.82</v>
      </c>
      <c r="D17" s="1">
        <v>638.95000000000005</v>
      </c>
      <c r="E17" s="1">
        <v>474.34</v>
      </c>
      <c r="F17" s="1">
        <v>178.63</v>
      </c>
      <c r="G17" s="1">
        <v>295.85000000000002</v>
      </c>
    </row>
    <row r="18" spans="1:7" x14ac:dyDescent="0.25">
      <c r="A18" s="1" t="s">
        <v>22</v>
      </c>
      <c r="B18" s="1">
        <v>118.71</v>
      </c>
      <c r="C18" s="1">
        <v>402.96</v>
      </c>
      <c r="D18" s="1">
        <v>127</v>
      </c>
      <c r="E18" s="1">
        <v>38.049999999999997</v>
      </c>
      <c r="F18" s="1">
        <v>525.79999999999995</v>
      </c>
      <c r="G18" s="1">
        <v>65.83</v>
      </c>
    </row>
    <row r="19" spans="1:7" x14ac:dyDescent="0.25">
      <c r="A19" s="1" t="s">
        <v>23</v>
      </c>
      <c r="B19" s="1">
        <v>2</v>
      </c>
      <c r="C19" s="1">
        <v>2</v>
      </c>
      <c r="D19" s="1">
        <v>1</v>
      </c>
      <c r="E19" s="1">
        <v>0</v>
      </c>
      <c r="F19" s="1">
        <v>3</v>
      </c>
      <c r="G19" s="1">
        <v>1</v>
      </c>
    </row>
    <row r="20" spans="1:7" x14ac:dyDescent="0.25">
      <c r="A20" s="1" t="s">
        <v>24</v>
      </c>
      <c r="B20" s="1">
        <v>3.5</v>
      </c>
      <c r="C20" s="1">
        <v>3.3</v>
      </c>
      <c r="D20" s="1">
        <v>1.3</v>
      </c>
      <c r="E20" s="1">
        <v>0</v>
      </c>
      <c r="F20" s="1">
        <v>7.2</v>
      </c>
      <c r="G20" s="1">
        <v>2.5</v>
      </c>
    </row>
    <row r="21" spans="1:7" x14ac:dyDescent="0.25">
      <c r="A21" s="1" t="s">
        <v>25</v>
      </c>
      <c r="B21" s="1">
        <v>6.6</v>
      </c>
      <c r="C21" s="1">
        <v>6.7</v>
      </c>
      <c r="D21" s="1">
        <v>8.6999999999999993</v>
      </c>
      <c r="E21" s="1">
        <v>10</v>
      </c>
      <c r="F21" s="1">
        <v>2.8</v>
      </c>
      <c r="G21" s="1">
        <v>7.4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2.8</v>
      </c>
      <c r="G23" s="1">
        <v>2.2999999999999998</v>
      </c>
    </row>
    <row r="24" spans="1:7" x14ac:dyDescent="0.25">
      <c r="A24" s="1" t="s">
        <v>28</v>
      </c>
      <c r="B24" s="1">
        <v>1</v>
      </c>
      <c r="C24" s="1">
        <v>3.4</v>
      </c>
      <c r="D24" s="1">
        <v>1</v>
      </c>
      <c r="E24" s="1">
        <v>0</v>
      </c>
      <c r="F24" s="1">
        <v>4.5999999999999996</v>
      </c>
      <c r="G24" s="1">
        <v>0</v>
      </c>
    </row>
    <row r="25" spans="1:7" x14ac:dyDescent="0.25">
      <c r="A25" s="1" t="s">
        <v>29</v>
      </c>
      <c r="B25" s="1">
        <v>9.1</v>
      </c>
      <c r="C25" s="1">
        <v>2.9</v>
      </c>
      <c r="D25" s="1">
        <v>4.3</v>
      </c>
      <c r="E25" s="1">
        <v>2.5</v>
      </c>
      <c r="F25" s="1">
        <v>4.0999999999999996</v>
      </c>
      <c r="G25" s="1">
        <v>5</v>
      </c>
    </row>
    <row r="26" spans="1:7" x14ac:dyDescent="0.25">
      <c r="A26" s="1" t="s">
        <v>30</v>
      </c>
      <c r="B26" s="1">
        <v>0</v>
      </c>
      <c r="C26" s="1">
        <v>3.7</v>
      </c>
      <c r="D26" s="1">
        <v>4.7</v>
      </c>
      <c r="E26" s="1">
        <v>7.5</v>
      </c>
      <c r="F26" s="1">
        <v>1.3</v>
      </c>
      <c r="G26" s="1">
        <v>4.9000000000000004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9.9009900990099009</v>
      </c>
      <c r="C29" s="3">
        <f t="shared" ref="C29:G29" si="1">C24/C28*100</f>
        <v>34</v>
      </c>
      <c r="D29" s="3">
        <f t="shared" si="1"/>
        <v>10</v>
      </c>
      <c r="E29" s="3">
        <f t="shared" si="1"/>
        <v>0</v>
      </c>
      <c r="F29" s="3">
        <f t="shared" si="1"/>
        <v>46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90.099009900990097</v>
      </c>
      <c r="C30" s="3">
        <f t="shared" ref="C30:G30" si="2">C25/C28*100</f>
        <v>28.999999999999996</v>
      </c>
      <c r="D30" s="3">
        <f t="shared" si="2"/>
        <v>43</v>
      </c>
      <c r="E30" s="3">
        <f t="shared" si="2"/>
        <v>25</v>
      </c>
      <c r="F30" s="3">
        <f t="shared" si="2"/>
        <v>41</v>
      </c>
      <c r="G30" s="3">
        <f t="shared" si="2"/>
        <v>50.505050505050505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37</v>
      </c>
      <c r="D31" s="3">
        <f t="shared" si="3"/>
        <v>47</v>
      </c>
      <c r="E31" s="3">
        <f t="shared" si="3"/>
        <v>75</v>
      </c>
      <c r="F31" s="3">
        <f t="shared" si="3"/>
        <v>13</v>
      </c>
      <c r="G31" s="3">
        <f t="shared" si="3"/>
        <v>49.494949494949495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-6.94</v>
      </c>
      <c r="C33" s="3">
        <v>2.5299999999999998</v>
      </c>
      <c r="D33" s="3">
        <v>45.02</v>
      </c>
      <c r="E33" s="3">
        <v>46.14</v>
      </c>
      <c r="F33" s="3">
        <v>-36.6</v>
      </c>
      <c r="G33" s="3">
        <v>26.63</v>
      </c>
    </row>
    <row r="35" spans="1:7" x14ac:dyDescent="0.25">
      <c r="A35" s="3" t="s">
        <v>36</v>
      </c>
      <c r="B35" s="3"/>
      <c r="C35" s="3"/>
      <c r="D35" s="3">
        <f>D33-C33</f>
        <v>42.49</v>
      </c>
      <c r="E35" s="3"/>
      <c r="F35" s="3">
        <f>F33-E33</f>
        <v>-82.740000000000009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1.1199999999999974</v>
      </c>
      <c r="F37" s="3"/>
      <c r="G37" s="3">
        <f>G33-F33</f>
        <v>63.230000000000004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F8D6-C2AA-4B4F-831D-085F1318B242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492.22</v>
      </c>
      <c r="C2" s="1">
        <v>522.17999999999995</v>
      </c>
      <c r="D2" s="1">
        <v>474.38</v>
      </c>
      <c r="E2" s="1">
        <v>359.07</v>
      </c>
      <c r="F2" s="1">
        <v>311.14</v>
      </c>
      <c r="G2" s="1">
        <v>364.88</v>
      </c>
    </row>
    <row r="3" spans="1:7" x14ac:dyDescent="0.25">
      <c r="A3" s="1" t="s">
        <v>7</v>
      </c>
      <c r="B3" s="1">
        <v>51.4</v>
      </c>
      <c r="C3" s="1">
        <v>51.43</v>
      </c>
      <c r="D3" s="1">
        <v>48.43</v>
      </c>
      <c r="E3" s="1">
        <v>42.11</v>
      </c>
      <c r="F3" s="1">
        <v>42.37</v>
      </c>
      <c r="G3" s="1">
        <v>40.270000000000003</v>
      </c>
    </row>
    <row r="4" spans="1:7" x14ac:dyDescent="0.25">
      <c r="A4" s="1" t="s">
        <v>8</v>
      </c>
      <c r="B4" s="1">
        <v>25774.720000000001</v>
      </c>
      <c r="C4" s="1">
        <v>27374.9</v>
      </c>
      <c r="D4" s="1">
        <v>23409.119999999999</v>
      </c>
      <c r="E4" s="1">
        <v>15559.95</v>
      </c>
      <c r="F4" s="1">
        <v>13521.02</v>
      </c>
      <c r="G4" s="1">
        <v>15092.8</v>
      </c>
    </row>
    <row r="5" spans="1:7" x14ac:dyDescent="0.25">
      <c r="A5" s="1" t="s">
        <v>9</v>
      </c>
      <c r="B5" s="1">
        <v>1782.06</v>
      </c>
      <c r="C5" s="1">
        <v>2396.89</v>
      </c>
      <c r="D5" s="1">
        <v>3059.56</v>
      </c>
      <c r="E5" s="1">
        <v>1293.6400000000001</v>
      </c>
      <c r="F5" s="1">
        <v>1213.5899999999999</v>
      </c>
      <c r="G5" s="1">
        <v>1366.28</v>
      </c>
    </row>
    <row r="6" spans="1:7" x14ac:dyDescent="0.25">
      <c r="A6" s="3" t="s">
        <v>10</v>
      </c>
      <c r="B6" s="3">
        <v>178.21</v>
      </c>
      <c r="C6" s="3">
        <v>242.11</v>
      </c>
      <c r="D6" s="3">
        <v>309.05</v>
      </c>
      <c r="E6" s="3">
        <v>130.66999999999999</v>
      </c>
      <c r="F6" s="3">
        <v>122.58</v>
      </c>
      <c r="G6" s="3">
        <v>139.41999999999999</v>
      </c>
    </row>
    <row r="7" spans="1:7" x14ac:dyDescent="0.25">
      <c r="A7" s="1" t="s">
        <v>11</v>
      </c>
      <c r="B7" s="1">
        <v>1676.62</v>
      </c>
      <c r="C7" s="1">
        <v>2190.1</v>
      </c>
      <c r="D7" s="1">
        <v>2796.31</v>
      </c>
      <c r="E7" s="1">
        <v>993.32</v>
      </c>
      <c r="F7" s="1">
        <v>1022.79</v>
      </c>
      <c r="G7" s="1">
        <v>1295.6300000000001</v>
      </c>
    </row>
    <row r="8" spans="1:7" x14ac:dyDescent="0.25">
      <c r="A8" s="1" t="s">
        <v>12</v>
      </c>
      <c r="B8" s="1">
        <v>167.66</v>
      </c>
      <c r="C8" s="1">
        <v>221.22</v>
      </c>
      <c r="D8" s="1">
        <v>282.45999999999998</v>
      </c>
      <c r="E8" s="1">
        <v>100.34</v>
      </c>
      <c r="F8" s="1">
        <v>103.31</v>
      </c>
      <c r="G8" s="1">
        <v>132.21</v>
      </c>
    </row>
    <row r="9" spans="1:7" x14ac:dyDescent="0.25">
      <c r="A9" s="1" t="s">
        <v>13</v>
      </c>
      <c r="B9" s="1">
        <v>1666.33</v>
      </c>
      <c r="C9" s="1">
        <v>2176.31</v>
      </c>
      <c r="D9" s="1">
        <v>2796.31</v>
      </c>
      <c r="E9" s="1">
        <v>-433.89</v>
      </c>
      <c r="F9" s="1">
        <v>-489.14</v>
      </c>
      <c r="G9" s="1">
        <v>1295.6300000000001</v>
      </c>
    </row>
    <row r="10" spans="1:7" x14ac:dyDescent="0.25">
      <c r="A10" s="1" t="s">
        <v>14</v>
      </c>
      <c r="B10" s="1">
        <v>166.63</v>
      </c>
      <c r="C10" s="1">
        <v>219.83</v>
      </c>
      <c r="D10" s="1">
        <v>282.45999999999998</v>
      </c>
      <c r="E10" s="1">
        <v>-43.83</v>
      </c>
      <c r="F10" s="1">
        <v>-49.41</v>
      </c>
      <c r="G10" s="1">
        <v>132.21</v>
      </c>
    </row>
    <row r="11" spans="1:7" x14ac:dyDescent="0.25">
      <c r="A11" s="1" t="s">
        <v>15</v>
      </c>
      <c r="B11" s="1">
        <v>233.07</v>
      </c>
      <c r="C11" s="1">
        <v>969.72</v>
      </c>
      <c r="D11" s="1">
        <v>357.94</v>
      </c>
      <c r="E11" s="1">
        <v>173.24</v>
      </c>
      <c r="F11" s="1">
        <v>161.41</v>
      </c>
      <c r="G11" s="1">
        <v>1254.78</v>
      </c>
    </row>
    <row r="12" spans="1:7" x14ac:dyDescent="0.25">
      <c r="A12" s="1" t="s">
        <v>16</v>
      </c>
      <c r="B12" s="1">
        <v>221.94</v>
      </c>
      <c r="C12" s="1">
        <v>250.95</v>
      </c>
      <c r="D12" s="1">
        <v>260.54000000000002</v>
      </c>
      <c r="E12" s="1">
        <v>168.89</v>
      </c>
      <c r="F12" s="1">
        <v>146.76</v>
      </c>
      <c r="G12" s="1">
        <v>212.63</v>
      </c>
    </row>
    <row r="13" spans="1:7" x14ac:dyDescent="0.25">
      <c r="A13" s="1" t="s">
        <v>17</v>
      </c>
      <c r="B13" s="1">
        <v>48.23</v>
      </c>
      <c r="C13" s="1">
        <v>38.01</v>
      </c>
      <c r="D13" s="1">
        <v>40.229999999999997</v>
      </c>
      <c r="E13" s="1">
        <v>40.909999999999997</v>
      </c>
      <c r="F13" s="1">
        <v>27.26</v>
      </c>
      <c r="G13" s="1">
        <v>14.5</v>
      </c>
    </row>
    <row r="14" spans="1:7" x14ac:dyDescent="0.25">
      <c r="A14" s="1" t="s">
        <v>18</v>
      </c>
      <c r="B14" s="1">
        <v>101.53</v>
      </c>
      <c r="C14" s="1">
        <v>93.16</v>
      </c>
      <c r="D14" s="1">
        <v>98.97</v>
      </c>
      <c r="E14" s="1">
        <v>82.61</v>
      </c>
      <c r="F14" s="1">
        <v>68.89</v>
      </c>
      <c r="G14" s="1">
        <v>51.52</v>
      </c>
    </row>
    <row r="15" spans="1:7" x14ac:dyDescent="0.25">
      <c r="A15" s="1" t="s">
        <v>19</v>
      </c>
      <c r="B15" s="1">
        <v>5</v>
      </c>
      <c r="C15" s="1">
        <v>7</v>
      </c>
      <c r="D15" s="1">
        <v>9</v>
      </c>
      <c r="E15" s="1">
        <v>7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1671.47</v>
      </c>
      <c r="C17" s="1">
        <v>2183.21</v>
      </c>
      <c r="D17" s="1">
        <v>2796.31</v>
      </c>
      <c r="E17" s="1">
        <v>279.70999999999998</v>
      </c>
      <c r="F17" s="1">
        <v>266.83</v>
      </c>
      <c r="G17" s="1">
        <v>1295.6300000000001</v>
      </c>
    </row>
    <row r="18" spans="1:7" x14ac:dyDescent="0.25">
      <c r="A18" s="1" t="s">
        <v>22</v>
      </c>
      <c r="B18" s="1">
        <v>5.15</v>
      </c>
      <c r="C18" s="1">
        <v>6.9</v>
      </c>
      <c r="D18" s="1">
        <v>0</v>
      </c>
      <c r="E18" s="1">
        <v>713.6</v>
      </c>
      <c r="F18" s="1">
        <v>755.96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5</v>
      </c>
      <c r="F20" s="1">
        <v>3.1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5</v>
      </c>
      <c r="F21" s="1">
        <v>6.9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</v>
      </c>
      <c r="E24" s="1">
        <v>4.5999999999999996</v>
      </c>
      <c r="F24" s="1">
        <v>4.4000000000000004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4.4000000000000004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9</v>
      </c>
      <c r="E26" s="1">
        <v>1</v>
      </c>
      <c r="F26" s="1">
        <v>5.6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10</v>
      </c>
      <c r="E29" s="3">
        <f t="shared" si="1"/>
        <v>46</v>
      </c>
      <c r="F29" s="3">
        <f t="shared" si="1"/>
        <v>44.000000000000007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44.000000000000007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90</v>
      </c>
      <c r="E31" s="3">
        <f t="shared" si="3"/>
        <v>10</v>
      </c>
      <c r="F31" s="3">
        <f t="shared" si="3"/>
        <v>55.999999999999993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173.92</v>
      </c>
      <c r="C33" s="3">
        <v>230.81</v>
      </c>
      <c r="D33" s="3">
        <v>306.7</v>
      </c>
      <c r="E33" s="3">
        <v>-29.83</v>
      </c>
      <c r="F33" s="3">
        <v>-13.27</v>
      </c>
      <c r="G33" s="3">
        <v>138.46</v>
      </c>
    </row>
    <row r="35" spans="1:7" x14ac:dyDescent="0.25">
      <c r="A35" s="3" t="s">
        <v>36</v>
      </c>
      <c r="B35" s="3"/>
      <c r="C35" s="3"/>
      <c r="D35" s="3">
        <f>D33-C33</f>
        <v>75.889999999999986</v>
      </c>
      <c r="E35" s="3"/>
      <c r="F35" s="3">
        <f>F33-E33</f>
        <v>16.559999999999999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-336.53</v>
      </c>
      <c r="F37" s="3"/>
      <c r="G37" s="3">
        <f>G33-F33</f>
        <v>151.73000000000002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9089-2223-4D02-902B-B7AA49CD667A}">
  <dimension ref="A1:G37"/>
  <sheetViews>
    <sheetView tabSelected="1" zoomScale="80" zoomScaleNormal="80" workbookViewId="0">
      <selection activeCell="C40" sqref="C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381.59</v>
      </c>
      <c r="C2" s="1">
        <v>387.16</v>
      </c>
      <c r="D2" s="1">
        <v>373.36</v>
      </c>
      <c r="E2" s="1">
        <v>349.32</v>
      </c>
      <c r="F2" s="1">
        <v>406.09</v>
      </c>
      <c r="G2" s="1">
        <v>389.06</v>
      </c>
    </row>
    <row r="3" spans="1:7" x14ac:dyDescent="0.25">
      <c r="A3" s="1" t="s">
        <v>7</v>
      </c>
      <c r="B3" s="1">
        <v>63.19</v>
      </c>
      <c r="C3" s="1">
        <v>54.97</v>
      </c>
      <c r="D3" s="1">
        <v>59.01</v>
      </c>
      <c r="E3" s="1">
        <v>52.5</v>
      </c>
      <c r="F3" s="1">
        <v>54.68</v>
      </c>
      <c r="G3" s="1">
        <v>59.93</v>
      </c>
    </row>
    <row r="4" spans="1:7" x14ac:dyDescent="0.25">
      <c r="A4" s="1" t="s">
        <v>8</v>
      </c>
      <c r="B4" s="1">
        <v>24516.15</v>
      </c>
      <c r="C4" s="1">
        <v>21872.22</v>
      </c>
      <c r="D4" s="1">
        <v>22444.81</v>
      </c>
      <c r="E4" s="1">
        <v>18649.73</v>
      </c>
      <c r="F4" s="1">
        <v>22584.57</v>
      </c>
      <c r="G4" s="1">
        <v>23755.119999999999</v>
      </c>
    </row>
    <row r="5" spans="1:7" x14ac:dyDescent="0.25">
      <c r="A5" s="1" t="s">
        <v>9</v>
      </c>
      <c r="B5" s="1">
        <v>631.77</v>
      </c>
      <c r="C5" s="1">
        <v>968.69</v>
      </c>
      <c r="D5" s="1">
        <v>782.91</v>
      </c>
      <c r="E5" s="1">
        <v>873.32</v>
      </c>
      <c r="F5" s="1">
        <v>458.68</v>
      </c>
      <c r="G5" s="1">
        <v>584.36</v>
      </c>
    </row>
    <row r="6" spans="1:7" x14ac:dyDescent="0.25">
      <c r="A6" s="3" t="s">
        <v>10</v>
      </c>
      <c r="B6" s="3">
        <v>63.18</v>
      </c>
      <c r="C6" s="3">
        <v>97.85</v>
      </c>
      <c r="D6" s="3">
        <v>79.08</v>
      </c>
      <c r="E6" s="3">
        <v>88.21</v>
      </c>
      <c r="F6" s="3">
        <v>46.33</v>
      </c>
      <c r="G6" s="3">
        <v>59.63</v>
      </c>
    </row>
    <row r="7" spans="1:7" x14ac:dyDescent="0.25">
      <c r="A7" s="1" t="s">
        <v>11</v>
      </c>
      <c r="B7" s="1">
        <v>519.16999999999996</v>
      </c>
      <c r="C7" s="1">
        <v>897.41</v>
      </c>
      <c r="D7" s="1">
        <v>674.99</v>
      </c>
      <c r="E7" s="1">
        <v>842.53</v>
      </c>
      <c r="F7" s="1">
        <v>436.86</v>
      </c>
      <c r="G7" s="1">
        <v>496.58</v>
      </c>
    </row>
    <row r="8" spans="1:7" x14ac:dyDescent="0.25">
      <c r="A8" s="1" t="s">
        <v>12</v>
      </c>
      <c r="B8" s="1">
        <v>51.92</v>
      </c>
      <c r="C8" s="1">
        <v>90.65</v>
      </c>
      <c r="D8" s="1">
        <v>68.180000000000007</v>
      </c>
      <c r="E8" s="1">
        <v>85.1</v>
      </c>
      <c r="F8" s="1">
        <v>44.13</v>
      </c>
      <c r="G8" s="1">
        <v>50.67</v>
      </c>
    </row>
    <row r="9" spans="1:7" x14ac:dyDescent="0.25">
      <c r="A9" s="1" t="s">
        <v>13</v>
      </c>
      <c r="B9" s="1">
        <v>-216.64</v>
      </c>
      <c r="C9" s="1">
        <v>706.79</v>
      </c>
      <c r="D9" s="1">
        <v>317.82</v>
      </c>
      <c r="E9" s="1">
        <v>304.27999999999997</v>
      </c>
      <c r="F9" s="1">
        <v>-261.77999999999997</v>
      </c>
      <c r="G9" s="1">
        <v>-194.58</v>
      </c>
    </row>
    <row r="10" spans="1:7" x14ac:dyDescent="0.25">
      <c r="A10" s="1" t="s">
        <v>14</v>
      </c>
      <c r="B10" s="1">
        <v>-21.66</v>
      </c>
      <c r="C10" s="1">
        <v>71.39</v>
      </c>
      <c r="D10" s="1">
        <v>32.1</v>
      </c>
      <c r="E10" s="1">
        <v>30.74</v>
      </c>
      <c r="F10" s="1">
        <v>-26.44</v>
      </c>
      <c r="G10" s="1">
        <v>-19.850000000000001</v>
      </c>
    </row>
    <row r="11" spans="1:7" x14ac:dyDescent="0.25">
      <c r="A11" s="1" t="s">
        <v>15</v>
      </c>
      <c r="B11" s="1">
        <v>106.39</v>
      </c>
      <c r="C11" s="1">
        <v>627.66</v>
      </c>
      <c r="D11" s="1">
        <v>296.91000000000003</v>
      </c>
      <c r="E11" s="1">
        <v>277.33</v>
      </c>
      <c r="F11" s="1">
        <v>193.09</v>
      </c>
      <c r="G11" s="1">
        <v>108.37</v>
      </c>
    </row>
    <row r="12" spans="1:7" x14ac:dyDescent="0.25">
      <c r="A12" s="1" t="s">
        <v>16</v>
      </c>
      <c r="B12" s="1">
        <v>158.28</v>
      </c>
      <c r="C12" s="1">
        <v>201.95</v>
      </c>
      <c r="D12" s="1">
        <v>181.44</v>
      </c>
      <c r="E12" s="1">
        <v>187.75</v>
      </c>
      <c r="F12" s="1">
        <v>191.38</v>
      </c>
      <c r="G12" s="1">
        <v>190.05</v>
      </c>
    </row>
    <row r="13" spans="1:7" x14ac:dyDescent="0.25">
      <c r="A13" s="1" t="s">
        <v>17</v>
      </c>
      <c r="B13" s="1">
        <v>28.81</v>
      </c>
      <c r="C13" s="1">
        <v>21.59</v>
      </c>
      <c r="D13" s="1">
        <v>23.91</v>
      </c>
      <c r="E13" s="1">
        <v>16.850000000000001</v>
      </c>
      <c r="F13" s="1">
        <v>14.54</v>
      </c>
      <c r="G13" s="1">
        <v>33.82</v>
      </c>
    </row>
    <row r="14" spans="1:7" x14ac:dyDescent="0.25">
      <c r="A14" s="1" t="s">
        <v>18</v>
      </c>
      <c r="B14" s="1">
        <v>59.94</v>
      </c>
      <c r="C14" s="1">
        <v>49.6</v>
      </c>
      <c r="D14" s="1">
        <v>51.55</v>
      </c>
      <c r="E14" s="1">
        <v>35.03</v>
      </c>
      <c r="F14" s="1">
        <v>47.48</v>
      </c>
      <c r="G14" s="1">
        <v>74.930000000000007</v>
      </c>
    </row>
    <row r="15" spans="1:7" x14ac:dyDescent="0.25">
      <c r="A15" s="1" t="s">
        <v>19</v>
      </c>
      <c r="B15" s="1">
        <v>5</v>
      </c>
      <c r="C15" s="1">
        <v>6</v>
      </c>
      <c r="D15" s="1">
        <v>4</v>
      </c>
      <c r="E15" s="1">
        <v>2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151.26</v>
      </c>
      <c r="C17" s="1">
        <v>802.1</v>
      </c>
      <c r="D17" s="1">
        <v>496.4</v>
      </c>
      <c r="E17" s="1">
        <v>573.41</v>
      </c>
      <c r="F17" s="1">
        <v>87.54</v>
      </c>
      <c r="G17" s="1">
        <v>151</v>
      </c>
    </row>
    <row r="18" spans="1:7" x14ac:dyDescent="0.25">
      <c r="A18" s="1" t="s">
        <v>22</v>
      </c>
      <c r="B18" s="1">
        <v>367.91</v>
      </c>
      <c r="C18" s="1">
        <v>95.31</v>
      </c>
      <c r="D18" s="1">
        <v>178.58</v>
      </c>
      <c r="E18" s="1">
        <v>269.13</v>
      </c>
      <c r="F18" s="1">
        <v>349.32</v>
      </c>
      <c r="G18" s="1">
        <v>345.58</v>
      </c>
    </row>
    <row r="19" spans="1:7" x14ac:dyDescent="0.25">
      <c r="A19" s="1" t="s">
        <v>23</v>
      </c>
      <c r="B19" s="1">
        <v>2</v>
      </c>
      <c r="C19" s="1">
        <v>0</v>
      </c>
      <c r="D19" s="1">
        <v>1</v>
      </c>
      <c r="E19" s="1">
        <v>1</v>
      </c>
      <c r="F19" s="1">
        <v>3</v>
      </c>
      <c r="G19" s="1">
        <v>3</v>
      </c>
    </row>
    <row r="20" spans="1:7" x14ac:dyDescent="0.25">
      <c r="A20" s="1" t="s">
        <v>24</v>
      </c>
      <c r="B20" s="1">
        <v>5.2</v>
      </c>
      <c r="C20" s="1">
        <v>0</v>
      </c>
      <c r="D20" s="1">
        <v>1.9</v>
      </c>
      <c r="E20" s="1">
        <v>1.4</v>
      </c>
      <c r="F20" s="1">
        <v>7.6</v>
      </c>
      <c r="G20" s="1">
        <v>4</v>
      </c>
    </row>
    <row r="21" spans="1:7" x14ac:dyDescent="0.25">
      <c r="A21" s="1" t="s">
        <v>25</v>
      </c>
      <c r="B21" s="1">
        <v>4.9000000000000004</v>
      </c>
      <c r="C21" s="1">
        <v>10</v>
      </c>
      <c r="D21" s="1">
        <v>8.1</v>
      </c>
      <c r="E21" s="1">
        <v>8.6</v>
      </c>
      <c r="F21" s="1">
        <v>2.4</v>
      </c>
      <c r="G21" s="1">
        <v>5.9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3.1</v>
      </c>
      <c r="C24" s="1">
        <v>0</v>
      </c>
      <c r="D24" s="1">
        <v>0</v>
      </c>
      <c r="E24" s="1">
        <v>0</v>
      </c>
      <c r="F24" s="1">
        <v>4</v>
      </c>
      <c r="G24" s="1">
        <v>4</v>
      </c>
    </row>
    <row r="25" spans="1:7" x14ac:dyDescent="0.25">
      <c r="A25" s="1" t="s">
        <v>29</v>
      </c>
      <c r="B25" s="1">
        <v>6</v>
      </c>
      <c r="C25" s="1">
        <v>1.6</v>
      </c>
      <c r="D25" s="1">
        <v>8</v>
      </c>
      <c r="E25" s="1">
        <v>2.7</v>
      </c>
      <c r="F25" s="1">
        <v>6</v>
      </c>
      <c r="G25" s="1">
        <v>4</v>
      </c>
    </row>
    <row r="26" spans="1:7" x14ac:dyDescent="0.25">
      <c r="A26" s="1" t="s">
        <v>30</v>
      </c>
      <c r="B26" s="1">
        <v>1</v>
      </c>
      <c r="C26" s="1">
        <v>8.4</v>
      </c>
      <c r="D26" s="1">
        <v>2</v>
      </c>
      <c r="E26" s="1">
        <v>7.3</v>
      </c>
      <c r="F26" s="1">
        <v>0</v>
      </c>
      <c r="G26" s="1">
        <v>1.9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30.693069306930692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40</v>
      </c>
      <c r="G29" s="3">
        <f t="shared" si="1"/>
        <v>40.404040404040401</v>
      </c>
    </row>
    <row r="30" spans="1:7" x14ac:dyDescent="0.25">
      <c r="A30" s="3" t="s">
        <v>33</v>
      </c>
      <c r="B30" s="3">
        <f>B25/B28*100</f>
        <v>59.405940594059402</v>
      </c>
      <c r="C30" s="3">
        <f t="shared" ref="C30:G30" si="2">C25/C28*100</f>
        <v>16</v>
      </c>
      <c r="D30" s="3">
        <f t="shared" si="2"/>
        <v>80</v>
      </c>
      <c r="E30" s="3">
        <f t="shared" si="2"/>
        <v>27</v>
      </c>
      <c r="F30" s="3">
        <f t="shared" si="2"/>
        <v>60</v>
      </c>
      <c r="G30" s="3">
        <f t="shared" si="2"/>
        <v>40.404040404040401</v>
      </c>
    </row>
    <row r="31" spans="1:7" x14ac:dyDescent="0.25">
      <c r="A31" s="3" t="s">
        <v>34</v>
      </c>
      <c r="B31" s="3">
        <f>B26/B28*100</f>
        <v>9.9009900990099009</v>
      </c>
      <c r="C31" s="3">
        <f t="shared" ref="C31:G31" si="3">C26/C28*100</f>
        <v>84.000000000000014</v>
      </c>
      <c r="D31" s="3">
        <f t="shared" si="3"/>
        <v>20</v>
      </c>
      <c r="E31" s="3">
        <f t="shared" si="3"/>
        <v>73</v>
      </c>
      <c r="F31" s="3">
        <f t="shared" si="3"/>
        <v>0</v>
      </c>
      <c r="G31" s="3">
        <f t="shared" si="3"/>
        <v>19.19191919191919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-19.7</v>
      </c>
      <c r="C33" s="3">
        <v>69.63</v>
      </c>
      <c r="D33" s="3">
        <v>31.18</v>
      </c>
      <c r="E33" s="3">
        <v>34.67</v>
      </c>
      <c r="F33" s="3">
        <v>-25.51</v>
      </c>
      <c r="G33" s="3">
        <v>-13.2</v>
      </c>
    </row>
    <row r="35" spans="1:7" x14ac:dyDescent="0.25">
      <c r="A35" s="3" t="s">
        <v>36</v>
      </c>
      <c r="B35" s="3"/>
      <c r="C35" s="3"/>
      <c r="D35" s="3">
        <f>D33-C33</f>
        <v>-38.449999999999996</v>
      </c>
      <c r="E35" s="3"/>
      <c r="F35" s="3">
        <f>F33-E33</f>
        <v>-60.180000000000007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3.490000000000002</v>
      </c>
      <c r="F37" s="3"/>
      <c r="G37" s="3">
        <f>G33-F33</f>
        <v>12.310000000000002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B339-4632-4F63-8450-9149372E5494}">
  <dimension ref="A1:G37"/>
  <sheetViews>
    <sheetView zoomScale="80" zoomScaleNormal="80" workbookViewId="0">
      <selection activeCell="P30" sqref="P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240705Bttx001.1</vt:lpstr>
      <vt:lpstr>240705Bttx001.2</vt:lpstr>
      <vt:lpstr>240705Bttx002.1</vt:lpstr>
      <vt:lpstr>240705Bttx003.2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2024-07-19T20:19:56Z</dcterms:created>
  <dcterms:modified xsi:type="dcterms:W3CDTF">2024-07-19T22:55:58Z</dcterms:modified>
</cp:coreProperties>
</file>