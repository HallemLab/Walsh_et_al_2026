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7\WormLab Data\"/>
    </mc:Choice>
  </mc:AlternateContent>
  <xr:revisionPtr revIDLastSave="0" documentId="13_ncr:1_{23A9D8EF-2D69-4071-9F61-EFA6E258DFC7}" xr6:coauthVersionLast="47" xr6:coauthVersionMax="47" xr10:uidLastSave="{00000000-0000-0000-0000-000000000000}"/>
  <bookViews>
    <workbookView xWindow="2004" yWindow="2304" windowWidth="21036" windowHeight="11256" firstSheet="4" activeTab="7" xr2:uid="{BF4F077B-70FE-41C7-85AA-0B459645B63D}"/>
  </bookViews>
  <sheets>
    <sheet name="240717Bttx001.1" sheetId="2" r:id="rId1"/>
    <sheet name="240717Bttx001.2" sheetId="3" r:id="rId2"/>
    <sheet name="240717Bttx002.1" sheetId="4" r:id="rId3"/>
    <sheet name="240717Bttx002.2" sheetId="5" r:id="rId4"/>
    <sheet name="240717Bttx002.3" sheetId="6" r:id="rId5"/>
    <sheet name="240717Bttx002.4" sheetId="7" r:id="rId6"/>
    <sheet name="240717Bttx003.2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G28" i="8"/>
  <c r="F28" i="8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G31" i="6"/>
  <c r="F31" i="6"/>
  <c r="E31" i="6"/>
  <c r="D31" i="6"/>
  <c r="C31" i="6"/>
  <c r="B31" i="6"/>
  <c r="F30" i="6"/>
  <c r="E30" i="6"/>
  <c r="D30" i="6"/>
  <c r="C30" i="6"/>
  <c r="B30" i="6"/>
  <c r="F29" i="6"/>
  <c r="E29" i="6"/>
  <c r="G28" i="6"/>
  <c r="G30" i="6" s="1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B31" i="4"/>
  <c r="B30" i="4"/>
  <c r="B29" i="4"/>
  <c r="G28" i="4"/>
  <c r="G30" i="4" s="1"/>
  <c r="F28" i="4"/>
  <c r="F31" i="4" s="1"/>
  <c r="E28" i="4"/>
  <c r="E31" i="4" s="1"/>
  <c r="D28" i="4"/>
  <c r="D31" i="4" s="1"/>
  <c r="C28" i="4"/>
  <c r="C31" i="4" s="1"/>
  <c r="B28" i="4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B30" i="2"/>
  <c r="G28" i="2"/>
  <c r="G30" i="2" s="1"/>
  <c r="F28" i="2"/>
  <c r="F30" i="2" s="1"/>
  <c r="E28" i="2"/>
  <c r="E30" i="2" s="1"/>
  <c r="D28" i="2"/>
  <c r="D29" i="2" s="1"/>
  <c r="C28" i="2"/>
  <c r="C29" i="2" s="1"/>
  <c r="B28" i="2"/>
  <c r="B29" i="2" s="1"/>
  <c r="G37" i="1"/>
  <c r="E37" i="1"/>
  <c r="C37" i="1"/>
  <c r="F35" i="1"/>
  <c r="D35" i="1"/>
  <c r="F31" i="1"/>
  <c r="D31" i="1"/>
  <c r="C31" i="1"/>
  <c r="B31" i="1"/>
  <c r="G28" i="1"/>
  <c r="G31" i="1" s="1"/>
  <c r="F28" i="1"/>
  <c r="F30" i="1" s="1"/>
  <c r="E28" i="1"/>
  <c r="E30" i="1" s="1"/>
  <c r="D28" i="1"/>
  <c r="D29" i="1" s="1"/>
  <c r="C28" i="1"/>
  <c r="C30" i="1" s="1"/>
  <c r="B28" i="1"/>
  <c r="B30" i="1" s="1"/>
  <c r="G29" i="6" l="1"/>
  <c r="C30" i="4"/>
  <c r="D30" i="4"/>
  <c r="D29" i="4"/>
  <c r="C29" i="4"/>
  <c r="G31" i="4"/>
  <c r="E29" i="4"/>
  <c r="F29" i="4"/>
  <c r="G29" i="4"/>
  <c r="E30" i="4"/>
  <c r="F30" i="4"/>
  <c r="B30" i="3"/>
  <c r="B31" i="2"/>
  <c r="E29" i="2"/>
  <c r="F29" i="2"/>
  <c r="G29" i="2"/>
  <c r="E31" i="2"/>
  <c r="F31" i="2"/>
  <c r="G31" i="2"/>
  <c r="C30" i="2"/>
  <c r="D30" i="2"/>
  <c r="C31" i="2"/>
  <c r="D31" i="2"/>
  <c r="G30" i="1"/>
  <c r="E31" i="1"/>
  <c r="B29" i="1"/>
  <c r="E29" i="1"/>
  <c r="C29" i="1"/>
  <c r="F29" i="1"/>
  <c r="G29" i="1"/>
  <c r="D30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<sst xmlns="http://schemas.openxmlformats.org/spreadsheetml/2006/main" count="304" uniqueCount="37">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</sst>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43D9-35CC-45F5-81B2-234D39EBC851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388.57</v>
      </c>
      <c r="C2" s="1">
        <v>383.96</v>
      </c>
      <c r="D2" s="1">
        <v>378.33</v>
      </c>
      <c r="E2" s="1">
        <v>360.14</v>
      </c>
      <c r="F2" s="1">
        <v>367.07</v>
      </c>
      <c r="G2" s="1">
        <v>396.23</v>
      </c>
    </row>
    <row r="3" spans="1:7" x14ac:dyDescent="0.3">
      <c r="A3" s="1" t="s">
        <v>7</v>
      </c>
      <c r="B3" s="1">
        <v>43.87</v>
      </c>
      <c r="C3" s="1">
        <v>43.13</v>
      </c>
      <c r="D3" s="1">
        <v>44.98</v>
      </c>
      <c r="E3" s="1">
        <v>41.33</v>
      </c>
      <c r="F3" s="1">
        <v>46.64</v>
      </c>
      <c r="G3" s="1">
        <v>44.24</v>
      </c>
    </row>
    <row r="4" spans="1:7" x14ac:dyDescent="0.3">
      <c r="A4" s="1" t="s">
        <v>8</v>
      </c>
      <c r="B4" s="1">
        <v>17394.89</v>
      </c>
      <c r="C4" s="1">
        <v>16903.560000000001</v>
      </c>
      <c r="D4" s="1">
        <v>17357.060000000001</v>
      </c>
      <c r="E4" s="1">
        <v>15205.76</v>
      </c>
      <c r="F4" s="1">
        <v>17459.98</v>
      </c>
      <c r="G4" s="1">
        <v>17864.669999999998</v>
      </c>
    </row>
    <row r="5" spans="1:7" x14ac:dyDescent="0.3">
      <c r="A5" s="1" t="s">
        <v>9</v>
      </c>
      <c r="B5" s="1">
        <v>2096.56</v>
      </c>
      <c r="C5" s="1">
        <v>1656.66</v>
      </c>
      <c r="D5" s="1">
        <v>1618.62</v>
      </c>
      <c r="E5" s="1">
        <v>1043.6600000000001</v>
      </c>
      <c r="F5" s="1">
        <v>754.81</v>
      </c>
      <c r="G5" s="1">
        <v>1578.88</v>
      </c>
    </row>
    <row r="6" spans="1:7" x14ac:dyDescent="0.3">
      <c r="A6" s="3" t="s">
        <v>10</v>
      </c>
      <c r="B6" s="3">
        <v>209.66</v>
      </c>
      <c r="C6" s="3">
        <v>167.34</v>
      </c>
      <c r="D6" s="3">
        <v>163.5</v>
      </c>
      <c r="E6" s="3">
        <v>105.42</v>
      </c>
      <c r="F6" s="3">
        <v>76.239999999999995</v>
      </c>
      <c r="G6" s="3">
        <v>161.11000000000001</v>
      </c>
    </row>
    <row r="7" spans="1:7" x14ac:dyDescent="0.3">
      <c r="A7" s="1" t="s">
        <v>11</v>
      </c>
      <c r="B7" s="1">
        <v>1799.53</v>
      </c>
      <c r="C7" s="1">
        <v>1314.78</v>
      </c>
      <c r="D7" s="1">
        <v>1356.41</v>
      </c>
      <c r="E7" s="1">
        <v>808.26</v>
      </c>
      <c r="F7" s="1">
        <v>551.82000000000005</v>
      </c>
      <c r="G7" s="1">
        <v>1451.45</v>
      </c>
    </row>
    <row r="8" spans="1:7" x14ac:dyDescent="0.3">
      <c r="A8" s="1" t="s">
        <v>12</v>
      </c>
      <c r="B8" s="1">
        <v>179.95</v>
      </c>
      <c r="C8" s="1">
        <v>132.81</v>
      </c>
      <c r="D8" s="1">
        <v>137.01</v>
      </c>
      <c r="E8" s="1">
        <v>81.64</v>
      </c>
      <c r="F8" s="1">
        <v>55.74</v>
      </c>
      <c r="G8" s="1">
        <v>148.11000000000001</v>
      </c>
    </row>
    <row r="9" spans="1:7" x14ac:dyDescent="0.3">
      <c r="A9" s="1" t="s">
        <v>13</v>
      </c>
      <c r="B9" s="1">
        <v>1556.93</v>
      </c>
      <c r="C9" s="1">
        <v>992.61</v>
      </c>
      <c r="D9" s="1">
        <v>984.14</v>
      </c>
      <c r="E9" s="1">
        <v>-399.48</v>
      </c>
      <c r="F9" s="1">
        <v>156.02000000000001</v>
      </c>
      <c r="G9" s="1">
        <v>1450.54</v>
      </c>
    </row>
    <row r="10" spans="1:7" x14ac:dyDescent="0.3">
      <c r="A10" s="1" t="s">
        <v>14</v>
      </c>
      <c r="B10" s="1">
        <v>155.69</v>
      </c>
      <c r="C10" s="1">
        <v>100.26</v>
      </c>
      <c r="D10" s="1">
        <v>99.41</v>
      </c>
      <c r="E10" s="1">
        <v>-40.35</v>
      </c>
      <c r="F10" s="1">
        <v>15.76</v>
      </c>
      <c r="G10" s="1">
        <v>148.01</v>
      </c>
    </row>
    <row r="11" spans="1:7" x14ac:dyDescent="0.3">
      <c r="A11" s="1" t="s">
        <v>15</v>
      </c>
      <c r="B11" s="1">
        <v>939.88</v>
      </c>
      <c r="C11" s="1">
        <v>877.86</v>
      </c>
      <c r="D11" s="1">
        <v>822.01</v>
      </c>
      <c r="E11" s="1">
        <v>169.51</v>
      </c>
      <c r="F11" s="1">
        <v>44.61</v>
      </c>
      <c r="G11" s="1">
        <v>782.99</v>
      </c>
    </row>
    <row r="12" spans="1:7" x14ac:dyDescent="0.3">
      <c r="A12" s="1" t="s">
        <v>16</v>
      </c>
      <c r="B12" s="1">
        <v>198.95</v>
      </c>
      <c r="C12" s="1">
        <v>193.05</v>
      </c>
      <c r="D12" s="1">
        <v>182.17</v>
      </c>
      <c r="E12" s="1">
        <v>189.84</v>
      </c>
      <c r="F12" s="1">
        <v>133.91999999999999</v>
      </c>
      <c r="G12" s="1">
        <v>222.62</v>
      </c>
    </row>
    <row r="13" spans="1:7" x14ac:dyDescent="0.3">
      <c r="A13" s="1" t="s">
        <v>17</v>
      </c>
      <c r="B13" s="1">
        <v>53.69</v>
      </c>
      <c r="C13" s="1">
        <v>39.64</v>
      </c>
      <c r="D13" s="1">
        <v>42.56</v>
      </c>
      <c r="E13" s="1">
        <v>28.51</v>
      </c>
      <c r="F13" s="1">
        <v>27.46</v>
      </c>
      <c r="G13" s="1">
        <v>29.21</v>
      </c>
    </row>
    <row r="14" spans="1:7" x14ac:dyDescent="0.3">
      <c r="A14" s="1" t="s">
        <v>18</v>
      </c>
      <c r="B14" s="1">
        <v>88.29</v>
      </c>
      <c r="C14" s="1">
        <v>78.63</v>
      </c>
      <c r="D14" s="1">
        <v>83.36</v>
      </c>
      <c r="E14" s="1">
        <v>67.25</v>
      </c>
      <c r="F14" s="1">
        <v>79.81</v>
      </c>
      <c r="G14" s="1">
        <v>78.42</v>
      </c>
    </row>
    <row r="15" spans="1:7" x14ac:dyDescent="0.3">
      <c r="A15" s="1" t="s">
        <v>19</v>
      </c>
      <c r="B15" s="1">
        <v>10</v>
      </c>
      <c r="C15" s="1">
        <v>9</v>
      </c>
      <c r="D15" s="1">
        <v>8</v>
      </c>
      <c r="E15" s="1">
        <v>5</v>
      </c>
      <c r="F15" s="1">
        <v>5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1678.23</v>
      </c>
      <c r="C17" s="1">
        <v>1153.7</v>
      </c>
      <c r="D17" s="1">
        <v>1170.27</v>
      </c>
      <c r="E17" s="1">
        <v>204.39</v>
      </c>
      <c r="F17" s="1">
        <v>353.92</v>
      </c>
      <c r="G17" s="1">
        <v>1450.99</v>
      </c>
    </row>
    <row r="18" spans="1:7" x14ac:dyDescent="0.3">
      <c r="A18" s="1" t="s">
        <v>22</v>
      </c>
      <c r="B18" s="1">
        <v>121.3</v>
      </c>
      <c r="C18" s="1">
        <v>161.08000000000001</v>
      </c>
      <c r="D18" s="1">
        <v>186.14</v>
      </c>
      <c r="E18" s="1">
        <v>603.87</v>
      </c>
      <c r="F18" s="1">
        <v>197.9</v>
      </c>
      <c r="G18" s="1">
        <v>0.45</v>
      </c>
    </row>
    <row r="19" spans="1:7" x14ac:dyDescent="0.3">
      <c r="A19" s="1" t="s">
        <v>23</v>
      </c>
      <c r="B19" s="1">
        <v>1</v>
      </c>
      <c r="C19" s="1">
        <v>1</v>
      </c>
      <c r="D19" s="1">
        <v>1</v>
      </c>
      <c r="E19" s="1">
        <v>2</v>
      </c>
      <c r="F19" s="1">
        <v>2</v>
      </c>
      <c r="G19" s="1">
        <v>0</v>
      </c>
    </row>
    <row r="20" spans="1:7" x14ac:dyDescent="0.3">
      <c r="A20" s="1" t="s">
        <v>24</v>
      </c>
      <c r="B20" s="1">
        <v>1.9</v>
      </c>
      <c r="C20" s="1">
        <v>1.7</v>
      </c>
      <c r="D20" s="1">
        <v>3.3</v>
      </c>
      <c r="E20" s="1">
        <v>3.6</v>
      </c>
      <c r="F20" s="1">
        <v>3.4</v>
      </c>
      <c r="G20" s="1">
        <v>0</v>
      </c>
    </row>
    <row r="21" spans="1:7" x14ac:dyDescent="0.3">
      <c r="A21" s="1" t="s">
        <v>25</v>
      </c>
      <c r="B21" s="1">
        <v>8.1999999999999993</v>
      </c>
      <c r="C21" s="1">
        <v>8.3000000000000007</v>
      </c>
      <c r="D21" s="1">
        <v>6.7</v>
      </c>
      <c r="E21" s="1">
        <v>6.4</v>
      </c>
      <c r="F21" s="1">
        <v>6.6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2.5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1.3</v>
      </c>
      <c r="C24" s="1">
        <v>1.6</v>
      </c>
      <c r="D24" s="1">
        <v>2</v>
      </c>
      <c r="E24" s="1">
        <v>3.6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8.6</v>
      </c>
      <c r="G25" s="1">
        <v>0</v>
      </c>
    </row>
    <row r="26" spans="1:7" x14ac:dyDescent="0.3">
      <c r="A26" s="1" t="s">
        <v>30</v>
      </c>
      <c r="B26" s="1">
        <v>8.8000000000000007</v>
      </c>
      <c r="C26" s="1">
        <v>8.4</v>
      </c>
      <c r="D26" s="1">
        <v>8</v>
      </c>
      <c r="E26" s="1">
        <v>6.4</v>
      </c>
      <c r="F26" s="1">
        <v>1.4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12.871287128712869</v>
      </c>
      <c r="C29" s="3">
        <f t="shared" ref="C29:G29" si="1">C24/C28*100</f>
        <v>16</v>
      </c>
      <c r="D29" s="3">
        <f t="shared" si="1"/>
        <v>20</v>
      </c>
      <c r="E29" s="3">
        <f t="shared" si="1"/>
        <v>36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86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87.128712871287135</v>
      </c>
      <c r="C31" s="3">
        <f t="shared" ref="C31:G31" si="3">C26/C28*100</f>
        <v>84.000000000000014</v>
      </c>
      <c r="D31" s="3">
        <f t="shared" si="3"/>
        <v>80</v>
      </c>
      <c r="E31" s="3">
        <f t="shared" si="3"/>
        <v>64</v>
      </c>
      <c r="F31" s="3">
        <f t="shared" si="3"/>
        <v>13.999999999999998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144.80000000000001</v>
      </c>
      <c r="C33" s="3">
        <v>104.62</v>
      </c>
      <c r="D33" s="3">
        <v>69.040000000000006</v>
      </c>
      <c r="E33" s="3">
        <v>-15.04</v>
      </c>
      <c r="F33" s="3">
        <v>9.98</v>
      </c>
      <c r="G33" s="3">
        <v>157.16</v>
      </c>
    </row>
    <row r="35" spans="1:7" x14ac:dyDescent="0.3">
      <c r="A35" s="3" t="s">
        <v>36</v>
      </c>
      <c r="B35" s="3"/>
      <c r="C35" s="3"/>
      <c r="D35" s="3">
        <f>D33-C33</f>
        <v>-35.58</v>
      </c>
      <c r="E35" s="3"/>
      <c r="F35" s="3">
        <f>F33-E33</f>
        <v>25.02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-84.080000000000013</v>
      </c>
      <c r="F37" s="3"/>
      <c r="G37" s="3">
        <f>G33-F33</f>
        <v>147.18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B7A6-D4F6-4C80-B8BE-C54D7D1BEFCD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422.13</v>
      </c>
      <c r="C2" s="1">
        <v>380.95</v>
      </c>
      <c r="D2" s="1">
        <v>477.8</v>
      </c>
      <c r="E2" s="1">
        <v>439.91</v>
      </c>
      <c r="F2" s="1">
        <v>431.52</v>
      </c>
      <c r="G2" s="1">
        <v>492.57</v>
      </c>
    </row>
    <row r="3" spans="1:7" x14ac:dyDescent="0.3">
      <c r="A3" s="1" t="s">
        <v>7</v>
      </c>
      <c r="B3" s="1">
        <v>48.31</v>
      </c>
      <c r="C3" s="1">
        <v>37.630000000000003</v>
      </c>
      <c r="D3" s="1">
        <v>40.82</v>
      </c>
      <c r="E3" s="1">
        <v>34.56</v>
      </c>
      <c r="F3" s="1">
        <v>36.869999999999997</v>
      </c>
      <c r="G3" s="1">
        <v>49.18</v>
      </c>
    </row>
    <row r="4" spans="1:7" x14ac:dyDescent="0.3">
      <c r="A4" s="1" t="s">
        <v>8</v>
      </c>
      <c r="B4" s="1">
        <v>20692.55</v>
      </c>
      <c r="C4" s="1">
        <v>14666.5</v>
      </c>
      <c r="D4" s="1">
        <v>19843.990000000002</v>
      </c>
      <c r="E4" s="1">
        <v>15509.98</v>
      </c>
      <c r="F4" s="1">
        <v>16205.21</v>
      </c>
      <c r="G4" s="1">
        <v>24648.57</v>
      </c>
    </row>
    <row r="5" spans="1:7" x14ac:dyDescent="0.3">
      <c r="A5" s="1" t="s">
        <v>9</v>
      </c>
      <c r="B5" s="1">
        <v>1417.6</v>
      </c>
      <c r="C5" s="1">
        <v>2013.43</v>
      </c>
      <c r="D5" s="1">
        <v>2446</v>
      </c>
      <c r="E5" s="1">
        <v>1981.85</v>
      </c>
      <c r="F5" s="1">
        <v>1087.07</v>
      </c>
      <c r="G5" s="1">
        <v>2148.4899999999998</v>
      </c>
    </row>
    <row r="6" spans="1:7" x14ac:dyDescent="0.3">
      <c r="A6" s="3" t="s">
        <v>10</v>
      </c>
      <c r="B6" s="3">
        <v>141.76</v>
      </c>
      <c r="C6" s="3">
        <v>203.38</v>
      </c>
      <c r="D6" s="3">
        <v>247.07</v>
      </c>
      <c r="E6" s="3">
        <v>200.19</v>
      </c>
      <c r="F6" s="3">
        <v>109.8</v>
      </c>
      <c r="G6" s="3">
        <v>219.23</v>
      </c>
    </row>
    <row r="7" spans="1:7" x14ac:dyDescent="0.3">
      <c r="A7" s="1" t="s">
        <v>11</v>
      </c>
      <c r="B7" s="1">
        <v>1321.2</v>
      </c>
      <c r="C7" s="1">
        <v>1830.13</v>
      </c>
      <c r="D7" s="1">
        <v>2369.96</v>
      </c>
      <c r="E7" s="1">
        <v>1879.07</v>
      </c>
      <c r="F7" s="1">
        <v>1079.6600000000001</v>
      </c>
      <c r="G7" s="1">
        <v>2054.67</v>
      </c>
    </row>
    <row r="8" spans="1:7" x14ac:dyDescent="0.3">
      <c r="A8" s="1" t="s">
        <v>12</v>
      </c>
      <c r="B8" s="1">
        <v>132.12</v>
      </c>
      <c r="C8" s="1">
        <v>184.86</v>
      </c>
      <c r="D8" s="1">
        <v>239.39</v>
      </c>
      <c r="E8" s="1">
        <v>189.8</v>
      </c>
      <c r="F8" s="1">
        <v>109.06</v>
      </c>
      <c r="G8" s="1">
        <v>209.66</v>
      </c>
    </row>
    <row r="9" spans="1:7" x14ac:dyDescent="0.3">
      <c r="A9" s="1" t="s">
        <v>13</v>
      </c>
      <c r="B9" s="1">
        <v>616.34</v>
      </c>
      <c r="C9" s="1">
        <v>1829.36</v>
      </c>
      <c r="D9" s="1">
        <v>2369.96</v>
      </c>
      <c r="E9" s="1">
        <v>1879.07</v>
      </c>
      <c r="F9" s="1">
        <v>1076.42</v>
      </c>
      <c r="G9" s="1">
        <v>2054.67</v>
      </c>
    </row>
    <row r="10" spans="1:7" x14ac:dyDescent="0.3">
      <c r="A10" s="1" t="s">
        <v>14</v>
      </c>
      <c r="B10" s="1">
        <v>61.63</v>
      </c>
      <c r="C10" s="1">
        <v>184.78</v>
      </c>
      <c r="D10" s="1">
        <v>239.39</v>
      </c>
      <c r="E10" s="1">
        <v>189.8</v>
      </c>
      <c r="F10" s="1">
        <v>108.73</v>
      </c>
      <c r="G10" s="1">
        <v>209.66</v>
      </c>
    </row>
    <row r="11" spans="1:7" x14ac:dyDescent="0.3">
      <c r="A11" s="1" t="s">
        <v>15</v>
      </c>
      <c r="B11" s="1">
        <v>538.97</v>
      </c>
      <c r="C11" s="1">
        <v>1768.21</v>
      </c>
      <c r="D11" s="1">
        <v>2296.96</v>
      </c>
      <c r="E11" s="1">
        <v>1771.15</v>
      </c>
      <c r="F11" s="1">
        <v>953.61</v>
      </c>
      <c r="G11" s="1">
        <v>2005.17</v>
      </c>
    </row>
    <row r="12" spans="1:7" x14ac:dyDescent="0.3">
      <c r="A12" s="1" t="s">
        <v>16</v>
      </c>
      <c r="B12" s="1">
        <v>217</v>
      </c>
      <c r="C12" s="1">
        <v>208.37</v>
      </c>
      <c r="D12" s="1">
        <v>257.88</v>
      </c>
      <c r="E12" s="1">
        <v>260.23</v>
      </c>
      <c r="F12" s="1">
        <v>219.12</v>
      </c>
      <c r="G12" s="1">
        <v>261.92</v>
      </c>
    </row>
    <row r="13" spans="1:7" x14ac:dyDescent="0.3">
      <c r="A13" s="1" t="s">
        <v>17</v>
      </c>
      <c r="B13" s="1">
        <v>38.79</v>
      </c>
      <c r="C13" s="1">
        <v>26.95</v>
      </c>
      <c r="D13" s="1">
        <v>25.64</v>
      </c>
      <c r="E13" s="1">
        <v>25.12</v>
      </c>
      <c r="F13" s="1">
        <v>18.2</v>
      </c>
      <c r="G13" s="1">
        <v>21.86</v>
      </c>
    </row>
    <row r="14" spans="1:7" x14ac:dyDescent="0.3">
      <c r="A14" s="1" t="s">
        <v>18</v>
      </c>
      <c r="B14" s="1">
        <v>83.8</v>
      </c>
      <c r="C14" s="1">
        <v>57.31</v>
      </c>
      <c r="D14" s="1">
        <v>61.26</v>
      </c>
      <c r="E14" s="1">
        <v>60.7</v>
      </c>
      <c r="F14" s="1">
        <v>38.31</v>
      </c>
      <c r="G14" s="1">
        <v>54.78</v>
      </c>
    </row>
    <row r="15" spans="1:7" x14ac:dyDescent="0.3">
      <c r="A15" s="1" t="s">
        <v>19</v>
      </c>
      <c r="B15" s="1">
        <v>7</v>
      </c>
      <c r="C15" s="1">
        <v>9</v>
      </c>
      <c r="D15" s="1">
        <v>6</v>
      </c>
      <c r="E15" s="1">
        <v>10</v>
      </c>
      <c r="F15" s="1">
        <v>3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968.77</v>
      </c>
      <c r="C17" s="1">
        <v>1829.75</v>
      </c>
      <c r="D17" s="1">
        <v>2369.96</v>
      </c>
      <c r="E17" s="1">
        <v>1879.07</v>
      </c>
      <c r="F17" s="1">
        <v>1078.04</v>
      </c>
      <c r="G17" s="1">
        <v>2054.67</v>
      </c>
    </row>
    <row r="18" spans="1:7" x14ac:dyDescent="0.3">
      <c r="A18" s="1" t="s">
        <v>22</v>
      </c>
      <c r="B18" s="1">
        <v>352.43</v>
      </c>
      <c r="C18" s="1">
        <v>0.38</v>
      </c>
      <c r="D18" s="1">
        <v>0</v>
      </c>
      <c r="E18" s="1">
        <v>0</v>
      </c>
      <c r="F18" s="1">
        <v>1.62</v>
      </c>
      <c r="G18" s="1">
        <v>0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2.7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7.4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3.7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5.4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9.9009900990099009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36.633663366336634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53.465346534653456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63.29</v>
      </c>
      <c r="C33" s="3">
        <v>205.04</v>
      </c>
      <c r="D33" s="3">
        <v>240.43</v>
      </c>
      <c r="E33" s="3">
        <v>197.04</v>
      </c>
      <c r="F33" s="3">
        <v>109.97</v>
      </c>
      <c r="G33" s="3">
        <v>216.53</v>
      </c>
    </row>
    <row r="35" spans="1:7" x14ac:dyDescent="0.3">
      <c r="A35" s="3" t="s">
        <v>36</v>
      </c>
      <c r="B35" s="3"/>
      <c r="C35" s="3"/>
      <c r="D35" s="3">
        <f>D33-C33</f>
        <v>35.390000000000015</v>
      </c>
      <c r="E35" s="3"/>
      <c r="F35" s="3">
        <f>F33-E33</f>
        <v>-87.07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-43.390000000000015</v>
      </c>
      <c r="F37" s="3"/>
      <c r="G37" s="3">
        <f>G33-F33</f>
        <v>106.56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2440-D446-4D61-9050-8D15955303FD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366.41</v>
      </c>
      <c r="C2" s="1">
        <v>461.6</v>
      </c>
      <c r="D2" s="1">
        <v>442.85</v>
      </c>
      <c r="E2" s="1">
        <v>487.92</v>
      </c>
      <c r="F2" s="1">
        <v>436.13</v>
      </c>
      <c r="G2" s="1">
        <v>487.69</v>
      </c>
    </row>
    <row r="3" spans="1:7" x14ac:dyDescent="0.3">
      <c r="A3" s="1" t="s">
        <v>7</v>
      </c>
      <c r="B3" s="1">
        <v>44.72</v>
      </c>
      <c r="C3" s="1">
        <v>45.52</v>
      </c>
      <c r="D3" s="1">
        <v>44.67</v>
      </c>
      <c r="E3" s="1">
        <v>48.09</v>
      </c>
      <c r="F3" s="1">
        <v>44.55</v>
      </c>
      <c r="G3" s="1">
        <v>51.85</v>
      </c>
    </row>
    <row r="4" spans="1:7" x14ac:dyDescent="0.3">
      <c r="A4" s="1" t="s">
        <v>8</v>
      </c>
      <c r="B4" s="1">
        <v>16477.46</v>
      </c>
      <c r="C4" s="1">
        <v>21347.89</v>
      </c>
      <c r="D4" s="1">
        <v>20163.62</v>
      </c>
      <c r="E4" s="1">
        <v>23899.73</v>
      </c>
      <c r="F4" s="1">
        <v>19760.27</v>
      </c>
      <c r="G4" s="1">
        <v>25795.31</v>
      </c>
    </row>
    <row r="5" spans="1:7" x14ac:dyDescent="0.3">
      <c r="A5" s="1" t="s">
        <v>9</v>
      </c>
      <c r="B5" s="1">
        <v>1685.88</v>
      </c>
      <c r="C5" s="1">
        <v>1874.53</v>
      </c>
      <c r="D5" s="1">
        <v>2427.0300000000002</v>
      </c>
      <c r="E5" s="1">
        <v>2377.0300000000002</v>
      </c>
      <c r="F5" s="1">
        <v>1727.61</v>
      </c>
      <c r="G5" s="1">
        <v>2252.5</v>
      </c>
    </row>
    <row r="6" spans="1:7" x14ac:dyDescent="0.3">
      <c r="A6" s="3" t="s">
        <v>10</v>
      </c>
      <c r="B6" s="3">
        <v>168.59</v>
      </c>
      <c r="C6" s="3">
        <v>189.35</v>
      </c>
      <c r="D6" s="3">
        <v>245.15</v>
      </c>
      <c r="E6" s="3">
        <v>240.1</v>
      </c>
      <c r="F6" s="3">
        <v>174.51</v>
      </c>
      <c r="G6" s="3">
        <v>229.85</v>
      </c>
    </row>
    <row r="7" spans="1:7" x14ac:dyDescent="0.3">
      <c r="A7" s="1" t="s">
        <v>11</v>
      </c>
      <c r="B7" s="1">
        <v>1490.56</v>
      </c>
      <c r="C7" s="1">
        <v>1775.1</v>
      </c>
      <c r="D7" s="1">
        <v>2212.42</v>
      </c>
      <c r="E7" s="1">
        <v>2237</v>
      </c>
      <c r="F7" s="1">
        <v>1604.89</v>
      </c>
      <c r="G7" s="1">
        <v>1985.05</v>
      </c>
    </row>
    <row r="8" spans="1:7" x14ac:dyDescent="0.3">
      <c r="A8" s="1" t="s">
        <v>12</v>
      </c>
      <c r="B8" s="1">
        <v>149.06</v>
      </c>
      <c r="C8" s="1">
        <v>179.3</v>
      </c>
      <c r="D8" s="1">
        <v>223.48</v>
      </c>
      <c r="E8" s="1">
        <v>225.96</v>
      </c>
      <c r="F8" s="1">
        <v>162.11000000000001</v>
      </c>
      <c r="G8" s="1">
        <v>202.56</v>
      </c>
    </row>
    <row r="9" spans="1:7" x14ac:dyDescent="0.3">
      <c r="A9" s="1" t="s">
        <v>13</v>
      </c>
      <c r="B9" s="1">
        <v>1163.31</v>
      </c>
      <c r="C9" s="1">
        <v>1775.1</v>
      </c>
      <c r="D9" s="1">
        <v>2194.33</v>
      </c>
      <c r="E9" s="1">
        <v>2237</v>
      </c>
      <c r="F9" s="1">
        <v>1601.52</v>
      </c>
      <c r="G9" s="1">
        <v>1985.05</v>
      </c>
    </row>
    <row r="10" spans="1:7" x14ac:dyDescent="0.3">
      <c r="A10" s="1" t="s">
        <v>14</v>
      </c>
      <c r="B10" s="1">
        <v>116.33</v>
      </c>
      <c r="C10" s="1">
        <v>179.3</v>
      </c>
      <c r="D10" s="1">
        <v>221.65</v>
      </c>
      <c r="E10" s="1">
        <v>225.96</v>
      </c>
      <c r="F10" s="1">
        <v>161.77000000000001</v>
      </c>
      <c r="G10" s="1">
        <v>202.56</v>
      </c>
    </row>
    <row r="11" spans="1:7" x14ac:dyDescent="0.3">
      <c r="A11" s="1" t="s">
        <v>15</v>
      </c>
      <c r="B11" s="1">
        <v>642.05999999999995</v>
      </c>
      <c r="C11" s="1">
        <v>1163.21</v>
      </c>
      <c r="D11" s="1">
        <v>1184.55</v>
      </c>
      <c r="E11" s="1">
        <v>2012.04</v>
      </c>
      <c r="F11" s="1">
        <v>1348.33</v>
      </c>
      <c r="G11" s="1">
        <v>1512.14</v>
      </c>
    </row>
    <row r="12" spans="1:7" x14ac:dyDescent="0.3">
      <c r="A12" s="1" t="s">
        <v>16</v>
      </c>
      <c r="B12" s="1">
        <v>177.51</v>
      </c>
      <c r="C12" s="1">
        <v>245.63</v>
      </c>
      <c r="D12" s="1">
        <v>230.35</v>
      </c>
      <c r="E12" s="1">
        <v>268.39</v>
      </c>
      <c r="F12" s="1">
        <v>248.56</v>
      </c>
      <c r="G12" s="1">
        <v>259.98</v>
      </c>
    </row>
    <row r="13" spans="1:7" x14ac:dyDescent="0.3">
      <c r="A13" s="1" t="s">
        <v>17</v>
      </c>
      <c r="B13" s="1">
        <v>38.479999999999997</v>
      </c>
      <c r="C13" s="1">
        <v>32.06</v>
      </c>
      <c r="D13" s="1">
        <v>39.28</v>
      </c>
      <c r="E13" s="1">
        <v>31.31</v>
      </c>
      <c r="F13" s="1">
        <v>29.09</v>
      </c>
      <c r="G13" s="1">
        <v>46.19</v>
      </c>
    </row>
    <row r="14" spans="1:7" x14ac:dyDescent="0.3">
      <c r="A14" s="1" t="s">
        <v>18</v>
      </c>
      <c r="B14" s="1">
        <v>77.849999999999994</v>
      </c>
      <c r="C14" s="1">
        <v>71.77</v>
      </c>
      <c r="D14" s="1">
        <v>104.34</v>
      </c>
      <c r="E14" s="1">
        <v>75.91</v>
      </c>
      <c r="F14" s="1">
        <v>66.2</v>
      </c>
      <c r="G14" s="1">
        <v>96.84</v>
      </c>
    </row>
    <row r="15" spans="1:7" x14ac:dyDescent="0.3">
      <c r="A15" s="1" t="s">
        <v>19</v>
      </c>
      <c r="B15" s="1">
        <v>8</v>
      </c>
      <c r="C15" s="1">
        <v>6</v>
      </c>
      <c r="D15" s="1">
        <v>11</v>
      </c>
      <c r="E15" s="1">
        <v>6</v>
      </c>
      <c r="F15" s="1">
        <v>7</v>
      </c>
      <c r="G15" s="1">
        <v>10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1326.94</v>
      </c>
      <c r="C17" s="1">
        <v>1775.1</v>
      </c>
      <c r="D17" s="1">
        <v>2203.37</v>
      </c>
      <c r="E17" s="1">
        <v>2237</v>
      </c>
      <c r="F17" s="1">
        <v>1603.21</v>
      </c>
      <c r="G17" s="1">
        <v>1985.05</v>
      </c>
    </row>
    <row r="18" spans="1:7" x14ac:dyDescent="0.3">
      <c r="A18" s="1" t="s">
        <v>22</v>
      </c>
      <c r="B18" s="1">
        <v>163.63</v>
      </c>
      <c r="C18" s="1">
        <v>0</v>
      </c>
      <c r="D18" s="1">
        <v>9.0500000000000007</v>
      </c>
      <c r="E18" s="1">
        <v>0</v>
      </c>
      <c r="F18" s="1">
        <v>1.68</v>
      </c>
      <c r="G18" s="1">
        <v>0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2.8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7.3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1.6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1.1000000000000001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9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10.891089108910892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89.10891089108911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129.27000000000001</v>
      </c>
      <c r="C33" s="3">
        <v>187.12</v>
      </c>
      <c r="D33" s="3">
        <v>238.29</v>
      </c>
      <c r="E33" s="3">
        <v>239.3</v>
      </c>
      <c r="F33" s="3">
        <v>169.16</v>
      </c>
      <c r="G33" s="3">
        <v>227.84</v>
      </c>
    </row>
    <row r="35" spans="1:7" x14ac:dyDescent="0.3">
      <c r="A35" s="3" t="s">
        <v>36</v>
      </c>
      <c r="B35" s="3"/>
      <c r="C35" s="3"/>
      <c r="D35" s="3">
        <f>D33-C33</f>
        <v>51.169999999999987</v>
      </c>
      <c r="E35" s="3"/>
      <c r="F35" s="3">
        <f>F33-E33</f>
        <v>-70.140000000000015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1.0100000000000193</v>
      </c>
      <c r="F37" s="3"/>
      <c r="G37" s="3">
        <f>G33-F33</f>
        <v>58.680000000000007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DFF3-06BD-4BC4-9B8F-23A6E878FD14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465.36</v>
      </c>
      <c r="C2" s="1">
        <v>466.78</v>
      </c>
      <c r="D2" s="1">
        <v>466.78</v>
      </c>
      <c r="E2" s="1">
        <v>465.65</v>
      </c>
      <c r="F2" s="1">
        <v>466.08</v>
      </c>
      <c r="G2" s="1">
        <v>427.86</v>
      </c>
    </row>
    <row r="3" spans="1:7" x14ac:dyDescent="0.3">
      <c r="A3" s="1" t="s">
        <v>7</v>
      </c>
      <c r="B3" s="1">
        <v>44.19</v>
      </c>
      <c r="C3" s="1">
        <v>44.04</v>
      </c>
      <c r="D3" s="1">
        <v>44.02</v>
      </c>
      <c r="E3" s="1">
        <v>43.89</v>
      </c>
      <c r="F3" s="1">
        <v>43.89</v>
      </c>
      <c r="G3" s="1">
        <v>40.25</v>
      </c>
    </row>
    <row r="4" spans="1:7" x14ac:dyDescent="0.3">
      <c r="A4" s="1" t="s">
        <v>8</v>
      </c>
      <c r="B4" s="1">
        <v>20919.939999999999</v>
      </c>
      <c r="C4" s="1">
        <v>20911.79</v>
      </c>
      <c r="D4" s="1">
        <v>20899.37</v>
      </c>
      <c r="E4" s="1">
        <v>20788.61</v>
      </c>
      <c r="F4" s="1">
        <v>20806.310000000001</v>
      </c>
      <c r="G4" s="1">
        <v>17570.43</v>
      </c>
    </row>
    <row r="5" spans="1:7" x14ac:dyDescent="0.3">
      <c r="A5" s="1" t="s">
        <v>9</v>
      </c>
      <c r="B5" s="1">
        <v>113.45</v>
      </c>
      <c r="C5" s="1">
        <v>57.36</v>
      </c>
      <c r="D5" s="1">
        <v>57.56</v>
      </c>
      <c r="E5" s="1">
        <v>96.64</v>
      </c>
      <c r="F5" s="1">
        <v>65.5</v>
      </c>
      <c r="G5" s="1">
        <v>695.59</v>
      </c>
    </row>
    <row r="6" spans="1:7" x14ac:dyDescent="0.3">
      <c r="A6" s="3" t="s">
        <v>10</v>
      </c>
      <c r="B6" s="3">
        <v>11.34</v>
      </c>
      <c r="C6" s="3">
        <v>5.79</v>
      </c>
      <c r="D6" s="3">
        <v>5.81</v>
      </c>
      <c r="E6" s="3">
        <v>9.76</v>
      </c>
      <c r="F6" s="3">
        <v>6.62</v>
      </c>
      <c r="G6" s="3">
        <v>70.98</v>
      </c>
    </row>
    <row r="7" spans="1:7" x14ac:dyDescent="0.3">
      <c r="A7" s="1" t="s">
        <v>11</v>
      </c>
      <c r="B7" s="1">
        <v>109.03</v>
      </c>
      <c r="C7" s="1">
        <v>47.44</v>
      </c>
      <c r="D7" s="1">
        <v>50.47</v>
      </c>
      <c r="E7" s="1">
        <v>91.08</v>
      </c>
      <c r="F7" s="1">
        <v>58.26</v>
      </c>
      <c r="G7" s="1">
        <v>667.91</v>
      </c>
    </row>
    <row r="8" spans="1:7" x14ac:dyDescent="0.3">
      <c r="A8" s="1" t="s">
        <v>12</v>
      </c>
      <c r="B8" s="1">
        <v>10.9</v>
      </c>
      <c r="C8" s="1">
        <v>4.79</v>
      </c>
      <c r="D8" s="1">
        <v>5.0999999999999996</v>
      </c>
      <c r="E8" s="1">
        <v>9.1999999999999993</v>
      </c>
      <c r="F8" s="1">
        <v>5.88</v>
      </c>
      <c r="G8" s="1">
        <v>68.150000000000006</v>
      </c>
    </row>
    <row r="9" spans="1:7" x14ac:dyDescent="0.3">
      <c r="A9" s="1" t="s">
        <v>13</v>
      </c>
      <c r="B9" s="1">
        <v>14.4</v>
      </c>
      <c r="C9" s="1">
        <v>8.15</v>
      </c>
      <c r="D9" s="1">
        <v>7.82</v>
      </c>
      <c r="E9" s="1">
        <v>7.99</v>
      </c>
      <c r="F9" s="1">
        <v>6.28</v>
      </c>
      <c r="G9" s="1">
        <v>195.56</v>
      </c>
    </row>
    <row r="10" spans="1:7" x14ac:dyDescent="0.3">
      <c r="A10" s="1" t="s">
        <v>14</v>
      </c>
      <c r="B10" s="1">
        <v>1.44</v>
      </c>
      <c r="C10" s="1">
        <v>0.82</v>
      </c>
      <c r="D10" s="1">
        <v>0.79</v>
      </c>
      <c r="E10" s="1">
        <v>0.81</v>
      </c>
      <c r="F10" s="1">
        <v>0.63</v>
      </c>
      <c r="G10" s="1">
        <v>19.95</v>
      </c>
    </row>
    <row r="11" spans="1:7" x14ac:dyDescent="0.3">
      <c r="A11" s="1" t="s">
        <v>15</v>
      </c>
      <c r="B11" s="1">
        <v>7.11</v>
      </c>
      <c r="C11" s="1">
        <v>3.07</v>
      </c>
      <c r="D11" s="1">
        <v>1.83</v>
      </c>
      <c r="E11" s="1">
        <v>1.87</v>
      </c>
      <c r="F11" s="1">
        <v>0.92</v>
      </c>
      <c r="G11" s="1">
        <v>174.24</v>
      </c>
    </row>
    <row r="12" spans="1:7" x14ac:dyDescent="0.3">
      <c r="A12" s="1" t="s">
        <v>16</v>
      </c>
      <c r="B12" s="1">
        <v>207.33</v>
      </c>
      <c r="C12" s="1">
        <v>221.17</v>
      </c>
      <c r="D12" s="1">
        <v>217.67</v>
      </c>
      <c r="E12" s="1">
        <v>210.02</v>
      </c>
      <c r="F12" s="1">
        <v>218.78</v>
      </c>
      <c r="G12" s="1">
        <v>214.67</v>
      </c>
    </row>
    <row r="13" spans="1:7" x14ac:dyDescent="0.3">
      <c r="A13" s="1" t="s">
        <v>17</v>
      </c>
      <c r="B13" s="1">
        <v>3.42</v>
      </c>
      <c r="C13" s="1">
        <v>3.29</v>
      </c>
      <c r="D13" s="1">
        <v>3.28</v>
      </c>
      <c r="E13" s="1">
        <v>3.37</v>
      </c>
      <c r="F13" s="1">
        <v>3.42</v>
      </c>
      <c r="G13" s="1">
        <v>12.07</v>
      </c>
    </row>
    <row r="14" spans="1:7" x14ac:dyDescent="0.3">
      <c r="A14" s="1" t="s">
        <v>18</v>
      </c>
      <c r="B14" s="1">
        <v>5.14</v>
      </c>
      <c r="C14" s="1">
        <v>4.6100000000000003</v>
      </c>
      <c r="D14" s="1">
        <v>5.0199999999999996</v>
      </c>
      <c r="E14" s="1">
        <v>4.62</v>
      </c>
      <c r="F14" s="1">
        <v>4.83</v>
      </c>
      <c r="G14" s="1">
        <v>49.03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61.72</v>
      </c>
      <c r="C17" s="1">
        <v>27.79</v>
      </c>
      <c r="D17" s="1">
        <v>29.14</v>
      </c>
      <c r="E17" s="1">
        <v>49.53</v>
      </c>
      <c r="F17" s="1">
        <v>32.270000000000003</v>
      </c>
      <c r="G17" s="1">
        <v>431.73</v>
      </c>
    </row>
    <row r="18" spans="1:7" x14ac:dyDescent="0.3">
      <c r="A18" s="1" t="s">
        <v>22</v>
      </c>
      <c r="B18" s="1">
        <v>47.31</v>
      </c>
      <c r="C18" s="1">
        <v>19.649999999999999</v>
      </c>
      <c r="D18" s="1">
        <v>21.32</v>
      </c>
      <c r="E18" s="1">
        <v>41.55</v>
      </c>
      <c r="F18" s="1">
        <v>25.99</v>
      </c>
      <c r="G18" s="1">
        <v>236.18</v>
      </c>
    </row>
    <row r="19" spans="1:7" x14ac:dyDescent="0.3">
      <c r="A19" s="1" t="s">
        <v>23</v>
      </c>
      <c r="B19" s="1">
        <v>1</v>
      </c>
      <c r="C19" s="1">
        <v>2</v>
      </c>
      <c r="D19" s="1">
        <v>0</v>
      </c>
      <c r="E19" s="1">
        <v>3</v>
      </c>
      <c r="F19" s="1">
        <v>1</v>
      </c>
      <c r="G19" s="1">
        <v>1</v>
      </c>
    </row>
    <row r="20" spans="1:7" x14ac:dyDescent="0.3">
      <c r="A20" s="1" t="s">
        <v>24</v>
      </c>
      <c r="B20" s="1">
        <v>1.3</v>
      </c>
      <c r="C20" s="1">
        <v>3.4</v>
      </c>
      <c r="D20" s="1">
        <v>0</v>
      </c>
      <c r="E20" s="1">
        <v>3.6</v>
      </c>
      <c r="F20" s="1">
        <v>1.3</v>
      </c>
      <c r="G20" s="1">
        <v>1</v>
      </c>
    </row>
    <row r="21" spans="1:7" x14ac:dyDescent="0.3">
      <c r="A21" s="1" t="s">
        <v>25</v>
      </c>
      <c r="B21" s="1">
        <v>8.8000000000000007</v>
      </c>
      <c r="C21" s="1">
        <v>6.6</v>
      </c>
      <c r="D21" s="1">
        <v>10</v>
      </c>
      <c r="E21" s="1">
        <v>6.4</v>
      </c>
      <c r="F21" s="1">
        <v>8.6999999999999993</v>
      </c>
      <c r="G21" s="1">
        <v>8.9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8.6999999999999993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1.2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87.87878787878789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12.121212121212123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0.88</v>
      </c>
      <c r="C33" s="3">
        <v>0.13</v>
      </c>
      <c r="D33" s="3">
        <v>-0.19</v>
      </c>
      <c r="E33" s="3">
        <v>-0.03</v>
      </c>
      <c r="F33" s="3">
        <v>0.27</v>
      </c>
      <c r="G33" s="3">
        <v>19.07</v>
      </c>
    </row>
    <row r="35" spans="1:7" x14ac:dyDescent="0.3">
      <c r="A35" s="3" t="s">
        <v>36</v>
      </c>
      <c r="B35" s="3"/>
      <c r="C35" s="3"/>
      <c r="D35" s="3">
        <f>D33-C33</f>
        <v>-0.32</v>
      </c>
      <c r="E35" s="3"/>
      <c r="F35" s="3">
        <f>F33-E33</f>
        <v>0.30000000000000004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0.16</v>
      </c>
      <c r="F37" s="3"/>
      <c r="G37" s="3">
        <f>G33-F33</f>
        <v>18.8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A1FD-11D7-4035-B77C-0FBB62AB20B0}">
  <dimension ref="A1:G37"/>
  <sheetViews>
    <sheetView zoomScale="70" zoomScaleNormal="70" workbookViewId="0">
      <selection activeCell="I12" sqref="I12:I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428.16</v>
      </c>
      <c r="C2" s="1">
        <v>456.97</v>
      </c>
      <c r="D2" s="1">
        <v>467.72</v>
      </c>
      <c r="E2" s="1">
        <v>430.2</v>
      </c>
      <c r="F2" s="1">
        <v>411.1</v>
      </c>
      <c r="G2" s="1">
        <v>461.88</v>
      </c>
    </row>
    <row r="3" spans="1:7" x14ac:dyDescent="0.3">
      <c r="A3" s="1" t="s">
        <v>7</v>
      </c>
      <c r="B3" s="1">
        <v>38.83</v>
      </c>
      <c r="C3" s="1">
        <v>39.520000000000003</v>
      </c>
      <c r="D3" s="1">
        <v>40.369999999999997</v>
      </c>
      <c r="E3" s="1">
        <v>39.17</v>
      </c>
      <c r="F3" s="1">
        <v>39.06</v>
      </c>
      <c r="G3" s="1">
        <v>62.39</v>
      </c>
    </row>
    <row r="4" spans="1:7" x14ac:dyDescent="0.3">
      <c r="A4" s="1" t="s">
        <v>8</v>
      </c>
      <c r="B4" s="1">
        <v>16939.47</v>
      </c>
      <c r="C4" s="1">
        <v>18387.7</v>
      </c>
      <c r="D4" s="1">
        <v>19226.330000000002</v>
      </c>
      <c r="E4" s="1">
        <v>17157.95</v>
      </c>
      <c r="F4" s="1">
        <v>16360.71</v>
      </c>
      <c r="G4" s="1">
        <v>29280.6</v>
      </c>
    </row>
    <row r="5" spans="1:7" x14ac:dyDescent="0.3">
      <c r="A5" s="1" t="s">
        <v>9</v>
      </c>
      <c r="B5" s="1">
        <v>1563.29</v>
      </c>
      <c r="C5" s="1">
        <v>1704.87</v>
      </c>
      <c r="D5" s="1">
        <v>2129.38</v>
      </c>
      <c r="E5" s="1">
        <v>1086.83</v>
      </c>
      <c r="F5" s="1">
        <v>1110.21</v>
      </c>
      <c r="G5" s="1">
        <v>1031.95</v>
      </c>
    </row>
    <row r="6" spans="1:7" x14ac:dyDescent="0.3">
      <c r="A6" s="3" t="s">
        <v>10</v>
      </c>
      <c r="B6" s="3">
        <v>156.33000000000001</v>
      </c>
      <c r="C6" s="3">
        <v>172.21</v>
      </c>
      <c r="D6" s="3">
        <v>215.09</v>
      </c>
      <c r="E6" s="3">
        <v>109.78</v>
      </c>
      <c r="F6" s="3">
        <v>112.14</v>
      </c>
      <c r="G6" s="3">
        <v>105.3</v>
      </c>
    </row>
    <row r="7" spans="1:7" x14ac:dyDescent="0.3">
      <c r="A7" s="1" t="s">
        <v>11</v>
      </c>
      <c r="B7" s="1">
        <v>1345.5</v>
      </c>
      <c r="C7" s="1">
        <v>1532.41</v>
      </c>
      <c r="D7" s="1">
        <v>1965.79</v>
      </c>
      <c r="E7" s="1">
        <v>985.5</v>
      </c>
      <c r="F7" s="1">
        <v>855.22</v>
      </c>
      <c r="G7" s="1">
        <v>897.17</v>
      </c>
    </row>
    <row r="8" spans="1:7" x14ac:dyDescent="0.3">
      <c r="A8" s="1" t="s">
        <v>12</v>
      </c>
      <c r="B8" s="1">
        <v>134.55000000000001</v>
      </c>
      <c r="C8" s="1">
        <v>154.79</v>
      </c>
      <c r="D8" s="1">
        <v>198.56</v>
      </c>
      <c r="E8" s="1">
        <v>99.55</v>
      </c>
      <c r="F8" s="1">
        <v>86.39</v>
      </c>
      <c r="G8" s="1">
        <v>91.55</v>
      </c>
    </row>
    <row r="9" spans="1:7" x14ac:dyDescent="0.3">
      <c r="A9" s="1" t="s">
        <v>13</v>
      </c>
      <c r="B9" s="1">
        <v>-663.89</v>
      </c>
      <c r="C9" s="1">
        <v>1458.66</v>
      </c>
      <c r="D9" s="1">
        <v>1944.05</v>
      </c>
      <c r="E9" s="1">
        <v>816.49</v>
      </c>
      <c r="F9" s="1">
        <v>348.68</v>
      </c>
      <c r="G9" s="1">
        <v>836.88</v>
      </c>
    </row>
    <row r="10" spans="1:7" x14ac:dyDescent="0.3">
      <c r="A10" s="1" t="s">
        <v>14</v>
      </c>
      <c r="B10" s="1">
        <v>-66.39</v>
      </c>
      <c r="C10" s="1">
        <v>147.34</v>
      </c>
      <c r="D10" s="1">
        <v>196.37</v>
      </c>
      <c r="E10" s="1">
        <v>82.47</v>
      </c>
      <c r="F10" s="1">
        <v>35.22</v>
      </c>
      <c r="G10" s="1">
        <v>85.4</v>
      </c>
    </row>
    <row r="11" spans="1:7" x14ac:dyDescent="0.3">
      <c r="A11" s="1" t="s">
        <v>15</v>
      </c>
      <c r="B11" s="1">
        <v>324.02999999999997</v>
      </c>
      <c r="C11" s="1">
        <v>1265.46</v>
      </c>
      <c r="D11" s="1">
        <v>1794.21</v>
      </c>
      <c r="E11" s="1">
        <v>820.06</v>
      </c>
      <c r="F11" s="1">
        <v>219.65</v>
      </c>
      <c r="G11" s="1">
        <v>702.38</v>
      </c>
    </row>
    <row r="12" spans="1:7" x14ac:dyDescent="0.3">
      <c r="A12" s="1" t="s">
        <v>16</v>
      </c>
      <c r="B12" s="1">
        <v>187</v>
      </c>
      <c r="C12" s="1">
        <v>221.85</v>
      </c>
      <c r="D12" s="1">
        <v>232.87</v>
      </c>
      <c r="E12" s="1">
        <v>223.44</v>
      </c>
      <c r="F12" s="1">
        <v>192.72</v>
      </c>
      <c r="G12" s="1">
        <v>199.47</v>
      </c>
    </row>
    <row r="13" spans="1:7" x14ac:dyDescent="0.3">
      <c r="A13" s="1" t="s">
        <v>17</v>
      </c>
      <c r="B13" s="1">
        <v>45.81</v>
      </c>
      <c r="C13" s="1">
        <v>32.96</v>
      </c>
      <c r="D13" s="1">
        <v>35.81</v>
      </c>
      <c r="E13" s="1">
        <v>18.149999999999999</v>
      </c>
      <c r="F13" s="1">
        <v>41.07</v>
      </c>
      <c r="G13" s="1">
        <v>30.42</v>
      </c>
    </row>
    <row r="14" spans="1:7" x14ac:dyDescent="0.3">
      <c r="A14" s="1" t="s">
        <v>18</v>
      </c>
      <c r="B14" s="1">
        <v>86.83</v>
      </c>
      <c r="C14" s="1">
        <v>56.6</v>
      </c>
      <c r="D14" s="1">
        <v>84.72</v>
      </c>
      <c r="E14" s="1">
        <v>46.48</v>
      </c>
      <c r="F14" s="1">
        <v>80.75</v>
      </c>
      <c r="G14" s="1">
        <v>66.540000000000006</v>
      </c>
    </row>
    <row r="15" spans="1:7" x14ac:dyDescent="0.3">
      <c r="A15" s="1" t="s">
        <v>19</v>
      </c>
      <c r="B15" s="1">
        <v>6</v>
      </c>
      <c r="C15" s="1">
        <v>7</v>
      </c>
      <c r="D15" s="1">
        <v>7</v>
      </c>
      <c r="E15" s="1">
        <v>6</v>
      </c>
      <c r="F15" s="1">
        <v>5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340.81</v>
      </c>
      <c r="C17" s="1">
        <v>1495.53</v>
      </c>
      <c r="D17" s="1">
        <v>1954.92</v>
      </c>
      <c r="E17" s="1">
        <v>900.99</v>
      </c>
      <c r="F17" s="1">
        <v>601.95000000000005</v>
      </c>
      <c r="G17" s="1">
        <v>867.02</v>
      </c>
    </row>
    <row r="18" spans="1:7" x14ac:dyDescent="0.3">
      <c r="A18" s="1" t="s">
        <v>22</v>
      </c>
      <c r="B18" s="1">
        <v>1004.7</v>
      </c>
      <c r="C18" s="1">
        <v>36.869999999999997</v>
      </c>
      <c r="D18" s="1">
        <v>10.87</v>
      </c>
      <c r="E18" s="1">
        <v>84.51</v>
      </c>
      <c r="F18" s="1">
        <v>253.27</v>
      </c>
      <c r="G18" s="1">
        <v>30.14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4.5</v>
      </c>
      <c r="C20" s="1">
        <v>0</v>
      </c>
      <c r="D20" s="1">
        <v>0</v>
      </c>
      <c r="E20" s="1">
        <v>0</v>
      </c>
      <c r="F20" s="1">
        <v>2.6</v>
      </c>
      <c r="G20" s="1">
        <v>0</v>
      </c>
    </row>
    <row r="21" spans="1:7" x14ac:dyDescent="0.3">
      <c r="A21" s="1" t="s">
        <v>25</v>
      </c>
      <c r="B21" s="1">
        <v>5.6</v>
      </c>
      <c r="C21" s="1">
        <v>10</v>
      </c>
      <c r="D21" s="1">
        <v>10</v>
      </c>
      <c r="E21" s="1">
        <v>10</v>
      </c>
      <c r="F21" s="1">
        <v>7.4</v>
      </c>
      <c r="G21" s="1">
        <v>9.9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3">
      <c r="A23" s="1" t="s">
        <v>27</v>
      </c>
      <c r="B23" s="1">
        <v>1.5</v>
      </c>
      <c r="C23" s="1">
        <v>0</v>
      </c>
      <c r="D23" s="1">
        <v>0</v>
      </c>
      <c r="E23" s="1">
        <v>0</v>
      </c>
      <c r="F23" s="1">
        <v>1.2</v>
      </c>
      <c r="G23" s="1">
        <v>0</v>
      </c>
    </row>
    <row r="24" spans="1:7" x14ac:dyDescent="0.3">
      <c r="A24" s="1" t="s">
        <v>28</v>
      </c>
      <c r="B24" s="1">
        <v>5.0999999999999996</v>
      </c>
      <c r="C24" s="1">
        <v>0</v>
      </c>
      <c r="D24" s="1">
        <v>0</v>
      </c>
      <c r="E24" s="1">
        <v>0</v>
      </c>
      <c r="F24" s="1">
        <v>2.2000000000000002</v>
      </c>
      <c r="G24" s="1">
        <v>0</v>
      </c>
    </row>
    <row r="25" spans="1:7" x14ac:dyDescent="0.3">
      <c r="A25" s="1" t="s">
        <v>29</v>
      </c>
      <c r="B25" s="1">
        <v>1.2</v>
      </c>
      <c r="C25" s="1">
        <v>0</v>
      </c>
      <c r="D25" s="1">
        <v>0</v>
      </c>
      <c r="E25" s="1">
        <v>1</v>
      </c>
      <c r="F25" s="1">
        <v>2.2999999999999998</v>
      </c>
      <c r="G25" s="1">
        <v>0</v>
      </c>
    </row>
    <row r="26" spans="1:7" x14ac:dyDescent="0.3">
      <c r="A26" s="1" t="s">
        <v>30</v>
      </c>
      <c r="B26" s="1">
        <v>3.8</v>
      </c>
      <c r="C26" s="1">
        <v>10</v>
      </c>
      <c r="D26" s="1">
        <v>10</v>
      </c>
      <c r="E26" s="1">
        <v>9</v>
      </c>
      <c r="F26" s="1">
        <v>5.5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50.495049504950494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22.000000000000004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11.881188118811881</v>
      </c>
      <c r="C30" s="3">
        <f t="shared" ref="C30:G30" si="2">C25/C28*100</f>
        <v>0</v>
      </c>
      <c r="D30" s="3">
        <f t="shared" si="2"/>
        <v>0</v>
      </c>
      <c r="E30" s="3">
        <f t="shared" si="2"/>
        <v>10</v>
      </c>
      <c r="F30" s="3">
        <f t="shared" si="2"/>
        <v>23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37.623762376237622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90</v>
      </c>
      <c r="F31" s="3">
        <f t="shared" si="3"/>
        <v>55.000000000000007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-14.87</v>
      </c>
      <c r="C33" s="3">
        <v>162.35</v>
      </c>
      <c r="D33" s="3">
        <v>207.87</v>
      </c>
      <c r="E33" s="3">
        <v>85.5</v>
      </c>
      <c r="F33" s="3">
        <v>21.56</v>
      </c>
      <c r="G33" s="3">
        <v>95.71</v>
      </c>
    </row>
    <row r="35" spans="1:7" x14ac:dyDescent="0.3">
      <c r="A35" s="3" t="s">
        <v>36</v>
      </c>
      <c r="B35" s="3"/>
      <c r="C35" s="3"/>
      <c r="D35" s="3">
        <f>D33-C33</f>
        <v>45.52000000000001</v>
      </c>
      <c r="E35" s="3"/>
      <c r="F35" s="3">
        <f>F33-E33</f>
        <v>-63.94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-122.37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AF8E-5EF9-43C5-945B-EF24FAEC54D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421.96</v>
      </c>
      <c r="C2" s="1">
        <v>474.81</v>
      </c>
      <c r="D2" s="1">
        <v>474.75</v>
      </c>
      <c r="E2" s="1">
        <v>480.75</v>
      </c>
      <c r="F2" s="1">
        <v>468.95</v>
      </c>
      <c r="G2" s="1">
        <v>479.18</v>
      </c>
    </row>
    <row r="3" spans="1:7" x14ac:dyDescent="0.3">
      <c r="A3" s="1" t="s">
        <v>7</v>
      </c>
      <c r="B3" s="1">
        <v>44.31</v>
      </c>
      <c r="C3" s="1">
        <v>46.63</v>
      </c>
      <c r="D3" s="1">
        <v>48.28</v>
      </c>
      <c r="E3" s="1">
        <v>56.1</v>
      </c>
      <c r="F3" s="1">
        <v>55.21</v>
      </c>
      <c r="G3" s="1">
        <v>49.58</v>
      </c>
    </row>
    <row r="4" spans="1:7" x14ac:dyDescent="0.3">
      <c r="A4" s="1" t="s">
        <v>8</v>
      </c>
      <c r="B4" s="1">
        <v>19051.509999999998</v>
      </c>
      <c r="C4" s="1">
        <v>22499.26</v>
      </c>
      <c r="D4" s="1">
        <v>23285.599999999999</v>
      </c>
      <c r="E4" s="1">
        <v>27359.66</v>
      </c>
      <c r="F4" s="1">
        <v>26325.82</v>
      </c>
      <c r="G4" s="1">
        <v>24188.98</v>
      </c>
    </row>
    <row r="5" spans="1:7" x14ac:dyDescent="0.3">
      <c r="A5" s="1" t="s">
        <v>9</v>
      </c>
      <c r="B5" s="1">
        <v>2298.9899999999998</v>
      </c>
      <c r="C5" s="1">
        <v>2023.39</v>
      </c>
      <c r="D5" s="1">
        <v>2439.48</v>
      </c>
      <c r="E5" s="1">
        <v>2440.9299999999998</v>
      </c>
      <c r="F5" s="1">
        <v>1203.53</v>
      </c>
      <c r="G5" s="1">
        <v>2062.8000000000002</v>
      </c>
    </row>
    <row r="6" spans="1:7" x14ac:dyDescent="0.3">
      <c r="A6" s="3" t="s">
        <v>10</v>
      </c>
      <c r="B6" s="3">
        <v>229.9</v>
      </c>
      <c r="C6" s="3">
        <v>204.38</v>
      </c>
      <c r="D6" s="3">
        <v>246.41</v>
      </c>
      <c r="E6" s="3">
        <v>246.56</v>
      </c>
      <c r="F6" s="3">
        <v>121.57</v>
      </c>
      <c r="G6" s="3">
        <v>210.49</v>
      </c>
    </row>
    <row r="7" spans="1:7" x14ac:dyDescent="0.3">
      <c r="A7" s="1" t="s">
        <v>11</v>
      </c>
      <c r="B7" s="1">
        <v>1921.6</v>
      </c>
      <c r="C7" s="1">
        <v>1854.81</v>
      </c>
      <c r="D7" s="1">
        <v>2267.2600000000002</v>
      </c>
      <c r="E7" s="1">
        <v>2244.0300000000002</v>
      </c>
      <c r="F7" s="1">
        <v>1085.1199999999999</v>
      </c>
      <c r="G7" s="1">
        <v>1954.45</v>
      </c>
    </row>
    <row r="8" spans="1:7" x14ac:dyDescent="0.3">
      <c r="A8" s="1" t="s">
        <v>12</v>
      </c>
      <c r="B8" s="1">
        <v>192.16</v>
      </c>
      <c r="C8" s="1">
        <v>187.35</v>
      </c>
      <c r="D8" s="1">
        <v>229.02</v>
      </c>
      <c r="E8" s="1">
        <v>226.67</v>
      </c>
      <c r="F8" s="1">
        <v>109.61</v>
      </c>
      <c r="G8" s="1">
        <v>199.43</v>
      </c>
    </row>
    <row r="9" spans="1:7" x14ac:dyDescent="0.3">
      <c r="A9" s="1" t="s">
        <v>13</v>
      </c>
      <c r="B9" s="1">
        <v>1788.83</v>
      </c>
      <c r="C9" s="1">
        <v>1854.81</v>
      </c>
      <c r="D9" s="1">
        <v>2267.2600000000002</v>
      </c>
      <c r="E9" s="1">
        <v>2244.0300000000002</v>
      </c>
      <c r="F9" s="1">
        <v>1063.3599999999999</v>
      </c>
      <c r="G9" s="1">
        <v>1954.45</v>
      </c>
    </row>
    <row r="10" spans="1:7" x14ac:dyDescent="0.3">
      <c r="A10" s="1" t="s">
        <v>14</v>
      </c>
      <c r="B10" s="1">
        <v>178.88</v>
      </c>
      <c r="C10" s="1">
        <v>187.35</v>
      </c>
      <c r="D10" s="1">
        <v>229.02</v>
      </c>
      <c r="E10" s="1">
        <v>226.67</v>
      </c>
      <c r="F10" s="1">
        <v>107.41</v>
      </c>
      <c r="G10" s="1">
        <v>199.43</v>
      </c>
    </row>
    <row r="11" spans="1:7" x14ac:dyDescent="0.3">
      <c r="A11" s="1" t="s">
        <v>15</v>
      </c>
      <c r="B11" s="1">
        <v>1249.18</v>
      </c>
      <c r="C11" s="1">
        <v>1233.3</v>
      </c>
      <c r="D11" s="1">
        <v>1856.31</v>
      </c>
      <c r="E11" s="1">
        <v>1394.24</v>
      </c>
      <c r="F11" s="1">
        <v>683.65</v>
      </c>
      <c r="G11" s="1">
        <v>1713.12</v>
      </c>
    </row>
    <row r="12" spans="1:7" x14ac:dyDescent="0.3">
      <c r="A12" s="1" t="s">
        <v>16</v>
      </c>
      <c r="B12" s="1">
        <v>238.56</v>
      </c>
      <c r="C12" s="1">
        <v>239.87</v>
      </c>
      <c r="D12" s="1">
        <v>263.33999999999997</v>
      </c>
      <c r="E12" s="1">
        <v>237.61</v>
      </c>
      <c r="F12" s="1">
        <v>255.16</v>
      </c>
      <c r="G12" s="1">
        <v>262.99</v>
      </c>
    </row>
    <row r="13" spans="1:7" x14ac:dyDescent="0.3">
      <c r="A13" s="1" t="s">
        <v>17</v>
      </c>
      <c r="B13" s="1">
        <v>40.58</v>
      </c>
      <c r="C13" s="1">
        <v>35.71</v>
      </c>
      <c r="D13" s="1">
        <v>41.03</v>
      </c>
      <c r="E13" s="1">
        <v>44.53</v>
      </c>
      <c r="F13" s="1">
        <v>29.59</v>
      </c>
      <c r="G13" s="1">
        <v>30.98</v>
      </c>
    </row>
    <row r="14" spans="1:7" x14ac:dyDescent="0.3">
      <c r="A14" s="1" t="s">
        <v>18</v>
      </c>
      <c r="B14" s="1">
        <v>87.91</v>
      </c>
      <c r="C14" s="1">
        <v>86.2</v>
      </c>
      <c r="D14" s="1">
        <v>92.78</v>
      </c>
      <c r="E14" s="1">
        <v>93.81</v>
      </c>
      <c r="F14" s="1">
        <v>92.71</v>
      </c>
      <c r="G14" s="1">
        <v>68.900000000000006</v>
      </c>
    </row>
    <row r="15" spans="1:7" x14ac:dyDescent="0.3">
      <c r="A15" s="1" t="s">
        <v>19</v>
      </c>
      <c r="B15" s="1">
        <v>11</v>
      </c>
      <c r="C15" s="1">
        <v>9</v>
      </c>
      <c r="D15" s="1">
        <v>8</v>
      </c>
      <c r="E15" s="1">
        <v>8</v>
      </c>
      <c r="F15" s="1">
        <v>4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1855.21</v>
      </c>
      <c r="C17" s="1">
        <v>1854.81</v>
      </c>
      <c r="D17" s="1">
        <v>2267.2600000000002</v>
      </c>
      <c r="E17" s="1">
        <v>2244.0300000000002</v>
      </c>
      <c r="F17" s="1">
        <v>1074.24</v>
      </c>
      <c r="G17" s="1">
        <v>1954.45</v>
      </c>
    </row>
    <row r="18" spans="1:7" x14ac:dyDescent="0.3">
      <c r="A18" s="1" t="s">
        <v>22</v>
      </c>
      <c r="B18" s="1">
        <v>66.39</v>
      </c>
      <c r="C18" s="1">
        <v>0</v>
      </c>
      <c r="D18" s="1">
        <v>0</v>
      </c>
      <c r="E18" s="1">
        <v>0</v>
      </c>
      <c r="F18" s="1">
        <v>10.88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211.58</v>
      </c>
      <c r="C33" s="3">
        <v>201.62</v>
      </c>
      <c r="D33" s="3">
        <v>237.43</v>
      </c>
      <c r="E33" s="3">
        <v>237.9</v>
      </c>
      <c r="F33" s="3">
        <v>117.69</v>
      </c>
      <c r="G33" s="3">
        <v>206.19</v>
      </c>
    </row>
    <row r="35" spans="1:7" x14ac:dyDescent="0.3">
      <c r="A35" s="3" t="s">
        <v>36</v>
      </c>
      <c r="B35" s="3"/>
      <c r="C35" s="3"/>
      <c r="D35" s="3">
        <f>D33-C33</f>
        <v>35.81</v>
      </c>
      <c r="E35" s="3"/>
      <c r="F35" s="3">
        <f>F33-E33</f>
        <v>-120.21000000000001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0.46999999999999886</v>
      </c>
      <c r="F37" s="3"/>
      <c r="G37" s="3">
        <f>G33-F33</f>
        <v>88.5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D003-8B0F-4377-89C7-4FDCB447AACC}">
  <dimension ref="A1:G37"/>
  <sheetViews>
    <sheetView zoomScale="70" zoomScaleNormal="70" workbookViewId="0">
      <selection activeCell="M16" sqref="M1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456.93</v>
      </c>
      <c r="C2" s="1">
        <v>430.45</v>
      </c>
      <c r="D2" s="1">
        <v>420.25</v>
      </c>
      <c r="E2" s="1">
        <v>416.04</v>
      </c>
      <c r="F2" s="1">
        <v>415.27</v>
      </c>
      <c r="G2" s="1">
        <v>383.11</v>
      </c>
    </row>
    <row r="3" spans="1:7" x14ac:dyDescent="0.3">
      <c r="A3" s="1" t="s">
        <v>7</v>
      </c>
      <c r="B3" s="1">
        <v>47.77</v>
      </c>
      <c r="C3" s="1">
        <v>49.03</v>
      </c>
      <c r="D3" s="1">
        <v>50.08</v>
      </c>
      <c r="E3" s="1">
        <v>50.83</v>
      </c>
      <c r="F3" s="1">
        <v>50.61</v>
      </c>
      <c r="G3" s="1">
        <v>43.89</v>
      </c>
    </row>
    <row r="4" spans="1:7" x14ac:dyDescent="0.3">
      <c r="A4" s="1" t="s">
        <v>8</v>
      </c>
      <c r="B4" s="1">
        <v>22192.15</v>
      </c>
      <c r="C4" s="1">
        <v>21421.13</v>
      </c>
      <c r="D4" s="1">
        <v>21378.75</v>
      </c>
      <c r="E4" s="1">
        <v>21508.29</v>
      </c>
      <c r="F4" s="1">
        <v>21377.51</v>
      </c>
      <c r="G4" s="1">
        <v>17043.78</v>
      </c>
    </row>
    <row r="5" spans="1:7" x14ac:dyDescent="0.3">
      <c r="A5" s="1" t="s">
        <v>9</v>
      </c>
      <c r="B5" s="1">
        <v>169.52</v>
      </c>
      <c r="C5" s="1">
        <v>431.1</v>
      </c>
      <c r="D5" s="1">
        <v>248.3</v>
      </c>
      <c r="E5" s="1">
        <v>100.35</v>
      </c>
      <c r="F5" s="1">
        <v>65.569999999999993</v>
      </c>
      <c r="G5" s="1">
        <v>907.43</v>
      </c>
    </row>
    <row r="6" spans="1:7" x14ac:dyDescent="0.3">
      <c r="A6" s="3" t="s">
        <v>10</v>
      </c>
      <c r="B6" s="3">
        <v>16.95</v>
      </c>
      <c r="C6" s="3">
        <v>43.55</v>
      </c>
      <c r="D6" s="3">
        <v>25.08</v>
      </c>
      <c r="E6" s="3">
        <v>10.14</v>
      </c>
      <c r="F6" s="3">
        <v>6.62</v>
      </c>
      <c r="G6" s="3">
        <v>92.59</v>
      </c>
    </row>
    <row r="7" spans="1:7" x14ac:dyDescent="0.3">
      <c r="A7" s="1" t="s">
        <v>11</v>
      </c>
      <c r="B7" s="1">
        <v>152.16999999999999</v>
      </c>
      <c r="C7" s="1">
        <v>423.46</v>
      </c>
      <c r="D7" s="1">
        <v>239.5</v>
      </c>
      <c r="E7" s="1">
        <v>89.02</v>
      </c>
      <c r="F7" s="1">
        <v>50.72</v>
      </c>
      <c r="G7" s="1">
        <v>862.18</v>
      </c>
    </row>
    <row r="8" spans="1:7" x14ac:dyDescent="0.3">
      <c r="A8" s="1" t="s">
        <v>12</v>
      </c>
      <c r="B8" s="1">
        <v>15.22</v>
      </c>
      <c r="C8" s="1">
        <v>42.77</v>
      </c>
      <c r="D8" s="1">
        <v>24.19</v>
      </c>
      <c r="E8" s="1">
        <v>8.99</v>
      </c>
      <c r="F8" s="1">
        <v>5.12</v>
      </c>
      <c r="G8" s="1">
        <v>87.98</v>
      </c>
    </row>
    <row r="9" spans="1:7" x14ac:dyDescent="0.3">
      <c r="A9" s="1" t="s">
        <v>13</v>
      </c>
      <c r="B9" s="1">
        <v>45.16</v>
      </c>
      <c r="C9" s="1">
        <v>42.04</v>
      </c>
      <c r="D9" s="1">
        <v>44.77</v>
      </c>
      <c r="E9" s="1">
        <v>18.88</v>
      </c>
      <c r="F9" s="1">
        <v>-4.3600000000000003</v>
      </c>
      <c r="G9" s="1">
        <v>855.19</v>
      </c>
    </row>
    <row r="10" spans="1:7" x14ac:dyDescent="0.3">
      <c r="A10" s="1" t="s">
        <v>14</v>
      </c>
      <c r="B10" s="1">
        <v>4.5199999999999996</v>
      </c>
      <c r="C10" s="1">
        <v>4.25</v>
      </c>
      <c r="D10" s="1">
        <v>4.5199999999999996</v>
      </c>
      <c r="E10" s="1">
        <v>1.91</v>
      </c>
      <c r="F10" s="1">
        <v>-0.44</v>
      </c>
      <c r="G10" s="1">
        <v>87.26</v>
      </c>
    </row>
    <row r="11" spans="1:7" x14ac:dyDescent="0.3">
      <c r="A11" s="1" t="s">
        <v>15</v>
      </c>
      <c r="B11" s="1">
        <v>42.99</v>
      </c>
      <c r="C11" s="1">
        <v>31.81</v>
      </c>
      <c r="D11" s="1">
        <v>1.67</v>
      </c>
      <c r="E11" s="1">
        <v>17.05</v>
      </c>
      <c r="F11" s="1">
        <v>1.98</v>
      </c>
      <c r="G11" s="1">
        <v>653.19000000000005</v>
      </c>
    </row>
    <row r="12" spans="1:7" x14ac:dyDescent="0.3">
      <c r="A12" s="1" t="s">
        <v>16</v>
      </c>
      <c r="B12" s="1">
        <v>287.19</v>
      </c>
      <c r="C12" s="1">
        <v>214.1</v>
      </c>
      <c r="D12" s="1">
        <v>191.36</v>
      </c>
      <c r="E12" s="1">
        <v>191.59</v>
      </c>
      <c r="F12" s="1">
        <v>179.79</v>
      </c>
      <c r="G12" s="1">
        <v>206.84</v>
      </c>
    </row>
    <row r="13" spans="1:7" x14ac:dyDescent="0.3">
      <c r="A13" s="1" t="s">
        <v>17</v>
      </c>
      <c r="B13" s="1">
        <v>42.65</v>
      </c>
      <c r="C13" s="1">
        <v>31.4</v>
      </c>
      <c r="D13" s="1">
        <v>27.71</v>
      </c>
      <c r="E13" s="1">
        <v>24.33</v>
      </c>
      <c r="F13" s="1">
        <v>23.98</v>
      </c>
      <c r="G13" s="1">
        <v>26.52</v>
      </c>
    </row>
    <row r="14" spans="1:7" x14ac:dyDescent="0.3">
      <c r="A14" s="1" t="s">
        <v>18</v>
      </c>
      <c r="B14" s="1">
        <v>50.08</v>
      </c>
      <c r="C14" s="1">
        <v>45.52</v>
      </c>
      <c r="D14" s="1">
        <v>42.12</v>
      </c>
      <c r="E14" s="1">
        <v>34.39</v>
      </c>
      <c r="F14" s="1">
        <v>28.06</v>
      </c>
      <c r="G14" s="1">
        <v>61.29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98.66</v>
      </c>
      <c r="C17" s="1">
        <v>232.75</v>
      </c>
      <c r="D17" s="1">
        <v>142.13</v>
      </c>
      <c r="E17" s="1">
        <v>53.95</v>
      </c>
      <c r="F17" s="1">
        <v>23.18</v>
      </c>
      <c r="G17" s="1">
        <v>858.68</v>
      </c>
    </row>
    <row r="18" spans="1:7" x14ac:dyDescent="0.3">
      <c r="A18" s="1" t="s">
        <v>22</v>
      </c>
      <c r="B18" s="1">
        <v>53.5</v>
      </c>
      <c r="C18" s="1">
        <v>190.71</v>
      </c>
      <c r="D18" s="1">
        <v>97.37</v>
      </c>
      <c r="E18" s="1">
        <v>35.07</v>
      </c>
      <c r="F18" s="1">
        <v>27.54</v>
      </c>
      <c r="G18" s="1">
        <v>3.49</v>
      </c>
    </row>
    <row r="19" spans="1:7" x14ac:dyDescent="0.3">
      <c r="A19" s="1" t="s">
        <v>23</v>
      </c>
      <c r="B19" s="1">
        <v>2</v>
      </c>
      <c r="C19" s="1">
        <v>1</v>
      </c>
      <c r="D19" s="1">
        <v>2</v>
      </c>
      <c r="E19" s="1">
        <v>1</v>
      </c>
      <c r="F19" s="1">
        <v>2</v>
      </c>
      <c r="G19" s="1">
        <v>0</v>
      </c>
    </row>
    <row r="20" spans="1:7" x14ac:dyDescent="0.3">
      <c r="A20" s="1" t="s">
        <v>24</v>
      </c>
      <c r="B20" s="1">
        <v>2.2999999999999998</v>
      </c>
      <c r="C20" s="1">
        <v>1</v>
      </c>
      <c r="D20" s="1">
        <v>2.6</v>
      </c>
      <c r="E20" s="1">
        <v>1.3</v>
      </c>
      <c r="F20" s="1">
        <v>2.1</v>
      </c>
      <c r="G20" s="1">
        <v>0</v>
      </c>
    </row>
    <row r="21" spans="1:7" x14ac:dyDescent="0.3">
      <c r="A21" s="1" t="s">
        <v>25</v>
      </c>
      <c r="B21" s="1">
        <v>7.8</v>
      </c>
      <c r="C21" s="1">
        <v>9</v>
      </c>
      <c r="D21" s="1">
        <v>7.4</v>
      </c>
      <c r="E21" s="1">
        <v>8.6999999999999993</v>
      </c>
      <c r="F21" s="1">
        <v>7.9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0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2.86</v>
      </c>
      <c r="C33" s="3">
        <v>1.94</v>
      </c>
      <c r="D33" s="3">
        <v>0.63</v>
      </c>
      <c r="E33" s="3">
        <v>1.28</v>
      </c>
      <c r="F33" s="3">
        <v>-0.4</v>
      </c>
      <c r="G33" s="3">
        <v>89.08</v>
      </c>
    </row>
    <row r="35" spans="1:7" x14ac:dyDescent="0.3">
      <c r="A35" s="3" t="s">
        <v>36</v>
      </c>
      <c r="B35" s="3"/>
      <c r="C35" s="3"/>
      <c r="D35" s="3">
        <f>D33-C33</f>
        <v>-1.31</v>
      </c>
      <c r="E35" s="3"/>
      <c r="F35" s="3">
        <f>F33-E33</f>
        <v>-1.6800000000000002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0.65</v>
      </c>
      <c r="F37" s="3"/>
      <c r="G37" s="3">
        <f>G33-F33</f>
        <v>89.48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C4CC-D61B-4BAB-ABBA-BAA075A47613}">
  <dimension ref="A1:G37"/>
  <sheetViews>
    <sheetView tabSelected="1" zoomScale="70" zoomScaleNormal="70" workbookViewId="0">
      <selection activeCell="M14" sqref="M1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240717Bttx001.1</vt:lpstr>
      <vt:lpstr>240717Bttx001.2</vt:lpstr>
      <vt:lpstr>240717Bttx002.1</vt:lpstr>
      <vt:lpstr>240717Bttx002.2</vt:lpstr>
      <vt:lpstr>240717Bttx002.3</vt:lpstr>
      <vt:lpstr>240717Bttx002.4</vt:lpstr>
      <vt:lpstr>240717Bttx003.2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2024-08-17T20:02:01Z</dcterms:created>
  <dcterms:modified xsi:type="dcterms:W3CDTF">2024-08-20T00:04:52Z</dcterms:modified>
</cp:coreProperties>
</file>