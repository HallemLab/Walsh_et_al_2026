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522\WormLab Data\"/>
    </mc:Choice>
  </mc:AlternateContent>
  <xr:revisionPtr revIDLastSave="0" documentId="13_ncr:1_{1863AA3F-6D6F-46EC-91D7-29DCB2C5C35C}" xr6:coauthVersionLast="47" xr6:coauthVersionMax="47" xr10:uidLastSave="{00000000-0000-0000-0000-000000000000}"/>
  <bookViews>
    <workbookView xWindow="252" yWindow="840" windowWidth="15600" windowHeight="11244" firstSheet="2" activeTab="4" xr2:uid="{07A3E24F-F535-4DE4-844B-3DADD2CD414A}"/>
  </bookViews>
  <sheets>
    <sheet name="240522Bwt001.3" sheetId="2" r:id="rId1"/>
    <sheet name="240522Bwt002.1" sheetId="3" r:id="rId2"/>
    <sheet name="240522Bwt002.2" sheetId="4" r:id="rId3"/>
    <sheet name="240522Bwt002.3" sheetId="5" r:id="rId4"/>
    <sheet name="240522Bwt003.2" sheetId="6" r:id="rId5"/>
    <sheet name="templat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6" l="1"/>
  <c r="E37" i="6"/>
  <c r="C37" i="6"/>
  <c r="F35" i="6"/>
  <c r="D35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G28" i="6"/>
  <c r="F28" i="6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G28" i="5"/>
  <c r="G31" i="5" s="1"/>
  <c r="F28" i="5"/>
  <c r="F30" i="5" s="1"/>
  <c r="E28" i="5"/>
  <c r="E30" i="5" s="1"/>
  <c r="D28" i="5"/>
  <c r="D30" i="5" s="1"/>
  <c r="C28" i="5"/>
  <c r="C31" i="5" s="1"/>
  <c r="B28" i="5"/>
  <c r="B31" i="5" s="1"/>
  <c r="G37" i="4"/>
  <c r="E37" i="4"/>
  <c r="C37" i="4"/>
  <c r="F35" i="4"/>
  <c r="D35" i="4"/>
  <c r="F31" i="4"/>
  <c r="E31" i="4"/>
  <c r="D31" i="4"/>
  <c r="B31" i="4"/>
  <c r="F30" i="4"/>
  <c r="E30" i="4"/>
  <c r="D30" i="4"/>
  <c r="C30" i="4"/>
  <c r="B30" i="4"/>
  <c r="F29" i="4"/>
  <c r="E29" i="4"/>
  <c r="G28" i="4"/>
  <c r="G31" i="4" s="1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C31" i="2"/>
  <c r="B31" i="2"/>
  <c r="G30" i="2"/>
  <c r="F30" i="2"/>
  <c r="E30" i="2"/>
  <c r="D30" i="2"/>
  <c r="C30" i="2"/>
  <c r="B30" i="2"/>
  <c r="G29" i="2"/>
  <c r="F29" i="2"/>
  <c r="D29" i="2"/>
  <c r="G28" i="2"/>
  <c r="F28" i="2"/>
  <c r="E28" i="2"/>
  <c r="E29" i="2" s="1"/>
  <c r="D28" i="2"/>
  <c r="D31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G28" i="1"/>
  <c r="F28" i="1"/>
  <c r="E28" i="1"/>
  <c r="D28" i="1"/>
  <c r="C28" i="1"/>
  <c r="C29" i="1" s="1"/>
  <c r="B28" i="1"/>
  <c r="B29" i="1" s="1"/>
  <c r="E31" i="5" l="1"/>
  <c r="D31" i="5"/>
  <c r="F31" i="5"/>
  <c r="B29" i="5"/>
  <c r="C29" i="5"/>
  <c r="D29" i="5"/>
  <c r="E29" i="5"/>
  <c r="F29" i="5"/>
  <c r="G29" i="5"/>
  <c r="B30" i="5"/>
  <c r="C30" i="5"/>
  <c r="G30" i="5"/>
  <c r="G29" i="4"/>
  <c r="G30" i="4"/>
  <c r="C31" i="4"/>
</calcChain>
</file>

<file path=xl/sharedStrings.xml><?xml version="1.0" encoding="utf-8"?>
<sst xmlns="http://schemas.openxmlformats.org/spreadsheetml/2006/main" count="228" uniqueCount="37">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</sst>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84C2-088F-4E7E-A2CA-C5314498E840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442.99</v>
      </c>
      <c r="C2" s="1">
        <v>406.29</v>
      </c>
      <c r="D2" s="1">
        <v>484.58</v>
      </c>
      <c r="E2" s="1">
        <v>430.65</v>
      </c>
      <c r="F2" s="1">
        <v>365.94</v>
      </c>
      <c r="G2" s="1">
        <v>445.5</v>
      </c>
    </row>
    <row r="3" spans="1:7" x14ac:dyDescent="0.3">
      <c r="A3" s="1" t="s">
        <v>7</v>
      </c>
      <c r="B3" s="1">
        <v>49.4</v>
      </c>
      <c r="C3" s="1">
        <v>41.52</v>
      </c>
      <c r="D3" s="1">
        <v>54.23</v>
      </c>
      <c r="E3" s="1">
        <v>50.53</v>
      </c>
      <c r="F3" s="1">
        <v>45.94</v>
      </c>
      <c r="G3" s="1">
        <v>57.87</v>
      </c>
    </row>
    <row r="4" spans="1:7" x14ac:dyDescent="0.3">
      <c r="A4" s="1" t="s">
        <v>8</v>
      </c>
      <c r="B4" s="1">
        <v>22306.98</v>
      </c>
      <c r="C4" s="1">
        <v>17188.87</v>
      </c>
      <c r="D4" s="1">
        <v>26773.200000000001</v>
      </c>
      <c r="E4" s="1">
        <v>22236.61</v>
      </c>
      <c r="F4" s="1">
        <v>17261.259999999998</v>
      </c>
      <c r="G4" s="1">
        <v>26161.27</v>
      </c>
    </row>
    <row r="5" spans="1:7" x14ac:dyDescent="0.3">
      <c r="A5" s="1" t="s">
        <v>9</v>
      </c>
      <c r="B5" s="1">
        <v>1745.63</v>
      </c>
      <c r="C5" s="1">
        <v>3390.92</v>
      </c>
      <c r="D5" s="1">
        <v>3540.98</v>
      </c>
      <c r="E5" s="1">
        <v>1459.38</v>
      </c>
      <c r="F5" s="1">
        <v>1920.03</v>
      </c>
      <c r="G5" s="1">
        <v>1589.32</v>
      </c>
    </row>
    <row r="6" spans="1:7" x14ac:dyDescent="0.3">
      <c r="A6" s="3" t="s">
        <v>10</v>
      </c>
      <c r="B6" s="3">
        <v>174.56</v>
      </c>
      <c r="C6" s="3">
        <v>342.52</v>
      </c>
      <c r="D6" s="3">
        <v>357.67</v>
      </c>
      <c r="E6" s="3">
        <v>147.41</v>
      </c>
      <c r="F6" s="3">
        <v>193.94</v>
      </c>
      <c r="G6" s="3">
        <v>162.18</v>
      </c>
    </row>
    <row r="7" spans="1:7" x14ac:dyDescent="0.3">
      <c r="A7" s="1" t="s">
        <v>11</v>
      </c>
      <c r="B7" s="1">
        <v>1482.77</v>
      </c>
      <c r="C7" s="1">
        <v>3041.56</v>
      </c>
      <c r="D7" s="1">
        <v>3295.22</v>
      </c>
      <c r="E7" s="1">
        <v>1331.81</v>
      </c>
      <c r="F7" s="1">
        <v>1713.23</v>
      </c>
      <c r="G7" s="1">
        <v>1467.13</v>
      </c>
    </row>
    <row r="8" spans="1:7" x14ac:dyDescent="0.3">
      <c r="A8" s="1" t="s">
        <v>12</v>
      </c>
      <c r="B8" s="1">
        <v>148.28</v>
      </c>
      <c r="C8" s="1">
        <v>307.23</v>
      </c>
      <c r="D8" s="1">
        <v>332.85</v>
      </c>
      <c r="E8" s="1">
        <v>134.53</v>
      </c>
      <c r="F8" s="1">
        <v>173.05</v>
      </c>
      <c r="G8" s="1">
        <v>149.71</v>
      </c>
    </row>
    <row r="9" spans="1:7" x14ac:dyDescent="0.3">
      <c r="A9" s="1" t="s">
        <v>13</v>
      </c>
      <c r="B9" s="1">
        <v>900.37</v>
      </c>
      <c r="C9" s="1">
        <v>3041.56</v>
      </c>
      <c r="D9" s="1">
        <v>3295.22</v>
      </c>
      <c r="E9" s="1">
        <v>431.26</v>
      </c>
      <c r="F9" s="1">
        <v>1627.5</v>
      </c>
      <c r="G9" s="1">
        <v>885.03</v>
      </c>
    </row>
    <row r="10" spans="1:7" x14ac:dyDescent="0.3">
      <c r="A10" s="1" t="s">
        <v>14</v>
      </c>
      <c r="B10" s="1">
        <v>90.04</v>
      </c>
      <c r="C10" s="1">
        <v>307.23</v>
      </c>
      <c r="D10" s="1">
        <v>332.85</v>
      </c>
      <c r="E10" s="1">
        <v>43.56</v>
      </c>
      <c r="F10" s="1">
        <v>164.39</v>
      </c>
      <c r="G10" s="1">
        <v>90.31</v>
      </c>
    </row>
    <row r="11" spans="1:7" x14ac:dyDescent="0.3">
      <c r="A11" s="1" t="s">
        <v>15</v>
      </c>
      <c r="B11" s="1">
        <v>560.48</v>
      </c>
      <c r="C11" s="1">
        <v>3029.91</v>
      </c>
      <c r="D11" s="1">
        <v>3313.64</v>
      </c>
      <c r="E11" s="1">
        <v>156.93</v>
      </c>
      <c r="F11" s="1">
        <v>1583.15</v>
      </c>
      <c r="G11" s="1">
        <v>403.98</v>
      </c>
    </row>
    <row r="12" spans="1:7" x14ac:dyDescent="0.3">
      <c r="A12" s="1" t="s">
        <v>16</v>
      </c>
      <c r="B12" s="1">
        <v>182.78</v>
      </c>
      <c r="C12" s="1">
        <v>254.37</v>
      </c>
      <c r="D12" s="1">
        <v>239.51</v>
      </c>
      <c r="E12" s="1">
        <v>192.09</v>
      </c>
      <c r="F12" s="1">
        <v>186.97</v>
      </c>
      <c r="G12" s="1">
        <v>210.01</v>
      </c>
    </row>
    <row r="13" spans="1:7" x14ac:dyDescent="0.3">
      <c r="A13" s="1" t="s">
        <v>17</v>
      </c>
      <c r="B13" s="1">
        <v>45.32</v>
      </c>
      <c r="C13" s="1">
        <v>26.15</v>
      </c>
      <c r="D13" s="1">
        <v>25.67</v>
      </c>
      <c r="E13" s="1">
        <v>36.51</v>
      </c>
      <c r="F13" s="1">
        <v>29.26</v>
      </c>
      <c r="G13" s="1">
        <v>38.11</v>
      </c>
    </row>
    <row r="14" spans="1:7" x14ac:dyDescent="0.3">
      <c r="A14" s="1" t="s">
        <v>18</v>
      </c>
      <c r="B14" s="1">
        <v>99.73</v>
      </c>
      <c r="C14" s="1">
        <v>74.73</v>
      </c>
      <c r="D14" s="1">
        <v>58.24</v>
      </c>
      <c r="E14" s="1">
        <v>76.489999999999995</v>
      </c>
      <c r="F14" s="1">
        <v>60.1</v>
      </c>
      <c r="G14" s="1">
        <v>79.97</v>
      </c>
    </row>
    <row r="15" spans="1:7" x14ac:dyDescent="0.3">
      <c r="A15" s="1" t="s">
        <v>19</v>
      </c>
      <c r="B15" s="1">
        <v>6</v>
      </c>
      <c r="C15" s="1">
        <v>7</v>
      </c>
      <c r="D15" s="1">
        <v>3</v>
      </c>
      <c r="E15" s="1">
        <v>5</v>
      </c>
      <c r="F15" s="1">
        <v>5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1191.57</v>
      </c>
      <c r="C17" s="1">
        <v>3041.56</v>
      </c>
      <c r="D17" s="1">
        <v>3295.22</v>
      </c>
      <c r="E17" s="1">
        <v>881.53</v>
      </c>
      <c r="F17" s="1">
        <v>1670.37</v>
      </c>
      <c r="G17" s="1">
        <v>1176.08</v>
      </c>
    </row>
    <row r="18" spans="1:7" x14ac:dyDescent="0.3">
      <c r="A18" s="1" t="s">
        <v>22</v>
      </c>
      <c r="B18" s="1">
        <v>291.2</v>
      </c>
      <c r="C18" s="1">
        <v>0</v>
      </c>
      <c r="D18" s="1">
        <v>0</v>
      </c>
      <c r="E18" s="1">
        <v>450.28</v>
      </c>
      <c r="F18" s="1">
        <v>42.87</v>
      </c>
      <c r="G18" s="1">
        <v>291.05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2</v>
      </c>
    </row>
    <row r="20" spans="1:7" x14ac:dyDescent="0.3">
      <c r="A20" s="1" t="s">
        <v>24</v>
      </c>
      <c r="B20" s="1">
        <v>1.1000000000000001</v>
      </c>
      <c r="C20" s="1">
        <v>0</v>
      </c>
      <c r="D20" s="1">
        <v>0</v>
      </c>
      <c r="E20" s="1">
        <v>1.8</v>
      </c>
      <c r="F20" s="1">
        <v>0</v>
      </c>
      <c r="G20" s="1">
        <v>3.2</v>
      </c>
    </row>
    <row r="21" spans="1:7" x14ac:dyDescent="0.3">
      <c r="A21" s="1" t="s">
        <v>25</v>
      </c>
      <c r="B21" s="1">
        <v>9</v>
      </c>
      <c r="C21" s="1">
        <v>10</v>
      </c>
      <c r="D21" s="1">
        <v>10</v>
      </c>
      <c r="E21" s="1">
        <v>8.1999999999999993</v>
      </c>
      <c r="F21" s="1">
        <v>10</v>
      </c>
      <c r="G21" s="1">
        <v>6.7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1.9</v>
      </c>
      <c r="C24" s="1">
        <v>0</v>
      </c>
      <c r="D24" s="1">
        <v>0</v>
      </c>
      <c r="E24" s="1">
        <v>1.7</v>
      </c>
      <c r="F24" s="1">
        <v>0</v>
      </c>
      <c r="G24" s="1">
        <v>2.8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2.8</v>
      </c>
    </row>
    <row r="26" spans="1:7" x14ac:dyDescent="0.3">
      <c r="A26" s="1" t="s">
        <v>30</v>
      </c>
      <c r="B26" s="1">
        <v>8.1999999999999993</v>
      </c>
      <c r="C26" s="1">
        <v>10</v>
      </c>
      <c r="D26" s="1">
        <v>10</v>
      </c>
      <c r="E26" s="1">
        <v>8.3000000000000007</v>
      </c>
      <c r="F26" s="1">
        <v>10</v>
      </c>
      <c r="G26" s="1">
        <v>4.3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18.811881188118811</v>
      </c>
      <c r="C29" s="3">
        <f t="shared" ref="C29:G29" si="1">C24/C28*100</f>
        <v>0</v>
      </c>
      <c r="D29" s="3">
        <f t="shared" si="1"/>
        <v>0</v>
      </c>
      <c r="E29" s="3">
        <f t="shared" si="1"/>
        <v>17</v>
      </c>
      <c r="F29" s="3">
        <f t="shared" si="1"/>
        <v>0</v>
      </c>
      <c r="G29" s="3">
        <f t="shared" si="1"/>
        <v>28.282828282828287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28.282828282828287</v>
      </c>
    </row>
    <row r="31" spans="1:7" x14ac:dyDescent="0.3">
      <c r="A31" s="3" t="s">
        <v>34</v>
      </c>
      <c r="B31" s="3">
        <f>B26/B28*100</f>
        <v>81.188118811881182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83</v>
      </c>
      <c r="F31" s="3">
        <f t="shared" si="3"/>
        <v>100</v>
      </c>
      <c r="G31" s="3">
        <f t="shared" si="3"/>
        <v>43.43434343434344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103.61</v>
      </c>
      <c r="C33" s="3">
        <v>339.45</v>
      </c>
      <c r="D33" s="3">
        <v>355.68</v>
      </c>
      <c r="E33" s="3">
        <v>46.03</v>
      </c>
      <c r="F33" s="3">
        <v>180.28</v>
      </c>
      <c r="G33" s="3">
        <v>43.97</v>
      </c>
    </row>
    <row r="35" spans="1:7" x14ac:dyDescent="0.3">
      <c r="A35" s="3" t="s">
        <v>36</v>
      </c>
      <c r="B35" s="3"/>
      <c r="C35" s="3"/>
      <c r="D35" s="3">
        <f>D33-C33</f>
        <v>16.230000000000018</v>
      </c>
      <c r="E35" s="3"/>
      <c r="F35" s="3">
        <f>F33-E33</f>
        <v>134.25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-309.64999999999998</v>
      </c>
      <c r="F37" s="3"/>
      <c r="G37" s="3">
        <f>G33-F33</f>
        <v>-136.31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7EE3-5AD5-4FA1-AF3A-1EC7FA99070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466.63</v>
      </c>
      <c r="C2" s="1">
        <v>507.9</v>
      </c>
      <c r="D2" s="1">
        <v>551.45000000000005</v>
      </c>
      <c r="E2" s="1">
        <v>563.28</v>
      </c>
      <c r="F2" s="1">
        <v>550.6</v>
      </c>
      <c r="G2" s="1">
        <v>511.22</v>
      </c>
    </row>
    <row r="3" spans="1:7" x14ac:dyDescent="0.3">
      <c r="A3" s="1" t="s">
        <v>7</v>
      </c>
      <c r="B3" s="1">
        <v>47.59</v>
      </c>
      <c r="C3" s="1">
        <v>48.81</v>
      </c>
      <c r="D3" s="1">
        <v>53.73</v>
      </c>
      <c r="E3" s="1">
        <v>60.55</v>
      </c>
      <c r="F3" s="1">
        <v>62.07</v>
      </c>
      <c r="G3" s="1">
        <v>53.7</v>
      </c>
    </row>
    <row r="4" spans="1:7" x14ac:dyDescent="0.3">
      <c r="A4" s="1" t="s">
        <v>8</v>
      </c>
      <c r="B4" s="1">
        <v>22573.48</v>
      </c>
      <c r="C4" s="1">
        <v>25301.279999999999</v>
      </c>
      <c r="D4" s="1">
        <v>30121.83</v>
      </c>
      <c r="E4" s="1">
        <v>34698.36</v>
      </c>
      <c r="F4" s="1">
        <v>34753.120000000003</v>
      </c>
      <c r="G4" s="1">
        <v>27883.11</v>
      </c>
    </row>
    <row r="5" spans="1:7" x14ac:dyDescent="0.3">
      <c r="A5" s="1" t="s">
        <v>9</v>
      </c>
      <c r="B5" s="1">
        <v>1475.35</v>
      </c>
      <c r="C5" s="1">
        <v>2737.69</v>
      </c>
      <c r="D5" s="1">
        <v>2782.68</v>
      </c>
      <c r="E5" s="1">
        <v>1193.43</v>
      </c>
      <c r="F5" s="1">
        <v>1094.9000000000001</v>
      </c>
      <c r="G5" s="1">
        <v>1738.38</v>
      </c>
    </row>
    <row r="6" spans="1:7" x14ac:dyDescent="0.3">
      <c r="A6" s="3" t="s">
        <v>10</v>
      </c>
      <c r="B6" s="3">
        <v>147.54</v>
      </c>
      <c r="C6" s="3">
        <v>276.52999999999997</v>
      </c>
      <c r="D6" s="3">
        <v>281.08</v>
      </c>
      <c r="E6" s="3">
        <v>120.55</v>
      </c>
      <c r="F6" s="3">
        <v>110.6</v>
      </c>
      <c r="G6" s="3">
        <v>177.39</v>
      </c>
    </row>
    <row r="7" spans="1:7" x14ac:dyDescent="0.3">
      <c r="A7" s="1" t="s">
        <v>11</v>
      </c>
      <c r="B7" s="1">
        <v>1165.7</v>
      </c>
      <c r="C7" s="1">
        <v>2397.6999999999998</v>
      </c>
      <c r="D7" s="1">
        <v>2551.9</v>
      </c>
      <c r="E7" s="1">
        <v>1086.21</v>
      </c>
      <c r="F7" s="1">
        <v>1056.4000000000001</v>
      </c>
      <c r="G7" s="1">
        <v>1627.82</v>
      </c>
    </row>
    <row r="8" spans="1:7" x14ac:dyDescent="0.3">
      <c r="A8" s="1" t="s">
        <v>12</v>
      </c>
      <c r="B8" s="1">
        <v>116.57</v>
      </c>
      <c r="C8" s="1">
        <v>242.19</v>
      </c>
      <c r="D8" s="1">
        <v>257.77</v>
      </c>
      <c r="E8" s="1">
        <v>109.72</v>
      </c>
      <c r="F8" s="1">
        <v>106.71</v>
      </c>
      <c r="G8" s="1">
        <v>166.1</v>
      </c>
    </row>
    <row r="9" spans="1:7" x14ac:dyDescent="0.3">
      <c r="A9" s="1" t="s">
        <v>13</v>
      </c>
      <c r="B9" s="1">
        <v>468.51</v>
      </c>
      <c r="C9" s="1">
        <v>2392.61</v>
      </c>
      <c r="D9" s="1">
        <v>2551.9</v>
      </c>
      <c r="E9" s="1">
        <v>679.86</v>
      </c>
      <c r="F9" s="1">
        <v>667.92</v>
      </c>
      <c r="G9" s="1">
        <v>1627.82</v>
      </c>
    </row>
    <row r="10" spans="1:7" x14ac:dyDescent="0.3">
      <c r="A10" s="1" t="s">
        <v>14</v>
      </c>
      <c r="B10" s="1">
        <v>46.85</v>
      </c>
      <c r="C10" s="1">
        <v>241.68</v>
      </c>
      <c r="D10" s="1">
        <v>257.77</v>
      </c>
      <c r="E10" s="1">
        <v>68.67</v>
      </c>
      <c r="F10" s="1">
        <v>67.47</v>
      </c>
      <c r="G10" s="1">
        <v>166.1</v>
      </c>
    </row>
    <row r="11" spans="1:7" x14ac:dyDescent="0.3">
      <c r="A11" s="1" t="s">
        <v>15</v>
      </c>
      <c r="B11" s="1">
        <v>83.6</v>
      </c>
      <c r="C11" s="1">
        <v>2197.9699999999998</v>
      </c>
      <c r="D11" s="1">
        <v>2567.75</v>
      </c>
      <c r="E11" s="1">
        <v>468.12</v>
      </c>
      <c r="F11" s="1">
        <v>356.12</v>
      </c>
      <c r="G11" s="1">
        <v>1273.8399999999999</v>
      </c>
    </row>
    <row r="12" spans="1:7" x14ac:dyDescent="0.3">
      <c r="A12" s="1" t="s">
        <v>16</v>
      </c>
      <c r="B12" s="1">
        <v>204.96</v>
      </c>
      <c r="C12" s="1">
        <v>260.41000000000003</v>
      </c>
      <c r="D12" s="1">
        <v>277.99</v>
      </c>
      <c r="E12" s="1">
        <v>231.13</v>
      </c>
      <c r="F12" s="1">
        <v>236.81</v>
      </c>
      <c r="G12" s="1">
        <v>245.95</v>
      </c>
    </row>
    <row r="13" spans="1:7" x14ac:dyDescent="0.3">
      <c r="A13" s="1" t="s">
        <v>17</v>
      </c>
      <c r="B13" s="1">
        <v>46.97</v>
      </c>
      <c r="C13" s="1">
        <v>36.979999999999997</v>
      </c>
      <c r="D13" s="1">
        <v>27.82</v>
      </c>
      <c r="E13" s="1">
        <v>54.88</v>
      </c>
      <c r="F13" s="1">
        <v>25.47</v>
      </c>
      <c r="G13" s="1">
        <v>34.68</v>
      </c>
    </row>
    <row r="14" spans="1:7" x14ac:dyDescent="0.3">
      <c r="A14" s="1" t="s">
        <v>18</v>
      </c>
      <c r="B14" s="1">
        <v>94.19</v>
      </c>
      <c r="C14" s="1">
        <v>83.76</v>
      </c>
      <c r="D14" s="1">
        <v>66.14</v>
      </c>
      <c r="E14" s="1">
        <v>113.41</v>
      </c>
      <c r="F14" s="1">
        <v>97.2</v>
      </c>
      <c r="G14" s="1">
        <v>95.34</v>
      </c>
    </row>
    <row r="15" spans="1:7" x14ac:dyDescent="0.3">
      <c r="A15" s="1" t="s">
        <v>19</v>
      </c>
      <c r="B15" s="1">
        <v>8</v>
      </c>
      <c r="C15" s="1">
        <v>9</v>
      </c>
      <c r="D15" s="1">
        <v>3</v>
      </c>
      <c r="E15" s="1">
        <v>4</v>
      </c>
      <c r="F15" s="1">
        <v>5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817.1</v>
      </c>
      <c r="C17" s="1">
        <v>2395.15</v>
      </c>
      <c r="D17" s="1">
        <v>2551.9</v>
      </c>
      <c r="E17" s="1">
        <v>883.04</v>
      </c>
      <c r="F17" s="1">
        <v>862.16</v>
      </c>
      <c r="G17" s="1">
        <v>1627.82</v>
      </c>
    </row>
    <row r="18" spans="1:7" x14ac:dyDescent="0.3">
      <c r="A18" s="1" t="s">
        <v>22</v>
      </c>
      <c r="B18" s="1">
        <v>348.6</v>
      </c>
      <c r="C18" s="1">
        <v>2.5499999999999998</v>
      </c>
      <c r="D18" s="1">
        <v>0</v>
      </c>
      <c r="E18" s="1">
        <v>203.18</v>
      </c>
      <c r="F18" s="1">
        <v>194.24</v>
      </c>
      <c r="G18" s="1">
        <v>0</v>
      </c>
    </row>
    <row r="19" spans="1:7" x14ac:dyDescent="0.3">
      <c r="A19" s="1" t="s">
        <v>23</v>
      </c>
      <c r="B19" s="1">
        <v>2</v>
      </c>
      <c r="C19" s="1">
        <v>0</v>
      </c>
      <c r="D19" s="1">
        <v>0</v>
      </c>
      <c r="E19" s="1">
        <v>2</v>
      </c>
      <c r="F19" s="1">
        <v>2</v>
      </c>
      <c r="G19" s="1">
        <v>0</v>
      </c>
    </row>
    <row r="20" spans="1:7" x14ac:dyDescent="0.3">
      <c r="A20" s="1" t="s">
        <v>24</v>
      </c>
      <c r="B20" s="1">
        <v>2.4</v>
      </c>
      <c r="C20" s="1">
        <v>0</v>
      </c>
      <c r="D20" s="1">
        <v>0</v>
      </c>
      <c r="E20" s="1">
        <v>2.5</v>
      </c>
      <c r="F20" s="1">
        <v>3.3</v>
      </c>
      <c r="G20" s="1">
        <v>0</v>
      </c>
    </row>
    <row r="21" spans="1:7" x14ac:dyDescent="0.3">
      <c r="A21" s="1" t="s">
        <v>25</v>
      </c>
      <c r="B21" s="1">
        <v>7.7</v>
      </c>
      <c r="C21" s="1">
        <v>10</v>
      </c>
      <c r="D21" s="1">
        <v>10</v>
      </c>
      <c r="E21" s="1">
        <v>7.5</v>
      </c>
      <c r="F21" s="1">
        <v>6.7</v>
      </c>
      <c r="G21" s="1">
        <v>9.9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1.6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1.1000000000000001</v>
      </c>
      <c r="C24" s="1">
        <v>0</v>
      </c>
      <c r="D24" s="1">
        <v>0</v>
      </c>
      <c r="E24" s="1">
        <v>3.6</v>
      </c>
      <c r="F24" s="1">
        <v>1.8</v>
      </c>
      <c r="G24" s="1">
        <v>0</v>
      </c>
    </row>
    <row r="25" spans="1:7" x14ac:dyDescent="0.3">
      <c r="A25" s="1" t="s">
        <v>29</v>
      </c>
      <c r="B25" s="1">
        <v>4.5</v>
      </c>
      <c r="C25" s="1">
        <v>0</v>
      </c>
      <c r="D25" s="1">
        <v>0</v>
      </c>
      <c r="E25" s="1">
        <v>0</v>
      </c>
      <c r="F25" s="1">
        <v>1.7</v>
      </c>
      <c r="G25" s="1">
        <v>0</v>
      </c>
    </row>
    <row r="26" spans="1:7" x14ac:dyDescent="0.3">
      <c r="A26" s="1" t="s">
        <v>30</v>
      </c>
      <c r="B26" s="1">
        <v>4.5</v>
      </c>
      <c r="C26" s="1">
        <v>10</v>
      </c>
      <c r="D26" s="1">
        <v>10</v>
      </c>
      <c r="E26" s="1">
        <v>6.4</v>
      </c>
      <c r="F26" s="1">
        <v>6.5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10.891089108910892</v>
      </c>
      <c r="C29" s="3">
        <f t="shared" ref="C29:G29" si="1">C24/C28*100</f>
        <v>0</v>
      </c>
      <c r="D29" s="3">
        <f t="shared" si="1"/>
        <v>0</v>
      </c>
      <c r="E29" s="3">
        <f t="shared" si="1"/>
        <v>36</v>
      </c>
      <c r="F29" s="3">
        <f t="shared" si="1"/>
        <v>18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44.554455445544555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17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44.554455445544555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64</v>
      </c>
      <c r="F31" s="3">
        <f t="shared" si="3"/>
        <v>65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63.25</v>
      </c>
      <c r="C33" s="3">
        <v>266.47000000000003</v>
      </c>
      <c r="D33" s="3">
        <v>280.39</v>
      </c>
      <c r="E33" s="3">
        <v>66.739999999999995</v>
      </c>
      <c r="F33" s="3">
        <v>38.630000000000003</v>
      </c>
      <c r="G33" s="3">
        <v>173</v>
      </c>
    </row>
    <row r="35" spans="1:7" x14ac:dyDescent="0.3">
      <c r="A35" s="3" t="s">
        <v>36</v>
      </c>
      <c r="B35" s="3"/>
      <c r="C35" s="3"/>
      <c r="D35" s="3">
        <f>D33-C33</f>
        <v>13.919999999999959</v>
      </c>
      <c r="E35" s="3"/>
      <c r="F35" s="3">
        <f>F33-E33</f>
        <v>-28.109999999999992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-213.64999999999998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3F13-E560-4B5C-B7AC-8E516E62E664}">
  <dimension ref="A1:G37"/>
  <sheetViews>
    <sheetView zoomScale="70" zoomScaleNormal="70" workbookViewId="0">
      <selection activeCell="M19" sqref="M1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349.15</v>
      </c>
      <c r="C2" s="1">
        <v>432.35</v>
      </c>
      <c r="D2" s="1">
        <v>482.65</v>
      </c>
      <c r="E2" s="1">
        <v>375.05</v>
      </c>
      <c r="F2" s="1">
        <v>331.22</v>
      </c>
      <c r="G2" s="1">
        <v>377.94</v>
      </c>
    </row>
    <row r="3" spans="1:7" x14ac:dyDescent="0.3">
      <c r="A3" s="1" t="s">
        <v>7</v>
      </c>
      <c r="B3" s="1">
        <v>41.03</v>
      </c>
      <c r="C3" s="1">
        <v>38.35</v>
      </c>
      <c r="D3" s="1">
        <v>39.43</v>
      </c>
      <c r="E3" s="1">
        <v>37.65</v>
      </c>
      <c r="F3" s="1">
        <v>39.57</v>
      </c>
      <c r="G3" s="1">
        <v>38.85</v>
      </c>
    </row>
    <row r="4" spans="1:7" x14ac:dyDescent="0.3">
      <c r="A4" s="1" t="s">
        <v>8</v>
      </c>
      <c r="B4" s="1">
        <v>14483.88</v>
      </c>
      <c r="C4" s="1">
        <v>17062.650000000001</v>
      </c>
      <c r="D4" s="1">
        <v>19364.78</v>
      </c>
      <c r="E4" s="1">
        <v>14660.77</v>
      </c>
      <c r="F4" s="1">
        <v>13336.61</v>
      </c>
      <c r="G4" s="1">
        <v>14911.77</v>
      </c>
    </row>
    <row r="5" spans="1:7" x14ac:dyDescent="0.3">
      <c r="A5" s="1" t="s">
        <v>9</v>
      </c>
      <c r="B5" s="1">
        <v>1043.4000000000001</v>
      </c>
      <c r="C5" s="1">
        <v>2641.87</v>
      </c>
      <c r="D5" s="1">
        <v>2848.21</v>
      </c>
      <c r="E5" s="1">
        <v>1456.82</v>
      </c>
      <c r="F5" s="1">
        <v>867.48</v>
      </c>
      <c r="G5" s="1">
        <v>1223.29</v>
      </c>
    </row>
    <row r="6" spans="1:7" x14ac:dyDescent="0.3">
      <c r="A6" s="3" t="s">
        <v>10</v>
      </c>
      <c r="B6" s="3">
        <v>104.34</v>
      </c>
      <c r="C6" s="3">
        <v>266.86</v>
      </c>
      <c r="D6" s="3">
        <v>287.7</v>
      </c>
      <c r="E6" s="3">
        <v>147.15</v>
      </c>
      <c r="F6" s="3">
        <v>87.62</v>
      </c>
      <c r="G6" s="3">
        <v>124.83</v>
      </c>
    </row>
    <row r="7" spans="1:7" x14ac:dyDescent="0.3">
      <c r="A7" s="1" t="s">
        <v>11</v>
      </c>
      <c r="B7" s="1">
        <v>887.21</v>
      </c>
      <c r="C7" s="1">
        <v>2460.5</v>
      </c>
      <c r="D7" s="1">
        <v>2651.14</v>
      </c>
      <c r="E7" s="1">
        <v>1259.07</v>
      </c>
      <c r="F7" s="1">
        <v>742.99</v>
      </c>
      <c r="G7" s="1">
        <v>1110.3399999999999</v>
      </c>
    </row>
    <row r="8" spans="1:7" x14ac:dyDescent="0.3">
      <c r="A8" s="1" t="s">
        <v>12</v>
      </c>
      <c r="B8" s="1">
        <v>88.72</v>
      </c>
      <c r="C8" s="1">
        <v>248.54</v>
      </c>
      <c r="D8" s="1">
        <v>267.79000000000002</v>
      </c>
      <c r="E8" s="1">
        <v>127.18</v>
      </c>
      <c r="F8" s="1">
        <v>75.05</v>
      </c>
      <c r="G8" s="1">
        <v>113.3</v>
      </c>
    </row>
    <row r="9" spans="1:7" x14ac:dyDescent="0.3">
      <c r="A9" s="1" t="s">
        <v>13</v>
      </c>
      <c r="B9" s="1">
        <v>262.33</v>
      </c>
      <c r="C9" s="1">
        <v>2457.13</v>
      </c>
      <c r="D9" s="1">
        <v>2651.14</v>
      </c>
      <c r="E9" s="1">
        <v>1015.1</v>
      </c>
      <c r="F9" s="1">
        <v>408.63</v>
      </c>
      <c r="G9" s="1">
        <v>624.44000000000005</v>
      </c>
    </row>
    <row r="10" spans="1:7" x14ac:dyDescent="0.3">
      <c r="A10" s="1" t="s">
        <v>14</v>
      </c>
      <c r="B10" s="1">
        <v>26.23</v>
      </c>
      <c r="C10" s="1">
        <v>248.2</v>
      </c>
      <c r="D10" s="1">
        <v>267.79000000000002</v>
      </c>
      <c r="E10" s="1">
        <v>102.54</v>
      </c>
      <c r="F10" s="1">
        <v>41.28</v>
      </c>
      <c r="G10" s="1">
        <v>63.72</v>
      </c>
    </row>
    <row r="11" spans="1:7" x14ac:dyDescent="0.3">
      <c r="A11" s="1" t="s">
        <v>15</v>
      </c>
      <c r="B11" s="1">
        <v>127.94</v>
      </c>
      <c r="C11" s="1">
        <v>2168.09</v>
      </c>
      <c r="D11" s="1">
        <v>2628.65</v>
      </c>
      <c r="E11" s="1">
        <v>775.08</v>
      </c>
      <c r="F11" s="1">
        <v>190.53</v>
      </c>
      <c r="G11" s="1">
        <v>237.47</v>
      </c>
    </row>
    <row r="12" spans="1:7" x14ac:dyDescent="0.3">
      <c r="A12" s="1" t="s">
        <v>16</v>
      </c>
      <c r="B12" s="1">
        <v>156.88999999999999</v>
      </c>
      <c r="C12" s="1">
        <v>239.37</v>
      </c>
      <c r="D12" s="1">
        <v>278.7</v>
      </c>
      <c r="E12" s="1">
        <v>181.69</v>
      </c>
      <c r="F12" s="1">
        <v>178.42</v>
      </c>
      <c r="G12" s="1">
        <v>197.16</v>
      </c>
    </row>
    <row r="13" spans="1:7" x14ac:dyDescent="0.3">
      <c r="A13" s="1" t="s">
        <v>17</v>
      </c>
      <c r="B13" s="1">
        <v>48.3</v>
      </c>
      <c r="C13" s="1">
        <v>29.6</v>
      </c>
      <c r="D13" s="1">
        <v>27.86</v>
      </c>
      <c r="E13" s="1">
        <v>34.659999999999997</v>
      </c>
      <c r="F13" s="1">
        <v>13.21</v>
      </c>
      <c r="G13" s="1">
        <v>31.71</v>
      </c>
    </row>
    <row r="14" spans="1:7" x14ac:dyDescent="0.3">
      <c r="A14" s="1" t="s">
        <v>18</v>
      </c>
      <c r="B14" s="1">
        <v>85.82</v>
      </c>
      <c r="C14" s="1">
        <v>68.260000000000005</v>
      </c>
      <c r="D14" s="1">
        <v>54.68</v>
      </c>
      <c r="E14" s="1">
        <v>92.17</v>
      </c>
      <c r="F14" s="1">
        <v>49.68</v>
      </c>
      <c r="G14" s="1">
        <v>76.3</v>
      </c>
    </row>
    <row r="15" spans="1:7" x14ac:dyDescent="0.3">
      <c r="A15" s="1" t="s">
        <v>19</v>
      </c>
      <c r="B15" s="1">
        <v>6</v>
      </c>
      <c r="C15" s="1">
        <v>8</v>
      </c>
      <c r="D15" s="1">
        <v>7</v>
      </c>
      <c r="E15" s="1">
        <v>7</v>
      </c>
      <c r="F15" s="1">
        <v>4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574.77</v>
      </c>
      <c r="C17" s="1">
        <v>2458.8200000000002</v>
      </c>
      <c r="D17" s="1">
        <v>2651.14</v>
      </c>
      <c r="E17" s="1">
        <v>1137.0899999999999</v>
      </c>
      <c r="F17" s="1">
        <v>575.80999999999995</v>
      </c>
      <c r="G17" s="1">
        <v>867.39</v>
      </c>
    </row>
    <row r="18" spans="1:7" x14ac:dyDescent="0.3">
      <c r="A18" s="1" t="s">
        <v>22</v>
      </c>
      <c r="B18" s="1">
        <v>312.44</v>
      </c>
      <c r="C18" s="1">
        <v>1.69</v>
      </c>
      <c r="D18" s="1">
        <v>0</v>
      </c>
      <c r="E18" s="1">
        <v>121.98</v>
      </c>
      <c r="F18" s="1">
        <v>167.18</v>
      </c>
      <c r="G18" s="1">
        <v>242.95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3">
      <c r="A20" s="1" t="s">
        <v>24</v>
      </c>
      <c r="B20" s="1">
        <v>2.5</v>
      </c>
      <c r="C20" s="1">
        <v>0</v>
      </c>
      <c r="D20" s="1">
        <v>0</v>
      </c>
      <c r="E20" s="1">
        <v>0</v>
      </c>
      <c r="F20" s="1">
        <v>2.2999999999999998</v>
      </c>
      <c r="G20" s="1">
        <v>1.7</v>
      </c>
    </row>
    <row r="21" spans="1:7" x14ac:dyDescent="0.3">
      <c r="A21" s="1" t="s">
        <v>25</v>
      </c>
      <c r="B21" s="1">
        <v>7.6</v>
      </c>
      <c r="C21" s="1">
        <v>10</v>
      </c>
      <c r="D21" s="1">
        <v>10</v>
      </c>
      <c r="E21" s="1">
        <v>10</v>
      </c>
      <c r="F21" s="1">
        <v>7.7</v>
      </c>
      <c r="G21" s="1">
        <v>8.1999999999999993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2.4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2.7</v>
      </c>
      <c r="C24" s="1">
        <v>0</v>
      </c>
      <c r="D24" s="1">
        <v>0</v>
      </c>
      <c r="E24" s="1">
        <v>0</v>
      </c>
      <c r="F24" s="1">
        <v>2.5</v>
      </c>
      <c r="G24" s="1">
        <v>2</v>
      </c>
    </row>
    <row r="25" spans="1:7" x14ac:dyDescent="0.3">
      <c r="A25" s="1" t="s">
        <v>29</v>
      </c>
      <c r="B25" s="1">
        <v>4.5999999999999996</v>
      </c>
      <c r="C25" s="1">
        <v>0</v>
      </c>
      <c r="D25" s="1">
        <v>0</v>
      </c>
      <c r="E25" s="1">
        <v>2.5</v>
      </c>
      <c r="F25" s="1">
        <v>2.8</v>
      </c>
      <c r="G25" s="1">
        <v>1.3</v>
      </c>
    </row>
    <row r="26" spans="1:7" x14ac:dyDescent="0.3">
      <c r="A26" s="1" t="s">
        <v>30</v>
      </c>
      <c r="B26" s="1">
        <v>2.8</v>
      </c>
      <c r="C26" s="1">
        <v>10</v>
      </c>
      <c r="D26" s="1">
        <v>10</v>
      </c>
      <c r="E26" s="1">
        <v>7.5</v>
      </c>
      <c r="F26" s="1">
        <v>4.7</v>
      </c>
      <c r="G26" s="1">
        <v>6.6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26.732673267326735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25</v>
      </c>
      <c r="G29" s="3">
        <f t="shared" si="1"/>
        <v>20.202020202020204</v>
      </c>
    </row>
    <row r="30" spans="1:7" x14ac:dyDescent="0.3">
      <c r="A30" s="3" t="s">
        <v>33</v>
      </c>
      <c r="B30" s="3">
        <f>B25/B28*100</f>
        <v>45.544554455445542</v>
      </c>
      <c r="C30" s="3">
        <f t="shared" ref="C30:G30" si="2">C25/C28*100</f>
        <v>0</v>
      </c>
      <c r="D30" s="3">
        <f t="shared" si="2"/>
        <v>0</v>
      </c>
      <c r="E30" s="3">
        <f t="shared" si="2"/>
        <v>25</v>
      </c>
      <c r="F30" s="3">
        <f t="shared" si="2"/>
        <v>27.999999999999996</v>
      </c>
      <c r="G30" s="3">
        <f t="shared" si="2"/>
        <v>13.131313131313133</v>
      </c>
    </row>
    <row r="31" spans="1:7" x14ac:dyDescent="0.3">
      <c r="A31" s="3" t="s">
        <v>34</v>
      </c>
      <c r="B31" s="3">
        <f>B26/B28*100</f>
        <v>27.722772277227719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75</v>
      </c>
      <c r="F31" s="3">
        <f t="shared" si="3"/>
        <v>47</v>
      </c>
      <c r="G31" s="3">
        <f t="shared" si="3"/>
        <v>66.666666666666671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7.05</v>
      </c>
      <c r="C33" s="3">
        <v>256.33</v>
      </c>
      <c r="D33" s="3">
        <v>287.23</v>
      </c>
      <c r="E33" s="3">
        <v>121.58</v>
      </c>
      <c r="F33" s="3">
        <v>15.01</v>
      </c>
      <c r="G33" s="3">
        <v>66.08</v>
      </c>
    </row>
    <row r="35" spans="1:7" x14ac:dyDescent="0.3">
      <c r="A35" s="3" t="s">
        <v>36</v>
      </c>
      <c r="B35" s="3"/>
      <c r="C35" s="3"/>
      <c r="D35" s="3">
        <f>D33-C33</f>
        <v>30.900000000000034</v>
      </c>
      <c r="E35" s="3"/>
      <c r="F35" s="3">
        <f>F33-E33</f>
        <v>-106.57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-165.65000000000003</v>
      </c>
      <c r="F37" s="3"/>
      <c r="G37" s="3">
        <f>G33-F33</f>
        <v>51.07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255A-51A3-46BB-B704-A216C42A649A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457.7</v>
      </c>
      <c r="C2" s="1">
        <v>486.85</v>
      </c>
      <c r="D2" s="1">
        <v>442.25</v>
      </c>
      <c r="E2" s="1">
        <v>430.1</v>
      </c>
      <c r="F2" s="1">
        <v>424.5</v>
      </c>
      <c r="G2" s="1">
        <v>434.34</v>
      </c>
    </row>
    <row r="3" spans="1:7" x14ac:dyDescent="0.3">
      <c r="A3" s="1" t="s">
        <v>7</v>
      </c>
      <c r="B3" s="1">
        <v>41.34</v>
      </c>
      <c r="C3" s="1">
        <v>42.56</v>
      </c>
      <c r="D3" s="1">
        <v>41.09</v>
      </c>
      <c r="E3" s="1">
        <v>40.130000000000003</v>
      </c>
      <c r="F3" s="1">
        <v>40.18</v>
      </c>
      <c r="G3" s="1">
        <v>43.22</v>
      </c>
    </row>
    <row r="4" spans="1:7" x14ac:dyDescent="0.3">
      <c r="A4" s="1" t="s">
        <v>8</v>
      </c>
      <c r="B4" s="1">
        <v>19195.89</v>
      </c>
      <c r="C4" s="1">
        <v>21103.09</v>
      </c>
      <c r="D4" s="1">
        <v>18496.05</v>
      </c>
      <c r="E4" s="1">
        <v>17621.419999999998</v>
      </c>
      <c r="F4" s="1">
        <v>17351.97</v>
      </c>
      <c r="G4" s="1">
        <v>19115.75</v>
      </c>
    </row>
    <row r="5" spans="1:7" x14ac:dyDescent="0.3">
      <c r="A5" s="1" t="s">
        <v>9</v>
      </c>
      <c r="B5" s="1">
        <v>1956.58</v>
      </c>
      <c r="C5" s="1">
        <v>1937.8</v>
      </c>
      <c r="D5" s="1">
        <v>2569.0700000000002</v>
      </c>
      <c r="E5" s="1">
        <v>2110.4899999999998</v>
      </c>
      <c r="F5" s="1">
        <v>1260.8800000000001</v>
      </c>
      <c r="G5" s="1">
        <v>466.14</v>
      </c>
    </row>
    <row r="6" spans="1:7" x14ac:dyDescent="0.3">
      <c r="A6" s="3" t="s">
        <v>10</v>
      </c>
      <c r="B6" s="3">
        <v>195.66</v>
      </c>
      <c r="C6" s="3">
        <v>195.74</v>
      </c>
      <c r="D6" s="3">
        <v>259.5</v>
      </c>
      <c r="E6" s="3">
        <v>213.18</v>
      </c>
      <c r="F6" s="3">
        <v>127.36</v>
      </c>
      <c r="G6" s="3">
        <v>47.57</v>
      </c>
    </row>
    <row r="7" spans="1:7" x14ac:dyDescent="0.3">
      <c r="A7" s="1" t="s">
        <v>11</v>
      </c>
      <c r="B7" s="1">
        <v>1804.71</v>
      </c>
      <c r="C7" s="1">
        <v>1768.87</v>
      </c>
      <c r="D7" s="1">
        <v>2357.7399999999998</v>
      </c>
      <c r="E7" s="1">
        <v>1938.61</v>
      </c>
      <c r="F7" s="1">
        <v>1213.17</v>
      </c>
      <c r="G7" s="1">
        <v>443.94</v>
      </c>
    </row>
    <row r="8" spans="1:7" x14ac:dyDescent="0.3">
      <c r="A8" s="1" t="s">
        <v>12</v>
      </c>
      <c r="B8" s="1">
        <v>180.47</v>
      </c>
      <c r="C8" s="1">
        <v>178.67</v>
      </c>
      <c r="D8" s="1">
        <v>238.16</v>
      </c>
      <c r="E8" s="1">
        <v>195.82</v>
      </c>
      <c r="F8" s="1">
        <v>122.54</v>
      </c>
      <c r="G8" s="1">
        <v>45.3</v>
      </c>
    </row>
    <row r="9" spans="1:7" x14ac:dyDescent="0.3">
      <c r="A9" s="1" t="s">
        <v>13</v>
      </c>
      <c r="B9" s="1">
        <v>1750.93</v>
      </c>
      <c r="C9" s="1">
        <v>1702.08</v>
      </c>
      <c r="D9" s="1">
        <v>2357.7399999999998</v>
      </c>
      <c r="E9" s="1">
        <v>1938.61</v>
      </c>
      <c r="F9" s="1">
        <v>1167.27</v>
      </c>
      <c r="G9" s="1">
        <v>317.24</v>
      </c>
    </row>
    <row r="10" spans="1:7" x14ac:dyDescent="0.3">
      <c r="A10" s="1" t="s">
        <v>14</v>
      </c>
      <c r="B10" s="1">
        <v>175.09</v>
      </c>
      <c r="C10" s="1">
        <v>171.93</v>
      </c>
      <c r="D10" s="1">
        <v>238.16</v>
      </c>
      <c r="E10" s="1">
        <v>195.82</v>
      </c>
      <c r="F10" s="1">
        <v>117.91</v>
      </c>
      <c r="G10" s="1">
        <v>32.369999999999997</v>
      </c>
    </row>
    <row r="11" spans="1:7" x14ac:dyDescent="0.3">
      <c r="A11" s="1" t="s">
        <v>15</v>
      </c>
      <c r="B11" s="1">
        <v>1507.79</v>
      </c>
      <c r="C11" s="1">
        <v>1117.08</v>
      </c>
      <c r="D11" s="1">
        <v>2253.98</v>
      </c>
      <c r="E11" s="1">
        <v>1889.31</v>
      </c>
      <c r="F11" s="1">
        <v>1111.4100000000001</v>
      </c>
      <c r="G11" s="1">
        <v>297.52999999999997</v>
      </c>
    </row>
    <row r="12" spans="1:7" x14ac:dyDescent="0.3">
      <c r="A12" s="1" t="s">
        <v>16</v>
      </c>
      <c r="B12" s="1">
        <v>246.6</v>
      </c>
      <c r="C12" s="1">
        <v>266.29000000000002</v>
      </c>
      <c r="D12" s="1">
        <v>273.26</v>
      </c>
      <c r="E12" s="1">
        <v>256.77999999999997</v>
      </c>
      <c r="F12" s="1">
        <v>253.62</v>
      </c>
      <c r="G12" s="1">
        <v>210.18</v>
      </c>
    </row>
    <row r="13" spans="1:7" x14ac:dyDescent="0.3">
      <c r="A13" s="1" t="s">
        <v>17</v>
      </c>
      <c r="B13" s="1">
        <v>33.65</v>
      </c>
      <c r="C13" s="1">
        <v>46.63</v>
      </c>
      <c r="D13" s="1">
        <v>29.55</v>
      </c>
      <c r="E13" s="1">
        <v>28.52</v>
      </c>
      <c r="F13" s="1">
        <v>33.58</v>
      </c>
      <c r="G13" s="1">
        <v>37.44</v>
      </c>
    </row>
    <row r="14" spans="1:7" x14ac:dyDescent="0.3">
      <c r="A14" s="1" t="s">
        <v>18</v>
      </c>
      <c r="B14" s="1">
        <v>85.1</v>
      </c>
      <c r="C14" s="1">
        <v>96.85</v>
      </c>
      <c r="D14" s="1">
        <v>75.28</v>
      </c>
      <c r="E14" s="1">
        <v>63.16</v>
      </c>
      <c r="F14" s="1">
        <v>54.56</v>
      </c>
      <c r="G14" s="1">
        <v>82.69</v>
      </c>
    </row>
    <row r="15" spans="1:7" x14ac:dyDescent="0.3">
      <c r="A15" s="1" t="s">
        <v>19</v>
      </c>
      <c r="B15" s="1">
        <v>8</v>
      </c>
      <c r="C15" s="1">
        <v>7</v>
      </c>
      <c r="D15" s="1">
        <v>9</v>
      </c>
      <c r="E15" s="1">
        <v>7</v>
      </c>
      <c r="F15" s="1">
        <v>5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1777.82</v>
      </c>
      <c r="C17" s="1">
        <v>1735.47</v>
      </c>
      <c r="D17" s="1">
        <v>2357.7399999999998</v>
      </c>
      <c r="E17" s="1">
        <v>1938.61</v>
      </c>
      <c r="F17" s="1">
        <v>1190.22</v>
      </c>
      <c r="G17" s="1">
        <v>380.59</v>
      </c>
    </row>
    <row r="18" spans="1:7" x14ac:dyDescent="0.3">
      <c r="A18" s="1" t="s">
        <v>22</v>
      </c>
      <c r="B18" s="1">
        <v>26.89</v>
      </c>
      <c r="C18" s="1">
        <v>33.4</v>
      </c>
      <c r="D18" s="1">
        <v>0</v>
      </c>
      <c r="E18" s="1">
        <v>0</v>
      </c>
      <c r="F18" s="1">
        <v>22.95</v>
      </c>
      <c r="G18" s="1">
        <v>63.35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2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2.7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7.2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2.2999999999999998</v>
      </c>
      <c r="G25" s="1">
        <v>5.0999999999999996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7.7</v>
      </c>
      <c r="G26" s="1">
        <v>4.8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23</v>
      </c>
      <c r="G30" s="3">
        <f t="shared" si="2"/>
        <v>51.515151515151516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77</v>
      </c>
      <c r="G31" s="3">
        <f t="shared" si="3"/>
        <v>48.484848484848492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183.64</v>
      </c>
      <c r="C33" s="3">
        <v>184.47</v>
      </c>
      <c r="D33" s="3">
        <v>255.21</v>
      </c>
      <c r="E33" s="3">
        <v>209.47</v>
      </c>
      <c r="F33" s="3">
        <v>125.81</v>
      </c>
      <c r="G33" s="3">
        <v>34.39</v>
      </c>
    </row>
    <row r="35" spans="1:7" x14ac:dyDescent="0.3">
      <c r="A35" s="3" t="s">
        <v>36</v>
      </c>
      <c r="B35" s="3"/>
      <c r="C35" s="3"/>
      <c r="D35" s="3">
        <f>D33-C33</f>
        <v>70.740000000000009</v>
      </c>
      <c r="E35" s="3"/>
      <c r="F35" s="3">
        <f>F33-E33</f>
        <v>-83.66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-45.740000000000009</v>
      </c>
      <c r="F37" s="3"/>
      <c r="G37" s="3">
        <f>G33-F33</f>
        <v>-91.42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1452-FB9D-41C2-9845-532F9A92E82D}">
  <dimension ref="A1:G37"/>
  <sheetViews>
    <sheetView tabSelected="1" zoomScale="70" zoomScaleNormal="70" workbookViewId="0">
      <selection activeCell="L24" sqref="L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414.12</v>
      </c>
      <c r="C2" s="1">
        <v>467.9</v>
      </c>
      <c r="D2" s="1">
        <v>456.11</v>
      </c>
      <c r="E2" s="1">
        <v>437.14</v>
      </c>
      <c r="F2" s="1">
        <v>372.89</v>
      </c>
      <c r="G2" s="1">
        <v>407.65</v>
      </c>
    </row>
    <row r="3" spans="1:7" x14ac:dyDescent="0.3">
      <c r="A3" s="1" t="s">
        <v>7</v>
      </c>
      <c r="B3" s="1">
        <v>45.77</v>
      </c>
      <c r="C3" s="1">
        <v>46.43</v>
      </c>
      <c r="D3" s="1">
        <v>45.01</v>
      </c>
      <c r="E3" s="1">
        <v>43.96</v>
      </c>
      <c r="F3" s="1">
        <v>42.07</v>
      </c>
      <c r="G3" s="1">
        <v>41.9</v>
      </c>
    </row>
    <row r="4" spans="1:7" x14ac:dyDescent="0.3">
      <c r="A4" s="1" t="s">
        <v>8</v>
      </c>
      <c r="B4" s="1">
        <v>19311.669999999998</v>
      </c>
      <c r="C4" s="1">
        <v>22178.42</v>
      </c>
      <c r="D4" s="1">
        <v>21012.65</v>
      </c>
      <c r="E4" s="1">
        <v>19671.79</v>
      </c>
      <c r="F4" s="1">
        <v>16101.27</v>
      </c>
      <c r="G4" s="1">
        <v>17356.47</v>
      </c>
    </row>
    <row r="5" spans="1:7" x14ac:dyDescent="0.3">
      <c r="A5" s="1" t="s">
        <v>9</v>
      </c>
      <c r="B5" s="1">
        <v>2842.11</v>
      </c>
      <c r="C5" s="1">
        <v>2502.48</v>
      </c>
      <c r="D5" s="1">
        <v>2665.11</v>
      </c>
      <c r="E5" s="1">
        <v>2592.88</v>
      </c>
      <c r="F5" s="1">
        <v>2343.63</v>
      </c>
      <c r="G5" s="1">
        <v>2336.4699999999998</v>
      </c>
    </row>
    <row r="6" spans="1:7" x14ac:dyDescent="0.3">
      <c r="A6" s="3" t="s">
        <v>10</v>
      </c>
      <c r="B6" s="3">
        <v>284.20999999999998</v>
      </c>
      <c r="C6" s="3">
        <v>252.78</v>
      </c>
      <c r="D6" s="3">
        <v>269.2</v>
      </c>
      <c r="E6" s="3">
        <v>261.91000000000003</v>
      </c>
      <c r="F6" s="3">
        <v>236.73</v>
      </c>
      <c r="G6" s="3">
        <v>238.42</v>
      </c>
    </row>
    <row r="7" spans="1:7" x14ac:dyDescent="0.3">
      <c r="A7" s="1" t="s">
        <v>11</v>
      </c>
      <c r="B7" s="1">
        <v>2490.62</v>
      </c>
      <c r="C7" s="1">
        <v>2301.5100000000002</v>
      </c>
      <c r="D7" s="1">
        <v>2479.37</v>
      </c>
      <c r="E7" s="1">
        <v>2436.9899999999998</v>
      </c>
      <c r="F7" s="1">
        <v>2214.16</v>
      </c>
      <c r="G7" s="1">
        <v>2163.77</v>
      </c>
    </row>
    <row r="8" spans="1:7" x14ac:dyDescent="0.3">
      <c r="A8" s="1" t="s">
        <v>12</v>
      </c>
      <c r="B8" s="1">
        <v>249.06</v>
      </c>
      <c r="C8" s="1">
        <v>232.48</v>
      </c>
      <c r="D8" s="1">
        <v>250.44</v>
      </c>
      <c r="E8" s="1">
        <v>246.16</v>
      </c>
      <c r="F8" s="1">
        <v>223.65</v>
      </c>
      <c r="G8" s="1">
        <v>220.79</v>
      </c>
    </row>
    <row r="9" spans="1:7" x14ac:dyDescent="0.3">
      <c r="A9" s="1" t="s">
        <v>13</v>
      </c>
      <c r="B9" s="1">
        <v>2490.62</v>
      </c>
      <c r="C9" s="1">
        <v>2301.5100000000002</v>
      </c>
      <c r="D9" s="1">
        <v>2479.37</v>
      </c>
      <c r="E9" s="1">
        <v>2436.9899999999998</v>
      </c>
      <c r="F9" s="1">
        <v>2206.1999999999998</v>
      </c>
      <c r="G9" s="1">
        <v>2163.77</v>
      </c>
    </row>
    <row r="10" spans="1:7" x14ac:dyDescent="0.3">
      <c r="A10" s="1" t="s">
        <v>14</v>
      </c>
      <c r="B10" s="1">
        <v>249.06</v>
      </c>
      <c r="C10" s="1">
        <v>232.48</v>
      </c>
      <c r="D10" s="1">
        <v>250.44</v>
      </c>
      <c r="E10" s="1">
        <v>246.16</v>
      </c>
      <c r="F10" s="1">
        <v>222.85</v>
      </c>
      <c r="G10" s="1">
        <v>220.79</v>
      </c>
    </row>
    <row r="11" spans="1:7" x14ac:dyDescent="0.3">
      <c r="A11" s="1" t="s">
        <v>15</v>
      </c>
      <c r="B11" s="1">
        <v>2355.1799999999998</v>
      </c>
      <c r="C11" s="1">
        <v>1882.44</v>
      </c>
      <c r="D11" s="1">
        <v>2210.2399999999998</v>
      </c>
      <c r="E11" s="1">
        <v>1831.67</v>
      </c>
      <c r="F11" s="1">
        <v>1973.16</v>
      </c>
      <c r="G11" s="1">
        <v>2098.73</v>
      </c>
    </row>
    <row r="12" spans="1:7" x14ac:dyDescent="0.3">
      <c r="A12" s="1" t="s">
        <v>16</v>
      </c>
      <c r="B12" s="1">
        <v>236.52</v>
      </c>
      <c r="C12" s="1">
        <v>266.29000000000002</v>
      </c>
      <c r="D12" s="1">
        <v>242.29</v>
      </c>
      <c r="E12" s="1">
        <v>239.09</v>
      </c>
      <c r="F12" s="1">
        <v>207.53</v>
      </c>
      <c r="G12" s="1">
        <v>226.64</v>
      </c>
    </row>
    <row r="13" spans="1:7" x14ac:dyDescent="0.3">
      <c r="A13" s="1" t="s">
        <v>17</v>
      </c>
      <c r="B13" s="1">
        <v>32.770000000000003</v>
      </c>
      <c r="C13" s="1">
        <v>26.08</v>
      </c>
      <c r="D13" s="1">
        <v>22.46</v>
      </c>
      <c r="E13" s="1">
        <v>19.68</v>
      </c>
      <c r="F13" s="1">
        <v>22.56</v>
      </c>
      <c r="G13" s="1">
        <v>23.99</v>
      </c>
    </row>
    <row r="14" spans="1:7" x14ac:dyDescent="0.3">
      <c r="A14" s="1" t="s">
        <v>18</v>
      </c>
      <c r="B14" s="1">
        <v>68.650000000000006</v>
      </c>
      <c r="C14" s="1">
        <v>77.23</v>
      </c>
      <c r="D14" s="1">
        <v>56.65</v>
      </c>
      <c r="E14" s="1">
        <v>50.62</v>
      </c>
      <c r="F14" s="1">
        <v>52.14</v>
      </c>
      <c r="G14" s="1">
        <v>63.11</v>
      </c>
    </row>
    <row r="15" spans="1:7" x14ac:dyDescent="0.3">
      <c r="A15" s="1" t="s">
        <v>19</v>
      </c>
      <c r="B15" s="1">
        <v>9</v>
      </c>
      <c r="C15" s="1">
        <v>6</v>
      </c>
      <c r="D15" s="1">
        <v>6</v>
      </c>
      <c r="E15" s="1">
        <v>6</v>
      </c>
      <c r="F15" s="1">
        <v>6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2490.62</v>
      </c>
      <c r="C17" s="1">
        <v>2301.5100000000002</v>
      </c>
      <c r="D17" s="1">
        <v>2479.37</v>
      </c>
      <c r="E17" s="1">
        <v>2436.9899999999998</v>
      </c>
      <c r="F17" s="1">
        <v>2210.1799999999998</v>
      </c>
      <c r="G17" s="1">
        <v>2163.77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3.98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279.55</v>
      </c>
      <c r="C33" s="3">
        <v>255.74</v>
      </c>
      <c r="D33" s="3">
        <v>264.43</v>
      </c>
      <c r="E33" s="3">
        <v>260.58999999999997</v>
      </c>
      <c r="F33" s="3">
        <v>229.61</v>
      </c>
      <c r="G33" s="3">
        <v>235.85</v>
      </c>
    </row>
    <row r="35" spans="1:7" x14ac:dyDescent="0.3">
      <c r="A35" s="3" t="s">
        <v>36</v>
      </c>
      <c r="B35" s="3"/>
      <c r="C35" s="3"/>
      <c r="D35" s="3">
        <f>D33-C33</f>
        <v>8.6899999999999977</v>
      </c>
      <c r="E35" s="3"/>
      <c r="F35" s="3">
        <f>F33-E33</f>
        <v>-30.979999999999961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-3.8400000000000318</v>
      </c>
      <c r="F37" s="3"/>
      <c r="G37" s="3">
        <f>G33-F33</f>
        <v>6.2399999999999807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3979-FC71-4782-A8D9-0B4D8389A5C9}">
  <dimension ref="A1:G37"/>
  <sheetViews>
    <sheetView zoomScale="70" zoomScaleNormal="70" workbookViewId="0">
      <selection activeCell="K10" sqref="K1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240522Bwt001.3</vt:lpstr>
      <vt:lpstr>240522Bwt002.1</vt:lpstr>
      <vt:lpstr>240522Bwt002.2</vt:lpstr>
      <vt:lpstr>240522Bwt002.3</vt:lpstr>
      <vt:lpstr>240522Bwt003.2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2024-06-18T23:32:41Z</dcterms:created>
  <dcterms:modified xsi:type="dcterms:W3CDTF">2024-06-19T19:08:03Z</dcterms:modified>
</cp:coreProperties>
</file>