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iL3s\pBMW56 Cond. B\2024-0705\WormLab Data\"/>
    </mc:Choice>
  </mc:AlternateContent>
  <xr:revisionPtr revIDLastSave="0" documentId="13_ncr:1_{41950666-4BDB-496E-82C2-7BD96DDAA231}" xr6:coauthVersionLast="36" xr6:coauthVersionMax="36" xr10:uidLastSave="{00000000-0000-0000-0000-000000000000}"/>
  <bookViews>
    <workbookView xWindow="0" yWindow="0" windowWidth="24360" windowHeight="10935" firstSheet="1" activeTab="6" xr2:uid="{8D7895EB-5C83-4515-8D31-0C39A3BA1331}"/>
  </bookViews>
  <sheets>
    <sheet name="240705Bwt001.1" sheetId="2" r:id="rId1"/>
    <sheet name="240705Bwt001.2" sheetId="3" r:id="rId2"/>
    <sheet name="240705Bwt001.3" sheetId="4" r:id="rId3"/>
    <sheet name="240705Bwt002.3" sheetId="5" r:id="rId4"/>
    <sheet name="240705Bwt003.1" sheetId="6" r:id="rId5"/>
    <sheet name="240705Bwt003.2" sheetId="7" r:id="rId6"/>
    <sheet name="240705Bwt003.3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F31" i="8"/>
  <c r="C31" i="8"/>
  <c r="B31" i="8"/>
  <c r="F30" i="8"/>
  <c r="D30" i="8"/>
  <c r="C30" i="8"/>
  <c r="B30" i="8"/>
  <c r="G29" i="8"/>
  <c r="F29" i="8"/>
  <c r="G28" i="8"/>
  <c r="G31" i="8" s="1"/>
  <c r="F28" i="8"/>
  <c r="E28" i="8"/>
  <c r="E30" i="8" s="1"/>
  <c r="D28" i="8"/>
  <c r="D29" i="8" s="1"/>
  <c r="C28" i="8"/>
  <c r="C29" i="8" s="1"/>
  <c r="B28" i="8"/>
  <c r="B29" i="8" s="1"/>
  <c r="G37" i="7"/>
  <c r="E37" i="7"/>
  <c r="C37" i="7"/>
  <c r="F35" i="7"/>
  <c r="D35" i="7"/>
  <c r="D30" i="7"/>
  <c r="C30" i="7"/>
  <c r="B30" i="7"/>
  <c r="F29" i="7"/>
  <c r="G28" i="7"/>
  <c r="G31" i="7" s="1"/>
  <c r="F28" i="7"/>
  <c r="F30" i="7" s="1"/>
  <c r="E28" i="7"/>
  <c r="E29" i="7" s="1"/>
  <c r="D28" i="7"/>
  <c r="D29" i="7" s="1"/>
  <c r="C28" i="7"/>
  <c r="C29" i="7" s="1"/>
  <c r="B28" i="7"/>
  <c r="B29" i="7" s="1"/>
  <c r="G37" i="6"/>
  <c r="E37" i="6"/>
  <c r="C37" i="6"/>
  <c r="F35" i="6"/>
  <c r="D35" i="6"/>
  <c r="G28" i="6"/>
  <c r="G30" i="6" s="1"/>
  <c r="F28" i="6"/>
  <c r="F30" i="6" s="1"/>
  <c r="E28" i="6"/>
  <c r="E30" i="6" s="1"/>
  <c r="D28" i="6"/>
  <c r="D29" i="6" s="1"/>
  <c r="C28" i="6"/>
  <c r="C29" i="6" s="1"/>
  <c r="B28" i="6"/>
  <c r="B29" i="6" s="1"/>
  <c r="G37" i="5"/>
  <c r="E37" i="5"/>
  <c r="C37" i="5"/>
  <c r="F35" i="5"/>
  <c r="D35" i="5"/>
  <c r="F31" i="5"/>
  <c r="E31" i="5"/>
  <c r="D31" i="5"/>
  <c r="C31" i="5"/>
  <c r="F30" i="5"/>
  <c r="E30" i="5"/>
  <c r="D30" i="5"/>
  <c r="C30" i="5"/>
  <c r="B30" i="5"/>
  <c r="F29" i="5"/>
  <c r="E29" i="5"/>
  <c r="G28" i="5"/>
  <c r="G31" i="5" s="1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28" i="4"/>
  <c r="G30" i="4" s="1"/>
  <c r="F28" i="4"/>
  <c r="F30" i="4" s="1"/>
  <c r="E28" i="4"/>
  <c r="E30" i="4" s="1"/>
  <c r="D28" i="4"/>
  <c r="D31" i="4" s="1"/>
  <c r="C28" i="4"/>
  <c r="C31" i="4" s="1"/>
  <c r="B28" i="4"/>
  <c r="B31" i="4" s="1"/>
  <c r="G37" i="3"/>
  <c r="E37" i="3"/>
  <c r="C37" i="3"/>
  <c r="F35" i="3"/>
  <c r="D35" i="3"/>
  <c r="E29" i="3"/>
  <c r="G28" i="3"/>
  <c r="G31" i="3" s="1"/>
  <c r="F28" i="3"/>
  <c r="F31" i="3" s="1"/>
  <c r="E28" i="3"/>
  <c r="E30" i="3" s="1"/>
  <c r="D28" i="3"/>
  <c r="D29" i="3" s="1"/>
  <c r="C28" i="3"/>
  <c r="C29" i="3" s="1"/>
  <c r="B28" i="3"/>
  <c r="B29" i="3" s="1"/>
  <c r="G37" i="2"/>
  <c r="E37" i="2"/>
  <c r="C37" i="2"/>
  <c r="F35" i="2"/>
  <c r="D35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G28" i="2"/>
  <c r="G31" i="2" s="1"/>
  <c r="F28" i="2"/>
  <c r="F31" i="2" s="1"/>
  <c r="E28" i="2"/>
  <c r="D28" i="2"/>
  <c r="D29" i="2" s="1"/>
  <c r="C28" i="2"/>
  <c r="C29" i="2" s="1"/>
  <c r="B28" i="2"/>
  <c r="B29" i="2" s="1"/>
  <c r="G30" i="8" l="1"/>
  <c r="E31" i="8"/>
  <c r="E29" i="8"/>
  <c r="D31" i="8"/>
  <c r="G29" i="7"/>
  <c r="E30" i="7"/>
  <c r="G30" i="7"/>
  <c r="E31" i="7"/>
  <c r="F31" i="7"/>
  <c r="B31" i="7"/>
  <c r="C31" i="7"/>
  <c r="D31" i="7"/>
  <c r="D31" i="6"/>
  <c r="C31" i="6"/>
  <c r="E31" i="6"/>
  <c r="G31" i="6"/>
  <c r="E29" i="6"/>
  <c r="F29" i="6"/>
  <c r="D30" i="6"/>
  <c r="F31" i="6"/>
  <c r="G29" i="6"/>
  <c r="B30" i="6"/>
  <c r="C30" i="6"/>
  <c r="B31" i="6"/>
  <c r="G30" i="5"/>
  <c r="G29" i="5"/>
  <c r="B31" i="5"/>
  <c r="B30" i="4"/>
  <c r="B29" i="4"/>
  <c r="E31" i="4"/>
  <c r="F31" i="4"/>
  <c r="G31" i="4"/>
  <c r="C29" i="4"/>
  <c r="D29" i="4"/>
  <c r="E29" i="4"/>
  <c r="F29" i="4"/>
  <c r="G29" i="4"/>
  <c r="C30" i="4"/>
  <c r="D30" i="4"/>
  <c r="F29" i="3"/>
  <c r="C30" i="3"/>
  <c r="F30" i="3"/>
  <c r="G30" i="3"/>
  <c r="G29" i="3"/>
  <c r="E31" i="3"/>
  <c r="D30" i="3"/>
  <c r="C31" i="3"/>
  <c r="B31" i="3"/>
  <c r="B30" i="3"/>
  <c r="D31" i="3"/>
  <c r="G37" i="1"/>
  <c r="E37" i="1"/>
  <c r="C37" i="1"/>
  <c r="F35" i="1"/>
  <c r="D35" i="1"/>
  <c r="G31" i="1"/>
  <c r="F31" i="1"/>
  <c r="C31" i="1"/>
  <c r="B31" i="1"/>
  <c r="G30" i="1"/>
  <c r="F30" i="1"/>
  <c r="E30" i="1"/>
  <c r="C30" i="1"/>
  <c r="B30" i="1"/>
  <c r="C29" i="1"/>
  <c r="B29" i="1"/>
  <c r="G28" i="1"/>
  <c r="G29" i="1" s="1"/>
  <c r="F28" i="1"/>
  <c r="F29" i="1" s="1"/>
  <c r="E28" i="1"/>
  <c r="E31" i="1" s="1"/>
  <c r="D28" i="1"/>
  <c r="D30" i="1" s="1"/>
  <c r="C28" i="1"/>
  <c r="B28" i="1"/>
  <c r="D31" i="1" l="1"/>
  <c r="D29" i="1"/>
  <c r="E29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<sst xmlns="http://schemas.openxmlformats.org/spreadsheetml/2006/main" count="304" uniqueCount="37">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</sst>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44F8-2103-42DB-846F-4C08BAA9EBB0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458.67</v>
      </c>
      <c r="C2" s="1">
        <v>526.85</v>
      </c>
      <c r="D2" s="1">
        <v>527.86</v>
      </c>
      <c r="E2" s="1">
        <v>533.02</v>
      </c>
      <c r="F2" s="1">
        <v>513.80999999999995</v>
      </c>
      <c r="G2" s="1">
        <v>504.49</v>
      </c>
    </row>
    <row r="3" spans="1:7" x14ac:dyDescent="0.25">
      <c r="A3" s="1" t="s">
        <v>7</v>
      </c>
      <c r="B3" s="1">
        <v>55.24</v>
      </c>
      <c r="C3" s="1">
        <v>53.69</v>
      </c>
      <c r="D3" s="1">
        <v>53.45</v>
      </c>
      <c r="E3" s="1">
        <v>53.4</v>
      </c>
      <c r="F3" s="1">
        <v>53.45</v>
      </c>
      <c r="G3" s="1">
        <v>59.72</v>
      </c>
    </row>
    <row r="4" spans="1:7" x14ac:dyDescent="0.25">
      <c r="A4" s="1" t="s">
        <v>8</v>
      </c>
      <c r="B4" s="1">
        <v>25773.33</v>
      </c>
      <c r="C4" s="1">
        <v>28762.43</v>
      </c>
      <c r="D4" s="1">
        <v>28683.74</v>
      </c>
      <c r="E4" s="1">
        <v>28931.06</v>
      </c>
      <c r="F4" s="1">
        <v>27924.799999999999</v>
      </c>
      <c r="G4" s="1">
        <v>30632.75</v>
      </c>
    </row>
    <row r="5" spans="1:7" x14ac:dyDescent="0.25">
      <c r="A5" s="1" t="s">
        <v>9</v>
      </c>
      <c r="B5" s="1">
        <v>276.77</v>
      </c>
      <c r="C5" s="1">
        <v>169.68</v>
      </c>
      <c r="D5" s="1">
        <v>177.72</v>
      </c>
      <c r="E5" s="1">
        <v>195.02</v>
      </c>
      <c r="F5" s="1">
        <v>169.36</v>
      </c>
      <c r="G5" s="1">
        <v>114.37</v>
      </c>
    </row>
    <row r="6" spans="1:7" x14ac:dyDescent="0.25">
      <c r="A6" s="3" t="s">
        <v>10</v>
      </c>
      <c r="B6" s="3">
        <v>27.68</v>
      </c>
      <c r="C6" s="3">
        <v>17.14</v>
      </c>
      <c r="D6" s="3">
        <v>17.95</v>
      </c>
      <c r="E6" s="3">
        <v>19.7</v>
      </c>
      <c r="F6" s="3">
        <v>17.11</v>
      </c>
      <c r="G6" s="3">
        <v>11.67</v>
      </c>
    </row>
    <row r="7" spans="1:7" x14ac:dyDescent="0.25">
      <c r="A7" s="1" t="s">
        <v>11</v>
      </c>
      <c r="B7" s="1">
        <v>261.58999999999997</v>
      </c>
      <c r="C7" s="1">
        <v>157.03</v>
      </c>
      <c r="D7" s="1">
        <v>166.85</v>
      </c>
      <c r="E7" s="1">
        <v>179.81</v>
      </c>
      <c r="F7" s="1">
        <v>155.03</v>
      </c>
      <c r="G7" s="1">
        <v>94.35</v>
      </c>
    </row>
    <row r="8" spans="1:7" x14ac:dyDescent="0.25">
      <c r="A8" s="1" t="s">
        <v>12</v>
      </c>
      <c r="B8" s="1">
        <v>26.16</v>
      </c>
      <c r="C8" s="1">
        <v>15.86</v>
      </c>
      <c r="D8" s="1">
        <v>16.850000000000001</v>
      </c>
      <c r="E8" s="1">
        <v>18.16</v>
      </c>
      <c r="F8" s="1">
        <v>15.66</v>
      </c>
      <c r="G8" s="1">
        <v>9.6300000000000008</v>
      </c>
    </row>
    <row r="9" spans="1:7" x14ac:dyDescent="0.25">
      <c r="A9" s="1" t="s">
        <v>13</v>
      </c>
      <c r="B9" s="1">
        <v>-72.14</v>
      </c>
      <c r="C9" s="1">
        <v>16.739999999999998</v>
      </c>
      <c r="D9" s="1">
        <v>15.62</v>
      </c>
      <c r="E9" s="1">
        <v>16.52</v>
      </c>
      <c r="F9" s="1">
        <v>-41.22</v>
      </c>
      <c r="G9" s="1">
        <v>-10.16</v>
      </c>
    </row>
    <row r="10" spans="1:7" x14ac:dyDescent="0.25">
      <c r="A10" s="1" t="s">
        <v>14</v>
      </c>
      <c r="B10" s="1">
        <v>-7.21</v>
      </c>
      <c r="C10" s="1">
        <v>1.69</v>
      </c>
      <c r="D10" s="1">
        <v>1.58</v>
      </c>
      <c r="E10" s="1">
        <v>1.67</v>
      </c>
      <c r="F10" s="1">
        <v>-4.16</v>
      </c>
      <c r="G10" s="1">
        <v>-1.04</v>
      </c>
    </row>
    <row r="11" spans="1:7" x14ac:dyDescent="0.25">
      <c r="A11" s="1" t="s">
        <v>15</v>
      </c>
      <c r="B11" s="1">
        <v>35.049999999999997</v>
      </c>
      <c r="C11" s="1">
        <v>7.4</v>
      </c>
      <c r="D11" s="1">
        <v>2.88</v>
      </c>
      <c r="E11" s="1">
        <v>4.26</v>
      </c>
      <c r="F11" s="1">
        <v>37.26</v>
      </c>
      <c r="G11" s="1">
        <v>3.64</v>
      </c>
    </row>
    <row r="12" spans="1:7" x14ac:dyDescent="0.25">
      <c r="A12" s="1" t="s">
        <v>16</v>
      </c>
      <c r="B12" s="1">
        <v>242.31</v>
      </c>
      <c r="C12" s="1">
        <v>236.42</v>
      </c>
      <c r="D12" s="1">
        <v>237.69</v>
      </c>
      <c r="E12" s="1">
        <v>262.06</v>
      </c>
      <c r="F12" s="1">
        <v>233.54</v>
      </c>
      <c r="G12" s="1">
        <v>222.2</v>
      </c>
    </row>
    <row r="13" spans="1:7" x14ac:dyDescent="0.25">
      <c r="A13" s="1" t="s">
        <v>17</v>
      </c>
      <c r="B13" s="1">
        <v>23.41</v>
      </c>
      <c r="C13" s="1">
        <v>7.27</v>
      </c>
      <c r="D13" s="1">
        <v>8</v>
      </c>
      <c r="E13" s="1">
        <v>9.42</v>
      </c>
      <c r="F13" s="1">
        <v>7.06</v>
      </c>
      <c r="G13" s="1">
        <v>14.33</v>
      </c>
    </row>
    <row r="14" spans="1:7" x14ac:dyDescent="0.25">
      <c r="A14" s="1" t="s">
        <v>18</v>
      </c>
      <c r="B14" s="1">
        <v>40.32</v>
      </c>
      <c r="C14" s="1">
        <v>14.33</v>
      </c>
      <c r="D14" s="1">
        <v>14.85</v>
      </c>
      <c r="E14" s="1">
        <v>15.78</v>
      </c>
      <c r="F14" s="1">
        <v>13.36</v>
      </c>
      <c r="G14" s="1">
        <v>20.38</v>
      </c>
    </row>
    <row r="15" spans="1:7" x14ac:dyDescent="0.25">
      <c r="A15" s="1" t="s">
        <v>19</v>
      </c>
      <c r="B15" s="1">
        <v>5</v>
      </c>
      <c r="C15" s="1">
        <v>4</v>
      </c>
      <c r="D15" s="1">
        <v>2</v>
      </c>
      <c r="E15" s="1">
        <v>3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94.73</v>
      </c>
      <c r="C17" s="1">
        <v>86.88</v>
      </c>
      <c r="D17" s="1">
        <v>91.23</v>
      </c>
      <c r="E17" s="1">
        <v>98.17</v>
      </c>
      <c r="F17" s="1">
        <v>56.9</v>
      </c>
      <c r="G17" s="1">
        <v>42.09</v>
      </c>
    </row>
    <row r="18" spans="1:7" x14ac:dyDescent="0.25">
      <c r="A18" s="1" t="s">
        <v>22</v>
      </c>
      <c r="B18" s="1">
        <v>166.87</v>
      </c>
      <c r="C18" s="1">
        <v>70.150000000000006</v>
      </c>
      <c r="D18" s="1">
        <v>75.62</v>
      </c>
      <c r="E18" s="1">
        <v>81.64</v>
      </c>
      <c r="F18" s="1">
        <v>98.13</v>
      </c>
      <c r="G18" s="1">
        <v>52.25</v>
      </c>
    </row>
    <row r="19" spans="1:7" x14ac:dyDescent="0.25">
      <c r="A19" s="1" t="s">
        <v>23</v>
      </c>
      <c r="B19" s="1">
        <v>4</v>
      </c>
      <c r="C19" s="1">
        <v>0</v>
      </c>
      <c r="D19" s="1">
        <v>1</v>
      </c>
      <c r="E19" s="1">
        <v>3</v>
      </c>
      <c r="F19" s="1">
        <v>3</v>
      </c>
      <c r="G19" s="1">
        <v>3</v>
      </c>
    </row>
    <row r="20" spans="1:7" x14ac:dyDescent="0.25">
      <c r="A20" s="1" t="s">
        <v>24</v>
      </c>
      <c r="B20" s="1">
        <v>6.2</v>
      </c>
      <c r="C20" s="1">
        <v>0</v>
      </c>
      <c r="D20" s="1">
        <v>1</v>
      </c>
      <c r="E20" s="1">
        <v>3.3</v>
      </c>
      <c r="F20" s="1">
        <v>4.5</v>
      </c>
      <c r="G20" s="1">
        <v>4</v>
      </c>
    </row>
    <row r="21" spans="1:7" x14ac:dyDescent="0.25">
      <c r="A21" s="1" t="s">
        <v>25</v>
      </c>
      <c r="B21" s="1">
        <v>3.9</v>
      </c>
      <c r="C21" s="1">
        <v>10</v>
      </c>
      <c r="D21" s="1">
        <v>9</v>
      </c>
      <c r="E21" s="1">
        <v>6.7</v>
      </c>
      <c r="F21" s="1">
        <v>5.5</v>
      </c>
      <c r="G21" s="1">
        <v>5.9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6.6</v>
      </c>
      <c r="C24" s="1">
        <v>4</v>
      </c>
      <c r="D24" s="1">
        <v>3.6</v>
      </c>
      <c r="E24" s="1">
        <v>5.9</v>
      </c>
      <c r="F24" s="1">
        <v>7.1</v>
      </c>
      <c r="G24" s="1">
        <v>3.5</v>
      </c>
    </row>
    <row r="25" spans="1:7" x14ac:dyDescent="0.25">
      <c r="A25" s="1" t="s">
        <v>29</v>
      </c>
      <c r="B25" s="1">
        <v>1.1000000000000001</v>
      </c>
      <c r="C25" s="1">
        <v>0</v>
      </c>
      <c r="D25" s="1">
        <v>0</v>
      </c>
      <c r="E25" s="1">
        <v>0</v>
      </c>
      <c r="F25" s="1">
        <v>0</v>
      </c>
      <c r="G25" s="1">
        <v>1.7</v>
      </c>
    </row>
    <row r="26" spans="1:7" x14ac:dyDescent="0.25">
      <c r="A26" s="1" t="s">
        <v>30</v>
      </c>
      <c r="B26" s="1">
        <v>2.4</v>
      </c>
      <c r="C26" s="1">
        <v>6</v>
      </c>
      <c r="D26" s="1">
        <v>6.4</v>
      </c>
      <c r="E26" s="1">
        <v>4.0999999999999996</v>
      </c>
      <c r="F26" s="1">
        <v>2.9</v>
      </c>
      <c r="G26" s="1">
        <v>4.7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65.346534653465355</v>
      </c>
      <c r="C29" s="3">
        <f t="shared" ref="C29:G29" si="1">C24/C28*100</f>
        <v>40</v>
      </c>
      <c r="D29" s="3">
        <f t="shared" si="1"/>
        <v>36</v>
      </c>
      <c r="E29" s="3">
        <f t="shared" si="1"/>
        <v>59.000000000000007</v>
      </c>
      <c r="F29" s="3">
        <f t="shared" si="1"/>
        <v>71</v>
      </c>
      <c r="G29" s="3">
        <f t="shared" si="1"/>
        <v>35.353535353535356</v>
      </c>
    </row>
    <row r="30" spans="1:7" x14ac:dyDescent="0.25">
      <c r="A30" s="3" t="s">
        <v>33</v>
      </c>
      <c r="B30" s="3">
        <f>B25/B28*100</f>
        <v>10.891089108910892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17.171717171717169</v>
      </c>
    </row>
    <row r="31" spans="1:7" x14ac:dyDescent="0.25">
      <c r="A31" s="3" t="s">
        <v>34</v>
      </c>
      <c r="B31" s="3">
        <f>B26/B28*100</f>
        <v>23.762376237623762</v>
      </c>
      <c r="C31" s="3">
        <f t="shared" ref="C31:G31" si="3">C26/C28*100</f>
        <v>60</v>
      </c>
      <c r="D31" s="3">
        <f t="shared" si="3"/>
        <v>64</v>
      </c>
      <c r="E31" s="3">
        <f t="shared" si="3"/>
        <v>41</v>
      </c>
      <c r="F31" s="3">
        <f t="shared" si="3"/>
        <v>28.999999999999996</v>
      </c>
      <c r="G31" s="3">
        <f t="shared" si="3"/>
        <v>47.474747474747474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-3.58</v>
      </c>
      <c r="C33" s="3">
        <v>0.32</v>
      </c>
      <c r="D33" s="3">
        <v>0.22</v>
      </c>
      <c r="E33" s="3">
        <v>0.79</v>
      </c>
      <c r="F33" s="3">
        <v>-3.76</v>
      </c>
      <c r="G33" s="3">
        <v>0.11</v>
      </c>
    </row>
    <row r="35" spans="1:7" x14ac:dyDescent="0.25">
      <c r="A35" s="3" t="s">
        <v>36</v>
      </c>
      <c r="B35" s="3"/>
      <c r="C35" s="3"/>
      <c r="D35" s="3">
        <f>D33-C33</f>
        <v>-0.1</v>
      </c>
      <c r="E35" s="3"/>
      <c r="F35" s="3">
        <f>F33-E33</f>
        <v>-4.55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0.57000000000000006</v>
      </c>
      <c r="F37" s="3"/>
      <c r="G37" s="3">
        <f>G33-F33</f>
        <v>3.8699999999999997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2249-BCFB-459A-AD71-D64C12CA2A5E}">
  <dimension ref="A1:G37"/>
  <sheetViews>
    <sheetView zoomScale="80" zoomScaleNormal="8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259.73</v>
      </c>
      <c r="C2" s="1">
        <v>440.76</v>
      </c>
      <c r="D2" s="1">
        <v>476.65</v>
      </c>
      <c r="E2" s="1">
        <v>436.83</v>
      </c>
      <c r="F2" s="1">
        <v>373.17</v>
      </c>
      <c r="G2" s="1">
        <v>387.15</v>
      </c>
    </row>
    <row r="3" spans="1:7" x14ac:dyDescent="0.25">
      <c r="A3" s="1" t="s">
        <v>7</v>
      </c>
      <c r="B3" s="1">
        <v>67.680000000000007</v>
      </c>
      <c r="C3" s="1">
        <v>53.27</v>
      </c>
      <c r="D3" s="1">
        <v>51.29</v>
      </c>
      <c r="E3" s="1">
        <v>53.36</v>
      </c>
      <c r="F3" s="1">
        <v>52.22</v>
      </c>
      <c r="G3" s="1">
        <v>43.62</v>
      </c>
    </row>
    <row r="4" spans="1:7" x14ac:dyDescent="0.25">
      <c r="A4" s="1" t="s">
        <v>8</v>
      </c>
      <c r="B4" s="1">
        <v>17857.16</v>
      </c>
      <c r="C4" s="1">
        <v>23929.77</v>
      </c>
      <c r="D4" s="1">
        <v>24943.52</v>
      </c>
      <c r="E4" s="1">
        <v>23709.38</v>
      </c>
      <c r="F4" s="1">
        <v>19645.71</v>
      </c>
      <c r="G4" s="1">
        <v>17150.060000000001</v>
      </c>
    </row>
    <row r="5" spans="1:7" x14ac:dyDescent="0.25">
      <c r="A5" s="1" t="s">
        <v>9</v>
      </c>
      <c r="B5" s="1">
        <v>1216.71</v>
      </c>
      <c r="C5" s="1">
        <v>1918.4</v>
      </c>
      <c r="D5" s="1">
        <v>2274.81</v>
      </c>
      <c r="E5" s="1">
        <v>1107.47</v>
      </c>
      <c r="F5" s="1">
        <v>570.98</v>
      </c>
      <c r="G5" s="1">
        <v>509.35</v>
      </c>
    </row>
    <row r="6" spans="1:7" x14ac:dyDescent="0.25">
      <c r="A6" s="3" t="s">
        <v>10</v>
      </c>
      <c r="B6" s="3">
        <v>121.67</v>
      </c>
      <c r="C6" s="3">
        <v>193.78</v>
      </c>
      <c r="D6" s="3">
        <v>229.78</v>
      </c>
      <c r="E6" s="3">
        <v>111.87</v>
      </c>
      <c r="F6" s="3">
        <v>57.67</v>
      </c>
      <c r="G6" s="3">
        <v>51.97</v>
      </c>
    </row>
    <row r="7" spans="1:7" x14ac:dyDescent="0.25">
      <c r="A7" s="1" t="s">
        <v>11</v>
      </c>
      <c r="B7" s="1">
        <v>1080.3900000000001</v>
      </c>
      <c r="C7" s="1">
        <v>1722.31</v>
      </c>
      <c r="D7" s="1">
        <v>2174.7600000000002</v>
      </c>
      <c r="E7" s="1">
        <v>1009.94</v>
      </c>
      <c r="F7" s="1">
        <v>557.91999999999996</v>
      </c>
      <c r="G7" s="1">
        <v>492.95</v>
      </c>
    </row>
    <row r="8" spans="1:7" x14ac:dyDescent="0.25">
      <c r="A8" s="1" t="s">
        <v>12</v>
      </c>
      <c r="B8" s="1">
        <v>108.04</v>
      </c>
      <c r="C8" s="1">
        <v>173.97</v>
      </c>
      <c r="D8" s="1">
        <v>219.67</v>
      </c>
      <c r="E8" s="1">
        <v>102.01</v>
      </c>
      <c r="F8" s="1">
        <v>56.36</v>
      </c>
      <c r="G8" s="1">
        <v>50.3</v>
      </c>
    </row>
    <row r="9" spans="1:7" x14ac:dyDescent="0.25">
      <c r="A9" s="1" t="s">
        <v>13</v>
      </c>
      <c r="B9" s="1">
        <v>719.71</v>
      </c>
      <c r="C9" s="1">
        <v>1711.73</v>
      </c>
      <c r="D9" s="1">
        <v>2174.7600000000002</v>
      </c>
      <c r="E9" s="1">
        <v>788.46</v>
      </c>
      <c r="F9" s="1">
        <v>-159.97</v>
      </c>
      <c r="G9" s="1">
        <v>294.33</v>
      </c>
    </row>
    <row r="10" spans="1:7" x14ac:dyDescent="0.25">
      <c r="A10" s="1" t="s">
        <v>14</v>
      </c>
      <c r="B10" s="1">
        <v>71.97</v>
      </c>
      <c r="C10" s="1">
        <v>172.9</v>
      </c>
      <c r="D10" s="1">
        <v>219.67</v>
      </c>
      <c r="E10" s="1">
        <v>79.64</v>
      </c>
      <c r="F10" s="1">
        <v>-16.16</v>
      </c>
      <c r="G10" s="1">
        <v>30.03</v>
      </c>
    </row>
    <row r="11" spans="1:7" x14ac:dyDescent="0.25">
      <c r="A11" s="1" t="s">
        <v>15</v>
      </c>
      <c r="B11" s="1">
        <v>645.07000000000005</v>
      </c>
      <c r="C11" s="1">
        <v>1652.71</v>
      </c>
      <c r="D11" s="1">
        <v>1988.3</v>
      </c>
      <c r="E11" s="1">
        <v>665.11</v>
      </c>
      <c r="F11" s="1">
        <v>44.98</v>
      </c>
      <c r="G11" s="1">
        <v>292.74</v>
      </c>
    </row>
    <row r="12" spans="1:7" x14ac:dyDescent="0.25">
      <c r="A12" s="1" t="s">
        <v>16</v>
      </c>
      <c r="B12" s="1">
        <v>147.31</v>
      </c>
      <c r="C12" s="1">
        <v>252.84</v>
      </c>
      <c r="D12" s="1">
        <v>246</v>
      </c>
      <c r="E12" s="1">
        <v>214.71</v>
      </c>
      <c r="F12" s="1">
        <v>189.58</v>
      </c>
      <c r="G12" s="1">
        <v>172.83</v>
      </c>
    </row>
    <row r="13" spans="1:7" x14ac:dyDescent="0.25">
      <c r="A13" s="1" t="s">
        <v>17</v>
      </c>
      <c r="B13" s="1">
        <v>17.989999999999998</v>
      </c>
      <c r="C13" s="1">
        <v>24.41</v>
      </c>
      <c r="D13" s="1">
        <v>21.99</v>
      </c>
      <c r="E13" s="1">
        <v>25.81</v>
      </c>
      <c r="F13" s="1">
        <v>14.86</v>
      </c>
      <c r="G13" s="1">
        <v>8.6300000000000008</v>
      </c>
    </row>
    <row r="14" spans="1:7" x14ac:dyDescent="0.25">
      <c r="A14" s="1" t="s">
        <v>18</v>
      </c>
      <c r="B14" s="1">
        <v>41.68</v>
      </c>
      <c r="C14" s="1">
        <v>69</v>
      </c>
      <c r="D14" s="1">
        <v>52.11</v>
      </c>
      <c r="E14" s="1">
        <v>82.71</v>
      </c>
      <c r="F14" s="1">
        <v>38.159999999999997</v>
      </c>
      <c r="G14" s="1">
        <v>28.11</v>
      </c>
    </row>
    <row r="15" spans="1:7" x14ac:dyDescent="0.25">
      <c r="A15" s="1" t="s">
        <v>19</v>
      </c>
      <c r="B15" s="1">
        <v>6</v>
      </c>
      <c r="C15" s="1">
        <v>8</v>
      </c>
      <c r="D15" s="1">
        <v>6</v>
      </c>
      <c r="E15" s="1">
        <v>4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900.05</v>
      </c>
      <c r="C17" s="1">
        <v>1717.02</v>
      </c>
      <c r="D17" s="1">
        <v>2174.7600000000002</v>
      </c>
      <c r="E17" s="1">
        <v>899.2</v>
      </c>
      <c r="F17" s="1">
        <v>198.98</v>
      </c>
      <c r="G17" s="1">
        <v>393.64</v>
      </c>
    </row>
    <row r="18" spans="1:7" x14ac:dyDescent="0.25">
      <c r="A18" s="1" t="s">
        <v>22</v>
      </c>
      <c r="B18" s="1">
        <v>180.34</v>
      </c>
      <c r="C18" s="1">
        <v>5.29</v>
      </c>
      <c r="D18" s="1">
        <v>0</v>
      </c>
      <c r="E18" s="1">
        <v>110.74</v>
      </c>
      <c r="F18" s="1">
        <v>358.94</v>
      </c>
      <c r="G18" s="1">
        <v>99.31</v>
      </c>
    </row>
    <row r="19" spans="1:7" x14ac:dyDescent="0.25">
      <c r="A19" s="1" t="s">
        <v>23</v>
      </c>
      <c r="B19" s="1">
        <v>2</v>
      </c>
      <c r="C19" s="1">
        <v>0</v>
      </c>
      <c r="D19" s="1">
        <v>0</v>
      </c>
      <c r="E19" s="1">
        <v>0</v>
      </c>
      <c r="F19" s="1">
        <v>1</v>
      </c>
      <c r="G19" s="1">
        <v>2</v>
      </c>
    </row>
    <row r="20" spans="1:7" x14ac:dyDescent="0.25">
      <c r="A20" s="1" t="s">
        <v>24</v>
      </c>
      <c r="B20" s="1">
        <v>2.9</v>
      </c>
      <c r="C20" s="1">
        <v>0</v>
      </c>
      <c r="D20" s="1">
        <v>0</v>
      </c>
      <c r="E20" s="1">
        <v>0</v>
      </c>
      <c r="F20" s="1">
        <v>2.5</v>
      </c>
      <c r="G20" s="1">
        <v>2</v>
      </c>
    </row>
    <row r="21" spans="1:7" x14ac:dyDescent="0.25">
      <c r="A21" s="1" t="s">
        <v>25</v>
      </c>
      <c r="B21" s="1">
        <v>7.2</v>
      </c>
      <c r="C21" s="1">
        <v>10</v>
      </c>
      <c r="D21" s="1">
        <v>10</v>
      </c>
      <c r="E21" s="1">
        <v>10</v>
      </c>
      <c r="F21" s="1">
        <v>7.5</v>
      </c>
      <c r="G21" s="1">
        <v>7.9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1.8</v>
      </c>
      <c r="C24" s="1">
        <v>0</v>
      </c>
      <c r="D24" s="1">
        <v>0</v>
      </c>
      <c r="E24" s="1">
        <v>0</v>
      </c>
      <c r="F24" s="1">
        <v>2.2999999999999998</v>
      </c>
      <c r="G24" s="1">
        <v>0</v>
      </c>
    </row>
    <row r="25" spans="1:7" x14ac:dyDescent="0.25">
      <c r="A25" s="1" t="s">
        <v>29</v>
      </c>
      <c r="B25" s="1">
        <v>3</v>
      </c>
      <c r="C25" s="1">
        <v>0</v>
      </c>
      <c r="D25" s="1">
        <v>0</v>
      </c>
      <c r="E25" s="1">
        <v>0</v>
      </c>
      <c r="F25" s="1">
        <v>7.7</v>
      </c>
      <c r="G25" s="1">
        <v>9.9</v>
      </c>
    </row>
    <row r="26" spans="1:7" x14ac:dyDescent="0.25">
      <c r="A26" s="1" t="s">
        <v>30</v>
      </c>
      <c r="B26" s="1">
        <v>5.3</v>
      </c>
      <c r="C26" s="1">
        <v>10</v>
      </c>
      <c r="D26" s="1">
        <v>10</v>
      </c>
      <c r="E26" s="1">
        <v>10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17.821782178217823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29.702970297029701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77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52.475247524752476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69.680000000000007</v>
      </c>
      <c r="C33" s="3">
        <v>194.2</v>
      </c>
      <c r="D33" s="3">
        <v>228.72</v>
      </c>
      <c r="E33" s="3">
        <v>84.36</v>
      </c>
      <c r="F33" s="3">
        <v>-6.21</v>
      </c>
      <c r="G33" s="3">
        <v>27.86</v>
      </c>
    </row>
    <row r="35" spans="1:7" x14ac:dyDescent="0.25">
      <c r="A35" s="3" t="s">
        <v>36</v>
      </c>
      <c r="B35" s="3"/>
      <c r="C35" s="3"/>
      <c r="D35" s="3">
        <f>D33-C33</f>
        <v>34.52000000000001</v>
      </c>
      <c r="E35" s="3"/>
      <c r="F35" s="3">
        <f>F33-E33</f>
        <v>-90.57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-144.36000000000001</v>
      </c>
      <c r="F37" s="3"/>
      <c r="G37" s="3">
        <f>G33-F33</f>
        <v>34.07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AB93-67F7-4145-9AFC-36F131C9F726}">
  <dimension ref="A1:G37"/>
  <sheetViews>
    <sheetView zoomScale="80" zoomScaleNormal="80" workbookViewId="0">
      <selection activeCell="C40" sqref="C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479.1</v>
      </c>
      <c r="C2" s="1">
        <v>482.24</v>
      </c>
      <c r="D2" s="1">
        <v>529.48</v>
      </c>
      <c r="E2" s="1">
        <v>438.79</v>
      </c>
      <c r="F2" s="1">
        <v>525.55999999999995</v>
      </c>
      <c r="G2" s="1">
        <v>531.27</v>
      </c>
    </row>
    <row r="3" spans="1:7" x14ac:dyDescent="0.25">
      <c r="A3" s="1" t="s">
        <v>7</v>
      </c>
      <c r="B3" s="1">
        <v>55.7</v>
      </c>
      <c r="C3" s="1">
        <v>51.56</v>
      </c>
      <c r="D3" s="1">
        <v>53.39</v>
      </c>
      <c r="E3" s="1">
        <v>46.79</v>
      </c>
      <c r="F3" s="1">
        <v>57.71</v>
      </c>
      <c r="G3" s="1">
        <v>63.17</v>
      </c>
    </row>
    <row r="4" spans="1:7" x14ac:dyDescent="0.25">
      <c r="A4" s="1" t="s">
        <v>8</v>
      </c>
      <c r="B4" s="1">
        <v>27132.71</v>
      </c>
      <c r="C4" s="1">
        <v>25358.07</v>
      </c>
      <c r="D4" s="1">
        <v>28748.38</v>
      </c>
      <c r="E4" s="1">
        <v>20957.560000000001</v>
      </c>
      <c r="F4" s="1">
        <v>30840.880000000001</v>
      </c>
      <c r="G4" s="1">
        <v>34128.42</v>
      </c>
    </row>
    <row r="5" spans="1:7" x14ac:dyDescent="0.25">
      <c r="A5" s="1" t="s">
        <v>9</v>
      </c>
      <c r="B5" s="1">
        <v>2019.27</v>
      </c>
      <c r="C5" s="1">
        <v>2253.4299999999998</v>
      </c>
      <c r="D5" s="1">
        <v>2508.4</v>
      </c>
      <c r="E5" s="1">
        <v>1980.11</v>
      </c>
      <c r="F5" s="1">
        <v>804.49</v>
      </c>
      <c r="G5" s="1">
        <v>810.48</v>
      </c>
    </row>
    <row r="6" spans="1:7" x14ac:dyDescent="0.25">
      <c r="A6" s="3" t="s">
        <v>10</v>
      </c>
      <c r="B6" s="3">
        <v>201.93</v>
      </c>
      <c r="C6" s="3">
        <v>227.62</v>
      </c>
      <c r="D6" s="3">
        <v>253.37</v>
      </c>
      <c r="E6" s="3">
        <v>200.01</v>
      </c>
      <c r="F6" s="3">
        <v>81.260000000000005</v>
      </c>
      <c r="G6" s="3">
        <v>82.7</v>
      </c>
    </row>
    <row r="7" spans="1:7" x14ac:dyDescent="0.25">
      <c r="A7" s="1" t="s">
        <v>11</v>
      </c>
      <c r="B7" s="1">
        <v>1829.4</v>
      </c>
      <c r="C7" s="1">
        <v>1983.54</v>
      </c>
      <c r="D7" s="1">
        <v>2384.4</v>
      </c>
      <c r="E7" s="1">
        <v>1876.92</v>
      </c>
      <c r="F7" s="1">
        <v>781.25</v>
      </c>
      <c r="G7" s="1">
        <v>763.81</v>
      </c>
    </row>
    <row r="8" spans="1:7" x14ac:dyDescent="0.25">
      <c r="A8" s="1" t="s">
        <v>12</v>
      </c>
      <c r="B8" s="1">
        <v>182.94</v>
      </c>
      <c r="C8" s="1">
        <v>200.36</v>
      </c>
      <c r="D8" s="1">
        <v>240.85</v>
      </c>
      <c r="E8" s="1">
        <v>189.59</v>
      </c>
      <c r="F8" s="1">
        <v>78.91</v>
      </c>
      <c r="G8" s="1">
        <v>77.94</v>
      </c>
    </row>
    <row r="9" spans="1:7" x14ac:dyDescent="0.25">
      <c r="A9" s="1" t="s">
        <v>13</v>
      </c>
      <c r="B9" s="1">
        <v>1695.18</v>
      </c>
      <c r="C9" s="1">
        <v>1933.31</v>
      </c>
      <c r="D9" s="1">
        <v>2384.4</v>
      </c>
      <c r="E9" s="1">
        <v>1876.92</v>
      </c>
      <c r="F9" s="1">
        <v>666.32</v>
      </c>
      <c r="G9" s="1">
        <v>728.01</v>
      </c>
    </row>
    <row r="10" spans="1:7" x14ac:dyDescent="0.25">
      <c r="A10" s="1" t="s">
        <v>14</v>
      </c>
      <c r="B10" s="1">
        <v>169.52</v>
      </c>
      <c r="C10" s="1">
        <v>195.28</v>
      </c>
      <c r="D10" s="1">
        <v>240.85</v>
      </c>
      <c r="E10" s="1">
        <v>189.59</v>
      </c>
      <c r="F10" s="1">
        <v>67.31</v>
      </c>
      <c r="G10" s="1">
        <v>74.290000000000006</v>
      </c>
    </row>
    <row r="11" spans="1:7" x14ac:dyDescent="0.25">
      <c r="A11" s="1" t="s">
        <v>15</v>
      </c>
      <c r="B11" s="1">
        <v>1546.6</v>
      </c>
      <c r="C11" s="1">
        <v>1881.54</v>
      </c>
      <c r="D11" s="1">
        <v>2207.9699999999998</v>
      </c>
      <c r="E11" s="1">
        <v>1816.69</v>
      </c>
      <c r="F11" s="1">
        <v>658.26</v>
      </c>
      <c r="G11" s="1">
        <v>709.53</v>
      </c>
    </row>
    <row r="12" spans="1:7" x14ac:dyDescent="0.25">
      <c r="A12" s="1" t="s">
        <v>16</v>
      </c>
      <c r="B12" s="1">
        <v>232.95</v>
      </c>
      <c r="C12" s="1">
        <v>279.01</v>
      </c>
      <c r="D12" s="1">
        <v>290.58999999999997</v>
      </c>
      <c r="E12" s="1">
        <v>233.77</v>
      </c>
      <c r="F12" s="1">
        <v>267.76</v>
      </c>
      <c r="G12" s="1">
        <v>268.8</v>
      </c>
    </row>
    <row r="13" spans="1:7" x14ac:dyDescent="0.25">
      <c r="A13" s="1" t="s">
        <v>17</v>
      </c>
      <c r="B13" s="1">
        <v>34.799999999999997</v>
      </c>
      <c r="C13" s="1">
        <v>33.42</v>
      </c>
      <c r="D13" s="1">
        <v>21.12</v>
      </c>
      <c r="E13" s="1">
        <v>21.41</v>
      </c>
      <c r="F13" s="1">
        <v>11.13</v>
      </c>
      <c r="G13" s="1">
        <v>21.76</v>
      </c>
    </row>
    <row r="14" spans="1:7" x14ac:dyDescent="0.25">
      <c r="A14" s="1" t="s">
        <v>18</v>
      </c>
      <c r="B14" s="1">
        <v>92.52</v>
      </c>
      <c r="C14" s="1">
        <v>82.63</v>
      </c>
      <c r="D14" s="1">
        <v>62.52</v>
      </c>
      <c r="E14" s="1">
        <v>49.55</v>
      </c>
      <c r="F14" s="1">
        <v>31.17</v>
      </c>
      <c r="G14" s="1">
        <v>51.56</v>
      </c>
    </row>
    <row r="15" spans="1:7" x14ac:dyDescent="0.25">
      <c r="A15" s="1" t="s">
        <v>19</v>
      </c>
      <c r="B15" s="1">
        <v>6</v>
      </c>
      <c r="C15" s="1">
        <v>7</v>
      </c>
      <c r="D15" s="1">
        <v>3</v>
      </c>
      <c r="E15" s="1">
        <v>6</v>
      </c>
      <c r="F15" s="1">
        <v>0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1762.29</v>
      </c>
      <c r="C17" s="1">
        <v>1958.43</v>
      </c>
      <c r="D17" s="1">
        <v>2384.4</v>
      </c>
      <c r="E17" s="1">
        <v>1876.92</v>
      </c>
      <c r="F17" s="1">
        <v>723.79</v>
      </c>
      <c r="G17" s="1">
        <v>745.91</v>
      </c>
    </row>
    <row r="18" spans="1:7" x14ac:dyDescent="0.25">
      <c r="A18" s="1" t="s">
        <v>22</v>
      </c>
      <c r="B18" s="1">
        <v>67.11</v>
      </c>
      <c r="C18" s="1">
        <v>25.11</v>
      </c>
      <c r="D18" s="1">
        <v>0</v>
      </c>
      <c r="E18" s="1">
        <v>0</v>
      </c>
      <c r="F18" s="1">
        <v>57.47</v>
      </c>
      <c r="G18" s="1">
        <v>17.899999999999999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8.8000000000000007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1.7</v>
      </c>
      <c r="G25" s="1">
        <v>1.7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8.3000000000000007</v>
      </c>
      <c r="G26" s="1">
        <v>8.1999999999999993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17</v>
      </c>
      <c r="G30" s="3">
        <f t="shared" si="2"/>
        <v>17.171717171717173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83</v>
      </c>
      <c r="G31" s="3">
        <f t="shared" si="3"/>
        <v>82.828282828282823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177.34</v>
      </c>
      <c r="C33" s="3">
        <v>218.76</v>
      </c>
      <c r="D33" s="3">
        <v>251.36</v>
      </c>
      <c r="E33" s="3">
        <v>199.16</v>
      </c>
      <c r="F33" s="3">
        <v>70.61</v>
      </c>
      <c r="G33" s="3">
        <v>79.760000000000005</v>
      </c>
    </row>
    <row r="35" spans="1:7" x14ac:dyDescent="0.25">
      <c r="A35" s="3" t="s">
        <v>36</v>
      </c>
      <c r="B35" s="3"/>
      <c r="C35" s="3"/>
      <c r="D35" s="3">
        <f>D33-C33</f>
        <v>32.600000000000023</v>
      </c>
      <c r="E35" s="3"/>
      <c r="F35" s="3">
        <f>F33-E33</f>
        <v>-128.55000000000001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-52.200000000000017</v>
      </c>
      <c r="F37" s="3"/>
      <c r="G37" s="3">
        <f>G33-F33</f>
        <v>9.1500000000000057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ACE5-7F24-4296-89C6-13D805C26439}">
  <dimension ref="A1:G37"/>
  <sheetViews>
    <sheetView topLeftCell="A7"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468.43</v>
      </c>
      <c r="C2" s="1">
        <v>471.31</v>
      </c>
      <c r="D2" s="1">
        <v>516.16</v>
      </c>
      <c r="E2" s="1">
        <v>380.61</v>
      </c>
      <c r="F2" s="1">
        <v>464.02</v>
      </c>
      <c r="G2" s="1">
        <v>417.09</v>
      </c>
    </row>
    <row r="3" spans="1:7" x14ac:dyDescent="0.25">
      <c r="A3" s="1" t="s">
        <v>7</v>
      </c>
      <c r="B3" s="1">
        <v>51.68</v>
      </c>
      <c r="C3" s="1">
        <v>48.45</v>
      </c>
      <c r="D3" s="1">
        <v>52.83</v>
      </c>
      <c r="E3" s="1">
        <v>43.17</v>
      </c>
      <c r="F3" s="1">
        <v>50.2</v>
      </c>
      <c r="G3" s="1">
        <v>51.11</v>
      </c>
    </row>
    <row r="4" spans="1:7" x14ac:dyDescent="0.25">
      <c r="A4" s="1" t="s">
        <v>8</v>
      </c>
      <c r="B4" s="1">
        <v>24606.61</v>
      </c>
      <c r="C4" s="1">
        <v>23263.08</v>
      </c>
      <c r="D4" s="1">
        <v>27725.1</v>
      </c>
      <c r="E4" s="1">
        <v>16723.43</v>
      </c>
      <c r="F4" s="1">
        <v>23683.07</v>
      </c>
      <c r="G4" s="1">
        <v>21610.49</v>
      </c>
    </row>
    <row r="5" spans="1:7" x14ac:dyDescent="0.25">
      <c r="A5" s="1" t="s">
        <v>9</v>
      </c>
      <c r="B5" s="1">
        <v>2844.24</v>
      </c>
      <c r="C5" s="1">
        <v>2868.25</v>
      </c>
      <c r="D5" s="1">
        <v>2907.03</v>
      </c>
      <c r="E5" s="1">
        <v>2508.4299999999998</v>
      </c>
      <c r="F5" s="1">
        <v>2351.56</v>
      </c>
      <c r="G5" s="1">
        <v>1819.43</v>
      </c>
    </row>
    <row r="6" spans="1:7" x14ac:dyDescent="0.25">
      <c r="A6" s="3" t="s">
        <v>10</v>
      </c>
      <c r="B6" s="3">
        <v>284.42</v>
      </c>
      <c r="C6" s="3">
        <v>289.72000000000003</v>
      </c>
      <c r="D6" s="3">
        <v>293.64</v>
      </c>
      <c r="E6" s="3">
        <v>253.38</v>
      </c>
      <c r="F6" s="3">
        <v>237.53</v>
      </c>
      <c r="G6" s="3">
        <v>185.66</v>
      </c>
    </row>
    <row r="7" spans="1:7" x14ac:dyDescent="0.25">
      <c r="A7" s="1" t="s">
        <v>11</v>
      </c>
      <c r="B7" s="1">
        <v>2661.36</v>
      </c>
      <c r="C7" s="1">
        <v>2572.96</v>
      </c>
      <c r="D7" s="1">
        <v>2751.53</v>
      </c>
      <c r="E7" s="1">
        <v>2342.4899999999998</v>
      </c>
      <c r="F7" s="1">
        <v>2236.56</v>
      </c>
      <c r="G7" s="1">
        <v>1646.63</v>
      </c>
    </row>
    <row r="8" spans="1:7" x14ac:dyDescent="0.25">
      <c r="A8" s="1" t="s">
        <v>12</v>
      </c>
      <c r="B8" s="1">
        <v>266.14</v>
      </c>
      <c r="C8" s="1">
        <v>259.89999999999998</v>
      </c>
      <c r="D8" s="1">
        <v>277.93</v>
      </c>
      <c r="E8" s="1">
        <v>236.61</v>
      </c>
      <c r="F8" s="1">
        <v>225.91</v>
      </c>
      <c r="G8" s="1">
        <v>168.02</v>
      </c>
    </row>
    <row r="9" spans="1:7" x14ac:dyDescent="0.25">
      <c r="A9" s="1" t="s">
        <v>13</v>
      </c>
      <c r="B9" s="1">
        <v>2661.36</v>
      </c>
      <c r="C9" s="1">
        <v>2572.96</v>
      </c>
      <c r="D9" s="1">
        <v>2751.53</v>
      </c>
      <c r="E9" s="1">
        <v>2342.4899999999998</v>
      </c>
      <c r="F9" s="1">
        <v>2216.44</v>
      </c>
      <c r="G9" s="1">
        <v>1004.7</v>
      </c>
    </row>
    <row r="10" spans="1:7" x14ac:dyDescent="0.25">
      <c r="A10" s="1" t="s">
        <v>14</v>
      </c>
      <c r="B10" s="1">
        <v>266.14</v>
      </c>
      <c r="C10" s="1">
        <v>259.89999999999998</v>
      </c>
      <c r="D10" s="1">
        <v>277.93</v>
      </c>
      <c r="E10" s="1">
        <v>236.61</v>
      </c>
      <c r="F10" s="1">
        <v>223.88</v>
      </c>
      <c r="G10" s="1">
        <v>102.52</v>
      </c>
    </row>
    <row r="11" spans="1:7" x14ac:dyDescent="0.25">
      <c r="A11" s="1" t="s">
        <v>15</v>
      </c>
      <c r="B11" s="1">
        <v>2507.48</v>
      </c>
      <c r="C11" s="1">
        <v>2065.23</v>
      </c>
      <c r="D11" s="1">
        <v>2719.95</v>
      </c>
      <c r="E11" s="1">
        <v>2363.81</v>
      </c>
      <c r="F11" s="1">
        <v>2107.87</v>
      </c>
      <c r="G11" s="1">
        <v>729.54</v>
      </c>
    </row>
    <row r="12" spans="1:7" x14ac:dyDescent="0.25">
      <c r="A12" s="1" t="s">
        <v>16</v>
      </c>
      <c r="B12" s="1">
        <v>271.8</v>
      </c>
      <c r="C12" s="1">
        <v>255.28</v>
      </c>
      <c r="D12" s="1">
        <v>257.94</v>
      </c>
      <c r="E12" s="1">
        <v>217.24</v>
      </c>
      <c r="F12" s="1">
        <v>244.71</v>
      </c>
      <c r="G12" s="1">
        <v>232.91</v>
      </c>
    </row>
    <row r="13" spans="1:7" x14ac:dyDescent="0.25">
      <c r="A13" s="1" t="s">
        <v>17</v>
      </c>
      <c r="B13" s="1">
        <v>28.13</v>
      </c>
      <c r="C13" s="1">
        <v>29.2</v>
      </c>
      <c r="D13" s="1">
        <v>21.15</v>
      </c>
      <c r="E13" s="1">
        <v>18.46</v>
      </c>
      <c r="F13" s="1">
        <v>22.25</v>
      </c>
      <c r="G13" s="1">
        <v>29.99</v>
      </c>
    </row>
    <row r="14" spans="1:7" x14ac:dyDescent="0.25">
      <c r="A14" s="1" t="s">
        <v>18</v>
      </c>
      <c r="B14" s="1">
        <v>70.13</v>
      </c>
      <c r="C14" s="1">
        <v>68.92</v>
      </c>
      <c r="D14" s="1">
        <v>46.71</v>
      </c>
      <c r="E14" s="1">
        <v>45.7</v>
      </c>
      <c r="F14" s="1">
        <v>53.33</v>
      </c>
      <c r="G14" s="1">
        <v>70.84</v>
      </c>
    </row>
    <row r="15" spans="1:7" x14ac:dyDescent="0.25">
      <c r="A15" s="1" t="s">
        <v>19</v>
      </c>
      <c r="B15" s="1">
        <v>10</v>
      </c>
      <c r="C15" s="1">
        <v>6</v>
      </c>
      <c r="D15" s="1">
        <v>5</v>
      </c>
      <c r="E15" s="1">
        <v>9</v>
      </c>
      <c r="F15" s="1">
        <v>5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2661.36</v>
      </c>
      <c r="C17" s="1">
        <v>2572.96</v>
      </c>
      <c r="D17" s="1">
        <v>2751.53</v>
      </c>
      <c r="E17" s="1">
        <v>2342.4899999999998</v>
      </c>
      <c r="F17" s="1">
        <v>2226.5</v>
      </c>
      <c r="G17" s="1">
        <v>1325.67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10.06</v>
      </c>
      <c r="G18" s="1">
        <v>320.97000000000003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1.5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1.4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1.9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6.6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14.141414141414144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19.191919191919194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66.666666666666671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277.44</v>
      </c>
      <c r="C33" s="3">
        <v>286.73</v>
      </c>
      <c r="D33" s="3">
        <v>291.36</v>
      </c>
      <c r="E33" s="3">
        <v>252.5</v>
      </c>
      <c r="F33" s="3">
        <v>233.46</v>
      </c>
      <c r="G33" s="3">
        <v>106.43</v>
      </c>
    </row>
    <row r="35" spans="1:7" x14ac:dyDescent="0.25">
      <c r="A35" s="3" t="s">
        <v>36</v>
      </c>
      <c r="B35" s="3"/>
      <c r="C35" s="3"/>
      <c r="D35" s="3">
        <f>D33-C33</f>
        <v>4.6299999999999955</v>
      </c>
      <c r="E35" s="3"/>
      <c r="F35" s="3">
        <f>F33-E33</f>
        <v>-19.039999999999992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-38.860000000000014</v>
      </c>
      <c r="F37" s="3"/>
      <c r="G37" s="3">
        <f>G33-F33</f>
        <v>-127.03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83E5-2DD7-4647-AC79-1641EB5702A0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471.5</v>
      </c>
      <c r="C2" s="1">
        <v>523.33000000000004</v>
      </c>
      <c r="D2" s="1">
        <v>491.03</v>
      </c>
      <c r="E2" s="1">
        <v>530.86</v>
      </c>
      <c r="F2" s="1">
        <v>543.83000000000004</v>
      </c>
      <c r="G2" s="1">
        <v>493.38</v>
      </c>
    </row>
    <row r="3" spans="1:7" x14ac:dyDescent="0.25">
      <c r="A3" s="1" t="s">
        <v>7</v>
      </c>
      <c r="B3" s="1">
        <v>54.53</v>
      </c>
      <c r="C3" s="1">
        <v>49.6</v>
      </c>
      <c r="D3" s="1">
        <v>47.38</v>
      </c>
      <c r="E3" s="1">
        <v>57.1</v>
      </c>
      <c r="F3" s="1">
        <v>54.81</v>
      </c>
      <c r="G3" s="1">
        <v>51.41</v>
      </c>
    </row>
    <row r="4" spans="1:7" x14ac:dyDescent="0.25">
      <c r="A4" s="1" t="s">
        <v>8</v>
      </c>
      <c r="B4" s="1">
        <v>26006.080000000002</v>
      </c>
      <c r="C4" s="1">
        <v>26418.49</v>
      </c>
      <c r="D4" s="1">
        <v>23637.07</v>
      </c>
      <c r="E4" s="1">
        <v>30816.05</v>
      </c>
      <c r="F4" s="1">
        <v>30303.32</v>
      </c>
      <c r="G4" s="1">
        <v>25765.25</v>
      </c>
    </row>
    <row r="5" spans="1:7" x14ac:dyDescent="0.25">
      <c r="A5" s="1" t="s">
        <v>9</v>
      </c>
      <c r="B5" s="1">
        <v>2121.2199999999998</v>
      </c>
      <c r="C5" s="1">
        <v>2046.63</v>
      </c>
      <c r="D5" s="1">
        <v>1883.38</v>
      </c>
      <c r="E5" s="1">
        <v>1441.66</v>
      </c>
      <c r="F5" s="1">
        <v>502.97</v>
      </c>
      <c r="G5" s="1">
        <v>876.59</v>
      </c>
    </row>
    <row r="6" spans="1:7" x14ac:dyDescent="0.25">
      <c r="A6" s="3" t="s">
        <v>10</v>
      </c>
      <c r="B6" s="3">
        <v>212.12</v>
      </c>
      <c r="C6" s="3">
        <v>206.73</v>
      </c>
      <c r="D6" s="3">
        <v>190.24</v>
      </c>
      <c r="E6" s="3">
        <v>145.62</v>
      </c>
      <c r="F6" s="3">
        <v>50.8</v>
      </c>
      <c r="G6" s="3">
        <v>89.45</v>
      </c>
    </row>
    <row r="7" spans="1:7" x14ac:dyDescent="0.25">
      <c r="A7" s="1" t="s">
        <v>11</v>
      </c>
      <c r="B7" s="1">
        <v>1996.13</v>
      </c>
      <c r="C7" s="1">
        <v>1980.77</v>
      </c>
      <c r="D7" s="1">
        <v>1827.42</v>
      </c>
      <c r="E7" s="1">
        <v>1415.44</v>
      </c>
      <c r="F7" s="1">
        <v>499.64</v>
      </c>
      <c r="G7" s="1">
        <v>841.82</v>
      </c>
    </row>
    <row r="8" spans="1:7" x14ac:dyDescent="0.25">
      <c r="A8" s="1" t="s">
        <v>12</v>
      </c>
      <c r="B8" s="1">
        <v>199.61</v>
      </c>
      <c r="C8" s="1">
        <v>200.08</v>
      </c>
      <c r="D8" s="1">
        <v>184.59</v>
      </c>
      <c r="E8" s="1">
        <v>142.97</v>
      </c>
      <c r="F8" s="1">
        <v>50.47</v>
      </c>
      <c r="G8" s="1">
        <v>85.9</v>
      </c>
    </row>
    <row r="9" spans="1:7" x14ac:dyDescent="0.25">
      <c r="A9" s="1" t="s">
        <v>13</v>
      </c>
      <c r="B9" s="1">
        <v>1805.85</v>
      </c>
      <c r="C9" s="1">
        <v>1980.77</v>
      </c>
      <c r="D9" s="1">
        <v>1827.42</v>
      </c>
      <c r="E9" s="1">
        <v>1415.44</v>
      </c>
      <c r="F9" s="1">
        <v>499.64</v>
      </c>
      <c r="G9" s="1">
        <v>472.68</v>
      </c>
    </row>
    <row r="10" spans="1:7" x14ac:dyDescent="0.25">
      <c r="A10" s="1" t="s">
        <v>14</v>
      </c>
      <c r="B10" s="1">
        <v>180.58</v>
      </c>
      <c r="C10" s="1">
        <v>200.08</v>
      </c>
      <c r="D10" s="1">
        <v>184.59</v>
      </c>
      <c r="E10" s="1">
        <v>142.97</v>
      </c>
      <c r="F10" s="1">
        <v>50.47</v>
      </c>
      <c r="G10" s="1">
        <v>48.23</v>
      </c>
    </row>
    <row r="11" spans="1:7" x14ac:dyDescent="0.25">
      <c r="A11" s="1" t="s">
        <v>15</v>
      </c>
      <c r="B11" s="1">
        <v>691.78</v>
      </c>
      <c r="C11" s="1">
        <v>1621.9</v>
      </c>
      <c r="D11" s="1">
        <v>1647.41</v>
      </c>
      <c r="E11" s="1">
        <v>1303.82</v>
      </c>
      <c r="F11" s="1">
        <v>480.77</v>
      </c>
      <c r="G11" s="1">
        <v>180.26</v>
      </c>
    </row>
    <row r="12" spans="1:7" x14ac:dyDescent="0.25">
      <c r="A12" s="1" t="s">
        <v>16</v>
      </c>
      <c r="B12" s="1">
        <v>232.8</v>
      </c>
      <c r="C12" s="1">
        <v>275.95</v>
      </c>
      <c r="D12" s="1">
        <v>264.74</v>
      </c>
      <c r="E12" s="1">
        <v>290.64</v>
      </c>
      <c r="F12" s="1">
        <v>259.61</v>
      </c>
      <c r="G12" s="1">
        <v>269.31</v>
      </c>
    </row>
    <row r="13" spans="1:7" x14ac:dyDescent="0.25">
      <c r="A13" s="1" t="s">
        <v>17</v>
      </c>
      <c r="B13" s="1">
        <v>43.48</v>
      </c>
      <c r="C13" s="1">
        <v>27.51</v>
      </c>
      <c r="D13" s="1">
        <v>21.89</v>
      </c>
      <c r="E13" s="1">
        <v>25</v>
      </c>
      <c r="F13" s="1">
        <v>12.79</v>
      </c>
      <c r="G13" s="1">
        <v>26.37</v>
      </c>
    </row>
    <row r="14" spans="1:7" x14ac:dyDescent="0.25">
      <c r="A14" s="1" t="s">
        <v>18</v>
      </c>
      <c r="B14" s="1">
        <v>102.06</v>
      </c>
      <c r="C14" s="1">
        <v>75.16</v>
      </c>
      <c r="D14" s="1">
        <v>60.02</v>
      </c>
      <c r="E14" s="1">
        <v>57.32</v>
      </c>
      <c r="F14" s="1">
        <v>38.549999999999997</v>
      </c>
      <c r="G14" s="1">
        <v>59.47</v>
      </c>
    </row>
    <row r="15" spans="1:7" x14ac:dyDescent="0.25">
      <c r="A15" s="1" t="s">
        <v>19</v>
      </c>
      <c r="B15" s="1">
        <v>7</v>
      </c>
      <c r="C15" s="1">
        <v>7</v>
      </c>
      <c r="D15" s="1">
        <v>3</v>
      </c>
      <c r="E15" s="1">
        <v>3</v>
      </c>
      <c r="F15" s="1">
        <v>0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1900.99</v>
      </c>
      <c r="C17" s="1">
        <v>1980.77</v>
      </c>
      <c r="D17" s="1">
        <v>1827.42</v>
      </c>
      <c r="E17" s="1">
        <v>1415.44</v>
      </c>
      <c r="F17" s="1">
        <v>499.64</v>
      </c>
      <c r="G17" s="1">
        <v>657.25</v>
      </c>
    </row>
    <row r="18" spans="1:7" x14ac:dyDescent="0.25">
      <c r="A18" s="1" t="s">
        <v>22</v>
      </c>
      <c r="B18" s="1">
        <v>95.14</v>
      </c>
      <c r="C18" s="1">
        <v>0</v>
      </c>
      <c r="D18" s="1">
        <v>0</v>
      </c>
      <c r="E18" s="1">
        <v>0</v>
      </c>
      <c r="F18" s="1">
        <v>0</v>
      </c>
      <c r="G18" s="1">
        <v>184.57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1.2</v>
      </c>
      <c r="C20" s="1">
        <v>0</v>
      </c>
      <c r="D20" s="1">
        <v>0</v>
      </c>
      <c r="E20" s="1">
        <v>0</v>
      </c>
      <c r="F20" s="1">
        <v>0</v>
      </c>
      <c r="G20" s="1">
        <v>2.4</v>
      </c>
    </row>
    <row r="21" spans="1:7" x14ac:dyDescent="0.25">
      <c r="A21" s="1" t="s">
        <v>25</v>
      </c>
      <c r="B21" s="1">
        <v>8.9</v>
      </c>
      <c r="C21" s="1">
        <v>10</v>
      </c>
      <c r="D21" s="1">
        <v>10</v>
      </c>
      <c r="E21" s="1">
        <v>10</v>
      </c>
      <c r="F21" s="1">
        <v>10</v>
      </c>
      <c r="G21" s="1">
        <v>7.5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2.8</v>
      </c>
      <c r="C24" s="1">
        <v>0</v>
      </c>
      <c r="D24" s="1">
        <v>0</v>
      </c>
      <c r="E24" s="1">
        <v>0</v>
      </c>
      <c r="F24" s="1">
        <v>0</v>
      </c>
      <c r="G24" s="1">
        <v>2.2999999999999998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1.9</v>
      </c>
    </row>
    <row r="26" spans="1:7" x14ac:dyDescent="0.25">
      <c r="A26" s="1" t="s">
        <v>30</v>
      </c>
      <c r="B26" s="1">
        <v>7.3</v>
      </c>
      <c r="C26" s="1">
        <v>10</v>
      </c>
      <c r="D26" s="1">
        <v>10</v>
      </c>
      <c r="E26" s="1">
        <v>10</v>
      </c>
      <c r="F26" s="1">
        <v>10</v>
      </c>
      <c r="G26" s="1">
        <v>5.7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27.722772277227719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23.232323232323235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19.191919191919194</v>
      </c>
    </row>
    <row r="31" spans="1:7" x14ac:dyDescent="0.25">
      <c r="A31" s="3" t="s">
        <v>34</v>
      </c>
      <c r="B31" s="3">
        <f>B26/B28*100</f>
        <v>72.277227722772281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57.575757575757592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163.02000000000001</v>
      </c>
      <c r="C33" s="3">
        <v>205.62</v>
      </c>
      <c r="D33" s="3">
        <v>189.01</v>
      </c>
      <c r="E33" s="3">
        <v>146.02000000000001</v>
      </c>
      <c r="F33" s="3">
        <v>51.11</v>
      </c>
      <c r="G33" s="3">
        <v>19.489999999999998</v>
      </c>
    </row>
    <row r="35" spans="1:7" x14ac:dyDescent="0.25">
      <c r="A35" s="3" t="s">
        <v>36</v>
      </c>
      <c r="B35" s="3"/>
      <c r="C35" s="3"/>
      <c r="D35" s="3">
        <f>D33-C33</f>
        <v>-16.610000000000014</v>
      </c>
      <c r="E35" s="3"/>
      <c r="F35" s="3">
        <f>F33-E33</f>
        <v>-94.910000000000011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-42.989999999999981</v>
      </c>
      <c r="F37" s="3"/>
      <c r="G37" s="3">
        <f>G33-F33</f>
        <v>-31.62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336A-2F19-4181-9920-6A7811461976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384.45</v>
      </c>
      <c r="C2" s="1">
        <v>398.68</v>
      </c>
      <c r="D2" s="1">
        <v>361.43</v>
      </c>
      <c r="E2" s="1">
        <v>512.84</v>
      </c>
      <c r="F2" s="1">
        <v>505.46</v>
      </c>
      <c r="G2" s="1">
        <v>455.68</v>
      </c>
    </row>
    <row r="3" spans="1:7" x14ac:dyDescent="0.25">
      <c r="A3" s="1" t="s">
        <v>7</v>
      </c>
      <c r="B3" s="1">
        <v>44.48</v>
      </c>
      <c r="C3" s="1">
        <v>47.1</v>
      </c>
      <c r="D3" s="1">
        <v>40.14</v>
      </c>
      <c r="E3" s="1">
        <v>51.41</v>
      </c>
      <c r="F3" s="1">
        <v>51.13</v>
      </c>
      <c r="G3" s="1">
        <v>59.05</v>
      </c>
    </row>
    <row r="4" spans="1:7" x14ac:dyDescent="0.25">
      <c r="A4" s="1" t="s">
        <v>8</v>
      </c>
      <c r="B4" s="1">
        <v>17500.64</v>
      </c>
      <c r="C4" s="1">
        <v>19112.189999999999</v>
      </c>
      <c r="D4" s="1">
        <v>14755.1</v>
      </c>
      <c r="E4" s="1">
        <v>26806.48</v>
      </c>
      <c r="F4" s="1">
        <v>26283.77</v>
      </c>
      <c r="G4" s="1">
        <v>27362.799999999999</v>
      </c>
    </row>
    <row r="5" spans="1:7" x14ac:dyDescent="0.25">
      <c r="A5" s="1" t="s">
        <v>9</v>
      </c>
      <c r="B5" s="1">
        <v>3258.31</v>
      </c>
      <c r="C5" s="1">
        <v>2016.71</v>
      </c>
      <c r="D5" s="1">
        <v>2540.15</v>
      </c>
      <c r="E5" s="1">
        <v>1849.56</v>
      </c>
      <c r="F5" s="1">
        <v>809.73</v>
      </c>
      <c r="G5" s="1">
        <v>1305.57</v>
      </c>
    </row>
    <row r="6" spans="1:7" x14ac:dyDescent="0.25">
      <c r="A6" s="3" t="s">
        <v>10</v>
      </c>
      <c r="B6" s="3">
        <v>325.83</v>
      </c>
      <c r="C6" s="3">
        <v>203.71</v>
      </c>
      <c r="D6" s="3">
        <v>256.58</v>
      </c>
      <c r="E6" s="3">
        <v>186.82</v>
      </c>
      <c r="F6" s="3">
        <v>81.790000000000006</v>
      </c>
      <c r="G6" s="3">
        <v>133.22</v>
      </c>
    </row>
    <row r="7" spans="1:7" x14ac:dyDescent="0.25">
      <c r="A7" s="1" t="s">
        <v>11</v>
      </c>
      <c r="B7" s="1">
        <v>2937.12</v>
      </c>
      <c r="C7" s="1">
        <v>1771.92</v>
      </c>
      <c r="D7" s="1">
        <v>2296.17</v>
      </c>
      <c r="E7" s="1">
        <v>1700.32</v>
      </c>
      <c r="F7" s="1">
        <v>785.6</v>
      </c>
      <c r="G7" s="1">
        <v>1004.08</v>
      </c>
    </row>
    <row r="8" spans="1:7" x14ac:dyDescent="0.25">
      <c r="A8" s="1" t="s">
        <v>12</v>
      </c>
      <c r="B8" s="1">
        <v>293.70999999999998</v>
      </c>
      <c r="C8" s="1">
        <v>178.98</v>
      </c>
      <c r="D8" s="1">
        <v>231.94</v>
      </c>
      <c r="E8" s="1">
        <v>171.75</v>
      </c>
      <c r="F8" s="1">
        <v>79.349999999999994</v>
      </c>
      <c r="G8" s="1">
        <v>102.46</v>
      </c>
    </row>
    <row r="9" spans="1:7" x14ac:dyDescent="0.25">
      <c r="A9" s="1" t="s">
        <v>13</v>
      </c>
      <c r="B9" s="1">
        <v>2937.12</v>
      </c>
      <c r="C9" s="1">
        <v>1742.14</v>
      </c>
      <c r="D9" s="1">
        <v>2296.17</v>
      </c>
      <c r="E9" s="1">
        <v>1700.32</v>
      </c>
      <c r="F9" s="1">
        <v>442.78</v>
      </c>
      <c r="G9" s="1">
        <v>309.37</v>
      </c>
    </row>
    <row r="10" spans="1:7" x14ac:dyDescent="0.25">
      <c r="A10" s="1" t="s">
        <v>14</v>
      </c>
      <c r="B10" s="1">
        <v>293.70999999999998</v>
      </c>
      <c r="C10" s="1">
        <v>175.97</v>
      </c>
      <c r="D10" s="1">
        <v>231.94</v>
      </c>
      <c r="E10" s="1">
        <v>171.75</v>
      </c>
      <c r="F10" s="1">
        <v>44.73</v>
      </c>
      <c r="G10" s="1">
        <v>31.57</v>
      </c>
    </row>
    <row r="11" spans="1:7" x14ac:dyDescent="0.25">
      <c r="A11" s="1" t="s">
        <v>15</v>
      </c>
      <c r="B11" s="1">
        <v>2325.46</v>
      </c>
      <c r="C11" s="1">
        <v>1635.64</v>
      </c>
      <c r="D11" s="1">
        <v>2329.41</v>
      </c>
      <c r="E11" s="1">
        <v>1530.84</v>
      </c>
      <c r="F11" s="1">
        <v>204.86</v>
      </c>
      <c r="G11" s="1">
        <v>119.97</v>
      </c>
    </row>
    <row r="12" spans="1:7" x14ac:dyDescent="0.25">
      <c r="A12" s="1" t="s">
        <v>16</v>
      </c>
      <c r="B12" s="1">
        <v>212.69</v>
      </c>
      <c r="C12" s="1">
        <v>205.37</v>
      </c>
      <c r="D12" s="1">
        <v>213.97</v>
      </c>
      <c r="E12" s="1">
        <v>244.6</v>
      </c>
      <c r="F12" s="1">
        <v>235.74</v>
      </c>
      <c r="G12" s="1">
        <v>193.6</v>
      </c>
    </row>
    <row r="13" spans="1:7" x14ac:dyDescent="0.25">
      <c r="A13" s="1" t="s">
        <v>17</v>
      </c>
      <c r="B13" s="1">
        <v>30.08</v>
      </c>
      <c r="C13" s="1">
        <v>28.02</v>
      </c>
      <c r="D13" s="1">
        <v>22.08</v>
      </c>
      <c r="E13" s="1">
        <v>32.14</v>
      </c>
      <c r="F13" s="1">
        <v>14.58</v>
      </c>
      <c r="G13" s="1">
        <v>55.55</v>
      </c>
    </row>
    <row r="14" spans="1:7" x14ac:dyDescent="0.25">
      <c r="A14" s="1" t="s">
        <v>18</v>
      </c>
      <c r="B14" s="1">
        <v>87.48</v>
      </c>
      <c r="C14" s="1">
        <v>81.25</v>
      </c>
      <c r="D14" s="1">
        <v>69.31</v>
      </c>
      <c r="E14" s="1">
        <v>61.86</v>
      </c>
      <c r="F14" s="1">
        <v>48.1</v>
      </c>
      <c r="G14" s="1">
        <v>95</v>
      </c>
    </row>
    <row r="15" spans="1:7" x14ac:dyDescent="0.25">
      <c r="A15" s="1" t="s">
        <v>19</v>
      </c>
      <c r="B15" s="1">
        <v>7</v>
      </c>
      <c r="C15" s="1">
        <v>6</v>
      </c>
      <c r="D15" s="1">
        <v>4</v>
      </c>
      <c r="E15" s="1">
        <v>8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2937.12</v>
      </c>
      <c r="C17" s="1">
        <v>1757.03</v>
      </c>
      <c r="D17" s="1">
        <v>2296.17</v>
      </c>
      <c r="E17" s="1">
        <v>1700.32</v>
      </c>
      <c r="F17" s="1">
        <v>614.19000000000005</v>
      </c>
      <c r="G17" s="1">
        <v>656.73</v>
      </c>
    </row>
    <row r="18" spans="1:7" x14ac:dyDescent="0.25">
      <c r="A18" s="1" t="s">
        <v>22</v>
      </c>
      <c r="B18" s="1">
        <v>0</v>
      </c>
      <c r="C18" s="1">
        <v>14.89</v>
      </c>
      <c r="D18" s="1">
        <v>0</v>
      </c>
      <c r="E18" s="1">
        <v>0</v>
      </c>
      <c r="F18" s="1">
        <v>171.41</v>
      </c>
      <c r="G18" s="1">
        <v>347.35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3.1</v>
      </c>
      <c r="G20" s="1">
        <v>2.6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6.9</v>
      </c>
      <c r="G21" s="1">
        <v>7.3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2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4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2.5</v>
      </c>
    </row>
    <row r="25" spans="1:7" x14ac:dyDescent="0.25">
      <c r="A25" s="1" t="s">
        <v>29</v>
      </c>
      <c r="B25" s="1">
        <v>0</v>
      </c>
      <c r="C25" s="1">
        <v>1.7</v>
      </c>
      <c r="D25" s="1">
        <v>0</v>
      </c>
      <c r="E25" s="1">
        <v>0</v>
      </c>
      <c r="F25" s="1">
        <v>2.2000000000000002</v>
      </c>
      <c r="G25" s="1">
        <v>1.5</v>
      </c>
    </row>
    <row r="26" spans="1:7" x14ac:dyDescent="0.25">
      <c r="A26" s="1" t="s">
        <v>30</v>
      </c>
      <c r="B26" s="1">
        <v>10.1</v>
      </c>
      <c r="C26" s="1">
        <v>8.3000000000000007</v>
      </c>
      <c r="D26" s="1">
        <v>10</v>
      </c>
      <c r="E26" s="1">
        <v>10</v>
      </c>
      <c r="F26" s="1">
        <v>5.8</v>
      </c>
      <c r="G26" s="1">
        <v>5.9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20</v>
      </c>
      <c r="G29" s="3">
        <f t="shared" si="1"/>
        <v>25.252525252525253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17</v>
      </c>
      <c r="D30" s="3">
        <f t="shared" si="2"/>
        <v>0</v>
      </c>
      <c r="E30" s="3">
        <f t="shared" si="2"/>
        <v>0</v>
      </c>
      <c r="F30" s="3">
        <f t="shared" si="2"/>
        <v>22.000000000000004</v>
      </c>
      <c r="G30" s="3">
        <f t="shared" si="2"/>
        <v>15.151515151515152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83</v>
      </c>
      <c r="D31" s="3">
        <f t="shared" si="3"/>
        <v>100</v>
      </c>
      <c r="E31" s="3">
        <f t="shared" si="3"/>
        <v>100</v>
      </c>
      <c r="F31" s="3">
        <f t="shared" si="3"/>
        <v>57.999999999999993</v>
      </c>
      <c r="G31" s="3">
        <f t="shared" si="3"/>
        <v>59.595959595959599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319.02</v>
      </c>
      <c r="C33" s="3">
        <v>194.95</v>
      </c>
      <c r="D33" s="3">
        <v>252.77</v>
      </c>
      <c r="E33" s="3">
        <v>187.05</v>
      </c>
      <c r="F33" s="3">
        <v>22.05</v>
      </c>
      <c r="G33" s="3">
        <v>49.35</v>
      </c>
    </row>
    <row r="35" spans="1:7" x14ac:dyDescent="0.25">
      <c r="A35" s="3" t="s">
        <v>36</v>
      </c>
      <c r="B35" s="3"/>
      <c r="C35" s="3"/>
      <c r="D35" s="3">
        <f>D33-C33</f>
        <v>57.820000000000022</v>
      </c>
      <c r="E35" s="3"/>
      <c r="F35" s="3">
        <f>F33-E33</f>
        <v>-165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-65.72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9526-479A-42B5-A7B0-EDB57F4B39E7}">
  <dimension ref="A1:G37"/>
  <sheetViews>
    <sheetView tabSelected="1"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512.04999999999995</v>
      </c>
      <c r="C2" s="1">
        <v>499.5</v>
      </c>
      <c r="D2" s="1">
        <v>531.61</v>
      </c>
      <c r="E2" s="1">
        <v>527.26</v>
      </c>
      <c r="F2" s="1">
        <v>531.37</v>
      </c>
      <c r="G2" s="1">
        <v>527.79999999999995</v>
      </c>
    </row>
    <row r="3" spans="1:7" x14ac:dyDescent="0.25">
      <c r="A3" s="1" t="s">
        <v>7</v>
      </c>
      <c r="B3" s="1">
        <v>53.65</v>
      </c>
      <c r="C3" s="1">
        <v>50.82</v>
      </c>
      <c r="D3" s="1">
        <v>55.71</v>
      </c>
      <c r="E3" s="1">
        <v>65.3</v>
      </c>
      <c r="F3" s="1">
        <v>65.239999999999995</v>
      </c>
      <c r="G3" s="1">
        <v>63.33</v>
      </c>
    </row>
    <row r="4" spans="1:7" x14ac:dyDescent="0.25">
      <c r="A4" s="1" t="s">
        <v>8</v>
      </c>
      <c r="B4" s="1">
        <v>27883.51</v>
      </c>
      <c r="C4" s="1">
        <v>25796.89</v>
      </c>
      <c r="D4" s="1">
        <v>30119.88</v>
      </c>
      <c r="E4" s="1">
        <v>35046.480000000003</v>
      </c>
      <c r="F4" s="1">
        <v>35345.47</v>
      </c>
      <c r="G4" s="1">
        <v>34013.06</v>
      </c>
    </row>
    <row r="5" spans="1:7" x14ac:dyDescent="0.25">
      <c r="A5" s="1" t="s">
        <v>9</v>
      </c>
      <c r="B5" s="1">
        <v>2880.34</v>
      </c>
      <c r="C5" s="1">
        <v>2345.6</v>
      </c>
      <c r="D5" s="1">
        <v>2874.38</v>
      </c>
      <c r="E5" s="1">
        <v>1969.65</v>
      </c>
      <c r="F5" s="1">
        <v>1365.16</v>
      </c>
      <c r="G5" s="1">
        <v>1761.75</v>
      </c>
    </row>
    <row r="6" spans="1:7" x14ac:dyDescent="0.25">
      <c r="A6" s="3" t="s">
        <v>10</v>
      </c>
      <c r="B6" s="3">
        <v>288.02999999999997</v>
      </c>
      <c r="C6" s="3">
        <v>236.93</v>
      </c>
      <c r="D6" s="3">
        <v>290.33999999999997</v>
      </c>
      <c r="E6" s="3">
        <v>198.95</v>
      </c>
      <c r="F6" s="3">
        <v>137.9</v>
      </c>
      <c r="G6" s="3">
        <v>179.77</v>
      </c>
    </row>
    <row r="7" spans="1:7" x14ac:dyDescent="0.25">
      <c r="A7" s="1" t="s">
        <v>11</v>
      </c>
      <c r="B7" s="1">
        <v>2508.6</v>
      </c>
      <c r="C7" s="1">
        <v>2137.2800000000002</v>
      </c>
      <c r="D7" s="1">
        <v>2635.39</v>
      </c>
      <c r="E7" s="1">
        <v>1815.44</v>
      </c>
      <c r="F7" s="1">
        <v>1249.69</v>
      </c>
      <c r="G7" s="1">
        <v>1562.67</v>
      </c>
    </row>
    <row r="8" spans="1:7" x14ac:dyDescent="0.25">
      <c r="A8" s="1" t="s">
        <v>12</v>
      </c>
      <c r="B8" s="1">
        <v>250.86</v>
      </c>
      <c r="C8" s="1">
        <v>215.89</v>
      </c>
      <c r="D8" s="1">
        <v>266.2</v>
      </c>
      <c r="E8" s="1">
        <v>183.38</v>
      </c>
      <c r="F8" s="1">
        <v>126.23</v>
      </c>
      <c r="G8" s="1">
        <v>159.46</v>
      </c>
    </row>
    <row r="9" spans="1:7" x14ac:dyDescent="0.25">
      <c r="A9" s="1" t="s">
        <v>13</v>
      </c>
      <c r="B9" s="1">
        <v>2508.6</v>
      </c>
      <c r="C9" s="1">
        <v>2137.2800000000002</v>
      </c>
      <c r="D9" s="1">
        <v>2635.39</v>
      </c>
      <c r="E9" s="1">
        <v>1815.44</v>
      </c>
      <c r="F9" s="1">
        <v>-906.96</v>
      </c>
      <c r="G9" s="1">
        <v>1457.53</v>
      </c>
    </row>
    <row r="10" spans="1:7" x14ac:dyDescent="0.25">
      <c r="A10" s="1" t="s">
        <v>14</v>
      </c>
      <c r="B10" s="1">
        <v>250.86</v>
      </c>
      <c r="C10" s="1">
        <v>215.89</v>
      </c>
      <c r="D10" s="1">
        <v>266.2</v>
      </c>
      <c r="E10" s="1">
        <v>183.38</v>
      </c>
      <c r="F10" s="1">
        <v>-91.61</v>
      </c>
      <c r="G10" s="1">
        <v>148.72999999999999</v>
      </c>
    </row>
    <row r="11" spans="1:7" x14ac:dyDescent="0.25">
      <c r="A11" s="1" t="s">
        <v>15</v>
      </c>
      <c r="B11" s="1">
        <v>2053</v>
      </c>
      <c r="C11" s="1">
        <v>1820.09</v>
      </c>
      <c r="D11" s="1">
        <v>2699.25</v>
      </c>
      <c r="E11" s="1">
        <v>1638.33</v>
      </c>
      <c r="F11" s="1">
        <v>627.84</v>
      </c>
      <c r="G11" s="1">
        <v>1155.6400000000001</v>
      </c>
    </row>
    <row r="12" spans="1:7" x14ac:dyDescent="0.25">
      <c r="A12" s="1" t="s">
        <v>16</v>
      </c>
      <c r="B12" s="1">
        <v>262.62</v>
      </c>
      <c r="C12" s="1">
        <v>254.51</v>
      </c>
      <c r="D12" s="1">
        <v>258.3</v>
      </c>
      <c r="E12" s="1">
        <v>252.31</v>
      </c>
      <c r="F12" s="1">
        <v>218.26</v>
      </c>
      <c r="G12" s="1">
        <v>171.89</v>
      </c>
    </row>
    <row r="13" spans="1:7" x14ac:dyDescent="0.25">
      <c r="A13" s="1" t="s">
        <v>17</v>
      </c>
      <c r="B13" s="1">
        <v>44.42</v>
      </c>
      <c r="C13" s="1">
        <v>35.04</v>
      </c>
      <c r="D13" s="1">
        <v>27.54</v>
      </c>
      <c r="E13" s="1">
        <v>28.54</v>
      </c>
      <c r="F13" s="1">
        <v>45.6</v>
      </c>
      <c r="G13" s="1">
        <v>44.88</v>
      </c>
    </row>
    <row r="14" spans="1:7" x14ac:dyDescent="0.25">
      <c r="A14" s="1" t="s">
        <v>18</v>
      </c>
      <c r="B14" s="1">
        <v>92.37</v>
      </c>
      <c r="C14" s="1">
        <v>76.95</v>
      </c>
      <c r="D14" s="1">
        <v>68.400000000000006</v>
      </c>
      <c r="E14" s="1">
        <v>69.72</v>
      </c>
      <c r="F14" s="1">
        <v>97.65</v>
      </c>
      <c r="G14" s="1">
        <v>97.15</v>
      </c>
    </row>
    <row r="15" spans="1:7" x14ac:dyDescent="0.25">
      <c r="A15" s="1" t="s">
        <v>19</v>
      </c>
      <c r="B15" s="1">
        <v>9</v>
      </c>
      <c r="C15" s="1">
        <v>7</v>
      </c>
      <c r="D15" s="1">
        <v>5</v>
      </c>
      <c r="E15" s="1">
        <v>7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2508.6</v>
      </c>
      <c r="C17" s="1">
        <v>2137.2800000000002</v>
      </c>
      <c r="D17" s="1">
        <v>2635.39</v>
      </c>
      <c r="E17" s="1">
        <v>1815.44</v>
      </c>
      <c r="F17" s="1">
        <v>171.37</v>
      </c>
      <c r="G17" s="1">
        <v>1510.1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1078.33</v>
      </c>
      <c r="G18" s="1">
        <v>52.57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4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6.6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3.4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7.5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2.5</v>
      </c>
      <c r="G26" s="1">
        <v>8.9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75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10.1010101010101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25</v>
      </c>
      <c r="G31" s="3">
        <f t="shared" si="3"/>
        <v>89.898989898989896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280.05</v>
      </c>
      <c r="C33" s="3">
        <v>233.33</v>
      </c>
      <c r="D33" s="3">
        <v>285.95999999999998</v>
      </c>
      <c r="E33" s="3">
        <v>195.39</v>
      </c>
      <c r="F33" s="3">
        <v>-85.73</v>
      </c>
      <c r="G33" s="3">
        <v>151.41999999999999</v>
      </c>
    </row>
    <row r="35" spans="1:7" x14ac:dyDescent="0.25">
      <c r="A35" s="3" t="s">
        <v>36</v>
      </c>
      <c r="B35" s="3"/>
      <c r="C35" s="3"/>
      <c r="D35" s="3">
        <f>D33-C33</f>
        <v>52.629999999999967</v>
      </c>
      <c r="E35" s="3"/>
      <c r="F35" s="3">
        <f>F33-E33</f>
        <v>-281.12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-90.57</v>
      </c>
      <c r="F37" s="3"/>
      <c r="G37" s="3">
        <f>G33-F33</f>
        <v>237.14999999999998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B339-4632-4F63-8450-9149372E5494}">
  <dimension ref="A1:G37"/>
  <sheetViews>
    <sheetView zoomScale="80" zoomScaleNormal="80" workbookViewId="0">
      <selection activeCell="A43" sqref="A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240705Bwt001.1</vt:lpstr>
      <vt:lpstr>240705Bwt001.2</vt:lpstr>
      <vt:lpstr>240705Bwt001.3</vt:lpstr>
      <vt:lpstr>240705Bwt002.3</vt:lpstr>
      <vt:lpstr>240705Bwt003.1</vt:lpstr>
      <vt:lpstr>240705Bwt003.2</vt:lpstr>
      <vt:lpstr>240705Bwt003.3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2024-07-19T20:19:56Z</dcterms:created>
  <dcterms:modified xsi:type="dcterms:W3CDTF">2024-07-20T20:35:12Z</dcterms:modified>
</cp:coreProperties>
</file>