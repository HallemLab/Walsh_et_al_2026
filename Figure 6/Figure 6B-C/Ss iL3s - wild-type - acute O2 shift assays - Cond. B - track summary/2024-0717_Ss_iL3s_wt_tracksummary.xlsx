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7\WormLab Data\"/>
    </mc:Choice>
  </mc:AlternateContent>
  <xr:revisionPtr revIDLastSave="0" documentId="13_ncr:1_{3E068983-B0E5-424D-9AD0-1C21FC8173E2}" xr6:coauthVersionLast="47" xr6:coauthVersionMax="47" xr10:uidLastSave="{00000000-0000-0000-0000-000000000000}"/>
  <bookViews>
    <workbookView xWindow="768" yWindow="768" windowWidth="21036" windowHeight="11256" firstSheet="3" activeTab="8" xr2:uid="{BF4F077B-70FE-41C7-85AA-0B459645B63D}"/>
  </bookViews>
  <sheets>
    <sheet name="240717B001.1" sheetId="2" r:id="rId1"/>
    <sheet name="240717B001.2" sheetId="3" r:id="rId2"/>
    <sheet name="240717B001.3" sheetId="4" r:id="rId3"/>
    <sheet name="240717B001.4" sheetId="5" r:id="rId4"/>
    <sheet name="240717B002.1" sheetId="6" r:id="rId5"/>
    <sheet name="240717B002.2" sheetId="7" r:id="rId6"/>
    <sheet name="240717B002.3" sheetId="8" r:id="rId7"/>
    <sheet name="240717B003.2" sheetId="9" r:id="rId8"/>
    <sheet name="240717B003.4" sheetId="10" r:id="rId9"/>
    <sheet name="templat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0" l="1"/>
  <c r="E37" i="10"/>
  <c r="C37" i="10"/>
  <c r="F35" i="10"/>
  <c r="D35" i="10"/>
  <c r="G28" i="10"/>
  <c r="G30" i="10" s="1"/>
  <c r="F28" i="10"/>
  <c r="F31" i="10" s="1"/>
  <c r="E28" i="10"/>
  <c r="E31" i="10" s="1"/>
  <c r="D28" i="10"/>
  <c r="D31" i="10" s="1"/>
  <c r="C28" i="10"/>
  <c r="C31" i="10" s="1"/>
  <c r="B28" i="10"/>
  <c r="B31" i="10" s="1"/>
  <c r="G37" i="9"/>
  <c r="E37" i="9"/>
  <c r="C37" i="9"/>
  <c r="F35" i="9"/>
  <c r="D35" i="9"/>
  <c r="B31" i="9"/>
  <c r="B30" i="9"/>
  <c r="B29" i="9"/>
  <c r="G28" i="9"/>
  <c r="G31" i="9" s="1"/>
  <c r="F28" i="9"/>
  <c r="F31" i="9" s="1"/>
  <c r="E28" i="9"/>
  <c r="E30" i="9" s="1"/>
  <c r="D28" i="9"/>
  <c r="D29" i="9" s="1"/>
  <c r="C28" i="9"/>
  <c r="C29" i="9" s="1"/>
  <c r="B28" i="9"/>
  <c r="G37" i="8"/>
  <c r="E37" i="8"/>
  <c r="C37" i="8"/>
  <c r="F35" i="8"/>
  <c r="D35" i="8"/>
  <c r="G28" i="8"/>
  <c r="G30" i="8" s="1"/>
  <c r="F28" i="8"/>
  <c r="F30" i="8" s="1"/>
  <c r="E28" i="8"/>
  <c r="E30" i="8" s="1"/>
  <c r="D28" i="8"/>
  <c r="D29" i="8" s="1"/>
  <c r="C28" i="8"/>
  <c r="C29" i="8" s="1"/>
  <c r="B28" i="8"/>
  <c r="B31" i="8" s="1"/>
  <c r="G37" i="7"/>
  <c r="E37" i="7"/>
  <c r="C37" i="7"/>
  <c r="F35" i="7"/>
  <c r="D35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31" i="7" s="1"/>
  <c r="G37" i="6"/>
  <c r="E37" i="6"/>
  <c r="C37" i="6"/>
  <c r="F35" i="6"/>
  <c r="D35" i="6"/>
  <c r="D31" i="6"/>
  <c r="C31" i="6"/>
  <c r="B31" i="6"/>
  <c r="D30" i="6"/>
  <c r="C30" i="6"/>
  <c r="B30" i="6"/>
  <c r="G28" i="6"/>
  <c r="G31" i="6" s="1"/>
  <c r="F28" i="6"/>
  <c r="F29" i="6" s="1"/>
  <c r="E28" i="6"/>
  <c r="E29" i="6" s="1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31" i="3" s="1"/>
  <c r="F28" i="3"/>
  <c r="F31" i="3" s="1"/>
  <c r="E28" i="3"/>
  <c r="E30" i="3" s="1"/>
  <c r="D28" i="3"/>
  <c r="D31" i="3" s="1"/>
  <c r="C28" i="3"/>
  <c r="C31" i="3" s="1"/>
  <c r="B28" i="3"/>
  <c r="B31" i="3" s="1"/>
  <c r="G37" i="2"/>
  <c r="E37" i="2"/>
  <c r="C37" i="2"/>
  <c r="F35" i="2"/>
  <c r="D35" i="2"/>
  <c r="G28" i="2"/>
  <c r="G29" i="2" s="1"/>
  <c r="F28" i="2"/>
  <c r="F30" i="2" s="1"/>
  <c r="E28" i="2"/>
  <c r="E30" i="2" s="1"/>
  <c r="D28" i="2"/>
  <c r="D30" i="2" s="1"/>
  <c r="C28" i="2"/>
  <c r="C29" i="2" s="1"/>
  <c r="B28" i="2"/>
  <c r="B29" i="2" s="1"/>
  <c r="G37" i="1"/>
  <c r="E37" i="1"/>
  <c r="C37" i="1"/>
  <c r="F35" i="1"/>
  <c r="D35" i="1"/>
  <c r="F31" i="1"/>
  <c r="D31" i="1"/>
  <c r="C31" i="1"/>
  <c r="B31" i="1"/>
  <c r="G28" i="1"/>
  <c r="G31" i="1" s="1"/>
  <c r="F28" i="1"/>
  <c r="F30" i="1" s="1"/>
  <c r="E28" i="1"/>
  <c r="E30" i="1" s="1"/>
  <c r="D28" i="1"/>
  <c r="D29" i="1" s="1"/>
  <c r="C28" i="1"/>
  <c r="C30" i="1" s="1"/>
  <c r="B28" i="1"/>
  <c r="B30" i="1" s="1"/>
  <c r="B29" i="10" l="1"/>
  <c r="C29" i="10"/>
  <c r="B30" i="10"/>
  <c r="C30" i="10"/>
  <c r="D29" i="10"/>
  <c r="G29" i="10"/>
  <c r="D30" i="10"/>
  <c r="G31" i="10"/>
  <c r="E29" i="10"/>
  <c r="F29" i="10"/>
  <c r="E30" i="10"/>
  <c r="F30" i="10"/>
  <c r="E29" i="9"/>
  <c r="F29" i="9"/>
  <c r="G29" i="9"/>
  <c r="F30" i="9"/>
  <c r="G30" i="9"/>
  <c r="E31" i="9"/>
  <c r="C30" i="9"/>
  <c r="D30" i="9"/>
  <c r="C31" i="9"/>
  <c r="D31" i="9"/>
  <c r="B29" i="8"/>
  <c r="E29" i="8"/>
  <c r="F29" i="8"/>
  <c r="B30" i="8"/>
  <c r="E31" i="8"/>
  <c r="G31" i="8"/>
  <c r="G29" i="8"/>
  <c r="F31" i="8"/>
  <c r="C30" i="8"/>
  <c r="D30" i="8"/>
  <c r="C31" i="8"/>
  <c r="D31" i="8"/>
  <c r="B29" i="7"/>
  <c r="B30" i="7"/>
  <c r="E31" i="7"/>
  <c r="F31" i="7"/>
  <c r="G31" i="7"/>
  <c r="E29" i="7"/>
  <c r="F29" i="7"/>
  <c r="G29" i="7"/>
  <c r="C30" i="7"/>
  <c r="D30" i="7"/>
  <c r="C31" i="7"/>
  <c r="D31" i="7"/>
  <c r="F31" i="6"/>
  <c r="G29" i="6"/>
  <c r="E30" i="6"/>
  <c r="F30" i="6"/>
  <c r="G30" i="6"/>
  <c r="E31" i="6"/>
  <c r="B29" i="3"/>
  <c r="F29" i="3"/>
  <c r="B30" i="3"/>
  <c r="F30" i="3"/>
  <c r="E31" i="3"/>
  <c r="C29" i="3"/>
  <c r="D29" i="3"/>
  <c r="E29" i="3"/>
  <c r="G29" i="3"/>
  <c r="C30" i="3"/>
  <c r="D30" i="3"/>
  <c r="G30" i="3"/>
  <c r="G30" i="2"/>
  <c r="B31" i="2"/>
  <c r="C31" i="2"/>
  <c r="D31" i="2"/>
  <c r="E31" i="2"/>
  <c r="G31" i="2"/>
  <c r="E29" i="2"/>
  <c r="F29" i="2"/>
  <c r="B30" i="2"/>
  <c r="C30" i="2"/>
  <c r="F31" i="2"/>
  <c r="D29" i="2"/>
  <c r="G30" i="1"/>
  <c r="E31" i="1"/>
  <c r="B29" i="1"/>
  <c r="E29" i="1"/>
  <c r="C29" i="1"/>
  <c r="F29" i="1"/>
  <c r="G29" i="1"/>
  <c r="D30" i="1"/>
</calcChain>
</file>

<file path=xl/sharedStrings.xml><?xml version="1.0" encoding="utf-8"?>
<sst xmlns="http://schemas.openxmlformats.org/spreadsheetml/2006/main" count="380" uniqueCount="37">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</sst>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F3E7-5400-46CE-84BF-8F7B8CB5E81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537.16999999999996</v>
      </c>
      <c r="C2" s="1">
        <v>539.20000000000005</v>
      </c>
      <c r="D2" s="1">
        <v>539.16999999999996</v>
      </c>
      <c r="E2" s="1">
        <v>539.21</v>
      </c>
      <c r="F2" s="1">
        <v>536.96</v>
      </c>
      <c r="G2" s="1">
        <v>538.79</v>
      </c>
    </row>
    <row r="3" spans="1:7" x14ac:dyDescent="0.3">
      <c r="A3" s="1" t="s">
        <v>7</v>
      </c>
      <c r="B3" s="1">
        <v>43.25</v>
      </c>
      <c r="C3" s="1">
        <v>43.37</v>
      </c>
      <c r="D3" s="1">
        <v>43.51</v>
      </c>
      <c r="E3" s="1">
        <v>44.31</v>
      </c>
      <c r="F3" s="1">
        <v>44.29</v>
      </c>
      <c r="G3" s="1">
        <v>44.56</v>
      </c>
    </row>
    <row r="4" spans="1:7" x14ac:dyDescent="0.3">
      <c r="A4" s="1" t="s">
        <v>8</v>
      </c>
      <c r="B4" s="1">
        <v>23633.22</v>
      </c>
      <c r="C4" s="1">
        <v>23784.5</v>
      </c>
      <c r="D4" s="1">
        <v>23861.77</v>
      </c>
      <c r="E4" s="1">
        <v>24306.05</v>
      </c>
      <c r="F4" s="1">
        <v>24194.25</v>
      </c>
      <c r="G4" s="1">
        <v>24422.34</v>
      </c>
    </row>
    <row r="5" spans="1:7" x14ac:dyDescent="0.3">
      <c r="A5" s="1" t="s">
        <v>9</v>
      </c>
      <c r="B5" s="1">
        <v>56.85</v>
      </c>
      <c r="C5" s="1">
        <v>70.569999999999993</v>
      </c>
      <c r="D5" s="1">
        <v>74.010000000000005</v>
      </c>
      <c r="E5" s="1">
        <v>72.31</v>
      </c>
      <c r="F5" s="1">
        <v>84.37</v>
      </c>
      <c r="G5" s="1">
        <v>87.34</v>
      </c>
    </row>
    <row r="6" spans="1:7" x14ac:dyDescent="0.3">
      <c r="A6" s="3" t="s">
        <v>10</v>
      </c>
      <c r="B6" s="3">
        <v>5.68</v>
      </c>
      <c r="C6" s="3">
        <v>7.13</v>
      </c>
      <c r="D6" s="3">
        <v>7.48</v>
      </c>
      <c r="E6" s="3">
        <v>7.3</v>
      </c>
      <c r="F6" s="3">
        <v>8.52</v>
      </c>
      <c r="G6" s="3">
        <v>8.91</v>
      </c>
    </row>
    <row r="7" spans="1:7" x14ac:dyDescent="0.3">
      <c r="A7" s="1" t="s">
        <v>11</v>
      </c>
      <c r="B7" s="1">
        <v>54.28</v>
      </c>
      <c r="C7" s="1">
        <v>65.47</v>
      </c>
      <c r="D7" s="1">
        <v>68.09</v>
      </c>
      <c r="E7" s="1">
        <v>53.46</v>
      </c>
      <c r="F7" s="1">
        <v>66.430000000000007</v>
      </c>
      <c r="G7" s="1">
        <v>73.25</v>
      </c>
    </row>
    <row r="8" spans="1:7" x14ac:dyDescent="0.3">
      <c r="A8" s="1" t="s">
        <v>12</v>
      </c>
      <c r="B8" s="1">
        <v>5.43</v>
      </c>
      <c r="C8" s="1">
        <v>6.61</v>
      </c>
      <c r="D8" s="1">
        <v>6.88</v>
      </c>
      <c r="E8" s="1">
        <v>5.4</v>
      </c>
      <c r="F8" s="1">
        <v>6.71</v>
      </c>
      <c r="G8" s="1">
        <v>7.47</v>
      </c>
    </row>
    <row r="9" spans="1:7" x14ac:dyDescent="0.3">
      <c r="A9" s="1" t="s">
        <v>13</v>
      </c>
      <c r="B9" s="1">
        <v>-5.44</v>
      </c>
      <c r="C9" s="1">
        <v>5.72</v>
      </c>
      <c r="D9" s="1">
        <v>-6.59</v>
      </c>
      <c r="E9" s="1">
        <v>-5.04</v>
      </c>
      <c r="F9" s="1">
        <v>-6.98</v>
      </c>
      <c r="G9" s="1">
        <v>-5.89</v>
      </c>
    </row>
    <row r="10" spans="1:7" x14ac:dyDescent="0.3">
      <c r="A10" s="1" t="s">
        <v>14</v>
      </c>
      <c r="B10" s="1">
        <v>-0.54</v>
      </c>
      <c r="C10" s="1">
        <v>0.57999999999999996</v>
      </c>
      <c r="D10" s="1">
        <v>-0.67</v>
      </c>
      <c r="E10" s="1">
        <v>-0.51</v>
      </c>
      <c r="F10" s="1">
        <v>-0.71</v>
      </c>
      <c r="G10" s="1">
        <v>-0.6</v>
      </c>
    </row>
    <row r="11" spans="1:7" x14ac:dyDescent="0.3">
      <c r="A11" s="1" t="s">
        <v>15</v>
      </c>
      <c r="B11" s="1">
        <v>1.28</v>
      </c>
      <c r="C11" s="1">
        <v>1.68</v>
      </c>
      <c r="D11" s="1">
        <v>1.92</v>
      </c>
      <c r="E11" s="1">
        <v>4.2</v>
      </c>
      <c r="F11" s="1">
        <v>2.2000000000000002</v>
      </c>
      <c r="G11" s="1">
        <v>2.91</v>
      </c>
    </row>
    <row r="12" spans="1:7" x14ac:dyDescent="0.3">
      <c r="A12" s="1" t="s">
        <v>16</v>
      </c>
      <c r="B12" s="1">
        <v>200.8</v>
      </c>
      <c r="C12" s="1">
        <v>218.88</v>
      </c>
      <c r="D12" s="1">
        <v>230.62</v>
      </c>
      <c r="E12" s="1">
        <v>204.04</v>
      </c>
      <c r="F12" s="1">
        <v>226.46</v>
      </c>
      <c r="G12" s="1">
        <v>222.01</v>
      </c>
    </row>
    <row r="13" spans="1:7" x14ac:dyDescent="0.3">
      <c r="A13" s="1" t="s">
        <v>17</v>
      </c>
      <c r="B13" s="1">
        <v>15.45</v>
      </c>
      <c r="C13" s="1">
        <v>16.13</v>
      </c>
      <c r="D13" s="1">
        <v>16.21</v>
      </c>
      <c r="E13" s="1">
        <v>15.92</v>
      </c>
      <c r="F13" s="1">
        <v>15.69</v>
      </c>
      <c r="G13" s="1">
        <v>15.1</v>
      </c>
    </row>
    <row r="14" spans="1:7" x14ac:dyDescent="0.3">
      <c r="A14" s="1" t="s">
        <v>18</v>
      </c>
      <c r="B14" s="1">
        <v>17.510000000000002</v>
      </c>
      <c r="C14" s="1">
        <v>18.46</v>
      </c>
      <c r="D14" s="1">
        <v>17.63</v>
      </c>
      <c r="E14" s="1">
        <v>18.62</v>
      </c>
      <c r="F14" s="1">
        <v>19.84</v>
      </c>
      <c r="G14" s="1">
        <v>18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24.42</v>
      </c>
      <c r="C17" s="1">
        <v>35.590000000000003</v>
      </c>
      <c r="D17" s="1">
        <v>30.75</v>
      </c>
      <c r="E17" s="1">
        <v>24.21</v>
      </c>
      <c r="F17" s="1">
        <v>29.72</v>
      </c>
      <c r="G17" s="1">
        <v>33.68</v>
      </c>
    </row>
    <row r="18" spans="1:7" x14ac:dyDescent="0.3">
      <c r="A18" s="1" t="s">
        <v>22</v>
      </c>
      <c r="B18" s="1">
        <v>29.86</v>
      </c>
      <c r="C18" s="1">
        <v>29.88</v>
      </c>
      <c r="D18" s="1">
        <v>37.340000000000003</v>
      </c>
      <c r="E18" s="1">
        <v>29.25</v>
      </c>
      <c r="F18" s="1">
        <v>36.71</v>
      </c>
      <c r="G18" s="1">
        <v>39.57</v>
      </c>
    </row>
    <row r="19" spans="1:7" x14ac:dyDescent="0.3">
      <c r="A19" s="1" t="s">
        <v>23</v>
      </c>
      <c r="B19" s="1">
        <v>3</v>
      </c>
      <c r="C19" s="1">
        <v>2</v>
      </c>
      <c r="D19" s="1">
        <v>2</v>
      </c>
      <c r="E19" s="1">
        <v>1</v>
      </c>
      <c r="F19" s="1">
        <v>1</v>
      </c>
      <c r="G19" s="1">
        <v>2</v>
      </c>
    </row>
    <row r="20" spans="1:7" x14ac:dyDescent="0.3">
      <c r="A20" s="1" t="s">
        <v>24</v>
      </c>
      <c r="B20" s="1">
        <v>5</v>
      </c>
      <c r="C20" s="1">
        <v>2.4</v>
      </c>
      <c r="D20" s="1">
        <v>2</v>
      </c>
      <c r="E20" s="1">
        <v>2.2000000000000002</v>
      </c>
      <c r="F20" s="1">
        <v>1.3</v>
      </c>
      <c r="G20" s="1">
        <v>2.4</v>
      </c>
    </row>
    <row r="21" spans="1:7" x14ac:dyDescent="0.3">
      <c r="A21" s="1" t="s">
        <v>25</v>
      </c>
      <c r="B21" s="1">
        <v>5.0999999999999996</v>
      </c>
      <c r="C21" s="1">
        <v>7.6</v>
      </c>
      <c r="D21" s="1">
        <v>8</v>
      </c>
      <c r="E21" s="1">
        <v>7.8</v>
      </c>
      <c r="F21" s="1">
        <v>8.6999999999999993</v>
      </c>
      <c r="G21" s="1">
        <v>7.5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-0.24</v>
      </c>
      <c r="C33" s="3">
        <v>-0.06</v>
      </c>
      <c r="D33" s="3">
        <v>-0.05</v>
      </c>
      <c r="E33" s="3">
        <v>0.22</v>
      </c>
      <c r="F33" s="3">
        <v>0.03</v>
      </c>
      <c r="G33" s="3">
        <v>-0.16</v>
      </c>
    </row>
    <row r="35" spans="1:7" x14ac:dyDescent="0.3">
      <c r="A35" s="3" t="s">
        <v>36</v>
      </c>
      <c r="B35" s="3"/>
      <c r="C35" s="3"/>
      <c r="D35" s="3">
        <f>D33-C33</f>
        <v>9.999999999999995E-3</v>
      </c>
      <c r="E35" s="3"/>
      <c r="F35" s="3">
        <f>F33-E33</f>
        <v>-0.19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0.27</v>
      </c>
      <c r="F37" s="3"/>
      <c r="G37" s="3">
        <f>G33-F33</f>
        <v>-0.19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2C8A-A42A-45EA-87B1-1903CA326AF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489.92</v>
      </c>
      <c r="C2" s="1">
        <v>500.47</v>
      </c>
      <c r="D2" s="1">
        <v>513.53</v>
      </c>
      <c r="E2" s="1">
        <v>479.11</v>
      </c>
      <c r="F2" s="1">
        <v>482.39</v>
      </c>
      <c r="G2" s="1">
        <v>483.6</v>
      </c>
    </row>
    <row r="3" spans="1:7" x14ac:dyDescent="0.3">
      <c r="A3" s="1" t="s">
        <v>7</v>
      </c>
      <c r="B3" s="1">
        <v>47.39</v>
      </c>
      <c r="C3" s="1">
        <v>48.87</v>
      </c>
      <c r="D3" s="1">
        <v>51.37</v>
      </c>
      <c r="E3" s="1">
        <v>50.3</v>
      </c>
      <c r="F3" s="1">
        <v>50.33</v>
      </c>
      <c r="G3" s="1">
        <v>53.17</v>
      </c>
    </row>
    <row r="4" spans="1:7" x14ac:dyDescent="0.3">
      <c r="A4" s="1" t="s">
        <v>8</v>
      </c>
      <c r="B4" s="1">
        <v>23621.3</v>
      </c>
      <c r="C4" s="1">
        <v>24911.29</v>
      </c>
      <c r="D4" s="1">
        <v>26963.53</v>
      </c>
      <c r="E4" s="1">
        <v>24536.46</v>
      </c>
      <c r="F4" s="1">
        <v>24656</v>
      </c>
      <c r="G4" s="1">
        <v>26143.67</v>
      </c>
    </row>
    <row r="5" spans="1:7" x14ac:dyDescent="0.3">
      <c r="A5" s="1" t="s">
        <v>9</v>
      </c>
      <c r="B5" s="1">
        <v>2274.81</v>
      </c>
      <c r="C5" s="1">
        <v>2623.13</v>
      </c>
      <c r="D5" s="1">
        <v>3293.42</v>
      </c>
      <c r="E5" s="1">
        <v>1454.61</v>
      </c>
      <c r="F5" s="1">
        <v>601.46</v>
      </c>
      <c r="G5" s="1">
        <v>1253.45</v>
      </c>
    </row>
    <row r="6" spans="1:7" x14ac:dyDescent="0.3">
      <c r="A6" s="3" t="s">
        <v>10</v>
      </c>
      <c r="B6" s="3">
        <v>227.48</v>
      </c>
      <c r="C6" s="3">
        <v>264.95999999999998</v>
      </c>
      <c r="D6" s="3">
        <v>332.67</v>
      </c>
      <c r="E6" s="3">
        <v>146.93</v>
      </c>
      <c r="F6" s="3">
        <v>60.75</v>
      </c>
      <c r="G6" s="3">
        <v>127.9</v>
      </c>
    </row>
    <row r="7" spans="1:7" x14ac:dyDescent="0.3">
      <c r="A7" s="1" t="s">
        <v>11</v>
      </c>
      <c r="B7" s="1">
        <v>1990</v>
      </c>
      <c r="C7" s="1">
        <v>2451.29</v>
      </c>
      <c r="D7" s="1">
        <v>3105.1</v>
      </c>
      <c r="E7" s="1">
        <v>1358.84</v>
      </c>
      <c r="F7" s="1">
        <v>551.07000000000005</v>
      </c>
      <c r="G7" s="1">
        <v>1069.9100000000001</v>
      </c>
    </row>
    <row r="8" spans="1:7" x14ac:dyDescent="0.3">
      <c r="A8" s="1" t="s">
        <v>12</v>
      </c>
      <c r="B8" s="1">
        <v>199</v>
      </c>
      <c r="C8" s="1">
        <v>247.61</v>
      </c>
      <c r="D8" s="1">
        <v>313.64999999999998</v>
      </c>
      <c r="E8" s="1">
        <v>137.26</v>
      </c>
      <c r="F8" s="1">
        <v>55.66</v>
      </c>
      <c r="G8" s="1">
        <v>109.17</v>
      </c>
    </row>
    <row r="9" spans="1:7" x14ac:dyDescent="0.3">
      <c r="A9" s="1" t="s">
        <v>13</v>
      </c>
      <c r="B9" s="1">
        <v>1848.36</v>
      </c>
      <c r="C9" s="1">
        <v>2451.29</v>
      </c>
      <c r="D9" s="1">
        <v>3105.1</v>
      </c>
      <c r="E9" s="1">
        <v>1357.38</v>
      </c>
      <c r="F9" s="1">
        <v>-330.56</v>
      </c>
      <c r="G9" s="1">
        <v>906.69</v>
      </c>
    </row>
    <row r="10" spans="1:7" x14ac:dyDescent="0.3">
      <c r="A10" s="1" t="s">
        <v>14</v>
      </c>
      <c r="B10" s="1">
        <v>184.84</v>
      </c>
      <c r="C10" s="1">
        <v>247.61</v>
      </c>
      <c r="D10" s="1">
        <v>313.64999999999998</v>
      </c>
      <c r="E10" s="1">
        <v>137.11000000000001</v>
      </c>
      <c r="F10" s="1">
        <v>-33.39</v>
      </c>
      <c r="G10" s="1">
        <v>92.52</v>
      </c>
    </row>
    <row r="11" spans="1:7" x14ac:dyDescent="0.3">
      <c r="A11" s="1" t="s">
        <v>15</v>
      </c>
      <c r="B11" s="1">
        <v>1519.26</v>
      </c>
      <c r="C11" s="1">
        <v>2092.2199999999998</v>
      </c>
      <c r="D11" s="1">
        <v>3033.29</v>
      </c>
      <c r="E11" s="1">
        <v>1282.8599999999999</v>
      </c>
      <c r="F11" s="1">
        <v>179.56</v>
      </c>
      <c r="G11" s="1">
        <v>723.91</v>
      </c>
    </row>
    <row r="12" spans="1:7" x14ac:dyDescent="0.3">
      <c r="A12" s="1" t="s">
        <v>16</v>
      </c>
      <c r="B12" s="1">
        <v>292.16000000000003</v>
      </c>
      <c r="C12" s="1">
        <v>252.28</v>
      </c>
      <c r="D12" s="1">
        <v>290.95999999999998</v>
      </c>
      <c r="E12" s="1">
        <v>243.45</v>
      </c>
      <c r="F12" s="1">
        <v>221.2</v>
      </c>
      <c r="G12" s="1">
        <v>218.41</v>
      </c>
    </row>
    <row r="13" spans="1:7" x14ac:dyDescent="0.3">
      <c r="A13" s="1" t="s">
        <v>17</v>
      </c>
      <c r="B13" s="1">
        <v>40.340000000000003</v>
      </c>
      <c r="C13" s="1">
        <v>34.53</v>
      </c>
      <c r="D13" s="1">
        <v>28.6</v>
      </c>
      <c r="E13" s="1">
        <v>24.53</v>
      </c>
      <c r="F13" s="1">
        <v>23.97</v>
      </c>
      <c r="G13" s="1">
        <v>54.28</v>
      </c>
    </row>
    <row r="14" spans="1:7" x14ac:dyDescent="0.3">
      <c r="A14" s="1" t="s">
        <v>18</v>
      </c>
      <c r="B14" s="1">
        <v>94.4</v>
      </c>
      <c r="C14" s="1">
        <v>73.66</v>
      </c>
      <c r="D14" s="1">
        <v>77.989999999999995</v>
      </c>
      <c r="E14" s="1">
        <v>63.56</v>
      </c>
      <c r="F14" s="1">
        <v>55.95</v>
      </c>
      <c r="G14" s="1">
        <v>96.63</v>
      </c>
    </row>
    <row r="15" spans="1:7" x14ac:dyDescent="0.3">
      <c r="A15" s="1" t="s">
        <v>19</v>
      </c>
      <c r="B15" s="1">
        <v>8</v>
      </c>
      <c r="C15" s="1">
        <v>9</v>
      </c>
      <c r="D15" s="1">
        <v>7</v>
      </c>
      <c r="E15" s="1">
        <v>5</v>
      </c>
      <c r="F15" s="1">
        <v>3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1919.18</v>
      </c>
      <c r="C17" s="1">
        <v>2451.29</v>
      </c>
      <c r="D17" s="1">
        <v>3105.1</v>
      </c>
      <c r="E17" s="1">
        <v>1358.11</v>
      </c>
      <c r="F17" s="1">
        <v>110.25</v>
      </c>
      <c r="G17" s="1">
        <v>988.3</v>
      </c>
    </row>
    <row r="18" spans="1:7" x14ac:dyDescent="0.3">
      <c r="A18" s="1" t="s">
        <v>22</v>
      </c>
      <c r="B18" s="1">
        <v>70.819999999999993</v>
      </c>
      <c r="C18" s="1">
        <v>0</v>
      </c>
      <c r="D18" s="1">
        <v>0</v>
      </c>
      <c r="E18" s="1">
        <v>0.73</v>
      </c>
      <c r="F18" s="1">
        <v>440.82</v>
      </c>
      <c r="G18" s="1">
        <v>81.61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4.9000000000000004</v>
      </c>
      <c r="G20" s="1">
        <v>1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5.0999999999999996</v>
      </c>
      <c r="G21" s="1">
        <v>8.9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2.2999999999999998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1</v>
      </c>
    </row>
    <row r="25" spans="1:7" x14ac:dyDescent="0.3">
      <c r="A25" s="1" t="s">
        <v>29</v>
      </c>
      <c r="B25" s="1">
        <v>2.2000000000000002</v>
      </c>
      <c r="C25" s="1">
        <v>0</v>
      </c>
      <c r="D25" s="1">
        <v>0</v>
      </c>
      <c r="E25" s="1">
        <v>0</v>
      </c>
      <c r="F25" s="1">
        <v>4.2</v>
      </c>
      <c r="G25" s="1">
        <v>2</v>
      </c>
    </row>
    <row r="26" spans="1:7" x14ac:dyDescent="0.3">
      <c r="A26" s="1" t="s">
        <v>30</v>
      </c>
      <c r="B26" s="1">
        <v>7.9</v>
      </c>
      <c r="C26" s="1">
        <v>10</v>
      </c>
      <c r="D26" s="1">
        <v>10</v>
      </c>
      <c r="E26" s="1">
        <v>10</v>
      </c>
      <c r="F26" s="1">
        <v>3.3</v>
      </c>
      <c r="G26" s="1">
        <v>6.9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25</v>
      </c>
      <c r="G29" s="3">
        <f t="shared" si="1"/>
        <v>10.1010101010101</v>
      </c>
    </row>
    <row r="30" spans="1:7" x14ac:dyDescent="0.3">
      <c r="A30" s="3" t="s">
        <v>33</v>
      </c>
      <c r="B30" s="3">
        <f>B25/B28*100</f>
        <v>21.782178217821784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42.000000000000007</v>
      </c>
      <c r="G30" s="3">
        <f t="shared" si="2"/>
        <v>20.202020202020201</v>
      </c>
    </row>
    <row r="31" spans="1:7" x14ac:dyDescent="0.3">
      <c r="A31" s="3" t="s">
        <v>34</v>
      </c>
      <c r="B31" s="3">
        <f>B26/B28*100</f>
        <v>78.217821782178206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32.999999999999993</v>
      </c>
      <c r="G31" s="3">
        <f t="shared" si="3"/>
        <v>69.696969696969703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206.36</v>
      </c>
      <c r="C33" s="3">
        <v>262.31</v>
      </c>
      <c r="D33" s="3">
        <v>329.76</v>
      </c>
      <c r="E33" s="3">
        <v>146.33000000000001</v>
      </c>
      <c r="F33" s="3">
        <v>-18.59</v>
      </c>
      <c r="G33" s="3">
        <v>98.2</v>
      </c>
    </row>
    <row r="35" spans="1:7" x14ac:dyDescent="0.3">
      <c r="A35" s="3" t="s">
        <v>36</v>
      </c>
      <c r="B35" s="3"/>
      <c r="C35" s="3"/>
      <c r="D35" s="3">
        <f>D33-C33</f>
        <v>67.449999999999989</v>
      </c>
      <c r="E35" s="3"/>
      <c r="F35" s="3">
        <f>F33-E33</f>
        <v>-164.92000000000002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-183.42999999999998</v>
      </c>
      <c r="F37" s="3"/>
      <c r="G37" s="3">
        <f>G33-F33</f>
        <v>116.79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11F8-D550-4FAE-9A07-E2AC0CFEB8EB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328.34</v>
      </c>
      <c r="C2" s="1">
        <v>329.72</v>
      </c>
      <c r="D2" s="1">
        <v>329.03</v>
      </c>
      <c r="E2" s="1">
        <v>330.17</v>
      </c>
      <c r="F2" s="1">
        <v>316.66000000000003</v>
      </c>
      <c r="G2" s="1">
        <v>364.87</v>
      </c>
    </row>
    <row r="3" spans="1:7" x14ac:dyDescent="0.3">
      <c r="A3" s="1" t="s">
        <v>7</v>
      </c>
      <c r="B3" s="1">
        <v>53.29</v>
      </c>
      <c r="C3" s="1">
        <v>53.27</v>
      </c>
      <c r="D3" s="1">
        <v>53.2</v>
      </c>
      <c r="E3" s="1">
        <v>53.31</v>
      </c>
      <c r="F3" s="1">
        <v>61.39</v>
      </c>
      <c r="G3" s="1">
        <v>64.319999999999993</v>
      </c>
    </row>
    <row r="4" spans="1:7" x14ac:dyDescent="0.3">
      <c r="A4" s="1" t="s">
        <v>8</v>
      </c>
      <c r="B4" s="1">
        <v>17790.75</v>
      </c>
      <c r="C4" s="1">
        <v>17854.990000000002</v>
      </c>
      <c r="D4" s="1">
        <v>17801.52</v>
      </c>
      <c r="E4" s="1">
        <v>17912.810000000001</v>
      </c>
      <c r="F4" s="1">
        <v>19760.78</v>
      </c>
      <c r="G4" s="1">
        <v>23800.97</v>
      </c>
    </row>
    <row r="5" spans="1:7" x14ac:dyDescent="0.3">
      <c r="A5" s="1" t="s">
        <v>9</v>
      </c>
      <c r="B5" s="1">
        <v>110.51</v>
      </c>
      <c r="C5" s="1">
        <v>129.55000000000001</v>
      </c>
      <c r="D5" s="1">
        <v>130.38999999999999</v>
      </c>
      <c r="E5" s="1">
        <v>175.85</v>
      </c>
      <c r="F5" s="1">
        <v>154.75</v>
      </c>
      <c r="G5" s="1">
        <v>514.88</v>
      </c>
    </row>
    <row r="6" spans="1:7" x14ac:dyDescent="0.3">
      <c r="A6" s="3" t="s">
        <v>10</v>
      </c>
      <c r="B6" s="3">
        <v>11.05</v>
      </c>
      <c r="C6" s="3">
        <v>13.09</v>
      </c>
      <c r="D6" s="3">
        <v>13.17</v>
      </c>
      <c r="E6" s="3">
        <v>17.760000000000002</v>
      </c>
      <c r="F6" s="3">
        <v>15.63</v>
      </c>
      <c r="G6" s="3">
        <v>52.54</v>
      </c>
    </row>
    <row r="7" spans="1:7" x14ac:dyDescent="0.3">
      <c r="A7" s="1" t="s">
        <v>11</v>
      </c>
      <c r="B7" s="1">
        <v>94.48</v>
      </c>
      <c r="C7" s="1">
        <v>109.54</v>
      </c>
      <c r="D7" s="1">
        <v>109.49</v>
      </c>
      <c r="E7" s="1">
        <v>148.74</v>
      </c>
      <c r="F7" s="1">
        <v>118.7</v>
      </c>
      <c r="G7" s="1">
        <v>468.57</v>
      </c>
    </row>
    <row r="8" spans="1:7" x14ac:dyDescent="0.3">
      <c r="A8" s="1" t="s">
        <v>12</v>
      </c>
      <c r="B8" s="1">
        <v>9.4499999999999993</v>
      </c>
      <c r="C8" s="1">
        <v>11.06</v>
      </c>
      <c r="D8" s="1">
        <v>11.06</v>
      </c>
      <c r="E8" s="1">
        <v>15.02</v>
      </c>
      <c r="F8" s="1">
        <v>11.99</v>
      </c>
      <c r="G8" s="1">
        <v>47.81</v>
      </c>
    </row>
    <row r="9" spans="1:7" x14ac:dyDescent="0.3">
      <c r="A9" s="1" t="s">
        <v>13</v>
      </c>
      <c r="B9" s="1">
        <v>-10.54</v>
      </c>
      <c r="C9" s="1">
        <v>-21.07</v>
      </c>
      <c r="D9" s="1">
        <v>-17.29</v>
      </c>
      <c r="E9" s="1">
        <v>-25.3</v>
      </c>
      <c r="F9" s="1">
        <v>-32.35</v>
      </c>
      <c r="G9" s="1">
        <v>-94.06</v>
      </c>
    </row>
    <row r="10" spans="1:7" x14ac:dyDescent="0.3">
      <c r="A10" s="1" t="s">
        <v>14</v>
      </c>
      <c r="B10" s="1">
        <v>-1.05</v>
      </c>
      <c r="C10" s="1">
        <v>-2.13</v>
      </c>
      <c r="D10" s="1">
        <v>-1.75</v>
      </c>
      <c r="E10" s="1">
        <v>-2.56</v>
      </c>
      <c r="F10" s="1">
        <v>-3.27</v>
      </c>
      <c r="G10" s="1">
        <v>-9.6</v>
      </c>
    </row>
    <row r="11" spans="1:7" x14ac:dyDescent="0.3">
      <c r="A11" s="1" t="s">
        <v>15</v>
      </c>
      <c r="B11" s="1">
        <v>3.07</v>
      </c>
      <c r="C11" s="1">
        <v>1.33</v>
      </c>
      <c r="D11" s="1">
        <v>1.92</v>
      </c>
      <c r="E11" s="1">
        <v>1.63</v>
      </c>
      <c r="F11" s="1">
        <v>13.08</v>
      </c>
      <c r="G11" s="1">
        <v>60.03</v>
      </c>
    </row>
    <row r="12" spans="1:7" x14ac:dyDescent="0.3">
      <c r="A12" s="1" t="s">
        <v>16</v>
      </c>
      <c r="B12" s="1">
        <v>130.04</v>
      </c>
      <c r="C12" s="1">
        <v>123.45</v>
      </c>
      <c r="D12" s="1">
        <v>131.13</v>
      </c>
      <c r="E12" s="1">
        <v>136.25</v>
      </c>
      <c r="F12" s="1">
        <v>129.61000000000001</v>
      </c>
      <c r="G12" s="1">
        <v>165.45</v>
      </c>
    </row>
    <row r="13" spans="1:7" x14ac:dyDescent="0.3">
      <c r="A13" s="1" t="s">
        <v>17</v>
      </c>
      <c r="B13" s="1">
        <v>11.13</v>
      </c>
      <c r="C13" s="1">
        <v>10.4</v>
      </c>
      <c r="D13" s="1">
        <v>10.96</v>
      </c>
      <c r="E13" s="1">
        <v>11.27</v>
      </c>
      <c r="F13" s="1">
        <v>9.8699999999999992</v>
      </c>
      <c r="G13" s="1">
        <v>18.62</v>
      </c>
    </row>
    <row r="14" spans="1:7" x14ac:dyDescent="0.3">
      <c r="A14" s="1" t="s">
        <v>18</v>
      </c>
      <c r="B14" s="1">
        <v>21.15</v>
      </c>
      <c r="C14" s="1">
        <v>24.38</v>
      </c>
      <c r="D14" s="1">
        <v>23.41</v>
      </c>
      <c r="E14" s="1">
        <v>24.86</v>
      </c>
      <c r="F14" s="1">
        <v>18</v>
      </c>
      <c r="G14" s="1">
        <v>31.71</v>
      </c>
    </row>
    <row r="15" spans="1:7" x14ac:dyDescent="0.3">
      <c r="A15" s="1" t="s">
        <v>19</v>
      </c>
      <c r="B15" s="1">
        <v>7</v>
      </c>
      <c r="C15" s="1">
        <v>4</v>
      </c>
      <c r="D15" s="1">
        <v>4</v>
      </c>
      <c r="E15" s="1">
        <v>5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41.97</v>
      </c>
      <c r="C17" s="1">
        <v>44.23</v>
      </c>
      <c r="D17" s="1">
        <v>46.1</v>
      </c>
      <c r="E17" s="1">
        <v>61.72</v>
      </c>
      <c r="F17" s="1">
        <v>43.17</v>
      </c>
      <c r="G17" s="1">
        <v>187.25</v>
      </c>
    </row>
    <row r="18" spans="1:7" x14ac:dyDescent="0.3">
      <c r="A18" s="1" t="s">
        <v>22</v>
      </c>
      <c r="B18" s="1">
        <v>52.51</v>
      </c>
      <c r="C18" s="1">
        <v>65.31</v>
      </c>
      <c r="D18" s="1">
        <v>63.39</v>
      </c>
      <c r="E18" s="1">
        <v>87.02</v>
      </c>
      <c r="F18" s="1">
        <v>75.53</v>
      </c>
      <c r="G18" s="1">
        <v>281.31</v>
      </c>
    </row>
    <row r="19" spans="1:7" x14ac:dyDescent="0.3">
      <c r="A19" s="1" t="s">
        <v>23</v>
      </c>
      <c r="B19" s="1">
        <v>0</v>
      </c>
      <c r="C19" s="1">
        <v>1</v>
      </c>
      <c r="D19" s="1">
        <v>2</v>
      </c>
      <c r="E19" s="1">
        <v>0</v>
      </c>
      <c r="F19" s="1">
        <v>2</v>
      </c>
      <c r="G19" s="1">
        <v>2</v>
      </c>
    </row>
    <row r="20" spans="1:7" x14ac:dyDescent="0.3">
      <c r="A20" s="1" t="s">
        <v>24</v>
      </c>
      <c r="B20" s="1">
        <v>0</v>
      </c>
      <c r="C20" s="1">
        <v>1.5</v>
      </c>
      <c r="D20" s="1">
        <v>2.4</v>
      </c>
      <c r="E20" s="1">
        <v>0</v>
      </c>
      <c r="F20" s="1">
        <v>2.6</v>
      </c>
      <c r="G20" s="1">
        <v>3.2</v>
      </c>
    </row>
    <row r="21" spans="1:7" x14ac:dyDescent="0.3">
      <c r="A21" s="1" t="s">
        <v>25</v>
      </c>
      <c r="B21" s="1">
        <v>10.1</v>
      </c>
      <c r="C21" s="1">
        <v>8.5</v>
      </c>
      <c r="D21" s="1">
        <v>7.6</v>
      </c>
      <c r="E21" s="1">
        <v>10</v>
      </c>
      <c r="F21" s="1">
        <v>7.4</v>
      </c>
      <c r="G21" s="1">
        <v>6.7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-0.28999999999999998</v>
      </c>
      <c r="C33" s="3">
        <v>0.19</v>
      </c>
      <c r="D33" s="3">
        <v>0.02</v>
      </c>
      <c r="E33" s="3">
        <v>-0.06</v>
      </c>
      <c r="F33" s="3">
        <v>-1.01</v>
      </c>
      <c r="G33" s="3">
        <v>-3.64</v>
      </c>
    </row>
    <row r="35" spans="1:7" x14ac:dyDescent="0.3">
      <c r="A35" s="3" t="s">
        <v>36</v>
      </c>
      <c r="B35" s="3"/>
      <c r="C35" s="3"/>
      <c r="D35" s="3">
        <f>D33-C33</f>
        <v>-0.17</v>
      </c>
      <c r="E35" s="3"/>
      <c r="F35" s="3">
        <f>F33-E33</f>
        <v>-0.95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-0.08</v>
      </c>
      <c r="F37" s="3"/>
      <c r="G37" s="3">
        <f>G33-F33</f>
        <v>-2.63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F022-DAC5-4B7C-B89B-48D611BCA75C}">
  <dimension ref="A1:G37"/>
  <sheetViews>
    <sheetView zoomScale="70" zoomScaleNormal="70" workbookViewId="0">
      <selection activeCell="O19" sqref="O1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523.47</v>
      </c>
      <c r="C2" s="1">
        <v>488.58</v>
      </c>
      <c r="D2" s="1">
        <v>436.95</v>
      </c>
      <c r="E2" s="1">
        <v>357.55</v>
      </c>
      <c r="F2" s="1">
        <v>494</v>
      </c>
      <c r="G2" s="1">
        <v>374.7</v>
      </c>
    </row>
    <row r="3" spans="1:7" x14ac:dyDescent="0.3">
      <c r="A3" s="1" t="s">
        <v>7</v>
      </c>
      <c r="B3" s="1">
        <v>55.73</v>
      </c>
      <c r="C3" s="1">
        <v>53.45</v>
      </c>
      <c r="D3" s="1">
        <v>44.66</v>
      </c>
      <c r="E3" s="1">
        <v>41.47</v>
      </c>
      <c r="F3" s="1">
        <v>43.88</v>
      </c>
      <c r="G3" s="1">
        <v>32.28</v>
      </c>
    </row>
    <row r="4" spans="1:7" x14ac:dyDescent="0.3">
      <c r="A4" s="1" t="s">
        <v>8</v>
      </c>
      <c r="B4" s="1">
        <v>29673.17</v>
      </c>
      <c r="C4" s="1">
        <v>26435.06</v>
      </c>
      <c r="D4" s="1">
        <v>19884.900000000001</v>
      </c>
      <c r="E4" s="1">
        <v>15152.43</v>
      </c>
      <c r="F4" s="1">
        <v>22034.89</v>
      </c>
      <c r="G4" s="1">
        <v>12415.34</v>
      </c>
    </row>
    <row r="5" spans="1:7" x14ac:dyDescent="0.3">
      <c r="A5" s="1" t="s">
        <v>9</v>
      </c>
      <c r="B5" s="1">
        <v>1858.51</v>
      </c>
      <c r="C5" s="1">
        <v>2083.56</v>
      </c>
      <c r="D5" s="1">
        <v>2072.56</v>
      </c>
      <c r="E5" s="1">
        <v>1375.8</v>
      </c>
      <c r="F5" s="1">
        <v>550.51</v>
      </c>
      <c r="G5" s="1">
        <v>1389.14</v>
      </c>
    </row>
    <row r="6" spans="1:7" x14ac:dyDescent="0.3">
      <c r="A6" s="3" t="s">
        <v>10</v>
      </c>
      <c r="B6" s="3">
        <v>185.85</v>
      </c>
      <c r="C6" s="3">
        <v>210.46</v>
      </c>
      <c r="D6" s="3">
        <v>209.35</v>
      </c>
      <c r="E6" s="3">
        <v>138.97</v>
      </c>
      <c r="F6" s="3">
        <v>55.61</v>
      </c>
      <c r="G6" s="3">
        <v>141.75</v>
      </c>
    </row>
    <row r="7" spans="1:7" x14ac:dyDescent="0.3">
      <c r="A7" s="1" t="s">
        <v>11</v>
      </c>
      <c r="B7" s="1">
        <v>1724.39</v>
      </c>
      <c r="C7" s="1">
        <v>1856.43</v>
      </c>
      <c r="D7" s="1">
        <v>1961.28</v>
      </c>
      <c r="E7" s="1">
        <v>1281.06</v>
      </c>
      <c r="F7" s="1">
        <v>499.29</v>
      </c>
      <c r="G7" s="1">
        <v>1202.04</v>
      </c>
    </row>
    <row r="8" spans="1:7" x14ac:dyDescent="0.3">
      <c r="A8" s="1" t="s">
        <v>12</v>
      </c>
      <c r="B8" s="1">
        <v>172.44</v>
      </c>
      <c r="C8" s="1">
        <v>187.52</v>
      </c>
      <c r="D8" s="1">
        <v>198.11</v>
      </c>
      <c r="E8" s="1">
        <v>129.4</v>
      </c>
      <c r="F8" s="1">
        <v>50.43</v>
      </c>
      <c r="G8" s="1">
        <v>122.66</v>
      </c>
    </row>
    <row r="9" spans="1:7" x14ac:dyDescent="0.3">
      <c r="A9" s="1" t="s">
        <v>13</v>
      </c>
      <c r="B9" s="1">
        <v>1585.64</v>
      </c>
      <c r="C9" s="1">
        <v>1823.46</v>
      </c>
      <c r="D9" s="1">
        <v>1954.24</v>
      </c>
      <c r="E9" s="1">
        <v>1281.06</v>
      </c>
      <c r="F9" s="1">
        <v>219.09</v>
      </c>
      <c r="G9" s="1">
        <v>641.62</v>
      </c>
    </row>
    <row r="10" spans="1:7" x14ac:dyDescent="0.3">
      <c r="A10" s="1" t="s">
        <v>14</v>
      </c>
      <c r="B10" s="1">
        <v>158.56</v>
      </c>
      <c r="C10" s="1">
        <v>184.19</v>
      </c>
      <c r="D10" s="1">
        <v>197.4</v>
      </c>
      <c r="E10" s="1">
        <v>129.4</v>
      </c>
      <c r="F10" s="1">
        <v>22.13</v>
      </c>
      <c r="G10" s="1">
        <v>65.47</v>
      </c>
    </row>
    <row r="11" spans="1:7" x14ac:dyDescent="0.3">
      <c r="A11" s="1" t="s">
        <v>15</v>
      </c>
      <c r="B11" s="1">
        <v>1207.6099999999999</v>
      </c>
      <c r="C11" s="1">
        <v>1351.36</v>
      </c>
      <c r="D11" s="1">
        <v>1922.18</v>
      </c>
      <c r="E11" s="1">
        <v>1293.1300000000001</v>
      </c>
      <c r="F11" s="1">
        <v>56.17</v>
      </c>
      <c r="G11" s="1">
        <v>445.89</v>
      </c>
    </row>
    <row r="12" spans="1:7" x14ac:dyDescent="0.3">
      <c r="A12" s="1" t="s">
        <v>16</v>
      </c>
      <c r="B12" s="1">
        <v>221.54</v>
      </c>
      <c r="C12" s="1">
        <v>253.81</v>
      </c>
      <c r="D12" s="1">
        <v>241.4</v>
      </c>
      <c r="E12" s="1">
        <v>211.07</v>
      </c>
      <c r="F12" s="1">
        <v>256.18</v>
      </c>
      <c r="G12" s="1">
        <v>201.84</v>
      </c>
    </row>
    <row r="13" spans="1:7" x14ac:dyDescent="0.3">
      <c r="A13" s="1" t="s">
        <v>17</v>
      </c>
      <c r="B13" s="1">
        <v>49.83</v>
      </c>
      <c r="C13" s="1">
        <v>36.36</v>
      </c>
      <c r="D13" s="1">
        <v>19.86</v>
      </c>
      <c r="E13" s="1">
        <v>20.77</v>
      </c>
      <c r="F13" s="1">
        <v>23.07</v>
      </c>
      <c r="G13" s="1">
        <v>28.61</v>
      </c>
    </row>
    <row r="14" spans="1:7" x14ac:dyDescent="0.3">
      <c r="A14" s="1" t="s">
        <v>18</v>
      </c>
      <c r="B14" s="1">
        <v>104.39</v>
      </c>
      <c r="C14" s="1">
        <v>97.63</v>
      </c>
      <c r="D14" s="1">
        <v>55.58</v>
      </c>
      <c r="E14" s="1">
        <v>41.56</v>
      </c>
      <c r="F14" s="1">
        <v>44.22</v>
      </c>
      <c r="G14" s="1">
        <v>73.760000000000005</v>
      </c>
    </row>
    <row r="15" spans="1:7" x14ac:dyDescent="0.3">
      <c r="A15" s="1" t="s">
        <v>19</v>
      </c>
      <c r="B15" s="1">
        <v>6</v>
      </c>
      <c r="C15" s="1">
        <v>8</v>
      </c>
      <c r="D15" s="1">
        <v>7</v>
      </c>
      <c r="E15" s="1">
        <v>6</v>
      </c>
      <c r="F15" s="1">
        <v>3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1655.02</v>
      </c>
      <c r="C17" s="1">
        <v>1839.94</v>
      </c>
      <c r="D17" s="1">
        <v>1957.76</v>
      </c>
      <c r="E17" s="1">
        <v>1281.06</v>
      </c>
      <c r="F17" s="1">
        <v>359.19</v>
      </c>
      <c r="G17" s="1">
        <v>921.83</v>
      </c>
    </row>
    <row r="18" spans="1:7" x14ac:dyDescent="0.3">
      <c r="A18" s="1" t="s">
        <v>22</v>
      </c>
      <c r="B18" s="1">
        <v>69.37</v>
      </c>
      <c r="C18" s="1">
        <v>16.48</v>
      </c>
      <c r="D18" s="1">
        <v>3.52</v>
      </c>
      <c r="E18" s="1">
        <v>0</v>
      </c>
      <c r="F18" s="1">
        <v>140.1</v>
      </c>
      <c r="G18" s="1">
        <v>280.20999999999998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2.6</v>
      </c>
      <c r="G20" s="1">
        <v>2.7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7.4</v>
      </c>
      <c r="G21" s="1">
        <v>7.2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1.8</v>
      </c>
      <c r="G24" s="1">
        <v>1</v>
      </c>
    </row>
    <row r="25" spans="1:7" x14ac:dyDescent="0.3">
      <c r="A25" s="1" t="s">
        <v>29</v>
      </c>
      <c r="B25" s="1">
        <v>1.1000000000000001</v>
      </c>
      <c r="C25" s="1">
        <v>0</v>
      </c>
      <c r="D25" s="1">
        <v>0</v>
      </c>
      <c r="E25" s="1">
        <v>0</v>
      </c>
      <c r="F25" s="1">
        <v>5.2</v>
      </c>
      <c r="G25" s="1">
        <v>3.7</v>
      </c>
    </row>
    <row r="26" spans="1:7" x14ac:dyDescent="0.3">
      <c r="A26" s="1" t="s">
        <v>30</v>
      </c>
      <c r="B26" s="1">
        <v>9</v>
      </c>
      <c r="C26" s="1">
        <v>10</v>
      </c>
      <c r="D26" s="1">
        <v>10</v>
      </c>
      <c r="E26" s="1">
        <v>10</v>
      </c>
      <c r="F26" s="1">
        <v>3</v>
      </c>
      <c r="G26" s="1">
        <v>5.2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18</v>
      </c>
      <c r="G29" s="3">
        <f t="shared" si="1"/>
        <v>10.1010101010101</v>
      </c>
    </row>
    <row r="30" spans="1:7" x14ac:dyDescent="0.3">
      <c r="A30" s="3" t="s">
        <v>33</v>
      </c>
      <c r="B30" s="3">
        <f>B25/B28*100</f>
        <v>10.891089108910892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52</v>
      </c>
      <c r="G30" s="3">
        <f t="shared" si="2"/>
        <v>37.373737373737377</v>
      </c>
    </row>
    <row r="31" spans="1:7" x14ac:dyDescent="0.3">
      <c r="A31" s="3" t="s">
        <v>34</v>
      </c>
      <c r="B31" s="3">
        <f>B26/B28*100</f>
        <v>89.10891089108911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30</v>
      </c>
      <c r="G31" s="3">
        <f t="shared" si="3"/>
        <v>52.525252525252533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159.58000000000001</v>
      </c>
      <c r="C33" s="3">
        <v>201.93</v>
      </c>
      <c r="D33" s="3">
        <v>207.82</v>
      </c>
      <c r="E33" s="3">
        <v>137.28</v>
      </c>
      <c r="F33" s="3">
        <v>7.88</v>
      </c>
      <c r="G33" s="3">
        <v>60.15</v>
      </c>
    </row>
    <row r="35" spans="1:7" x14ac:dyDescent="0.3">
      <c r="A35" s="3" t="s">
        <v>36</v>
      </c>
      <c r="B35" s="3"/>
      <c r="C35" s="3"/>
      <c r="D35" s="3">
        <f>D33-C33</f>
        <v>5.8899999999999864</v>
      </c>
      <c r="E35" s="3"/>
      <c r="F35" s="3">
        <f>F33-E33</f>
        <v>-129.4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-70.539999999999992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B510-F725-4F84-81B3-2156D95AFF34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483.52</v>
      </c>
      <c r="C2" s="1">
        <v>516.27</v>
      </c>
      <c r="D2" s="1">
        <v>464.21</v>
      </c>
      <c r="E2" s="1">
        <v>468.24</v>
      </c>
      <c r="F2" s="1">
        <v>509.39</v>
      </c>
      <c r="G2" s="1">
        <v>499.45</v>
      </c>
    </row>
    <row r="3" spans="1:7" x14ac:dyDescent="0.3">
      <c r="A3" s="1" t="s">
        <v>7</v>
      </c>
      <c r="B3" s="1">
        <v>55.3</v>
      </c>
      <c r="C3" s="1">
        <v>65.11</v>
      </c>
      <c r="D3" s="1">
        <v>53.41</v>
      </c>
      <c r="E3" s="1">
        <v>59.19</v>
      </c>
      <c r="F3" s="1">
        <v>56.9</v>
      </c>
      <c r="G3" s="1">
        <v>59</v>
      </c>
    </row>
    <row r="4" spans="1:7" x14ac:dyDescent="0.3">
      <c r="A4" s="1" t="s">
        <v>8</v>
      </c>
      <c r="B4" s="1">
        <v>27277.65</v>
      </c>
      <c r="C4" s="1">
        <v>34426.839999999997</v>
      </c>
      <c r="D4" s="1">
        <v>25234.03</v>
      </c>
      <c r="E4" s="1">
        <v>28149.52</v>
      </c>
      <c r="F4" s="1">
        <v>29487.81</v>
      </c>
      <c r="G4" s="1">
        <v>30049.32</v>
      </c>
    </row>
    <row r="5" spans="1:7" x14ac:dyDescent="0.3">
      <c r="A5" s="1" t="s">
        <v>9</v>
      </c>
      <c r="B5" s="1">
        <v>2706.41</v>
      </c>
      <c r="C5" s="1">
        <v>2942.96</v>
      </c>
      <c r="D5" s="1">
        <v>3218.12</v>
      </c>
      <c r="E5" s="1">
        <v>2259.06</v>
      </c>
      <c r="F5" s="1">
        <v>1030.05</v>
      </c>
      <c r="G5" s="1">
        <v>1936.71</v>
      </c>
    </row>
    <row r="6" spans="1:7" x14ac:dyDescent="0.3">
      <c r="A6" s="3" t="s">
        <v>10</v>
      </c>
      <c r="B6" s="3">
        <v>270.64</v>
      </c>
      <c r="C6" s="3">
        <v>297.27</v>
      </c>
      <c r="D6" s="3">
        <v>325.06</v>
      </c>
      <c r="E6" s="3">
        <v>228.19</v>
      </c>
      <c r="F6" s="3">
        <v>104.05</v>
      </c>
      <c r="G6" s="3">
        <v>197.62</v>
      </c>
    </row>
    <row r="7" spans="1:7" x14ac:dyDescent="0.3">
      <c r="A7" s="1" t="s">
        <v>11</v>
      </c>
      <c r="B7" s="1">
        <v>2435.64</v>
      </c>
      <c r="C7" s="1">
        <v>2730.58</v>
      </c>
      <c r="D7" s="1">
        <v>2945.23</v>
      </c>
      <c r="E7" s="1">
        <v>2060.13</v>
      </c>
      <c r="F7" s="1">
        <v>903.42</v>
      </c>
      <c r="G7" s="1">
        <v>1675.37</v>
      </c>
    </row>
    <row r="8" spans="1:7" x14ac:dyDescent="0.3">
      <c r="A8" s="1" t="s">
        <v>12</v>
      </c>
      <c r="B8" s="1">
        <v>243.56</v>
      </c>
      <c r="C8" s="1">
        <v>275.82</v>
      </c>
      <c r="D8" s="1">
        <v>297.5</v>
      </c>
      <c r="E8" s="1">
        <v>208.09</v>
      </c>
      <c r="F8" s="1">
        <v>91.25</v>
      </c>
      <c r="G8" s="1">
        <v>170.96</v>
      </c>
    </row>
    <row r="9" spans="1:7" x14ac:dyDescent="0.3">
      <c r="A9" s="1" t="s">
        <v>13</v>
      </c>
      <c r="B9" s="1">
        <v>2435.64</v>
      </c>
      <c r="C9" s="1">
        <v>2730.58</v>
      </c>
      <c r="D9" s="1">
        <v>2945.23</v>
      </c>
      <c r="E9" s="1">
        <v>1972.44</v>
      </c>
      <c r="F9" s="1">
        <v>-718.28</v>
      </c>
      <c r="G9" s="1">
        <v>949.03</v>
      </c>
    </row>
    <row r="10" spans="1:7" x14ac:dyDescent="0.3">
      <c r="A10" s="1" t="s">
        <v>14</v>
      </c>
      <c r="B10" s="1">
        <v>243.56</v>
      </c>
      <c r="C10" s="1">
        <v>275.82</v>
      </c>
      <c r="D10" s="1">
        <v>297.5</v>
      </c>
      <c r="E10" s="1">
        <v>199.24</v>
      </c>
      <c r="F10" s="1">
        <v>-72.55</v>
      </c>
      <c r="G10" s="1">
        <v>96.84</v>
      </c>
    </row>
    <row r="11" spans="1:7" x14ac:dyDescent="0.3">
      <c r="A11" s="1" t="s">
        <v>15</v>
      </c>
      <c r="B11" s="1">
        <v>2290.0500000000002</v>
      </c>
      <c r="C11" s="1">
        <v>2648.68</v>
      </c>
      <c r="D11" s="1">
        <v>2941.04</v>
      </c>
      <c r="E11" s="1">
        <v>1595.14</v>
      </c>
      <c r="F11" s="1">
        <v>486.91</v>
      </c>
      <c r="G11" s="1">
        <v>467.8</v>
      </c>
    </row>
    <row r="12" spans="1:7" x14ac:dyDescent="0.3">
      <c r="A12" s="1" t="s">
        <v>16</v>
      </c>
      <c r="B12" s="1">
        <v>242.97</v>
      </c>
      <c r="C12" s="1">
        <v>275.38</v>
      </c>
      <c r="D12" s="1">
        <v>273.39999999999998</v>
      </c>
      <c r="E12" s="1">
        <v>229.84</v>
      </c>
      <c r="F12" s="1">
        <v>249.32</v>
      </c>
      <c r="G12" s="1">
        <v>215.37</v>
      </c>
    </row>
    <row r="13" spans="1:7" x14ac:dyDescent="0.3">
      <c r="A13" s="1" t="s">
        <v>17</v>
      </c>
      <c r="B13" s="1">
        <v>29.78</v>
      </c>
      <c r="C13" s="1">
        <v>30.66</v>
      </c>
      <c r="D13" s="1">
        <v>23.12</v>
      </c>
      <c r="E13" s="1">
        <v>40.79</v>
      </c>
      <c r="F13" s="1">
        <v>41.72</v>
      </c>
      <c r="G13" s="1">
        <v>49.16</v>
      </c>
    </row>
    <row r="14" spans="1:7" x14ac:dyDescent="0.3">
      <c r="A14" s="1" t="s">
        <v>18</v>
      </c>
      <c r="B14" s="1">
        <v>77.5</v>
      </c>
      <c r="C14" s="1">
        <v>58.42</v>
      </c>
      <c r="D14" s="1">
        <v>61.23</v>
      </c>
      <c r="E14" s="1">
        <v>88.93</v>
      </c>
      <c r="F14" s="1">
        <v>83.87</v>
      </c>
      <c r="G14" s="1">
        <v>106.46</v>
      </c>
    </row>
    <row r="15" spans="1:7" x14ac:dyDescent="0.3">
      <c r="A15" s="1" t="s">
        <v>19</v>
      </c>
      <c r="B15" s="1">
        <v>6</v>
      </c>
      <c r="C15" s="1">
        <v>9</v>
      </c>
      <c r="D15" s="1">
        <v>8</v>
      </c>
      <c r="E15" s="1">
        <v>7</v>
      </c>
      <c r="F15" s="1">
        <v>5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2435.64</v>
      </c>
      <c r="C17" s="1">
        <v>2730.58</v>
      </c>
      <c r="D17" s="1">
        <v>2945.23</v>
      </c>
      <c r="E17" s="1">
        <v>2016.28</v>
      </c>
      <c r="F17" s="1">
        <v>92.57</v>
      </c>
      <c r="G17" s="1">
        <v>1312.2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43.84</v>
      </c>
      <c r="F18" s="1">
        <v>810.85</v>
      </c>
      <c r="G18" s="1">
        <v>363.17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7.2</v>
      </c>
      <c r="G20" s="1">
        <v>1.5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2.8</v>
      </c>
      <c r="G21" s="1">
        <v>8.4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2.2999999999999998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6.3</v>
      </c>
      <c r="G24" s="1">
        <v>1.4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1.6</v>
      </c>
      <c r="F25" s="1">
        <v>1</v>
      </c>
      <c r="G25" s="1">
        <v>2.6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8.4</v>
      </c>
      <c r="F26" s="1">
        <v>2.7</v>
      </c>
      <c r="G26" s="1">
        <v>5.9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63</v>
      </c>
      <c r="G29" s="3">
        <f t="shared" si="1"/>
        <v>14.14141414141414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16</v>
      </c>
      <c r="F30" s="3">
        <f t="shared" si="2"/>
        <v>10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84.000000000000014</v>
      </c>
      <c r="F31" s="3">
        <f t="shared" si="3"/>
        <v>27</v>
      </c>
      <c r="G31" s="3">
        <f t="shared" si="3"/>
        <v>59.595959595959599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263.72000000000003</v>
      </c>
      <c r="C33" s="3">
        <v>296.72000000000003</v>
      </c>
      <c r="D33" s="3">
        <v>316.12</v>
      </c>
      <c r="E33" s="3">
        <v>218.53</v>
      </c>
      <c r="F33" s="3">
        <v>-62.38</v>
      </c>
      <c r="G33" s="3">
        <v>114.93</v>
      </c>
    </row>
    <row r="35" spans="1:7" x14ac:dyDescent="0.3">
      <c r="A35" s="3" t="s">
        <v>36</v>
      </c>
      <c r="B35" s="3"/>
      <c r="C35" s="3"/>
      <c r="D35" s="3">
        <f>D33-C33</f>
        <v>19.399999999999977</v>
      </c>
      <c r="E35" s="3"/>
      <c r="F35" s="3">
        <f>F33-E33</f>
        <v>-280.91000000000003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-97.59</v>
      </c>
      <c r="F37" s="3"/>
      <c r="G37" s="3">
        <f>G33-F33</f>
        <v>177.31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F521-6DE9-4ECE-921A-F89152975DB0}">
  <dimension ref="A1:G37"/>
  <sheetViews>
    <sheetView zoomScale="70" zoomScaleNormal="70" workbookViewId="0">
      <selection activeCell="I22" sqref="I2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390.52</v>
      </c>
      <c r="C2" s="1">
        <v>366.18</v>
      </c>
      <c r="D2" s="1">
        <v>357.56</v>
      </c>
      <c r="E2" s="1">
        <v>444.24</v>
      </c>
      <c r="F2" s="1">
        <v>403.83</v>
      </c>
      <c r="G2" s="1">
        <v>289.31</v>
      </c>
    </row>
    <row r="3" spans="1:7" x14ac:dyDescent="0.3">
      <c r="A3" s="1" t="s">
        <v>7</v>
      </c>
      <c r="B3" s="1">
        <v>32.68</v>
      </c>
      <c r="C3" s="1">
        <v>31.29</v>
      </c>
      <c r="D3" s="1">
        <v>31.61</v>
      </c>
      <c r="E3" s="1">
        <v>33.4</v>
      </c>
      <c r="F3" s="1">
        <v>33.75</v>
      </c>
      <c r="G3" s="1">
        <v>34.03</v>
      </c>
    </row>
    <row r="4" spans="1:7" x14ac:dyDescent="0.3">
      <c r="A4" s="1" t="s">
        <v>8</v>
      </c>
      <c r="B4" s="1">
        <v>13008.95</v>
      </c>
      <c r="C4" s="1">
        <v>11642.18</v>
      </c>
      <c r="D4" s="1">
        <v>11528.52</v>
      </c>
      <c r="E4" s="1">
        <v>15087.46</v>
      </c>
      <c r="F4" s="1">
        <v>13868.71</v>
      </c>
      <c r="G4" s="1">
        <v>10005.719999999999</v>
      </c>
    </row>
    <row r="5" spans="1:7" x14ac:dyDescent="0.3">
      <c r="A5" s="1" t="s">
        <v>9</v>
      </c>
      <c r="B5" s="1">
        <v>2310.29</v>
      </c>
      <c r="C5" s="1">
        <v>1883.48</v>
      </c>
      <c r="D5" s="1">
        <v>2374.36</v>
      </c>
      <c r="E5" s="1">
        <v>1701.63</v>
      </c>
      <c r="F5" s="1">
        <v>1288.1300000000001</v>
      </c>
      <c r="G5" s="1">
        <v>1830.47</v>
      </c>
    </row>
    <row r="6" spans="1:7" x14ac:dyDescent="0.3">
      <c r="A6" s="3" t="s">
        <v>10</v>
      </c>
      <c r="B6" s="3">
        <v>231.03</v>
      </c>
      <c r="C6" s="3">
        <v>190.25</v>
      </c>
      <c r="D6" s="3">
        <v>239.83</v>
      </c>
      <c r="E6" s="3">
        <v>171.88</v>
      </c>
      <c r="F6" s="3">
        <v>130.11000000000001</v>
      </c>
      <c r="G6" s="3">
        <v>186.78</v>
      </c>
    </row>
    <row r="7" spans="1:7" x14ac:dyDescent="0.3">
      <c r="A7" s="1" t="s">
        <v>11</v>
      </c>
      <c r="B7" s="1">
        <v>2075.69</v>
      </c>
      <c r="C7" s="1">
        <v>1629.77</v>
      </c>
      <c r="D7" s="1">
        <v>2245.6</v>
      </c>
      <c r="E7" s="1">
        <v>1627.24</v>
      </c>
      <c r="F7" s="1">
        <v>1197.3800000000001</v>
      </c>
      <c r="G7" s="1">
        <v>1640.18</v>
      </c>
    </row>
    <row r="8" spans="1:7" x14ac:dyDescent="0.3">
      <c r="A8" s="1" t="s">
        <v>12</v>
      </c>
      <c r="B8" s="1">
        <v>207.57</v>
      </c>
      <c r="C8" s="1">
        <v>164.62</v>
      </c>
      <c r="D8" s="1">
        <v>226.83</v>
      </c>
      <c r="E8" s="1">
        <v>164.37</v>
      </c>
      <c r="F8" s="1">
        <v>120.95</v>
      </c>
      <c r="G8" s="1">
        <v>167.37</v>
      </c>
    </row>
    <row r="9" spans="1:7" x14ac:dyDescent="0.3">
      <c r="A9" s="1" t="s">
        <v>13</v>
      </c>
      <c r="B9" s="1">
        <v>2027.62</v>
      </c>
      <c r="C9" s="1">
        <v>1368.19</v>
      </c>
      <c r="D9" s="1">
        <v>2245.6</v>
      </c>
      <c r="E9" s="1">
        <v>1627.24</v>
      </c>
      <c r="F9" s="1">
        <v>636.88</v>
      </c>
      <c r="G9" s="1">
        <v>690.05</v>
      </c>
    </row>
    <row r="10" spans="1:7" x14ac:dyDescent="0.3">
      <c r="A10" s="1" t="s">
        <v>14</v>
      </c>
      <c r="B10" s="1">
        <v>202.76</v>
      </c>
      <c r="C10" s="1">
        <v>138.19999999999999</v>
      </c>
      <c r="D10" s="1">
        <v>226.83</v>
      </c>
      <c r="E10" s="1">
        <v>164.37</v>
      </c>
      <c r="F10" s="1">
        <v>64.33</v>
      </c>
      <c r="G10" s="1">
        <v>70.41</v>
      </c>
    </row>
    <row r="11" spans="1:7" x14ac:dyDescent="0.3">
      <c r="A11" s="1" t="s">
        <v>15</v>
      </c>
      <c r="B11" s="1">
        <v>1625.56</v>
      </c>
      <c r="C11" s="1">
        <v>1256.8800000000001</v>
      </c>
      <c r="D11" s="1">
        <v>2184.2600000000002</v>
      </c>
      <c r="E11" s="1">
        <v>1573.58</v>
      </c>
      <c r="F11" s="1">
        <v>214.25</v>
      </c>
      <c r="G11" s="1">
        <v>236.88</v>
      </c>
    </row>
    <row r="12" spans="1:7" x14ac:dyDescent="0.3">
      <c r="A12" s="1" t="s">
        <v>16</v>
      </c>
      <c r="B12" s="1">
        <v>234.35</v>
      </c>
      <c r="C12" s="1">
        <v>211.93</v>
      </c>
      <c r="D12" s="1">
        <v>217.64</v>
      </c>
      <c r="E12" s="1">
        <v>253.6</v>
      </c>
      <c r="F12" s="1">
        <v>230.55</v>
      </c>
      <c r="G12" s="1">
        <v>148.43</v>
      </c>
    </row>
    <row r="13" spans="1:7" x14ac:dyDescent="0.3">
      <c r="A13" s="1" t="s">
        <v>17</v>
      </c>
      <c r="B13" s="1">
        <v>26.95</v>
      </c>
      <c r="C13" s="1">
        <v>38.31</v>
      </c>
      <c r="D13" s="1">
        <v>25.29</v>
      </c>
      <c r="E13" s="1">
        <v>23.66</v>
      </c>
      <c r="F13" s="1">
        <v>29.62</v>
      </c>
      <c r="G13" s="1">
        <v>24.3</v>
      </c>
    </row>
    <row r="14" spans="1:7" x14ac:dyDescent="0.3">
      <c r="A14" s="1" t="s">
        <v>18</v>
      </c>
      <c r="B14" s="1">
        <v>76.61</v>
      </c>
      <c r="C14" s="1">
        <v>87.89</v>
      </c>
      <c r="D14" s="1">
        <v>51.38</v>
      </c>
      <c r="E14" s="1">
        <v>49.98</v>
      </c>
      <c r="F14" s="1">
        <v>72.84</v>
      </c>
      <c r="G14" s="1">
        <v>72.14</v>
      </c>
    </row>
    <row r="15" spans="1:7" x14ac:dyDescent="0.3">
      <c r="A15" s="1" t="s">
        <v>19</v>
      </c>
      <c r="B15" s="1">
        <v>6</v>
      </c>
      <c r="C15" s="1">
        <v>7</v>
      </c>
      <c r="D15" s="1">
        <v>8</v>
      </c>
      <c r="E15" s="1">
        <v>6</v>
      </c>
      <c r="F15" s="1">
        <v>7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2051.66</v>
      </c>
      <c r="C17" s="1">
        <v>1498.98</v>
      </c>
      <c r="D17" s="1">
        <v>2245.6</v>
      </c>
      <c r="E17" s="1">
        <v>1627.24</v>
      </c>
      <c r="F17" s="1">
        <v>917.13</v>
      </c>
      <c r="G17" s="1">
        <v>1165.1099999999999</v>
      </c>
    </row>
    <row r="18" spans="1:7" x14ac:dyDescent="0.3">
      <c r="A18" s="1" t="s">
        <v>22</v>
      </c>
      <c r="B18" s="1">
        <v>24.04</v>
      </c>
      <c r="C18" s="1">
        <v>130.79</v>
      </c>
      <c r="D18" s="1">
        <v>0</v>
      </c>
      <c r="E18" s="1">
        <v>0</v>
      </c>
      <c r="F18" s="1">
        <v>280.25</v>
      </c>
      <c r="G18" s="1">
        <v>475.07</v>
      </c>
    </row>
    <row r="19" spans="1:7" x14ac:dyDescent="0.3">
      <c r="A19" s="1" t="s">
        <v>23</v>
      </c>
      <c r="B19" s="1">
        <v>0</v>
      </c>
      <c r="C19" s="1">
        <v>1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1.7</v>
      </c>
      <c r="D20" s="1">
        <v>0</v>
      </c>
      <c r="E20" s="1">
        <v>0</v>
      </c>
      <c r="F20" s="1">
        <v>4.5999999999999996</v>
      </c>
      <c r="G20" s="1">
        <v>1.3</v>
      </c>
    </row>
    <row r="21" spans="1:7" x14ac:dyDescent="0.3">
      <c r="A21" s="1" t="s">
        <v>25</v>
      </c>
      <c r="B21" s="1">
        <v>10.1</v>
      </c>
      <c r="C21" s="1">
        <v>8.3000000000000007</v>
      </c>
      <c r="D21" s="1">
        <v>10</v>
      </c>
      <c r="E21" s="1">
        <v>10</v>
      </c>
      <c r="F21" s="1">
        <v>5.4</v>
      </c>
      <c r="G21" s="1">
        <v>8.6</v>
      </c>
    </row>
    <row r="22" spans="1:7" x14ac:dyDescent="0.3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2.6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2.2999999999999998</v>
      </c>
      <c r="D24" s="1">
        <v>0</v>
      </c>
      <c r="E24" s="1">
        <v>0</v>
      </c>
      <c r="F24" s="1">
        <v>4.5</v>
      </c>
      <c r="G24" s="1">
        <v>1.2</v>
      </c>
    </row>
    <row r="25" spans="1:7" x14ac:dyDescent="0.3">
      <c r="A25" s="1" t="s">
        <v>29</v>
      </c>
      <c r="B25" s="1">
        <v>2.9</v>
      </c>
      <c r="C25" s="1">
        <v>0</v>
      </c>
      <c r="D25" s="1">
        <v>0</v>
      </c>
      <c r="E25" s="1">
        <v>0</v>
      </c>
      <c r="F25" s="1">
        <v>0</v>
      </c>
      <c r="G25" s="1">
        <v>2.6</v>
      </c>
    </row>
    <row r="26" spans="1:7" x14ac:dyDescent="0.3">
      <c r="A26" s="1" t="s">
        <v>30</v>
      </c>
      <c r="B26" s="1">
        <v>7.2</v>
      </c>
      <c r="C26" s="1">
        <v>7.7</v>
      </c>
      <c r="D26" s="1">
        <v>10</v>
      </c>
      <c r="E26" s="1">
        <v>10</v>
      </c>
      <c r="F26" s="1">
        <v>5.5</v>
      </c>
      <c r="G26" s="1">
        <v>6.1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23</v>
      </c>
      <c r="D29" s="3">
        <f t="shared" si="1"/>
        <v>0</v>
      </c>
      <c r="E29" s="3">
        <f t="shared" si="1"/>
        <v>0</v>
      </c>
      <c r="F29" s="3">
        <f t="shared" si="1"/>
        <v>45</v>
      </c>
      <c r="G29" s="3">
        <f t="shared" si="1"/>
        <v>12.121212121212123</v>
      </c>
    </row>
    <row r="30" spans="1:7" x14ac:dyDescent="0.3">
      <c r="A30" s="3" t="s">
        <v>33</v>
      </c>
      <c r="B30" s="3">
        <f>B25/B28*100</f>
        <v>28.71287128712871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71.287128712871294</v>
      </c>
      <c r="C31" s="3">
        <f t="shared" ref="C31:G31" si="3">C26/C28*100</f>
        <v>77</v>
      </c>
      <c r="D31" s="3">
        <f t="shared" si="3"/>
        <v>100</v>
      </c>
      <c r="E31" s="3">
        <f t="shared" si="3"/>
        <v>100</v>
      </c>
      <c r="F31" s="3">
        <f t="shared" si="3"/>
        <v>55.000000000000007</v>
      </c>
      <c r="G31" s="3">
        <f t="shared" si="3"/>
        <v>61.616161616161627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219.84</v>
      </c>
      <c r="C33" s="3">
        <v>119.01</v>
      </c>
      <c r="D33" s="3">
        <v>235.44</v>
      </c>
      <c r="E33" s="3">
        <v>171.81</v>
      </c>
      <c r="F33" s="3">
        <v>19.27</v>
      </c>
      <c r="G33" s="3">
        <v>61.47</v>
      </c>
    </row>
    <row r="35" spans="1:7" x14ac:dyDescent="0.3">
      <c r="A35" s="3" t="s">
        <v>36</v>
      </c>
      <c r="B35" s="3"/>
      <c r="C35" s="3"/>
      <c r="D35" s="3">
        <f>D33-C33</f>
        <v>116.42999999999999</v>
      </c>
      <c r="E35" s="3"/>
      <c r="F35" s="3">
        <f>F33-E33</f>
        <v>-152.54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-63.629999999999995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E4C1-D1D5-447E-BDDE-C523BCA6236F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412.78</v>
      </c>
      <c r="C2" s="1">
        <v>462.49</v>
      </c>
      <c r="D2" s="1">
        <v>512.13</v>
      </c>
      <c r="E2" s="1">
        <v>568.95000000000005</v>
      </c>
      <c r="F2" s="1">
        <v>557.67999999999995</v>
      </c>
      <c r="G2" s="1">
        <v>557.16999999999996</v>
      </c>
    </row>
    <row r="3" spans="1:7" x14ac:dyDescent="0.3">
      <c r="A3" s="1" t="s">
        <v>7</v>
      </c>
      <c r="B3" s="1">
        <v>49.66</v>
      </c>
      <c r="C3" s="1">
        <v>50.41</v>
      </c>
      <c r="D3" s="1">
        <v>58.39</v>
      </c>
      <c r="E3" s="1">
        <v>79.59</v>
      </c>
      <c r="F3" s="1">
        <v>81.89</v>
      </c>
      <c r="G3" s="1">
        <v>81.84</v>
      </c>
    </row>
    <row r="4" spans="1:7" x14ac:dyDescent="0.3">
      <c r="A4" s="1" t="s">
        <v>8</v>
      </c>
      <c r="B4" s="1">
        <v>20872.689999999999</v>
      </c>
      <c r="C4" s="1">
        <v>23669.89</v>
      </c>
      <c r="D4" s="1">
        <v>30469.919999999998</v>
      </c>
      <c r="E4" s="1">
        <v>46074.54</v>
      </c>
      <c r="F4" s="1">
        <v>46469.24</v>
      </c>
      <c r="G4" s="1">
        <v>46398.93</v>
      </c>
    </row>
    <row r="5" spans="1:7" x14ac:dyDescent="0.3">
      <c r="A5" s="1" t="s">
        <v>9</v>
      </c>
      <c r="B5" s="1">
        <v>1945.33</v>
      </c>
      <c r="C5" s="1">
        <v>2924.62</v>
      </c>
      <c r="D5" s="1">
        <v>2980.09</v>
      </c>
      <c r="E5" s="1">
        <v>1019.19</v>
      </c>
      <c r="F5" s="1">
        <v>949.83</v>
      </c>
      <c r="G5" s="1">
        <v>902.17</v>
      </c>
    </row>
    <row r="6" spans="1:7" x14ac:dyDescent="0.3">
      <c r="A6" s="3" t="s">
        <v>10</v>
      </c>
      <c r="B6" s="3">
        <v>194.53</v>
      </c>
      <c r="C6" s="3">
        <v>295.42</v>
      </c>
      <c r="D6" s="3">
        <v>301.02</v>
      </c>
      <c r="E6" s="3">
        <v>102.95</v>
      </c>
      <c r="F6" s="3">
        <v>95.94</v>
      </c>
      <c r="G6" s="3">
        <v>92.06</v>
      </c>
    </row>
    <row r="7" spans="1:7" x14ac:dyDescent="0.3">
      <c r="A7" s="1" t="s">
        <v>11</v>
      </c>
      <c r="B7" s="1">
        <v>1574.36</v>
      </c>
      <c r="C7" s="1">
        <v>2656.07</v>
      </c>
      <c r="D7" s="1">
        <v>2817.11</v>
      </c>
      <c r="E7" s="1">
        <v>939.36</v>
      </c>
      <c r="F7" s="1">
        <v>852.21</v>
      </c>
      <c r="G7" s="1">
        <v>783.6</v>
      </c>
    </row>
    <row r="8" spans="1:7" x14ac:dyDescent="0.3">
      <c r="A8" s="1" t="s">
        <v>12</v>
      </c>
      <c r="B8" s="1">
        <v>157.44</v>
      </c>
      <c r="C8" s="1">
        <v>268.29000000000002</v>
      </c>
      <c r="D8" s="1">
        <v>284.56</v>
      </c>
      <c r="E8" s="1">
        <v>94.89</v>
      </c>
      <c r="F8" s="1">
        <v>86.08</v>
      </c>
      <c r="G8" s="1">
        <v>79.959999999999994</v>
      </c>
    </row>
    <row r="9" spans="1:7" x14ac:dyDescent="0.3">
      <c r="A9" s="1" t="s">
        <v>13</v>
      </c>
      <c r="B9" s="1">
        <v>1206.9000000000001</v>
      </c>
      <c r="C9" s="1">
        <v>2595.5700000000002</v>
      </c>
      <c r="D9" s="1">
        <v>2817.11</v>
      </c>
      <c r="E9" s="1">
        <v>843.72</v>
      </c>
      <c r="F9" s="1">
        <v>-503.11</v>
      </c>
      <c r="G9" s="1">
        <v>677.46</v>
      </c>
    </row>
    <row r="10" spans="1:7" x14ac:dyDescent="0.3">
      <c r="A10" s="1" t="s">
        <v>14</v>
      </c>
      <c r="B10" s="1">
        <v>120.69</v>
      </c>
      <c r="C10" s="1">
        <v>262.18</v>
      </c>
      <c r="D10" s="1">
        <v>284.56</v>
      </c>
      <c r="E10" s="1">
        <v>85.22</v>
      </c>
      <c r="F10" s="1">
        <v>-50.82</v>
      </c>
      <c r="G10" s="1">
        <v>69.13</v>
      </c>
    </row>
    <row r="11" spans="1:7" x14ac:dyDescent="0.3">
      <c r="A11" s="1" t="s">
        <v>15</v>
      </c>
      <c r="B11" s="1">
        <v>995.09</v>
      </c>
      <c r="C11" s="1">
        <v>804.45</v>
      </c>
      <c r="D11" s="1">
        <v>2795.08</v>
      </c>
      <c r="E11" s="1">
        <v>737.25</v>
      </c>
      <c r="F11" s="1">
        <v>378.46</v>
      </c>
      <c r="G11" s="1">
        <v>442.04</v>
      </c>
    </row>
    <row r="12" spans="1:7" x14ac:dyDescent="0.3">
      <c r="A12" s="1" t="s">
        <v>16</v>
      </c>
      <c r="B12" s="1">
        <v>223.97</v>
      </c>
      <c r="C12" s="1">
        <v>268.33</v>
      </c>
      <c r="D12" s="1">
        <v>273.33</v>
      </c>
      <c r="E12" s="1">
        <v>249.21</v>
      </c>
      <c r="F12" s="1">
        <v>232.63</v>
      </c>
      <c r="G12" s="1">
        <v>261.24</v>
      </c>
    </row>
    <row r="13" spans="1:7" x14ac:dyDescent="0.3">
      <c r="A13" s="1" t="s">
        <v>17</v>
      </c>
      <c r="B13" s="1">
        <v>28.11</v>
      </c>
      <c r="C13" s="1">
        <v>33.590000000000003</v>
      </c>
      <c r="D13" s="1">
        <v>24.67</v>
      </c>
      <c r="E13" s="1">
        <v>30.7</v>
      </c>
      <c r="F13" s="1">
        <v>35.89</v>
      </c>
      <c r="G13" s="1">
        <v>38.49</v>
      </c>
    </row>
    <row r="14" spans="1:7" x14ac:dyDescent="0.3">
      <c r="A14" s="1" t="s">
        <v>18</v>
      </c>
      <c r="B14" s="1">
        <v>80.319999999999993</v>
      </c>
      <c r="C14" s="1">
        <v>107.24</v>
      </c>
      <c r="D14" s="1">
        <v>57.18</v>
      </c>
      <c r="E14" s="1">
        <v>71.12</v>
      </c>
      <c r="F14" s="1">
        <v>84.49</v>
      </c>
      <c r="G14" s="1">
        <v>86.09</v>
      </c>
    </row>
    <row r="15" spans="1:7" x14ac:dyDescent="0.3">
      <c r="A15" s="1" t="s">
        <v>19</v>
      </c>
      <c r="B15" s="1">
        <v>7</v>
      </c>
      <c r="C15" s="1">
        <v>5</v>
      </c>
      <c r="D15" s="1">
        <v>5</v>
      </c>
      <c r="E15" s="1">
        <v>4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1390.63</v>
      </c>
      <c r="C17" s="1">
        <v>2625.82</v>
      </c>
      <c r="D17" s="1">
        <v>2817.11</v>
      </c>
      <c r="E17" s="1">
        <v>891.54</v>
      </c>
      <c r="F17" s="1">
        <v>174.55</v>
      </c>
      <c r="G17" s="1">
        <v>730.53</v>
      </c>
    </row>
    <row r="18" spans="1:7" x14ac:dyDescent="0.3">
      <c r="A18" s="1" t="s">
        <v>22</v>
      </c>
      <c r="B18" s="1">
        <v>183.73</v>
      </c>
      <c r="C18" s="1">
        <v>30.25</v>
      </c>
      <c r="D18" s="1">
        <v>0</v>
      </c>
      <c r="E18" s="1">
        <v>47.82</v>
      </c>
      <c r="F18" s="1">
        <v>677.66</v>
      </c>
      <c r="G18" s="1">
        <v>53.07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3</v>
      </c>
      <c r="G19" s="1">
        <v>0</v>
      </c>
    </row>
    <row r="20" spans="1:7" x14ac:dyDescent="0.3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7.7</v>
      </c>
      <c r="G20" s="1">
        <v>0</v>
      </c>
    </row>
    <row r="21" spans="1:7" x14ac:dyDescent="0.3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2.2999999999999998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6</v>
      </c>
      <c r="G24" s="1">
        <v>0</v>
      </c>
    </row>
    <row r="25" spans="1:7" x14ac:dyDescent="0.3">
      <c r="A25" s="1" t="s">
        <v>29</v>
      </c>
      <c r="B25" s="1">
        <v>2.9</v>
      </c>
      <c r="C25" s="1">
        <v>0</v>
      </c>
      <c r="D25" s="1">
        <v>0</v>
      </c>
      <c r="E25" s="1">
        <v>0</v>
      </c>
      <c r="F25" s="1">
        <v>4</v>
      </c>
      <c r="G25" s="1">
        <v>3.8</v>
      </c>
    </row>
    <row r="26" spans="1:7" x14ac:dyDescent="0.3">
      <c r="A26" s="1" t="s">
        <v>30</v>
      </c>
      <c r="B26" s="1">
        <v>7.2</v>
      </c>
      <c r="C26" s="1">
        <v>10</v>
      </c>
      <c r="D26" s="1">
        <v>10</v>
      </c>
      <c r="E26" s="1">
        <v>10</v>
      </c>
      <c r="F26" s="1">
        <v>0</v>
      </c>
      <c r="G26" s="1">
        <v>6.1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60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28.71287128712871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40</v>
      </c>
      <c r="G30" s="3">
        <f t="shared" si="2"/>
        <v>38.383838383838388</v>
      </c>
    </row>
    <row r="31" spans="1:7" x14ac:dyDescent="0.3">
      <c r="A31" s="3" t="s">
        <v>34</v>
      </c>
      <c r="B31" s="3">
        <f>B26/B28*100</f>
        <v>71.287128712871294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61.616161616161627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147.63</v>
      </c>
      <c r="C33" s="3">
        <v>277.82</v>
      </c>
      <c r="D33" s="3">
        <v>297.60000000000002</v>
      </c>
      <c r="E33" s="3">
        <v>91.75</v>
      </c>
      <c r="F33" s="3">
        <v>-51.5</v>
      </c>
      <c r="G33" s="3">
        <v>67.86</v>
      </c>
    </row>
    <row r="35" spans="1:7" x14ac:dyDescent="0.3">
      <c r="A35" s="3" t="s">
        <v>36</v>
      </c>
      <c r="B35" s="3"/>
      <c r="C35" s="3"/>
      <c r="D35" s="3">
        <f>D33-C33</f>
        <v>19.78000000000003</v>
      </c>
      <c r="E35" s="3"/>
      <c r="F35" s="3">
        <f>F33-E33</f>
        <v>-143.25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-205.85000000000002</v>
      </c>
      <c r="F37" s="3"/>
      <c r="G37" s="3">
        <f>G33-F33</f>
        <v>119.36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D06A-65A4-4247-92E4-99D5B0289B8A}">
  <dimension ref="A1:G37"/>
  <sheetViews>
    <sheetView zoomScale="70" zoomScaleNormal="70" workbookViewId="0">
      <selection activeCell="J26" sqref="J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413.89</v>
      </c>
      <c r="C2" s="1">
        <v>406.12</v>
      </c>
      <c r="D2" s="1">
        <v>444.82</v>
      </c>
      <c r="E2" s="1">
        <v>359.08</v>
      </c>
      <c r="F2" s="1">
        <v>451.56</v>
      </c>
      <c r="G2" s="1">
        <v>514.36</v>
      </c>
    </row>
    <row r="3" spans="1:7" x14ac:dyDescent="0.3">
      <c r="A3" s="1" t="s">
        <v>7</v>
      </c>
      <c r="B3" s="1">
        <v>34.83</v>
      </c>
      <c r="C3" s="1">
        <v>34.270000000000003</v>
      </c>
      <c r="D3" s="1">
        <v>34.97</v>
      </c>
      <c r="E3" s="1">
        <v>32.5</v>
      </c>
      <c r="F3" s="1">
        <v>33.200000000000003</v>
      </c>
      <c r="G3" s="1">
        <v>34.39</v>
      </c>
    </row>
    <row r="4" spans="1:7" x14ac:dyDescent="0.3">
      <c r="A4" s="1" t="s">
        <v>8</v>
      </c>
      <c r="B4" s="1">
        <v>14695.34</v>
      </c>
      <c r="C4" s="1">
        <v>14189.46</v>
      </c>
      <c r="D4" s="1">
        <v>15843.19</v>
      </c>
      <c r="E4" s="1">
        <v>11927.82</v>
      </c>
      <c r="F4" s="1">
        <v>15297.55</v>
      </c>
      <c r="G4" s="1">
        <v>17992.919999999998</v>
      </c>
    </row>
    <row r="5" spans="1:7" x14ac:dyDescent="0.3">
      <c r="A5" s="1" t="s">
        <v>9</v>
      </c>
      <c r="B5" s="1">
        <v>2220.1799999999998</v>
      </c>
      <c r="C5" s="1">
        <v>2491.59</v>
      </c>
      <c r="D5" s="1">
        <v>2152.85</v>
      </c>
      <c r="E5" s="1">
        <v>1625.9</v>
      </c>
      <c r="F5" s="1">
        <v>370.8</v>
      </c>
      <c r="G5" s="1">
        <v>205.39</v>
      </c>
    </row>
    <row r="6" spans="1:7" x14ac:dyDescent="0.3">
      <c r="A6" s="3" t="s">
        <v>10</v>
      </c>
      <c r="B6" s="3">
        <v>222.02</v>
      </c>
      <c r="C6" s="3">
        <v>251.68</v>
      </c>
      <c r="D6" s="3">
        <v>217.46</v>
      </c>
      <c r="E6" s="3">
        <v>164.23</v>
      </c>
      <c r="F6" s="3">
        <v>37.450000000000003</v>
      </c>
      <c r="G6" s="3">
        <v>20.96</v>
      </c>
    </row>
    <row r="7" spans="1:7" x14ac:dyDescent="0.3">
      <c r="A7" s="1" t="s">
        <v>11</v>
      </c>
      <c r="B7" s="1">
        <v>1921.26</v>
      </c>
      <c r="C7" s="1">
        <v>2184.16</v>
      </c>
      <c r="D7" s="1">
        <v>2030.28</v>
      </c>
      <c r="E7" s="1">
        <v>1484.34</v>
      </c>
      <c r="F7" s="1">
        <v>355.29</v>
      </c>
      <c r="G7" s="1">
        <v>200.2</v>
      </c>
    </row>
    <row r="8" spans="1:7" x14ac:dyDescent="0.3">
      <c r="A8" s="1" t="s">
        <v>12</v>
      </c>
      <c r="B8" s="1">
        <v>192.13</v>
      </c>
      <c r="C8" s="1">
        <v>220.62</v>
      </c>
      <c r="D8" s="1">
        <v>205.08</v>
      </c>
      <c r="E8" s="1">
        <v>149.93</v>
      </c>
      <c r="F8" s="1">
        <v>35.89</v>
      </c>
      <c r="G8" s="1">
        <v>20.43</v>
      </c>
    </row>
    <row r="9" spans="1:7" x14ac:dyDescent="0.3">
      <c r="A9" s="1" t="s">
        <v>13</v>
      </c>
      <c r="B9" s="1">
        <v>1699.61</v>
      </c>
      <c r="C9" s="1">
        <v>2010.53</v>
      </c>
      <c r="D9" s="1">
        <v>2030.28</v>
      </c>
      <c r="E9" s="1">
        <v>899.78</v>
      </c>
      <c r="F9" s="1">
        <v>213.86</v>
      </c>
      <c r="G9" s="1">
        <v>21.09</v>
      </c>
    </row>
    <row r="10" spans="1:7" x14ac:dyDescent="0.3">
      <c r="A10" s="1" t="s">
        <v>14</v>
      </c>
      <c r="B10" s="1">
        <v>169.96</v>
      </c>
      <c r="C10" s="1">
        <v>203.08</v>
      </c>
      <c r="D10" s="1">
        <v>205.08</v>
      </c>
      <c r="E10" s="1">
        <v>90.89</v>
      </c>
      <c r="F10" s="1">
        <v>21.6</v>
      </c>
      <c r="G10" s="1">
        <v>2.15</v>
      </c>
    </row>
    <row r="11" spans="1:7" x14ac:dyDescent="0.3">
      <c r="A11" s="1" t="s">
        <v>15</v>
      </c>
      <c r="B11" s="1">
        <v>1283.29</v>
      </c>
      <c r="C11" s="1">
        <v>1109.0899999999999</v>
      </c>
      <c r="D11" s="1">
        <v>1865.58</v>
      </c>
      <c r="E11" s="1">
        <v>489.11</v>
      </c>
      <c r="F11" s="1">
        <v>124.16</v>
      </c>
      <c r="G11" s="1">
        <v>6.74</v>
      </c>
    </row>
    <row r="12" spans="1:7" x14ac:dyDescent="0.3">
      <c r="A12" s="1" t="s">
        <v>16</v>
      </c>
      <c r="B12" s="1">
        <v>237.87</v>
      </c>
      <c r="C12" s="1">
        <v>243.27</v>
      </c>
      <c r="D12" s="1">
        <v>252.26</v>
      </c>
      <c r="E12" s="1">
        <v>198.08</v>
      </c>
      <c r="F12" s="1">
        <v>199.56</v>
      </c>
      <c r="G12" s="1">
        <v>259.27999999999997</v>
      </c>
    </row>
    <row r="13" spans="1:7" x14ac:dyDescent="0.3">
      <c r="A13" s="1" t="s">
        <v>17</v>
      </c>
      <c r="B13" s="1">
        <v>33.04</v>
      </c>
      <c r="C13" s="1">
        <v>36.33</v>
      </c>
      <c r="D13" s="1">
        <v>31.65</v>
      </c>
      <c r="E13" s="1">
        <v>45.57</v>
      </c>
      <c r="F13" s="1">
        <v>50.57</v>
      </c>
      <c r="G13" s="1">
        <v>4.1100000000000003</v>
      </c>
    </row>
    <row r="14" spans="1:7" x14ac:dyDescent="0.3">
      <c r="A14" s="1" t="s">
        <v>18</v>
      </c>
      <c r="B14" s="1">
        <v>76.05</v>
      </c>
      <c r="C14" s="1">
        <v>85.35</v>
      </c>
      <c r="D14" s="1">
        <v>59.47</v>
      </c>
      <c r="E14" s="1">
        <v>82.53</v>
      </c>
      <c r="F14" s="1">
        <v>80.95</v>
      </c>
      <c r="G14" s="1">
        <v>10.17</v>
      </c>
    </row>
    <row r="15" spans="1:7" x14ac:dyDescent="0.3">
      <c r="A15" s="1" t="s">
        <v>19</v>
      </c>
      <c r="B15" s="1">
        <v>7</v>
      </c>
      <c r="C15" s="1">
        <v>9</v>
      </c>
      <c r="D15" s="1">
        <v>7</v>
      </c>
      <c r="E15" s="1">
        <v>7</v>
      </c>
      <c r="F15" s="1">
        <v>1</v>
      </c>
      <c r="G15" s="1">
        <v>0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1810.43</v>
      </c>
      <c r="C17" s="1">
        <v>2097.34</v>
      </c>
      <c r="D17" s="1">
        <v>2030.28</v>
      </c>
      <c r="E17" s="1">
        <v>1192.06</v>
      </c>
      <c r="F17" s="1">
        <v>284.57</v>
      </c>
      <c r="G17" s="1">
        <v>110.64</v>
      </c>
    </row>
    <row r="18" spans="1:7" x14ac:dyDescent="0.3">
      <c r="A18" s="1" t="s">
        <v>22</v>
      </c>
      <c r="B18" s="1">
        <v>110.83</v>
      </c>
      <c r="C18" s="1">
        <v>86.82</v>
      </c>
      <c r="D18" s="1">
        <v>0</v>
      </c>
      <c r="E18" s="1">
        <v>292.27999999999997</v>
      </c>
      <c r="F18" s="1">
        <v>70.72</v>
      </c>
      <c r="G18" s="1">
        <v>89.55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1.3</v>
      </c>
      <c r="C20" s="1">
        <v>0</v>
      </c>
      <c r="D20" s="1">
        <v>0</v>
      </c>
      <c r="E20" s="1">
        <v>3.3</v>
      </c>
      <c r="F20" s="1">
        <v>0</v>
      </c>
      <c r="G20" s="1">
        <v>0</v>
      </c>
    </row>
    <row r="21" spans="1:7" x14ac:dyDescent="0.3">
      <c r="A21" s="1" t="s">
        <v>25</v>
      </c>
      <c r="B21" s="1">
        <v>8.8000000000000007</v>
      </c>
      <c r="C21" s="1">
        <v>10</v>
      </c>
      <c r="D21" s="1">
        <v>10</v>
      </c>
      <c r="E21" s="1">
        <v>6.7</v>
      </c>
      <c r="F21" s="1">
        <v>10</v>
      </c>
      <c r="G21" s="1">
        <v>9.9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2.2999999999999998</v>
      </c>
      <c r="C23" s="1">
        <v>0</v>
      </c>
      <c r="D23" s="1">
        <v>0</v>
      </c>
      <c r="E23" s="1">
        <v>1.4</v>
      </c>
      <c r="F23" s="1">
        <v>0</v>
      </c>
      <c r="G23" s="1">
        <v>0</v>
      </c>
    </row>
    <row r="24" spans="1:7" x14ac:dyDescent="0.3">
      <c r="A24" s="1" t="s">
        <v>28</v>
      </c>
      <c r="B24" s="1">
        <v>1.7</v>
      </c>
      <c r="C24" s="1">
        <v>2.6</v>
      </c>
      <c r="D24" s="1">
        <v>0</v>
      </c>
      <c r="E24" s="1">
        <v>2.6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7.7</v>
      </c>
      <c r="G25" s="1">
        <v>9.9</v>
      </c>
    </row>
    <row r="26" spans="1:7" x14ac:dyDescent="0.3">
      <c r="A26" s="1" t="s">
        <v>30</v>
      </c>
      <c r="B26" s="1">
        <v>8.4</v>
      </c>
      <c r="C26" s="1">
        <v>7.4</v>
      </c>
      <c r="D26" s="1">
        <v>10</v>
      </c>
      <c r="E26" s="1">
        <v>7.4</v>
      </c>
      <c r="F26" s="1">
        <v>2.2999999999999998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16.831683168316832</v>
      </c>
      <c r="C29" s="3">
        <f t="shared" ref="C29:G29" si="1">C24/C28*100</f>
        <v>26</v>
      </c>
      <c r="D29" s="3">
        <f t="shared" si="1"/>
        <v>0</v>
      </c>
      <c r="E29" s="3">
        <f t="shared" si="1"/>
        <v>26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77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83.168316831683171</v>
      </c>
      <c r="C31" s="3">
        <f t="shared" ref="C31:G31" si="3">C26/C28*100</f>
        <v>74</v>
      </c>
      <c r="D31" s="3">
        <f t="shared" si="3"/>
        <v>100</v>
      </c>
      <c r="E31" s="3">
        <f t="shared" si="3"/>
        <v>74</v>
      </c>
      <c r="F31" s="3">
        <f t="shared" si="3"/>
        <v>23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180.5</v>
      </c>
      <c r="C33" s="3">
        <v>196.11</v>
      </c>
      <c r="D33" s="3">
        <v>217.88</v>
      </c>
      <c r="E33" s="3">
        <v>75.91</v>
      </c>
      <c r="F33" s="3">
        <v>22.37</v>
      </c>
      <c r="G33" s="3">
        <v>-7.0000000000000007E-2</v>
      </c>
    </row>
    <row r="35" spans="1:7" x14ac:dyDescent="0.3">
      <c r="A35" s="3" t="s">
        <v>36</v>
      </c>
      <c r="B35" s="3"/>
      <c r="C35" s="3"/>
      <c r="D35" s="3">
        <f>D33-C33</f>
        <v>21.769999999999982</v>
      </c>
      <c r="E35" s="3"/>
      <c r="F35" s="3">
        <f>F33-E33</f>
        <v>-53.539999999999992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-141.97</v>
      </c>
      <c r="F37" s="3"/>
      <c r="G37" s="3">
        <f>G33-F33</f>
        <v>-22.44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CB94-BCF9-41DF-BE7E-1D7632EC9179}">
  <dimension ref="A1:G37"/>
  <sheetViews>
    <sheetView tabSelected="1" zoomScale="70" zoomScaleNormal="70" workbookViewId="0">
      <selection activeCell="T16" sqref="T1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474</v>
      </c>
      <c r="C2" s="1">
        <v>501.89</v>
      </c>
      <c r="D2" s="1">
        <v>561.58000000000004</v>
      </c>
      <c r="E2" s="1">
        <v>483.72</v>
      </c>
      <c r="F2" s="1">
        <v>463.1</v>
      </c>
      <c r="G2" s="1">
        <v>504.75</v>
      </c>
    </row>
    <row r="3" spans="1:7" x14ac:dyDescent="0.3">
      <c r="A3" s="1" t="s">
        <v>7</v>
      </c>
      <c r="B3" s="1">
        <v>43.91</v>
      </c>
      <c r="C3" s="1">
        <v>50.78</v>
      </c>
      <c r="D3" s="1">
        <v>60.6</v>
      </c>
      <c r="E3" s="1">
        <v>61.02</v>
      </c>
      <c r="F3" s="1">
        <v>65.040000000000006</v>
      </c>
      <c r="G3" s="1">
        <v>71.55</v>
      </c>
    </row>
    <row r="4" spans="1:7" x14ac:dyDescent="0.3">
      <c r="A4" s="1" t="s">
        <v>8</v>
      </c>
      <c r="B4" s="1">
        <v>21282.11</v>
      </c>
      <c r="C4" s="1">
        <v>25939.74</v>
      </c>
      <c r="D4" s="1">
        <v>34654.07</v>
      </c>
      <c r="E4" s="1">
        <v>30031.08</v>
      </c>
      <c r="F4" s="1">
        <v>30622.54</v>
      </c>
      <c r="G4" s="1">
        <v>36724.199999999997</v>
      </c>
    </row>
    <row r="5" spans="1:7" x14ac:dyDescent="0.3">
      <c r="A5" s="1" t="s">
        <v>9</v>
      </c>
      <c r="B5" s="1">
        <v>2515.08</v>
      </c>
      <c r="C5" s="1">
        <v>3076.64</v>
      </c>
      <c r="D5" s="1">
        <v>3436.03</v>
      </c>
      <c r="E5" s="1">
        <v>1364.27</v>
      </c>
      <c r="F5" s="1">
        <v>1297.4000000000001</v>
      </c>
      <c r="G5" s="1">
        <v>1269.71</v>
      </c>
    </row>
    <row r="6" spans="1:7" x14ac:dyDescent="0.3">
      <c r="A6" s="3" t="s">
        <v>10</v>
      </c>
      <c r="B6" s="3">
        <v>251.51</v>
      </c>
      <c r="C6" s="3">
        <v>310.77</v>
      </c>
      <c r="D6" s="3">
        <v>347.07</v>
      </c>
      <c r="E6" s="3">
        <v>137.81</v>
      </c>
      <c r="F6" s="3">
        <v>131.05000000000001</v>
      </c>
      <c r="G6" s="3">
        <v>129.56</v>
      </c>
    </row>
    <row r="7" spans="1:7" x14ac:dyDescent="0.3">
      <c r="A7" s="1" t="s">
        <v>11</v>
      </c>
      <c r="B7" s="1">
        <v>2217.94</v>
      </c>
      <c r="C7" s="1">
        <v>2882.1</v>
      </c>
      <c r="D7" s="1">
        <v>3269.8</v>
      </c>
      <c r="E7" s="1">
        <v>1274.93</v>
      </c>
      <c r="F7" s="1">
        <v>1110.4100000000001</v>
      </c>
      <c r="G7" s="1">
        <v>1139.8</v>
      </c>
    </row>
    <row r="8" spans="1:7" x14ac:dyDescent="0.3">
      <c r="A8" s="1" t="s">
        <v>12</v>
      </c>
      <c r="B8" s="1">
        <v>221.79</v>
      </c>
      <c r="C8" s="1">
        <v>291.12</v>
      </c>
      <c r="D8" s="1">
        <v>330.28</v>
      </c>
      <c r="E8" s="1">
        <v>128.78</v>
      </c>
      <c r="F8" s="1">
        <v>112.16</v>
      </c>
      <c r="G8" s="1">
        <v>116.31</v>
      </c>
    </row>
    <row r="9" spans="1:7" x14ac:dyDescent="0.3">
      <c r="A9" s="1" t="s">
        <v>13</v>
      </c>
      <c r="B9" s="1">
        <v>1897.52</v>
      </c>
      <c r="C9" s="1">
        <v>2882.1</v>
      </c>
      <c r="D9" s="1">
        <v>3269.8</v>
      </c>
      <c r="E9" s="1">
        <v>1274.93</v>
      </c>
      <c r="F9" s="1">
        <v>-558.35</v>
      </c>
      <c r="G9" s="1">
        <v>-515.02</v>
      </c>
    </row>
    <row r="10" spans="1:7" x14ac:dyDescent="0.3">
      <c r="A10" s="1" t="s">
        <v>14</v>
      </c>
      <c r="B10" s="1">
        <v>189.75</v>
      </c>
      <c r="C10" s="1">
        <v>291.12</v>
      </c>
      <c r="D10" s="1">
        <v>330.28</v>
      </c>
      <c r="E10" s="1">
        <v>128.78</v>
      </c>
      <c r="F10" s="1">
        <v>-56.4</v>
      </c>
      <c r="G10" s="1">
        <v>-52.55</v>
      </c>
    </row>
    <row r="11" spans="1:7" x14ac:dyDescent="0.3">
      <c r="A11" s="1" t="s">
        <v>15</v>
      </c>
      <c r="B11" s="1">
        <v>1014.39</v>
      </c>
      <c r="C11" s="1">
        <v>2585.7199999999998</v>
      </c>
      <c r="D11" s="1">
        <v>3205.03</v>
      </c>
      <c r="E11" s="1">
        <v>1127.02</v>
      </c>
      <c r="F11" s="1">
        <v>517.79999999999995</v>
      </c>
      <c r="G11" s="1">
        <v>41.97</v>
      </c>
    </row>
    <row r="12" spans="1:7" x14ac:dyDescent="0.3">
      <c r="A12" s="1" t="s">
        <v>16</v>
      </c>
      <c r="B12" s="1">
        <v>229.37</v>
      </c>
      <c r="C12" s="1">
        <v>256.76</v>
      </c>
      <c r="D12" s="1">
        <v>276.18</v>
      </c>
      <c r="E12" s="1">
        <v>228.96</v>
      </c>
      <c r="F12" s="1">
        <v>188.96</v>
      </c>
      <c r="G12" s="1">
        <v>190.46</v>
      </c>
    </row>
    <row r="13" spans="1:7" x14ac:dyDescent="0.3">
      <c r="A13" s="1" t="s">
        <v>17</v>
      </c>
      <c r="B13" s="1">
        <v>55.4</v>
      </c>
      <c r="C13" s="1">
        <v>33.57</v>
      </c>
      <c r="D13" s="1">
        <v>29.37</v>
      </c>
      <c r="E13" s="1">
        <v>25.04</v>
      </c>
      <c r="F13" s="1">
        <v>46.91</v>
      </c>
      <c r="G13" s="1">
        <v>41.97</v>
      </c>
    </row>
    <row r="14" spans="1:7" x14ac:dyDescent="0.3">
      <c r="A14" s="1" t="s">
        <v>18</v>
      </c>
      <c r="B14" s="1">
        <v>112.5</v>
      </c>
      <c r="C14" s="1">
        <v>86.84</v>
      </c>
      <c r="D14" s="1">
        <v>69.92</v>
      </c>
      <c r="E14" s="1">
        <v>54.41</v>
      </c>
      <c r="F14" s="1">
        <v>90.2</v>
      </c>
      <c r="G14" s="1">
        <v>95.17</v>
      </c>
    </row>
    <row r="15" spans="1:7" x14ac:dyDescent="0.3">
      <c r="A15" s="1" t="s">
        <v>19</v>
      </c>
      <c r="B15" s="1">
        <v>7</v>
      </c>
      <c r="C15" s="1">
        <v>8</v>
      </c>
      <c r="D15" s="1">
        <v>7</v>
      </c>
      <c r="E15" s="1">
        <v>5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2057.73</v>
      </c>
      <c r="C17" s="1">
        <v>2882.1</v>
      </c>
      <c r="D17" s="1">
        <v>3269.8</v>
      </c>
      <c r="E17" s="1">
        <v>1274.93</v>
      </c>
      <c r="F17" s="1">
        <v>276.02999999999997</v>
      </c>
      <c r="G17" s="1">
        <v>312.39</v>
      </c>
    </row>
    <row r="18" spans="1:7" x14ac:dyDescent="0.3">
      <c r="A18" s="1" t="s">
        <v>22</v>
      </c>
      <c r="B18" s="1">
        <v>160.21</v>
      </c>
      <c r="C18" s="1">
        <v>0</v>
      </c>
      <c r="D18" s="1">
        <v>0</v>
      </c>
      <c r="E18" s="1">
        <v>0</v>
      </c>
      <c r="F18" s="1">
        <v>834.38</v>
      </c>
      <c r="G18" s="1">
        <v>827.41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2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5.8</v>
      </c>
      <c r="G20" s="1">
        <v>5.0999999999999996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4.2</v>
      </c>
      <c r="G21" s="1">
        <v>4.8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2.6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5.3</v>
      </c>
      <c r="G24" s="1">
        <v>2.9</v>
      </c>
    </row>
    <row r="25" spans="1:7" x14ac:dyDescent="0.3">
      <c r="A25" s="1" t="s">
        <v>29</v>
      </c>
      <c r="B25" s="1">
        <v>1.9</v>
      </c>
      <c r="C25" s="1">
        <v>0</v>
      </c>
      <c r="D25" s="1">
        <v>0</v>
      </c>
      <c r="E25" s="1">
        <v>0</v>
      </c>
      <c r="F25" s="1">
        <v>3.7</v>
      </c>
      <c r="G25" s="1">
        <v>2.6</v>
      </c>
    </row>
    <row r="26" spans="1:7" x14ac:dyDescent="0.3">
      <c r="A26" s="1" t="s">
        <v>30</v>
      </c>
      <c r="B26" s="1">
        <v>8.1999999999999993</v>
      </c>
      <c r="C26" s="1">
        <v>10</v>
      </c>
      <c r="D26" s="1">
        <v>10</v>
      </c>
      <c r="E26" s="1">
        <v>10</v>
      </c>
      <c r="F26" s="1">
        <v>1</v>
      </c>
      <c r="G26" s="1">
        <v>4.4000000000000004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53</v>
      </c>
      <c r="G29" s="3">
        <f t="shared" si="1"/>
        <v>29.292929292929294</v>
      </c>
    </row>
    <row r="30" spans="1:7" x14ac:dyDescent="0.3">
      <c r="A30" s="3" t="s">
        <v>33</v>
      </c>
      <c r="B30" s="3">
        <f>B25/B28*100</f>
        <v>18.811881188118811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37</v>
      </c>
      <c r="G30" s="3">
        <f t="shared" si="2"/>
        <v>26.262626262626267</v>
      </c>
    </row>
    <row r="31" spans="1:7" x14ac:dyDescent="0.3">
      <c r="A31" s="3" t="s">
        <v>34</v>
      </c>
      <c r="B31" s="3">
        <f>B26/B28*100</f>
        <v>81.188118811881182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44.44444444444445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203.71</v>
      </c>
      <c r="C33" s="3">
        <v>310.39999999999998</v>
      </c>
      <c r="D33" s="3">
        <v>339.24</v>
      </c>
      <c r="E33" s="3">
        <v>137.25</v>
      </c>
      <c r="F33" s="3">
        <v>-66.989999999999995</v>
      </c>
      <c r="G33" s="3">
        <v>2.56</v>
      </c>
    </row>
    <row r="35" spans="1:7" x14ac:dyDescent="0.3">
      <c r="A35" s="3" t="s">
        <v>36</v>
      </c>
      <c r="B35" s="3"/>
      <c r="C35" s="3"/>
      <c r="D35" s="3">
        <f>D33-C33</f>
        <v>28.840000000000032</v>
      </c>
      <c r="E35" s="3"/>
      <c r="F35" s="3">
        <f>F33-E33</f>
        <v>-204.24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-201.99</v>
      </c>
      <c r="F37" s="3"/>
      <c r="G37" s="3">
        <f>G33-F33</f>
        <v>69.55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C4CC-D61B-4BAB-ABBA-BAA075A47613}">
  <dimension ref="A1:G37"/>
  <sheetViews>
    <sheetView zoomScale="70" zoomScaleNormal="70" workbookViewId="0">
      <selection activeCell="M14" sqref="M1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240717B001.1</vt:lpstr>
      <vt:lpstr>240717B001.2</vt:lpstr>
      <vt:lpstr>240717B001.3</vt:lpstr>
      <vt:lpstr>240717B001.4</vt:lpstr>
      <vt:lpstr>240717B002.1</vt:lpstr>
      <vt:lpstr>240717B002.2</vt:lpstr>
      <vt:lpstr>240717B002.3</vt:lpstr>
      <vt:lpstr>240717B003.2</vt:lpstr>
      <vt:lpstr>240717B003.4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2024-08-17T20:02:01Z</dcterms:created>
  <dcterms:modified xsi:type="dcterms:W3CDTF">2024-08-22T17:31:56Z</dcterms:modified>
</cp:coreProperties>
</file>