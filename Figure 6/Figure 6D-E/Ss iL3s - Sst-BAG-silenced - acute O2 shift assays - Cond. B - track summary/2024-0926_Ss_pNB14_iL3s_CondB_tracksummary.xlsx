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alsh\Desktop\2024-0926\WormLab Data\"/>
    </mc:Choice>
  </mc:AlternateContent>
  <xr:revisionPtr revIDLastSave="0" documentId="13_ncr:1_{EDD1D07E-5397-4D90-9BEE-A6A5A5FB2284}" xr6:coauthVersionLast="47" xr6:coauthVersionMax="47" xr10:uidLastSave="{00000000-0000-0000-0000-000000000000}"/>
  <bookViews>
    <workbookView xWindow="192" yWindow="24" windowWidth="22404" windowHeight="12768" firstSheet="5" activeTab="9" xr2:uid="{E04A6CCA-3BFC-4CFC-8FEE-62BFBAB49DB1}"/>
  </bookViews>
  <sheets>
    <sheet name="240926Bttx001.2" sheetId="2" r:id="rId1"/>
    <sheet name="240926Bttx001.3" sheetId="3" r:id="rId2"/>
    <sheet name="240926Bttx002.2" sheetId="4" r:id="rId3"/>
    <sheet name="240926Bttx002.3" sheetId="5" r:id="rId4"/>
    <sheet name="240926Bttx002.4" sheetId="6" r:id="rId5"/>
    <sheet name="240926Bttx003.1" sheetId="7" r:id="rId6"/>
    <sheet name="240926Bttx003.2" sheetId="8" r:id="rId7"/>
    <sheet name="240926Bttx004.2" sheetId="10" r:id="rId8"/>
    <sheet name="240926Bttx004.3" sheetId="9" r:id="rId9"/>
    <sheet name="template (2)" sheetId="11" r:id="rId10"/>
    <sheet name="template" sheetId="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7" i="11" l="1"/>
  <c r="E37" i="11"/>
  <c r="C37" i="11"/>
  <c r="F35" i="11"/>
  <c r="D35" i="11"/>
  <c r="G31" i="11"/>
  <c r="F31" i="11"/>
  <c r="E31" i="11"/>
  <c r="B31" i="11"/>
  <c r="B30" i="11"/>
  <c r="G29" i="11"/>
  <c r="F29" i="11"/>
  <c r="E29" i="11"/>
  <c r="B29" i="11"/>
  <c r="G28" i="11"/>
  <c r="G30" i="11" s="1"/>
  <c r="F28" i="11"/>
  <c r="F30" i="11" s="1"/>
  <c r="E28" i="11"/>
  <c r="E30" i="11" s="1"/>
  <c r="D28" i="11"/>
  <c r="D29" i="11" s="1"/>
  <c r="C28" i="11"/>
  <c r="C29" i="11" s="1"/>
  <c r="B28" i="11"/>
  <c r="G37" i="10"/>
  <c r="E37" i="10"/>
  <c r="C37" i="10"/>
  <c r="F35" i="10"/>
  <c r="D35" i="10"/>
  <c r="G28" i="10"/>
  <c r="G30" i="10" s="1"/>
  <c r="F28" i="10"/>
  <c r="F30" i="10" s="1"/>
  <c r="E28" i="10"/>
  <c r="E31" i="10" s="1"/>
  <c r="D28" i="10"/>
  <c r="D30" i="10" s="1"/>
  <c r="C28" i="10"/>
  <c r="C31" i="10" s="1"/>
  <c r="B28" i="10"/>
  <c r="B31" i="10" s="1"/>
  <c r="G37" i="9"/>
  <c r="E37" i="9"/>
  <c r="C37" i="9"/>
  <c r="F35" i="9"/>
  <c r="D35" i="9"/>
  <c r="F31" i="9"/>
  <c r="E31" i="9"/>
  <c r="B31" i="9"/>
  <c r="F30" i="9"/>
  <c r="G28" i="9"/>
  <c r="G31" i="9" s="1"/>
  <c r="F28" i="9"/>
  <c r="F29" i="9" s="1"/>
  <c r="E28" i="9"/>
  <c r="E30" i="9" s="1"/>
  <c r="D28" i="9"/>
  <c r="D31" i="9" s="1"/>
  <c r="C28" i="9"/>
  <c r="C31" i="9" s="1"/>
  <c r="B28" i="9"/>
  <c r="B30" i="9" s="1"/>
  <c r="G37" i="8"/>
  <c r="E37" i="8"/>
  <c r="C37" i="8"/>
  <c r="F35" i="8"/>
  <c r="D35" i="8"/>
  <c r="G31" i="8"/>
  <c r="F31" i="8"/>
  <c r="E31" i="8"/>
  <c r="D31" i="8"/>
  <c r="C31" i="8"/>
  <c r="B31" i="8"/>
  <c r="G30" i="8"/>
  <c r="F30" i="8"/>
  <c r="E30" i="8"/>
  <c r="D30" i="8"/>
  <c r="C30" i="8"/>
  <c r="B30" i="8"/>
  <c r="G29" i="8"/>
  <c r="F29" i="8"/>
  <c r="E29" i="8"/>
  <c r="G28" i="8"/>
  <c r="F28" i="8"/>
  <c r="E28" i="8"/>
  <c r="D28" i="8"/>
  <c r="D29" i="8" s="1"/>
  <c r="C28" i="8"/>
  <c r="C29" i="8" s="1"/>
  <c r="B28" i="8"/>
  <c r="B29" i="8" s="1"/>
  <c r="G37" i="7"/>
  <c r="E37" i="7"/>
  <c r="C37" i="7"/>
  <c r="F35" i="7"/>
  <c r="D35" i="7"/>
  <c r="G31" i="7"/>
  <c r="F31" i="7"/>
  <c r="E31" i="7"/>
  <c r="D31" i="7"/>
  <c r="C31" i="7"/>
  <c r="B31" i="7"/>
  <c r="G30" i="7"/>
  <c r="F30" i="7"/>
  <c r="E30" i="7"/>
  <c r="D30" i="7"/>
  <c r="C30" i="7"/>
  <c r="B30" i="7"/>
  <c r="G29" i="7"/>
  <c r="F29" i="7"/>
  <c r="E29" i="7"/>
  <c r="G28" i="7"/>
  <c r="F28" i="7"/>
  <c r="E28" i="7"/>
  <c r="D28" i="7"/>
  <c r="D29" i="7" s="1"/>
  <c r="C28" i="7"/>
  <c r="C29" i="7" s="1"/>
  <c r="B28" i="7"/>
  <c r="B29" i="7" s="1"/>
  <c r="G37" i="6"/>
  <c r="E37" i="6"/>
  <c r="C37" i="6"/>
  <c r="F35" i="6"/>
  <c r="D35" i="6"/>
  <c r="G31" i="6"/>
  <c r="F31" i="6"/>
  <c r="E31" i="6"/>
  <c r="D31" i="6"/>
  <c r="G28" i="6"/>
  <c r="G30" i="6" s="1"/>
  <c r="F28" i="6"/>
  <c r="F30" i="6" s="1"/>
  <c r="E28" i="6"/>
  <c r="E30" i="6" s="1"/>
  <c r="D28" i="6"/>
  <c r="D30" i="6" s="1"/>
  <c r="C28" i="6"/>
  <c r="C29" i="6" s="1"/>
  <c r="B28" i="6"/>
  <c r="B29" i="6" s="1"/>
  <c r="G37" i="5"/>
  <c r="E37" i="5"/>
  <c r="C37" i="5"/>
  <c r="F35" i="5"/>
  <c r="D35" i="5"/>
  <c r="G28" i="5"/>
  <c r="G30" i="5" s="1"/>
  <c r="F28" i="5"/>
  <c r="F30" i="5" s="1"/>
  <c r="E28" i="5"/>
  <c r="E30" i="5" s="1"/>
  <c r="D28" i="5"/>
  <c r="D29" i="5" s="1"/>
  <c r="C28" i="5"/>
  <c r="C29" i="5" s="1"/>
  <c r="B28" i="5"/>
  <c r="B29" i="5" s="1"/>
  <c r="G37" i="4"/>
  <c r="E37" i="4"/>
  <c r="C37" i="4"/>
  <c r="F35" i="4"/>
  <c r="D35" i="4"/>
  <c r="G28" i="4"/>
  <c r="G29" i="4" s="1"/>
  <c r="F28" i="4"/>
  <c r="F29" i="4" s="1"/>
  <c r="E28" i="4"/>
  <c r="E29" i="4" s="1"/>
  <c r="D28" i="4"/>
  <c r="D30" i="4" s="1"/>
  <c r="C28" i="4"/>
  <c r="C30" i="4" s="1"/>
  <c r="B28" i="4"/>
  <c r="B30" i="4" s="1"/>
  <c r="G37" i="3"/>
  <c r="E37" i="3"/>
  <c r="C37" i="3"/>
  <c r="F35" i="3"/>
  <c r="D35" i="3"/>
  <c r="G28" i="3"/>
  <c r="G30" i="3" s="1"/>
  <c r="F28" i="3"/>
  <c r="F30" i="3" s="1"/>
  <c r="E28" i="3"/>
  <c r="E30" i="3" s="1"/>
  <c r="D28" i="3"/>
  <c r="D31" i="3" s="1"/>
  <c r="C28" i="3"/>
  <c r="C29" i="3" s="1"/>
  <c r="B28" i="3"/>
  <c r="B31" i="3" s="1"/>
  <c r="G37" i="2"/>
  <c r="E37" i="2"/>
  <c r="C37" i="2"/>
  <c r="F35" i="2"/>
  <c r="D35" i="2"/>
  <c r="E31" i="2"/>
  <c r="D31" i="2"/>
  <c r="C31" i="2"/>
  <c r="B31" i="2"/>
  <c r="F30" i="2"/>
  <c r="E30" i="2"/>
  <c r="D30" i="2"/>
  <c r="C30" i="2"/>
  <c r="B30" i="2"/>
  <c r="F29" i="2"/>
  <c r="E29" i="2"/>
  <c r="D29" i="2"/>
  <c r="C29" i="2"/>
  <c r="G28" i="2"/>
  <c r="G31" i="2" s="1"/>
  <c r="F28" i="2"/>
  <c r="F31" i="2" s="1"/>
  <c r="E28" i="2"/>
  <c r="D28" i="2"/>
  <c r="C28" i="2"/>
  <c r="B28" i="2"/>
  <c r="B29" i="2" s="1"/>
  <c r="G37" i="1"/>
  <c r="E37" i="1"/>
  <c r="C37" i="1"/>
  <c r="F35" i="1"/>
  <c r="D35" i="1"/>
  <c r="G31" i="1"/>
  <c r="F31" i="1"/>
  <c r="E31" i="1"/>
  <c r="D31" i="1"/>
  <c r="C31" i="1"/>
  <c r="B31" i="1"/>
  <c r="G30" i="1"/>
  <c r="F30" i="1"/>
  <c r="E30" i="1"/>
  <c r="D30" i="1"/>
  <c r="C30" i="1"/>
  <c r="B30" i="1"/>
  <c r="G29" i="1"/>
  <c r="F29" i="1"/>
  <c r="E29" i="1"/>
  <c r="D29" i="1"/>
  <c r="G28" i="1"/>
  <c r="F28" i="1"/>
  <c r="E28" i="1"/>
  <c r="D28" i="1"/>
  <c r="C28" i="1"/>
  <c r="C29" i="1" s="1"/>
  <c r="B28" i="1"/>
  <c r="B29" i="1" s="1"/>
  <c r="C30" i="11" l="1"/>
  <c r="D30" i="11"/>
  <c r="C31" i="11"/>
  <c r="D31" i="11"/>
  <c r="B29" i="9"/>
  <c r="C29" i="9"/>
  <c r="D29" i="9"/>
  <c r="E29" i="9"/>
  <c r="G29" i="9"/>
  <c r="C30" i="9"/>
  <c r="D30" i="9"/>
  <c r="B29" i="10"/>
  <c r="C29" i="10"/>
  <c r="B30" i="10"/>
  <c r="C30" i="10"/>
  <c r="F31" i="10"/>
  <c r="G31" i="10"/>
  <c r="D31" i="10"/>
  <c r="D29" i="10"/>
  <c r="E29" i="10"/>
  <c r="F29" i="10"/>
  <c r="G29" i="10"/>
  <c r="E30" i="10"/>
  <c r="G30" i="9"/>
  <c r="D29" i="6"/>
  <c r="E29" i="6"/>
  <c r="F29" i="6"/>
  <c r="G29" i="6"/>
  <c r="B30" i="6"/>
  <c r="C30" i="6"/>
  <c r="B31" i="6"/>
  <c r="C31" i="6"/>
  <c r="F29" i="5"/>
  <c r="D31" i="5"/>
  <c r="G31" i="5"/>
  <c r="E29" i="5"/>
  <c r="G29" i="5"/>
  <c r="E31" i="5"/>
  <c r="F31" i="5"/>
  <c r="B30" i="5"/>
  <c r="C30" i="5"/>
  <c r="D30" i="5"/>
  <c r="B31" i="5"/>
  <c r="C31" i="5"/>
  <c r="E30" i="4"/>
  <c r="F30" i="4"/>
  <c r="G30" i="4"/>
  <c r="B31" i="4"/>
  <c r="C31" i="4"/>
  <c r="D31" i="4"/>
  <c r="E31" i="4"/>
  <c r="F31" i="4"/>
  <c r="G31" i="4"/>
  <c r="B29" i="4"/>
  <c r="C29" i="4"/>
  <c r="D29" i="4"/>
  <c r="G29" i="3"/>
  <c r="E31" i="3"/>
  <c r="F31" i="3"/>
  <c r="G31" i="3"/>
  <c r="B29" i="3"/>
  <c r="B30" i="3"/>
  <c r="G29" i="2"/>
  <c r="G30" i="2"/>
  <c r="D29" i="3"/>
  <c r="E29" i="3"/>
  <c r="F29" i="3"/>
  <c r="C30" i="3"/>
  <c r="D30" i="3"/>
  <c r="C31" i="3"/>
</calcChain>
</file>

<file path=xl/sharedStrings.xml><?xml version="1.0" encoding="utf-8"?>
<sst xmlns="http://schemas.openxmlformats.org/spreadsheetml/2006/main" count="418" uniqueCount="37">
  <si>
    <t>0-10s</t>
  </si>
  <si>
    <t>30.1 - 40s</t>
  </si>
  <si>
    <t>40.1 - 50 s</t>
  </si>
  <si>
    <t>70.1-80s</t>
  </si>
  <si>
    <t>80.1-90s</t>
  </si>
  <si>
    <t>110.1 - 120s</t>
  </si>
  <si>
    <t>Mean Worm Length (um)</t>
  </si>
  <si>
    <t>Mean Width (um)</t>
  </si>
  <si>
    <t>Mean Area (um^2)</t>
  </si>
  <si>
    <t>Track Length (um) [Center point trajectory]</t>
  </si>
  <si>
    <t>Center point Speed (um/s) [Center point trajectory/time]</t>
  </si>
  <si>
    <t>Absolute Peristaltic Track Length (um) [forward + reversals]</t>
  </si>
  <si>
    <t>Peristaltic Speed (um/s) [Absolute peristaltic track length/time]</t>
  </si>
  <si>
    <t>Peristaltic Track Length (um) [forward - reversals]</t>
  </si>
  <si>
    <t>Peristaltic Speed (um/s) [peristaltic track length/time]</t>
  </si>
  <si>
    <t>Straight-line Distance (um)</t>
  </si>
  <si>
    <t>Wavelength (um)</t>
  </si>
  <si>
    <t>Mean Amplitude (um)</t>
  </si>
  <si>
    <t>Max Amplitude (um)</t>
  </si>
  <si>
    <t>Turn Count</t>
  </si>
  <si>
    <t>Track duration (s)</t>
  </si>
  <si>
    <t>Distance Traveled Forward(um)</t>
  </si>
  <si>
    <t>Distance Traveled in Reverse(um)</t>
  </si>
  <si>
    <t>Number of Reversals</t>
  </si>
  <si>
    <t>Cumulative Reversal Time (s)</t>
  </si>
  <si>
    <t>Cumulative Forward Time (s)</t>
  </si>
  <si>
    <t>Number of Pirouette</t>
  </si>
  <si>
    <t>Pirouette Time (s)</t>
  </si>
  <si>
    <t>Mobility reversal time (s)</t>
  </si>
  <si>
    <t>Mobility idle time (s)</t>
  </si>
  <si>
    <t>Mobility forward time (s)</t>
  </si>
  <si>
    <t>Total Time</t>
  </si>
  <si>
    <t>% Reversal</t>
  </si>
  <si>
    <t>% Idle</t>
  </si>
  <si>
    <t>% Forward</t>
  </si>
  <si>
    <t>Mean Smoothed Speed</t>
  </si>
  <si>
    <t>Speed Change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</si>
</sst>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3" borderId="2" xfId="0" applyFill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B3A60-4F6C-417C-9351-0829B2234F22}">
  <dimension ref="A1:G37"/>
  <sheetViews>
    <sheetView zoomScale="70" zoomScaleNormal="70" workbookViewId="0">
      <selection activeCell="B30" sqref="B30:G30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427.93</v>
      </c>
      <c r="C2" s="1">
        <v>396.61</v>
      </c>
      <c r="D2" s="1">
        <v>498.75</v>
      </c>
      <c r="E2" s="1">
        <v>450.68</v>
      </c>
      <c r="F2" s="1">
        <v>428.89</v>
      </c>
      <c r="G2" s="1">
        <v>486.01</v>
      </c>
    </row>
    <row r="3" spans="1:7" x14ac:dyDescent="0.3">
      <c r="A3" s="1" t="s">
        <v>7</v>
      </c>
      <c r="B3" s="1">
        <v>45.92</v>
      </c>
      <c r="C3" s="1">
        <v>45.53</v>
      </c>
      <c r="D3" s="1">
        <v>41.94</v>
      </c>
      <c r="E3" s="1">
        <v>42.46</v>
      </c>
      <c r="F3" s="1">
        <v>49.11</v>
      </c>
      <c r="G3" s="1">
        <v>39.33</v>
      </c>
    </row>
    <row r="4" spans="1:7" x14ac:dyDescent="0.3">
      <c r="A4" s="1" t="s">
        <v>8</v>
      </c>
      <c r="B4" s="1">
        <v>20001.900000000001</v>
      </c>
      <c r="C4" s="1">
        <v>18406.53</v>
      </c>
      <c r="D4" s="1">
        <v>21283.26</v>
      </c>
      <c r="E4" s="1">
        <v>19452.009999999998</v>
      </c>
      <c r="F4" s="1">
        <v>21197.759999999998</v>
      </c>
      <c r="G4" s="1">
        <v>19441.61</v>
      </c>
    </row>
    <row r="5" spans="1:7" x14ac:dyDescent="0.3">
      <c r="A5" s="1" t="s">
        <v>9</v>
      </c>
      <c r="B5" s="1">
        <v>1857.09</v>
      </c>
      <c r="C5" s="1">
        <v>1781.9</v>
      </c>
      <c r="D5" s="1">
        <v>3034.93</v>
      </c>
      <c r="E5" s="1">
        <v>1802.82</v>
      </c>
      <c r="F5" s="1">
        <v>1059.75</v>
      </c>
      <c r="G5" s="1">
        <v>2496.41</v>
      </c>
    </row>
    <row r="6" spans="1:7" x14ac:dyDescent="0.3">
      <c r="A6" s="3" t="s">
        <v>10</v>
      </c>
      <c r="B6" s="3">
        <v>185.71</v>
      </c>
      <c r="C6" s="3">
        <v>179.99</v>
      </c>
      <c r="D6" s="3">
        <v>306.56</v>
      </c>
      <c r="E6" s="3">
        <v>182.1</v>
      </c>
      <c r="F6" s="3">
        <v>107.05</v>
      </c>
      <c r="G6" s="3">
        <v>254.74</v>
      </c>
    </row>
    <row r="7" spans="1:7" x14ac:dyDescent="0.3">
      <c r="A7" s="1" t="s">
        <v>11</v>
      </c>
      <c r="B7" s="1">
        <v>1605.02</v>
      </c>
      <c r="C7" s="1">
        <v>1680.4</v>
      </c>
      <c r="D7" s="1">
        <v>2792.28</v>
      </c>
      <c r="E7" s="1">
        <v>1631.46</v>
      </c>
      <c r="F7" s="1">
        <v>903.14</v>
      </c>
      <c r="G7" s="1">
        <v>2350.5</v>
      </c>
    </row>
    <row r="8" spans="1:7" x14ac:dyDescent="0.3">
      <c r="A8" s="1" t="s">
        <v>12</v>
      </c>
      <c r="B8" s="1">
        <v>160.5</v>
      </c>
      <c r="C8" s="1">
        <v>169.74</v>
      </c>
      <c r="D8" s="1">
        <v>282.05</v>
      </c>
      <c r="E8" s="1">
        <v>164.79</v>
      </c>
      <c r="F8" s="1">
        <v>91.23</v>
      </c>
      <c r="G8" s="1">
        <v>239.85</v>
      </c>
    </row>
    <row r="9" spans="1:7" x14ac:dyDescent="0.3">
      <c r="A9" s="1" t="s">
        <v>13</v>
      </c>
      <c r="B9" s="1">
        <v>1597.51</v>
      </c>
      <c r="C9" s="1">
        <v>1646.18</v>
      </c>
      <c r="D9" s="1">
        <v>2792.28</v>
      </c>
      <c r="E9" s="1">
        <v>1014.42</v>
      </c>
      <c r="F9" s="1">
        <v>-464.75</v>
      </c>
      <c r="G9" s="1">
        <v>2350.5</v>
      </c>
    </row>
    <row r="10" spans="1:7" x14ac:dyDescent="0.3">
      <c r="A10" s="1" t="s">
        <v>14</v>
      </c>
      <c r="B10" s="1">
        <v>159.75</v>
      </c>
      <c r="C10" s="1">
        <v>166.28</v>
      </c>
      <c r="D10" s="1">
        <v>282.05</v>
      </c>
      <c r="E10" s="1">
        <v>102.47</v>
      </c>
      <c r="F10" s="1">
        <v>-46.94</v>
      </c>
      <c r="G10" s="1">
        <v>239.85</v>
      </c>
    </row>
    <row r="11" spans="1:7" x14ac:dyDescent="0.3">
      <c r="A11" s="1" t="s">
        <v>15</v>
      </c>
      <c r="B11" s="1">
        <v>1196.31</v>
      </c>
      <c r="C11" s="1">
        <v>1254.32</v>
      </c>
      <c r="D11" s="1">
        <v>1977.28</v>
      </c>
      <c r="E11" s="1">
        <v>370.69</v>
      </c>
      <c r="F11" s="1">
        <v>220.36</v>
      </c>
      <c r="G11" s="1">
        <v>2254.42</v>
      </c>
    </row>
    <row r="12" spans="1:7" x14ac:dyDescent="0.3">
      <c r="A12" s="1" t="s">
        <v>16</v>
      </c>
      <c r="B12" s="1">
        <v>225.87</v>
      </c>
      <c r="C12" s="1">
        <v>226.89</v>
      </c>
      <c r="D12" s="1">
        <v>296.82</v>
      </c>
      <c r="E12" s="1">
        <v>212.92</v>
      </c>
      <c r="F12" s="1">
        <v>176.4</v>
      </c>
      <c r="G12" s="1">
        <v>284.58</v>
      </c>
    </row>
    <row r="13" spans="1:7" x14ac:dyDescent="0.3">
      <c r="A13" s="1" t="s">
        <v>17</v>
      </c>
      <c r="B13" s="1">
        <v>34.299999999999997</v>
      </c>
      <c r="C13" s="1">
        <v>28.27</v>
      </c>
      <c r="D13" s="1">
        <v>30.81</v>
      </c>
      <c r="E13" s="1">
        <v>54.44</v>
      </c>
      <c r="F13" s="1">
        <v>53.17</v>
      </c>
      <c r="G13" s="1">
        <v>27.41</v>
      </c>
    </row>
    <row r="14" spans="1:7" x14ac:dyDescent="0.3">
      <c r="A14" s="1" t="s">
        <v>18</v>
      </c>
      <c r="B14" s="1">
        <v>86.4</v>
      </c>
      <c r="C14" s="1">
        <v>69.900000000000006</v>
      </c>
      <c r="D14" s="1">
        <v>76.73</v>
      </c>
      <c r="E14" s="1">
        <v>91.99</v>
      </c>
      <c r="F14" s="1">
        <v>91.16</v>
      </c>
      <c r="G14" s="1">
        <v>58.46</v>
      </c>
    </row>
    <row r="15" spans="1:7" x14ac:dyDescent="0.3">
      <c r="A15" s="1" t="s">
        <v>19</v>
      </c>
      <c r="B15" s="1">
        <v>7</v>
      </c>
      <c r="C15" s="1">
        <v>8</v>
      </c>
      <c r="D15" s="1">
        <v>9</v>
      </c>
      <c r="E15" s="1">
        <v>6</v>
      </c>
      <c r="F15" s="1">
        <v>4</v>
      </c>
      <c r="G15" s="1">
        <v>7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1601.27</v>
      </c>
      <c r="C17" s="1">
        <v>1663.29</v>
      </c>
      <c r="D17" s="1">
        <v>2792.28</v>
      </c>
      <c r="E17" s="1">
        <v>1322.94</v>
      </c>
      <c r="F17" s="1">
        <v>219.2</v>
      </c>
      <c r="G17" s="1">
        <v>2350.5</v>
      </c>
    </row>
    <row r="18" spans="1:7" x14ac:dyDescent="0.3">
      <c r="A18" s="1" t="s">
        <v>22</v>
      </c>
      <c r="B18" s="1">
        <v>3.75</v>
      </c>
      <c r="C18" s="1">
        <v>17.11</v>
      </c>
      <c r="D18" s="1">
        <v>0</v>
      </c>
      <c r="E18" s="1">
        <v>308.52</v>
      </c>
      <c r="F18" s="1">
        <v>683.95</v>
      </c>
      <c r="G18" s="1">
        <v>0</v>
      </c>
    </row>
    <row r="19" spans="1:7" x14ac:dyDescent="0.3">
      <c r="A19" s="1" t="s">
        <v>23</v>
      </c>
      <c r="B19" s="1">
        <v>0</v>
      </c>
      <c r="C19" s="1">
        <v>0</v>
      </c>
      <c r="D19" s="1">
        <v>0</v>
      </c>
      <c r="E19" s="1">
        <v>2</v>
      </c>
      <c r="F19" s="1">
        <v>2</v>
      </c>
      <c r="G19" s="1">
        <v>0</v>
      </c>
    </row>
    <row r="20" spans="1:7" x14ac:dyDescent="0.3">
      <c r="A20" s="1" t="s">
        <v>24</v>
      </c>
      <c r="B20" s="1">
        <v>0</v>
      </c>
      <c r="C20" s="1">
        <v>0</v>
      </c>
      <c r="D20" s="1">
        <v>0</v>
      </c>
      <c r="E20" s="1">
        <v>3.9</v>
      </c>
      <c r="F20" s="1">
        <v>6.3</v>
      </c>
      <c r="G20" s="1">
        <v>0</v>
      </c>
    </row>
    <row r="21" spans="1:7" x14ac:dyDescent="0.3">
      <c r="A21" s="1" t="s">
        <v>25</v>
      </c>
      <c r="B21" s="1">
        <v>10.1</v>
      </c>
      <c r="C21" s="1">
        <v>10</v>
      </c>
      <c r="D21" s="1">
        <v>10</v>
      </c>
      <c r="E21" s="1">
        <v>6.1</v>
      </c>
      <c r="F21" s="1">
        <v>3.7</v>
      </c>
      <c r="G21" s="1">
        <v>9.9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1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2.1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4.4000000000000004</v>
      </c>
      <c r="F24" s="1">
        <v>4.5999999999999996</v>
      </c>
      <c r="G24" s="1">
        <v>0</v>
      </c>
    </row>
    <row r="25" spans="1:7" x14ac:dyDescent="0.3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1.8</v>
      </c>
      <c r="G25" s="1">
        <v>0</v>
      </c>
    </row>
    <row r="26" spans="1:7" x14ac:dyDescent="0.3">
      <c r="A26" s="1" t="s">
        <v>30</v>
      </c>
      <c r="B26" s="1">
        <v>10.1</v>
      </c>
      <c r="C26" s="1">
        <v>10</v>
      </c>
      <c r="D26" s="1">
        <v>10</v>
      </c>
      <c r="E26" s="1">
        <v>5.6</v>
      </c>
      <c r="F26" s="1">
        <v>3.6</v>
      </c>
      <c r="G26" s="1">
        <v>9.9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44.000000000000007</v>
      </c>
      <c r="F29" s="3">
        <f t="shared" si="1"/>
        <v>46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18</v>
      </c>
      <c r="G30" s="3">
        <f t="shared" si="2"/>
        <v>0</v>
      </c>
    </row>
    <row r="31" spans="1:7" x14ac:dyDescent="0.3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55.999999999999993</v>
      </c>
      <c r="F31" s="3">
        <f t="shared" si="3"/>
        <v>36</v>
      </c>
      <c r="G31" s="3">
        <f t="shared" si="3"/>
        <v>100</v>
      </c>
    </row>
    <row r="32" spans="1:7" x14ac:dyDescent="0.3">
      <c r="A32" s="1"/>
      <c r="B32" s="5"/>
      <c r="C32" s="5"/>
      <c r="D32" s="5"/>
      <c r="E32" s="5"/>
      <c r="F32" s="5"/>
      <c r="G32" s="1"/>
    </row>
    <row r="33" spans="1:7" x14ac:dyDescent="0.3">
      <c r="A33" s="4" t="s">
        <v>35</v>
      </c>
      <c r="B33" s="3">
        <v>170.77</v>
      </c>
      <c r="C33" s="3">
        <v>174.2</v>
      </c>
      <c r="D33" s="3">
        <v>303.44</v>
      </c>
      <c r="E33" s="3">
        <v>52.75</v>
      </c>
      <c r="F33" s="3">
        <v>-17</v>
      </c>
      <c r="G33" s="3">
        <v>246.63</v>
      </c>
    </row>
    <row r="35" spans="1:7" x14ac:dyDescent="0.3">
      <c r="A35" s="3" t="s">
        <v>36</v>
      </c>
      <c r="B35" s="3"/>
      <c r="C35" s="3"/>
      <c r="D35" s="3">
        <f>D33-C33</f>
        <v>129.24</v>
      </c>
      <c r="E35" s="3"/>
      <c r="F35" s="3">
        <f>F33-E33</f>
        <v>-69.75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-250.69</v>
      </c>
      <c r="F37" s="3"/>
      <c r="G37" s="3" t="e">
        <f>#REF!-F33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5CAB7-4DCE-44A1-A343-6F60B0DB968F}">
  <dimension ref="A1:G37"/>
  <sheetViews>
    <sheetView zoomScale="70" zoomScaleNormal="70" workbookViewId="0">
      <selection activeCell="K13" sqref="K13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356.17</v>
      </c>
      <c r="C2" s="1">
        <v>390.3</v>
      </c>
      <c r="D2" s="1">
        <v>467.75</v>
      </c>
      <c r="E2" s="1">
        <v>350.06</v>
      </c>
      <c r="F2" s="1">
        <v>431.2</v>
      </c>
      <c r="G2" s="1">
        <v>451.21</v>
      </c>
    </row>
    <row r="3" spans="1:7" x14ac:dyDescent="0.3">
      <c r="A3" s="1" t="s">
        <v>7</v>
      </c>
      <c r="B3" s="1">
        <v>42.18</v>
      </c>
      <c r="C3" s="1">
        <v>40.54</v>
      </c>
      <c r="D3" s="1">
        <v>40.92</v>
      </c>
      <c r="E3" s="1">
        <v>34.130000000000003</v>
      </c>
      <c r="F3" s="1">
        <v>39.18</v>
      </c>
      <c r="G3" s="1">
        <v>41.19</v>
      </c>
    </row>
    <row r="4" spans="1:7" x14ac:dyDescent="0.3">
      <c r="A4" s="1" t="s">
        <v>8</v>
      </c>
      <c r="B4" s="1">
        <v>15376.91</v>
      </c>
      <c r="C4" s="1">
        <v>16055.68</v>
      </c>
      <c r="D4" s="1">
        <v>19586.13</v>
      </c>
      <c r="E4" s="1">
        <v>12180.12</v>
      </c>
      <c r="F4" s="1">
        <v>17161.16</v>
      </c>
      <c r="G4" s="1">
        <v>18941.36</v>
      </c>
    </row>
    <row r="5" spans="1:7" x14ac:dyDescent="0.3">
      <c r="A5" s="1" t="s">
        <v>9</v>
      </c>
      <c r="B5" s="1">
        <v>1635.86</v>
      </c>
      <c r="C5" s="1">
        <v>1527.98</v>
      </c>
      <c r="D5" s="1">
        <v>2921.97</v>
      </c>
      <c r="E5" s="1">
        <v>2912.98</v>
      </c>
      <c r="F5" s="1">
        <v>812.53</v>
      </c>
      <c r="G5" s="1">
        <v>1116.53</v>
      </c>
    </row>
    <row r="6" spans="1:7" x14ac:dyDescent="0.3">
      <c r="A6" s="3" t="s">
        <v>10</v>
      </c>
      <c r="B6" s="3">
        <v>163.59</v>
      </c>
      <c r="C6" s="3">
        <v>154.34</v>
      </c>
      <c r="D6" s="3">
        <v>295.14999999999998</v>
      </c>
      <c r="E6" s="3">
        <v>294.24</v>
      </c>
      <c r="F6" s="3">
        <v>82.07</v>
      </c>
      <c r="G6" s="3">
        <v>113.93</v>
      </c>
    </row>
    <row r="7" spans="1:7" x14ac:dyDescent="0.3">
      <c r="A7" s="1" t="s">
        <v>11</v>
      </c>
      <c r="B7" s="1">
        <v>1434.98</v>
      </c>
      <c r="C7" s="1">
        <v>1285.6199999999999</v>
      </c>
      <c r="D7" s="1">
        <v>2741.42</v>
      </c>
      <c r="E7" s="1">
        <v>2782.2</v>
      </c>
      <c r="F7" s="1">
        <v>787.75</v>
      </c>
      <c r="G7" s="1">
        <v>1025.95</v>
      </c>
    </row>
    <row r="8" spans="1:7" x14ac:dyDescent="0.3">
      <c r="A8" s="1" t="s">
        <v>12</v>
      </c>
      <c r="B8" s="1">
        <v>143.5</v>
      </c>
      <c r="C8" s="1">
        <v>129.86000000000001</v>
      </c>
      <c r="D8" s="1">
        <v>276.91000000000003</v>
      </c>
      <c r="E8" s="1">
        <v>281.02999999999997</v>
      </c>
      <c r="F8" s="1">
        <v>79.569999999999993</v>
      </c>
      <c r="G8" s="1">
        <v>104.69</v>
      </c>
    </row>
    <row r="9" spans="1:7" x14ac:dyDescent="0.3">
      <c r="A9" s="1" t="s">
        <v>13</v>
      </c>
      <c r="B9" s="1">
        <v>807.19</v>
      </c>
      <c r="C9" s="1">
        <v>-860.93</v>
      </c>
      <c r="D9" s="1">
        <v>2741.42</v>
      </c>
      <c r="E9" s="1">
        <v>2782.2</v>
      </c>
      <c r="F9" s="1">
        <v>746.49</v>
      </c>
      <c r="G9" s="1">
        <v>-819.68</v>
      </c>
    </row>
    <row r="10" spans="1:7" x14ac:dyDescent="0.3">
      <c r="A10" s="1" t="s">
        <v>14</v>
      </c>
      <c r="B10" s="1">
        <v>80.72</v>
      </c>
      <c r="C10" s="1">
        <v>-86.96</v>
      </c>
      <c r="D10" s="1">
        <v>276.91000000000003</v>
      </c>
      <c r="E10" s="1">
        <v>281.02999999999997</v>
      </c>
      <c r="F10" s="1">
        <v>75.400000000000006</v>
      </c>
      <c r="G10" s="1">
        <v>-83.64</v>
      </c>
    </row>
    <row r="11" spans="1:7" x14ac:dyDescent="0.3">
      <c r="A11" s="1" t="s">
        <v>15</v>
      </c>
      <c r="B11" s="1">
        <v>466.47</v>
      </c>
      <c r="C11" s="1">
        <v>591.23</v>
      </c>
      <c r="D11" s="1">
        <v>2206.96</v>
      </c>
      <c r="E11" s="1">
        <v>2616.9</v>
      </c>
      <c r="F11" s="1">
        <v>724.44</v>
      </c>
      <c r="G11" s="1">
        <v>701.1</v>
      </c>
    </row>
    <row r="12" spans="1:7" x14ac:dyDescent="0.3">
      <c r="A12" s="1" t="s">
        <v>16</v>
      </c>
      <c r="B12" s="1">
        <v>192.56</v>
      </c>
      <c r="C12" s="1">
        <v>235.74</v>
      </c>
      <c r="D12" s="1">
        <v>254.05</v>
      </c>
      <c r="E12" s="1">
        <v>223.02</v>
      </c>
      <c r="F12" s="1">
        <v>229.43</v>
      </c>
      <c r="G12" s="1">
        <v>241.5</v>
      </c>
    </row>
    <row r="13" spans="1:7" x14ac:dyDescent="0.3">
      <c r="A13" s="1" t="s">
        <v>17</v>
      </c>
      <c r="B13" s="1">
        <v>42.43</v>
      </c>
      <c r="C13" s="1">
        <v>49.42</v>
      </c>
      <c r="D13" s="1">
        <v>26.55</v>
      </c>
      <c r="E13" s="1">
        <v>16.309999999999999</v>
      </c>
      <c r="F13" s="1">
        <v>18.260000000000002</v>
      </c>
      <c r="G13" s="1">
        <v>28.22</v>
      </c>
    </row>
    <row r="14" spans="1:7" x14ac:dyDescent="0.3">
      <c r="A14" s="1" t="s">
        <v>18</v>
      </c>
      <c r="B14" s="1">
        <v>75.17</v>
      </c>
      <c r="C14" s="1">
        <v>94.36</v>
      </c>
      <c r="D14" s="1">
        <v>68.03</v>
      </c>
      <c r="E14" s="1">
        <v>38.76</v>
      </c>
      <c r="F14" s="1">
        <v>38.65</v>
      </c>
      <c r="G14" s="1">
        <v>68.19</v>
      </c>
    </row>
    <row r="15" spans="1:7" x14ac:dyDescent="0.3">
      <c r="A15" s="1" t="s">
        <v>19</v>
      </c>
      <c r="B15" s="1">
        <v>6</v>
      </c>
      <c r="C15" s="1">
        <v>7</v>
      </c>
      <c r="D15" s="1">
        <v>5</v>
      </c>
      <c r="E15" s="1">
        <v>8</v>
      </c>
      <c r="F15" s="1">
        <v>2</v>
      </c>
      <c r="G15" s="1">
        <v>5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1121.08</v>
      </c>
      <c r="C17" s="1">
        <v>212.34</v>
      </c>
      <c r="D17" s="1">
        <v>2741.42</v>
      </c>
      <c r="E17" s="1">
        <v>2782.2</v>
      </c>
      <c r="F17" s="1">
        <v>767.12</v>
      </c>
      <c r="G17" s="1">
        <v>103.14</v>
      </c>
    </row>
    <row r="18" spans="1:7" x14ac:dyDescent="0.3">
      <c r="A18" s="1" t="s">
        <v>22</v>
      </c>
      <c r="B18" s="1">
        <v>313.89</v>
      </c>
      <c r="C18" s="1">
        <v>1073.27</v>
      </c>
      <c r="D18" s="1">
        <v>0</v>
      </c>
      <c r="E18" s="1">
        <v>0</v>
      </c>
      <c r="F18" s="1">
        <v>20.63</v>
      </c>
      <c r="G18" s="1">
        <v>922.81</v>
      </c>
    </row>
    <row r="19" spans="1:7" x14ac:dyDescent="0.3">
      <c r="A19" s="1" t="s">
        <v>23</v>
      </c>
      <c r="B19" s="1">
        <v>3</v>
      </c>
      <c r="C19" s="1">
        <v>2</v>
      </c>
      <c r="D19" s="1">
        <v>0</v>
      </c>
      <c r="E19" s="1">
        <v>0</v>
      </c>
      <c r="F19" s="1">
        <v>0</v>
      </c>
      <c r="G19" s="1">
        <v>2</v>
      </c>
    </row>
    <row r="20" spans="1:7" x14ac:dyDescent="0.3">
      <c r="A20" s="1" t="s">
        <v>24</v>
      </c>
      <c r="B20" s="1">
        <v>4.5</v>
      </c>
      <c r="C20" s="1">
        <v>7</v>
      </c>
      <c r="D20" s="1">
        <v>0</v>
      </c>
      <c r="E20" s="1">
        <v>0</v>
      </c>
      <c r="F20" s="1">
        <v>0</v>
      </c>
      <c r="G20" s="1">
        <v>8</v>
      </c>
    </row>
    <row r="21" spans="1:7" x14ac:dyDescent="0.3">
      <c r="A21" s="1" t="s">
        <v>25</v>
      </c>
      <c r="B21" s="1">
        <v>5.6</v>
      </c>
      <c r="C21" s="1">
        <v>3</v>
      </c>
      <c r="D21" s="1">
        <v>10</v>
      </c>
      <c r="E21" s="1">
        <v>10</v>
      </c>
      <c r="F21" s="1">
        <v>10</v>
      </c>
      <c r="G21" s="1">
        <v>1.9</v>
      </c>
    </row>
    <row r="22" spans="1:7" x14ac:dyDescent="0.3">
      <c r="A22" s="1" t="s">
        <v>26</v>
      </c>
      <c r="B22" s="1">
        <v>1</v>
      </c>
      <c r="C22" s="1">
        <v>1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1.3</v>
      </c>
      <c r="C23" s="1">
        <v>2.2000000000000002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5.0999999999999996</v>
      </c>
      <c r="C24" s="1">
        <v>6.8</v>
      </c>
      <c r="D24" s="1">
        <v>0</v>
      </c>
      <c r="E24" s="1">
        <v>0</v>
      </c>
      <c r="F24" s="1">
        <v>0</v>
      </c>
      <c r="G24" s="1">
        <v>8.3000000000000007</v>
      </c>
    </row>
    <row r="25" spans="1:7" x14ac:dyDescent="0.3">
      <c r="A25" s="1" t="s">
        <v>29</v>
      </c>
      <c r="B25" s="1">
        <v>0</v>
      </c>
      <c r="C25" s="1">
        <v>1.8</v>
      </c>
      <c r="D25" s="1">
        <v>0</v>
      </c>
      <c r="E25" s="1">
        <v>0</v>
      </c>
      <c r="F25" s="1">
        <v>1.4</v>
      </c>
      <c r="G25" s="1">
        <v>1.6</v>
      </c>
    </row>
    <row r="26" spans="1:7" x14ac:dyDescent="0.3">
      <c r="A26" s="1" t="s">
        <v>30</v>
      </c>
      <c r="B26" s="1">
        <v>5</v>
      </c>
      <c r="C26" s="1">
        <v>1.4</v>
      </c>
      <c r="D26" s="1">
        <v>10</v>
      </c>
      <c r="E26" s="1">
        <v>10</v>
      </c>
      <c r="F26" s="1">
        <v>8.6</v>
      </c>
      <c r="G26" s="1">
        <v>0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50.495049504950494</v>
      </c>
      <c r="C29" s="3">
        <f t="shared" ref="C29:G29" si="1">C24/C28*100</f>
        <v>68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83.838383838383848</v>
      </c>
    </row>
    <row r="30" spans="1:7" x14ac:dyDescent="0.3">
      <c r="A30" s="3" t="s">
        <v>33</v>
      </c>
      <c r="B30" s="3">
        <f>B25/B28*100</f>
        <v>0</v>
      </c>
      <c r="C30" s="3">
        <f t="shared" ref="C30:G30" si="2">C25/C28*100</f>
        <v>18</v>
      </c>
      <c r="D30" s="3">
        <f t="shared" si="2"/>
        <v>0</v>
      </c>
      <c r="E30" s="3">
        <f t="shared" si="2"/>
        <v>0</v>
      </c>
      <c r="F30" s="3">
        <f t="shared" si="2"/>
        <v>13.999999999999998</v>
      </c>
      <c r="G30" s="3">
        <f t="shared" si="2"/>
        <v>16.161616161616163</v>
      </c>
    </row>
    <row r="31" spans="1:7" x14ac:dyDescent="0.3">
      <c r="A31" s="3" t="s">
        <v>34</v>
      </c>
      <c r="B31" s="3">
        <f>B26/B28*100</f>
        <v>49.504950495049506</v>
      </c>
      <c r="C31" s="3">
        <f t="shared" ref="C31:G31" si="3">C26/C28*100</f>
        <v>13.999999999999998</v>
      </c>
      <c r="D31" s="3">
        <f t="shared" si="3"/>
        <v>100</v>
      </c>
      <c r="E31" s="3">
        <f t="shared" si="3"/>
        <v>100</v>
      </c>
      <c r="F31" s="3">
        <f t="shared" si="3"/>
        <v>86</v>
      </c>
      <c r="G31" s="3">
        <f t="shared" si="3"/>
        <v>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43.94</v>
      </c>
      <c r="C33" s="3">
        <v>-67.63</v>
      </c>
      <c r="D33" s="3">
        <v>293.93</v>
      </c>
      <c r="E33" s="3">
        <v>295.37</v>
      </c>
      <c r="F33" s="3">
        <v>81.12</v>
      </c>
      <c r="G33" s="3">
        <v>-85.43</v>
      </c>
    </row>
    <row r="35" spans="1:7" x14ac:dyDescent="0.3">
      <c r="A35" s="3" t="s">
        <v>36</v>
      </c>
      <c r="B35" s="3"/>
      <c r="C35" s="3"/>
      <c r="D35" s="3">
        <f>D33-C33</f>
        <v>361.56</v>
      </c>
      <c r="E35" s="3"/>
      <c r="F35" s="3">
        <f>F33-E33</f>
        <v>-214.25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1.4399999999999977</v>
      </c>
      <c r="F37" s="3"/>
      <c r="G37" s="3">
        <f>G33-F33</f>
        <v>-166.55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FB756-7952-4F36-8BBD-B08EF895951C}">
  <dimension ref="A1:G37"/>
  <sheetViews>
    <sheetView zoomScale="70" zoomScaleNormal="70" workbookViewId="0">
      <selection activeCell="B30" sqref="B30:G30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509.1</v>
      </c>
      <c r="C2" s="1">
        <v>512.61</v>
      </c>
      <c r="D2" s="1">
        <v>507.11</v>
      </c>
      <c r="E2" s="1">
        <v>463.21</v>
      </c>
      <c r="F2" s="1">
        <v>472.07</v>
      </c>
      <c r="G2" s="1">
        <v>522.54999999999995</v>
      </c>
    </row>
    <row r="3" spans="1:7" x14ac:dyDescent="0.3">
      <c r="A3" s="1" t="s">
        <v>7</v>
      </c>
      <c r="B3" s="1">
        <v>52.15</v>
      </c>
      <c r="C3" s="1">
        <v>50.37</v>
      </c>
      <c r="D3" s="1">
        <v>49.69</v>
      </c>
      <c r="E3" s="1">
        <v>47.74</v>
      </c>
      <c r="F3" s="1">
        <v>49.87</v>
      </c>
      <c r="G3" s="1">
        <v>50.35</v>
      </c>
    </row>
    <row r="4" spans="1:7" x14ac:dyDescent="0.3">
      <c r="A4" s="1" t="s">
        <v>8</v>
      </c>
      <c r="B4" s="1">
        <v>27027.69</v>
      </c>
      <c r="C4" s="1">
        <v>26247.95</v>
      </c>
      <c r="D4" s="1">
        <v>25595.08</v>
      </c>
      <c r="E4" s="1">
        <v>22464.83</v>
      </c>
      <c r="F4" s="1">
        <v>23945.93</v>
      </c>
      <c r="G4" s="1">
        <v>26801.5</v>
      </c>
    </row>
    <row r="5" spans="1:7" x14ac:dyDescent="0.3">
      <c r="A5" s="1" t="s">
        <v>9</v>
      </c>
      <c r="B5" s="1">
        <v>3035.11</v>
      </c>
      <c r="C5" s="1">
        <v>2490.09</v>
      </c>
      <c r="D5" s="1">
        <v>3404.21</v>
      </c>
      <c r="E5" s="1">
        <v>1671.04</v>
      </c>
      <c r="F5" s="1">
        <v>1513.04</v>
      </c>
      <c r="G5" s="1">
        <v>2457.2600000000002</v>
      </c>
    </row>
    <row r="6" spans="1:7" x14ac:dyDescent="0.3">
      <c r="A6" s="3" t="s">
        <v>10</v>
      </c>
      <c r="B6" s="3">
        <v>303.51</v>
      </c>
      <c r="C6" s="3">
        <v>251.52</v>
      </c>
      <c r="D6" s="3">
        <v>343.86</v>
      </c>
      <c r="E6" s="3">
        <v>168.79</v>
      </c>
      <c r="F6" s="3">
        <v>152.83000000000001</v>
      </c>
      <c r="G6" s="3">
        <v>250.74</v>
      </c>
    </row>
    <row r="7" spans="1:7" x14ac:dyDescent="0.3">
      <c r="A7" s="1" t="s">
        <v>11</v>
      </c>
      <c r="B7" s="1">
        <v>2857.68</v>
      </c>
      <c r="C7" s="1">
        <v>2392.98</v>
      </c>
      <c r="D7" s="1">
        <v>3210.51</v>
      </c>
      <c r="E7" s="1">
        <v>1383.23</v>
      </c>
      <c r="F7" s="1">
        <v>1257.1400000000001</v>
      </c>
      <c r="G7" s="1">
        <v>2325.77</v>
      </c>
    </row>
    <row r="8" spans="1:7" x14ac:dyDescent="0.3">
      <c r="A8" s="1" t="s">
        <v>12</v>
      </c>
      <c r="B8" s="1">
        <v>285.77</v>
      </c>
      <c r="C8" s="1">
        <v>241.72</v>
      </c>
      <c r="D8" s="1">
        <v>324.29000000000002</v>
      </c>
      <c r="E8" s="1">
        <v>139.72</v>
      </c>
      <c r="F8" s="1">
        <v>126.98</v>
      </c>
      <c r="G8" s="1">
        <v>237.32</v>
      </c>
    </row>
    <row r="9" spans="1:7" x14ac:dyDescent="0.3">
      <c r="A9" s="1" t="s">
        <v>13</v>
      </c>
      <c r="B9" s="1">
        <v>2857.68</v>
      </c>
      <c r="C9" s="1">
        <v>2352.92</v>
      </c>
      <c r="D9" s="1">
        <v>3210.51</v>
      </c>
      <c r="E9" s="1">
        <v>1081.21</v>
      </c>
      <c r="F9" s="1">
        <v>-514.49</v>
      </c>
      <c r="G9" s="1">
        <v>2325.77</v>
      </c>
    </row>
    <row r="10" spans="1:7" x14ac:dyDescent="0.3">
      <c r="A10" s="1" t="s">
        <v>14</v>
      </c>
      <c r="B10" s="1">
        <v>285.77</v>
      </c>
      <c r="C10" s="1">
        <v>237.67</v>
      </c>
      <c r="D10" s="1">
        <v>324.29000000000002</v>
      </c>
      <c r="E10" s="1">
        <v>109.21</v>
      </c>
      <c r="F10" s="1">
        <v>-51.97</v>
      </c>
      <c r="G10" s="1">
        <v>237.32</v>
      </c>
    </row>
    <row r="11" spans="1:7" x14ac:dyDescent="0.3">
      <c r="A11" s="1" t="s">
        <v>15</v>
      </c>
      <c r="B11" s="1">
        <v>1212.69</v>
      </c>
      <c r="C11" s="1">
        <v>2003.05</v>
      </c>
      <c r="D11" s="1">
        <v>2917.17</v>
      </c>
      <c r="E11" s="1">
        <v>724.86</v>
      </c>
      <c r="F11" s="1">
        <v>639.01</v>
      </c>
      <c r="G11" s="1">
        <v>1927.17</v>
      </c>
    </row>
    <row r="12" spans="1:7" x14ac:dyDescent="0.3">
      <c r="A12" s="1" t="s">
        <v>16</v>
      </c>
      <c r="B12" s="1">
        <v>281.77999999999997</v>
      </c>
      <c r="C12" s="1">
        <v>287.14999999999998</v>
      </c>
      <c r="D12" s="1">
        <v>291.42</v>
      </c>
      <c r="E12" s="1">
        <v>201.44</v>
      </c>
      <c r="F12" s="1">
        <v>179.78</v>
      </c>
      <c r="G12" s="1">
        <v>280.13</v>
      </c>
    </row>
    <row r="13" spans="1:7" x14ac:dyDescent="0.3">
      <c r="A13" s="1" t="s">
        <v>17</v>
      </c>
      <c r="B13" s="1">
        <v>38.93</v>
      </c>
      <c r="C13" s="1">
        <v>37.69</v>
      </c>
      <c r="D13" s="1">
        <v>33.47</v>
      </c>
      <c r="E13" s="1">
        <v>45.22</v>
      </c>
      <c r="F13" s="1">
        <v>56.38</v>
      </c>
      <c r="G13" s="1">
        <v>31.09</v>
      </c>
    </row>
    <row r="14" spans="1:7" x14ac:dyDescent="0.3">
      <c r="A14" s="1" t="s">
        <v>18</v>
      </c>
      <c r="B14" s="1">
        <v>85.27</v>
      </c>
      <c r="C14" s="1">
        <v>85.79</v>
      </c>
      <c r="D14" s="1">
        <v>80.62</v>
      </c>
      <c r="E14" s="1">
        <v>102.33</v>
      </c>
      <c r="F14" s="1">
        <v>97.63</v>
      </c>
      <c r="G14" s="1">
        <v>77.819999999999993</v>
      </c>
    </row>
    <row r="15" spans="1:7" x14ac:dyDescent="0.3">
      <c r="A15" s="1" t="s">
        <v>19</v>
      </c>
      <c r="B15" s="1">
        <v>9</v>
      </c>
      <c r="C15" s="1">
        <v>9</v>
      </c>
      <c r="D15" s="1">
        <v>7</v>
      </c>
      <c r="E15" s="1">
        <v>8</v>
      </c>
      <c r="F15" s="1">
        <v>3</v>
      </c>
      <c r="G15" s="1">
        <v>7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2857.68</v>
      </c>
      <c r="C17" s="1">
        <v>2372.9499999999998</v>
      </c>
      <c r="D17" s="1">
        <v>3210.51</v>
      </c>
      <c r="E17" s="1">
        <v>1232.22</v>
      </c>
      <c r="F17" s="1">
        <v>371.32</v>
      </c>
      <c r="G17" s="1">
        <v>2325.77</v>
      </c>
    </row>
    <row r="18" spans="1:7" x14ac:dyDescent="0.3">
      <c r="A18" s="1" t="s">
        <v>22</v>
      </c>
      <c r="B18" s="1">
        <v>0</v>
      </c>
      <c r="C18" s="1">
        <v>20.03</v>
      </c>
      <c r="D18" s="1">
        <v>0</v>
      </c>
      <c r="E18" s="1">
        <v>151.01</v>
      </c>
      <c r="F18" s="1">
        <v>885.81</v>
      </c>
      <c r="G18" s="1">
        <v>0</v>
      </c>
    </row>
    <row r="19" spans="1:7" x14ac:dyDescent="0.3">
      <c r="A19" s="1" t="s">
        <v>23</v>
      </c>
      <c r="B19" s="1">
        <v>0</v>
      </c>
      <c r="C19" s="1">
        <v>0</v>
      </c>
      <c r="D19" s="1">
        <v>0</v>
      </c>
      <c r="E19" s="1">
        <v>1</v>
      </c>
      <c r="F19" s="1">
        <v>2</v>
      </c>
      <c r="G19" s="1">
        <v>0</v>
      </c>
    </row>
    <row r="20" spans="1:7" x14ac:dyDescent="0.3">
      <c r="A20" s="1" t="s">
        <v>24</v>
      </c>
      <c r="B20" s="1">
        <v>0</v>
      </c>
      <c r="C20" s="1">
        <v>0</v>
      </c>
      <c r="D20" s="1">
        <v>0</v>
      </c>
      <c r="E20" s="1">
        <v>1</v>
      </c>
      <c r="F20" s="1">
        <v>5.6</v>
      </c>
      <c r="G20" s="1">
        <v>0</v>
      </c>
    </row>
    <row r="21" spans="1:7" x14ac:dyDescent="0.3">
      <c r="A21" s="1" t="s">
        <v>25</v>
      </c>
      <c r="B21" s="1">
        <v>10.1</v>
      </c>
      <c r="C21" s="1">
        <v>10</v>
      </c>
      <c r="D21" s="1">
        <v>10</v>
      </c>
      <c r="E21" s="1">
        <v>9</v>
      </c>
      <c r="F21" s="1">
        <v>4.4000000000000004</v>
      </c>
      <c r="G21" s="1">
        <v>9.9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1</v>
      </c>
      <c r="F22" s="1">
        <v>1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2.2999999999999998</v>
      </c>
      <c r="F23" s="1">
        <v>2.2000000000000002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1.3</v>
      </c>
      <c r="F24" s="1">
        <v>6</v>
      </c>
      <c r="G24" s="1">
        <v>0</v>
      </c>
    </row>
    <row r="25" spans="1:7" x14ac:dyDescent="0.3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1</v>
      </c>
      <c r="G25" s="1">
        <v>0</v>
      </c>
    </row>
    <row r="26" spans="1:7" x14ac:dyDescent="0.3">
      <c r="A26" s="1" t="s">
        <v>30</v>
      </c>
      <c r="B26" s="1">
        <v>10.1</v>
      </c>
      <c r="C26" s="1">
        <v>10</v>
      </c>
      <c r="D26" s="1">
        <v>10</v>
      </c>
      <c r="E26" s="1">
        <v>8.6999999999999993</v>
      </c>
      <c r="F26" s="1">
        <v>3</v>
      </c>
      <c r="G26" s="1">
        <v>9.9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13</v>
      </c>
      <c r="F29" s="3">
        <f t="shared" si="1"/>
        <v>60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10</v>
      </c>
      <c r="G30" s="3">
        <f t="shared" si="2"/>
        <v>0</v>
      </c>
    </row>
    <row r="31" spans="1:7" x14ac:dyDescent="0.3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86.999999999999986</v>
      </c>
      <c r="F31" s="3">
        <f t="shared" si="3"/>
        <v>30</v>
      </c>
      <c r="G31" s="3">
        <f t="shared" si="3"/>
        <v>100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293.58</v>
      </c>
      <c r="C33" s="3">
        <v>243.42</v>
      </c>
      <c r="D33" s="3">
        <v>338.93</v>
      </c>
      <c r="E33" s="3">
        <v>122.34</v>
      </c>
      <c r="F33" s="3">
        <v>-59.04</v>
      </c>
      <c r="G33" s="3">
        <v>246.07</v>
      </c>
    </row>
    <row r="35" spans="1:7" x14ac:dyDescent="0.3">
      <c r="A35" s="3" t="s">
        <v>36</v>
      </c>
      <c r="B35" s="3"/>
      <c r="C35" s="3"/>
      <c r="D35" s="3">
        <f>D33-C33</f>
        <v>95.510000000000019</v>
      </c>
      <c r="E35" s="3"/>
      <c r="F35" s="3">
        <f>F33-E33</f>
        <v>-181.38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-216.59</v>
      </c>
      <c r="F37" s="3"/>
      <c r="G37" s="3">
        <f>G33-F33</f>
        <v>305.11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9430F-4AE6-46DD-B12E-4D4BD73840FE}">
  <dimension ref="A1:G37"/>
  <sheetViews>
    <sheetView zoomScale="70" zoomScaleNormal="70" workbookViewId="0">
      <selection activeCell="G40" sqref="G40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407.29</v>
      </c>
      <c r="C2" s="1">
        <v>437.23</v>
      </c>
      <c r="D2" s="1">
        <v>426.97</v>
      </c>
      <c r="E2" s="1">
        <v>413.16</v>
      </c>
      <c r="F2" s="1">
        <v>423.05</v>
      </c>
      <c r="G2" s="1">
        <v>402.65</v>
      </c>
    </row>
    <row r="3" spans="1:7" x14ac:dyDescent="0.3">
      <c r="A3" s="1" t="s">
        <v>7</v>
      </c>
      <c r="B3" s="1">
        <v>43.26</v>
      </c>
      <c r="C3" s="1">
        <v>47.63</v>
      </c>
      <c r="D3" s="1">
        <v>43.99</v>
      </c>
      <c r="E3" s="1">
        <v>43.79</v>
      </c>
      <c r="F3" s="1">
        <v>45.7</v>
      </c>
      <c r="G3" s="1">
        <v>43.21</v>
      </c>
    </row>
    <row r="4" spans="1:7" x14ac:dyDescent="0.3">
      <c r="A4" s="1" t="s">
        <v>8</v>
      </c>
      <c r="B4" s="1">
        <v>17946.13</v>
      </c>
      <c r="C4" s="1">
        <v>21189.27</v>
      </c>
      <c r="D4" s="1">
        <v>19064.78</v>
      </c>
      <c r="E4" s="1">
        <v>18461.099999999999</v>
      </c>
      <c r="F4" s="1">
        <v>19673.93</v>
      </c>
      <c r="G4" s="1">
        <v>17660.650000000001</v>
      </c>
    </row>
    <row r="5" spans="1:7" x14ac:dyDescent="0.3">
      <c r="A5" s="1" t="s">
        <v>9</v>
      </c>
      <c r="B5" s="1">
        <v>2440.94</v>
      </c>
      <c r="C5" s="1">
        <v>1381.06</v>
      </c>
      <c r="D5" s="1">
        <v>2007.07</v>
      </c>
      <c r="E5" s="1">
        <v>1147.18</v>
      </c>
      <c r="F5" s="1">
        <v>657.93</v>
      </c>
      <c r="G5" s="1">
        <v>1486.14</v>
      </c>
    </row>
    <row r="6" spans="1:7" x14ac:dyDescent="0.3">
      <c r="A6" s="3" t="s">
        <v>10</v>
      </c>
      <c r="B6" s="3">
        <v>244.09</v>
      </c>
      <c r="C6" s="3">
        <v>139.5</v>
      </c>
      <c r="D6" s="3">
        <v>202.73</v>
      </c>
      <c r="E6" s="3">
        <v>115.88</v>
      </c>
      <c r="F6" s="3">
        <v>66.459999999999994</v>
      </c>
      <c r="G6" s="3">
        <v>151.65</v>
      </c>
    </row>
    <row r="7" spans="1:7" x14ac:dyDescent="0.3">
      <c r="A7" s="1" t="s">
        <v>11</v>
      </c>
      <c r="B7" s="1">
        <v>2267.06</v>
      </c>
      <c r="C7" s="1">
        <v>1230.83</v>
      </c>
      <c r="D7" s="1">
        <v>1844.89</v>
      </c>
      <c r="E7" s="1">
        <v>999.26</v>
      </c>
      <c r="F7" s="1">
        <v>557.34</v>
      </c>
      <c r="G7" s="1">
        <v>1343.99</v>
      </c>
    </row>
    <row r="8" spans="1:7" x14ac:dyDescent="0.3">
      <c r="A8" s="1" t="s">
        <v>12</v>
      </c>
      <c r="B8" s="1">
        <v>226.71</v>
      </c>
      <c r="C8" s="1">
        <v>124.33</v>
      </c>
      <c r="D8" s="1">
        <v>186.35</v>
      </c>
      <c r="E8" s="1">
        <v>100.94</v>
      </c>
      <c r="F8" s="1">
        <v>56.3</v>
      </c>
      <c r="G8" s="1">
        <v>137.13999999999999</v>
      </c>
    </row>
    <row r="9" spans="1:7" x14ac:dyDescent="0.3">
      <c r="A9" s="1" t="s">
        <v>13</v>
      </c>
      <c r="B9" s="1">
        <v>2267.06</v>
      </c>
      <c r="C9" s="1">
        <v>793.94</v>
      </c>
      <c r="D9" s="1">
        <v>1843.7</v>
      </c>
      <c r="E9" s="1">
        <v>904.88</v>
      </c>
      <c r="F9" s="1">
        <v>-287.61</v>
      </c>
      <c r="G9" s="1">
        <v>1291.44</v>
      </c>
    </row>
    <row r="10" spans="1:7" x14ac:dyDescent="0.3">
      <c r="A10" s="1" t="s">
        <v>14</v>
      </c>
      <c r="B10" s="1">
        <v>226.71</v>
      </c>
      <c r="C10" s="1">
        <v>80.2</v>
      </c>
      <c r="D10" s="1">
        <v>186.23</v>
      </c>
      <c r="E10" s="1">
        <v>91.4</v>
      </c>
      <c r="F10" s="1">
        <v>-29.05</v>
      </c>
      <c r="G10" s="1">
        <v>131.78</v>
      </c>
    </row>
    <row r="11" spans="1:7" x14ac:dyDescent="0.3">
      <c r="A11" s="1" t="s">
        <v>15</v>
      </c>
      <c r="B11" s="1">
        <v>1433.92</v>
      </c>
      <c r="C11" s="1">
        <v>430.6</v>
      </c>
      <c r="D11" s="1">
        <v>1567.08</v>
      </c>
      <c r="E11" s="1">
        <v>507.46</v>
      </c>
      <c r="F11" s="1">
        <v>198.92</v>
      </c>
      <c r="G11" s="1">
        <v>533.34</v>
      </c>
    </row>
    <row r="12" spans="1:7" x14ac:dyDescent="0.3">
      <c r="A12" s="1" t="s">
        <v>16</v>
      </c>
      <c r="B12" s="1">
        <v>228.86</v>
      </c>
      <c r="C12" s="1">
        <v>210.18</v>
      </c>
      <c r="D12" s="1">
        <v>252.03</v>
      </c>
      <c r="E12" s="1">
        <v>212.57</v>
      </c>
      <c r="F12" s="1">
        <v>145.62</v>
      </c>
      <c r="G12" s="1">
        <v>203.5</v>
      </c>
    </row>
    <row r="13" spans="1:7" x14ac:dyDescent="0.3">
      <c r="A13" s="1" t="s">
        <v>17</v>
      </c>
      <c r="B13" s="1">
        <v>49.19</v>
      </c>
      <c r="C13" s="1">
        <v>41.74</v>
      </c>
      <c r="D13" s="1">
        <v>33.47</v>
      </c>
      <c r="E13" s="1">
        <v>47.01</v>
      </c>
      <c r="F13" s="1">
        <v>30.71</v>
      </c>
      <c r="G13" s="1">
        <v>37.090000000000003</v>
      </c>
    </row>
    <row r="14" spans="1:7" x14ac:dyDescent="0.3">
      <c r="A14" s="1" t="s">
        <v>18</v>
      </c>
      <c r="B14" s="1">
        <v>82.95</v>
      </c>
      <c r="C14" s="1">
        <v>87.18</v>
      </c>
      <c r="D14" s="1">
        <v>78.349999999999994</v>
      </c>
      <c r="E14" s="1">
        <v>87.27</v>
      </c>
      <c r="F14" s="1">
        <v>76.7</v>
      </c>
      <c r="G14" s="1">
        <v>87.34</v>
      </c>
    </row>
    <row r="15" spans="1:7" x14ac:dyDescent="0.3">
      <c r="A15" s="1" t="s">
        <v>19</v>
      </c>
      <c r="B15" s="1">
        <v>10</v>
      </c>
      <c r="C15" s="1">
        <v>3</v>
      </c>
      <c r="D15" s="1">
        <v>9</v>
      </c>
      <c r="E15" s="1">
        <v>6</v>
      </c>
      <c r="F15" s="1">
        <v>4</v>
      </c>
      <c r="G15" s="1">
        <v>4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2267.06</v>
      </c>
      <c r="C17" s="1">
        <v>1012.39</v>
      </c>
      <c r="D17" s="1">
        <v>1844.29</v>
      </c>
      <c r="E17" s="1">
        <v>952.07</v>
      </c>
      <c r="F17" s="1">
        <v>134.87</v>
      </c>
      <c r="G17" s="1">
        <v>1317.72</v>
      </c>
    </row>
    <row r="18" spans="1:7" x14ac:dyDescent="0.3">
      <c r="A18" s="1" t="s">
        <v>22</v>
      </c>
      <c r="B18" s="1">
        <v>0</v>
      </c>
      <c r="C18" s="1">
        <v>218.45</v>
      </c>
      <c r="D18" s="1">
        <v>0.59</v>
      </c>
      <c r="E18" s="1">
        <v>47.19</v>
      </c>
      <c r="F18" s="1">
        <v>422.47</v>
      </c>
      <c r="G18" s="1">
        <v>26.27</v>
      </c>
    </row>
    <row r="19" spans="1:7" x14ac:dyDescent="0.3">
      <c r="A19" s="1" t="s">
        <v>23</v>
      </c>
      <c r="B19" s="1">
        <v>0</v>
      </c>
      <c r="C19" s="1">
        <v>1</v>
      </c>
      <c r="D19" s="1">
        <v>0</v>
      </c>
      <c r="E19" s="1">
        <v>1</v>
      </c>
      <c r="F19" s="1">
        <v>2</v>
      </c>
      <c r="G19" s="1">
        <v>0</v>
      </c>
    </row>
    <row r="20" spans="1:7" x14ac:dyDescent="0.3">
      <c r="A20" s="1" t="s">
        <v>24</v>
      </c>
      <c r="B20" s="1">
        <v>0</v>
      </c>
      <c r="C20" s="1">
        <v>1.4</v>
      </c>
      <c r="D20" s="1">
        <v>0</v>
      </c>
      <c r="E20" s="1">
        <v>1.5</v>
      </c>
      <c r="F20" s="1">
        <v>4.4000000000000004</v>
      </c>
      <c r="G20" s="1">
        <v>0</v>
      </c>
    </row>
    <row r="21" spans="1:7" x14ac:dyDescent="0.3">
      <c r="A21" s="1" t="s">
        <v>25</v>
      </c>
      <c r="B21" s="1">
        <v>10.1</v>
      </c>
      <c r="C21" s="1">
        <v>8.6</v>
      </c>
      <c r="D21" s="1">
        <v>10</v>
      </c>
      <c r="E21" s="1">
        <v>8.5</v>
      </c>
      <c r="F21" s="1">
        <v>5.6</v>
      </c>
      <c r="G21" s="1">
        <v>9.9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1.5</v>
      </c>
      <c r="D24" s="1">
        <v>0</v>
      </c>
      <c r="E24" s="1">
        <v>0</v>
      </c>
      <c r="F24" s="1">
        <v>3</v>
      </c>
      <c r="G24" s="1">
        <v>0</v>
      </c>
    </row>
    <row r="25" spans="1:7" x14ac:dyDescent="0.3">
      <c r="A25" s="1" t="s">
        <v>29</v>
      </c>
      <c r="B25" s="1">
        <v>0</v>
      </c>
      <c r="C25" s="1">
        <v>0</v>
      </c>
      <c r="D25" s="1">
        <v>1.2</v>
      </c>
      <c r="E25" s="1">
        <v>1.3</v>
      </c>
      <c r="F25" s="1">
        <v>5.9</v>
      </c>
      <c r="G25" s="1">
        <v>0</v>
      </c>
    </row>
    <row r="26" spans="1:7" x14ac:dyDescent="0.3">
      <c r="A26" s="1" t="s">
        <v>30</v>
      </c>
      <c r="B26" s="1">
        <v>10.1</v>
      </c>
      <c r="C26" s="1">
        <v>8.5</v>
      </c>
      <c r="D26" s="1">
        <v>8.8000000000000007</v>
      </c>
      <c r="E26" s="1">
        <v>8.6999999999999993</v>
      </c>
      <c r="F26" s="1">
        <v>1.1000000000000001</v>
      </c>
      <c r="G26" s="1">
        <v>9.9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15</v>
      </c>
      <c r="D29" s="3">
        <f t="shared" si="1"/>
        <v>0</v>
      </c>
      <c r="E29" s="3">
        <f t="shared" si="1"/>
        <v>0</v>
      </c>
      <c r="F29" s="3">
        <f t="shared" si="1"/>
        <v>30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12</v>
      </c>
      <c r="E30" s="3">
        <f t="shared" si="2"/>
        <v>13</v>
      </c>
      <c r="F30" s="3">
        <f t="shared" si="2"/>
        <v>59.000000000000007</v>
      </c>
      <c r="G30" s="3">
        <f t="shared" si="2"/>
        <v>0</v>
      </c>
    </row>
    <row r="31" spans="1:7" x14ac:dyDescent="0.3">
      <c r="A31" s="3" t="s">
        <v>34</v>
      </c>
      <c r="B31" s="3">
        <f>B26/B28*100</f>
        <v>100</v>
      </c>
      <c r="C31" s="3">
        <f t="shared" ref="C31:G31" si="3">C26/C28*100</f>
        <v>85</v>
      </c>
      <c r="D31" s="3">
        <f t="shared" si="3"/>
        <v>88.000000000000014</v>
      </c>
      <c r="E31" s="3">
        <f t="shared" si="3"/>
        <v>86.999999999999986</v>
      </c>
      <c r="F31" s="3">
        <f t="shared" si="3"/>
        <v>11.000000000000002</v>
      </c>
      <c r="G31" s="3">
        <f t="shared" si="3"/>
        <v>100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243.5</v>
      </c>
      <c r="C33" s="3">
        <v>89</v>
      </c>
      <c r="D33" s="3">
        <v>194.04</v>
      </c>
      <c r="E33" s="3">
        <v>95.1</v>
      </c>
      <c r="F33" s="3">
        <v>-24.72</v>
      </c>
      <c r="G33" s="3">
        <v>143.69999999999999</v>
      </c>
    </row>
    <row r="35" spans="1:7" x14ac:dyDescent="0.3">
      <c r="A35" s="3" t="s">
        <v>36</v>
      </c>
      <c r="B35" s="3"/>
      <c r="C35" s="3"/>
      <c r="D35" s="3">
        <f>D33-C33</f>
        <v>105.03999999999999</v>
      </c>
      <c r="E35" s="3"/>
      <c r="F35" s="3">
        <f>F33-E33</f>
        <v>-119.82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-98.94</v>
      </c>
      <c r="F37" s="3"/>
      <c r="G37" s="3">
        <f>G33-F33</f>
        <v>168.42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3D824-E1A7-4710-9A4D-8569155EE861}">
  <dimension ref="A1:G37"/>
  <sheetViews>
    <sheetView zoomScale="70" zoomScaleNormal="70" workbookViewId="0">
      <selection activeCell="B30" sqref="B30:G30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530.20000000000005</v>
      </c>
      <c r="C2" s="1">
        <v>473.16</v>
      </c>
      <c r="D2" s="1">
        <v>446.97</v>
      </c>
      <c r="E2" s="1">
        <v>449.63</v>
      </c>
      <c r="F2" s="1">
        <v>312.93</v>
      </c>
      <c r="G2" s="1">
        <v>387.99</v>
      </c>
    </row>
    <row r="3" spans="1:7" x14ac:dyDescent="0.3">
      <c r="A3" s="1" t="s">
        <v>7</v>
      </c>
      <c r="B3" s="1">
        <v>55.41</v>
      </c>
      <c r="C3" s="1">
        <v>48.07</v>
      </c>
      <c r="D3" s="1">
        <v>45.53</v>
      </c>
      <c r="E3" s="1">
        <v>38.97</v>
      </c>
      <c r="F3" s="1">
        <v>33.299999999999997</v>
      </c>
      <c r="G3" s="1">
        <v>39.31</v>
      </c>
    </row>
    <row r="4" spans="1:7" x14ac:dyDescent="0.3">
      <c r="A4" s="1" t="s">
        <v>8</v>
      </c>
      <c r="B4" s="1">
        <v>29924.51</v>
      </c>
      <c r="C4" s="1">
        <v>23097.55</v>
      </c>
      <c r="D4" s="1">
        <v>20727.09</v>
      </c>
      <c r="E4" s="1">
        <v>17859.740000000002</v>
      </c>
      <c r="F4" s="1">
        <v>10622.75</v>
      </c>
      <c r="G4" s="1">
        <v>15627.76</v>
      </c>
    </row>
    <row r="5" spans="1:7" x14ac:dyDescent="0.3">
      <c r="A5" s="1" t="s">
        <v>9</v>
      </c>
      <c r="B5" s="1">
        <v>2683.5</v>
      </c>
      <c r="C5" s="1">
        <v>2448.25</v>
      </c>
      <c r="D5" s="1">
        <v>2980.11</v>
      </c>
      <c r="E5" s="1">
        <v>3039.56</v>
      </c>
      <c r="F5" s="1">
        <v>2787.09</v>
      </c>
      <c r="G5" s="1">
        <v>1942.89</v>
      </c>
    </row>
    <row r="6" spans="1:7" x14ac:dyDescent="0.3">
      <c r="A6" s="3" t="s">
        <v>10</v>
      </c>
      <c r="B6" s="3">
        <v>268.35000000000002</v>
      </c>
      <c r="C6" s="3">
        <v>247.3</v>
      </c>
      <c r="D6" s="3">
        <v>301.02</v>
      </c>
      <c r="E6" s="3">
        <v>307.02999999999997</v>
      </c>
      <c r="F6" s="3">
        <v>281.52</v>
      </c>
      <c r="G6" s="3">
        <v>198.25</v>
      </c>
    </row>
    <row r="7" spans="1:7" x14ac:dyDescent="0.3">
      <c r="A7" s="1" t="s">
        <v>11</v>
      </c>
      <c r="B7" s="1">
        <v>2543.46</v>
      </c>
      <c r="C7" s="1">
        <v>2274.06</v>
      </c>
      <c r="D7" s="1">
        <v>2787.82</v>
      </c>
      <c r="E7" s="1">
        <v>2883.39</v>
      </c>
      <c r="F7" s="1">
        <v>2662.69</v>
      </c>
      <c r="G7" s="1">
        <v>1804.14</v>
      </c>
    </row>
    <row r="8" spans="1:7" x14ac:dyDescent="0.3">
      <c r="A8" s="1" t="s">
        <v>12</v>
      </c>
      <c r="B8" s="1">
        <v>254.35</v>
      </c>
      <c r="C8" s="1">
        <v>229.7</v>
      </c>
      <c r="D8" s="1">
        <v>281.60000000000002</v>
      </c>
      <c r="E8" s="1">
        <v>291.25</v>
      </c>
      <c r="F8" s="1">
        <v>268.95999999999998</v>
      </c>
      <c r="G8" s="1">
        <v>184.1</v>
      </c>
    </row>
    <row r="9" spans="1:7" x14ac:dyDescent="0.3">
      <c r="A9" s="1" t="s">
        <v>13</v>
      </c>
      <c r="B9" s="1">
        <v>2543.46</v>
      </c>
      <c r="C9" s="1">
        <v>2274.06</v>
      </c>
      <c r="D9" s="1">
        <v>2787.82</v>
      </c>
      <c r="E9" s="1">
        <v>2883.39</v>
      </c>
      <c r="F9" s="1">
        <v>2662.69</v>
      </c>
      <c r="G9" s="1">
        <v>1208.56</v>
      </c>
    </row>
    <row r="10" spans="1:7" x14ac:dyDescent="0.3">
      <c r="A10" s="1" t="s">
        <v>14</v>
      </c>
      <c r="B10" s="1">
        <v>254.35</v>
      </c>
      <c r="C10" s="1">
        <v>229.7</v>
      </c>
      <c r="D10" s="1">
        <v>281.60000000000002</v>
      </c>
      <c r="E10" s="1">
        <v>291.25</v>
      </c>
      <c r="F10" s="1">
        <v>268.95999999999998</v>
      </c>
      <c r="G10" s="1">
        <v>123.32</v>
      </c>
    </row>
    <row r="11" spans="1:7" x14ac:dyDescent="0.3">
      <c r="A11" s="1" t="s">
        <v>15</v>
      </c>
      <c r="B11" s="1">
        <v>2323.7199999999998</v>
      </c>
      <c r="C11" s="1">
        <v>1886.23</v>
      </c>
      <c r="D11" s="1">
        <v>2749.77</v>
      </c>
      <c r="E11" s="1">
        <v>2819.41</v>
      </c>
      <c r="F11" s="1">
        <v>2538.54</v>
      </c>
      <c r="G11" s="1">
        <v>1139.8599999999999</v>
      </c>
    </row>
    <row r="12" spans="1:7" x14ac:dyDescent="0.3">
      <c r="A12" s="1" t="s">
        <v>16</v>
      </c>
      <c r="B12" s="1">
        <v>287.05</v>
      </c>
      <c r="C12" s="1">
        <v>284.36</v>
      </c>
      <c r="D12" s="1">
        <v>281.44</v>
      </c>
      <c r="E12" s="1">
        <v>278.82</v>
      </c>
      <c r="F12" s="1">
        <v>201.6</v>
      </c>
      <c r="G12" s="1">
        <v>217.91</v>
      </c>
    </row>
    <row r="13" spans="1:7" x14ac:dyDescent="0.3">
      <c r="A13" s="1" t="s">
        <v>17</v>
      </c>
      <c r="B13" s="1">
        <v>34.99</v>
      </c>
      <c r="C13" s="1">
        <v>40.56</v>
      </c>
      <c r="D13" s="1">
        <v>27.27</v>
      </c>
      <c r="E13" s="1">
        <v>24.49</v>
      </c>
      <c r="F13" s="1">
        <v>21.15</v>
      </c>
      <c r="G13" s="1">
        <v>37.74</v>
      </c>
    </row>
    <row r="14" spans="1:7" x14ac:dyDescent="0.3">
      <c r="A14" s="1" t="s">
        <v>18</v>
      </c>
      <c r="B14" s="1">
        <v>80.040000000000006</v>
      </c>
      <c r="C14" s="1">
        <v>92.95</v>
      </c>
      <c r="D14" s="1">
        <v>62.19</v>
      </c>
      <c r="E14" s="1">
        <v>59.8</v>
      </c>
      <c r="F14" s="1">
        <v>39.24</v>
      </c>
      <c r="G14" s="1">
        <v>77.5</v>
      </c>
    </row>
    <row r="15" spans="1:7" x14ac:dyDescent="0.3">
      <c r="A15" s="1" t="s">
        <v>19</v>
      </c>
      <c r="B15" s="1">
        <v>10</v>
      </c>
      <c r="C15" s="1">
        <v>10</v>
      </c>
      <c r="D15" s="1">
        <v>8</v>
      </c>
      <c r="E15" s="1">
        <v>12</v>
      </c>
      <c r="F15" s="1">
        <v>8</v>
      </c>
      <c r="G15" s="1">
        <v>7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2543.46</v>
      </c>
      <c r="C17" s="1">
        <v>2274.06</v>
      </c>
      <c r="D17" s="1">
        <v>2787.82</v>
      </c>
      <c r="E17" s="1">
        <v>2883.39</v>
      </c>
      <c r="F17" s="1">
        <v>2662.69</v>
      </c>
      <c r="G17" s="1">
        <v>1506.35</v>
      </c>
    </row>
    <row r="18" spans="1:7" x14ac:dyDescent="0.3">
      <c r="A18" s="1" t="s">
        <v>22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297.79000000000002</v>
      </c>
    </row>
    <row r="19" spans="1:7" x14ac:dyDescent="0.3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1</v>
      </c>
    </row>
    <row r="20" spans="1:7" x14ac:dyDescent="0.3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4</v>
      </c>
    </row>
    <row r="21" spans="1:7" x14ac:dyDescent="0.3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5.9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4.5</v>
      </c>
    </row>
    <row r="25" spans="1:7" x14ac:dyDescent="0.3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3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10</v>
      </c>
      <c r="G26" s="1">
        <v>5.4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45.454545454545453</v>
      </c>
    </row>
    <row r="30" spans="1:7" x14ac:dyDescent="0.3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3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100</v>
      </c>
      <c r="G31" s="3">
        <f t="shared" si="3"/>
        <v>54.545454545454554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260.75</v>
      </c>
      <c r="C33" s="3">
        <v>248.01</v>
      </c>
      <c r="D33" s="3">
        <v>296.63</v>
      </c>
      <c r="E33" s="3">
        <v>306.51</v>
      </c>
      <c r="F33" s="3">
        <v>275.79000000000002</v>
      </c>
      <c r="G33" s="3">
        <v>71.08</v>
      </c>
    </row>
    <row r="35" spans="1:7" x14ac:dyDescent="0.3">
      <c r="A35" s="3" t="s">
        <v>36</v>
      </c>
      <c r="B35" s="3"/>
      <c r="C35" s="3"/>
      <c r="D35" s="3">
        <f>D33-C33</f>
        <v>48.620000000000005</v>
      </c>
      <c r="E35" s="3"/>
      <c r="F35" s="3">
        <f>F33-E33</f>
        <v>-30.71999999999997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9.8799999999999955</v>
      </c>
      <c r="F37" s="3"/>
      <c r="G37" s="3">
        <f>G33-F33</f>
        <v>-204.71000000000004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220EC-8A2E-4EE8-8CD6-8A209452C5B5}">
  <dimension ref="A1:G37"/>
  <sheetViews>
    <sheetView zoomScale="70" zoomScaleNormal="70" workbookViewId="0">
      <selection activeCell="B30" sqref="B30:G30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467.8</v>
      </c>
      <c r="C2" s="1">
        <v>487.86</v>
      </c>
      <c r="D2" s="1">
        <v>536.35</v>
      </c>
      <c r="E2" s="1">
        <v>532.07000000000005</v>
      </c>
      <c r="F2" s="1">
        <v>537.03</v>
      </c>
      <c r="G2" s="1">
        <v>554.02</v>
      </c>
    </row>
    <row r="3" spans="1:7" x14ac:dyDescent="0.3">
      <c r="A3" s="1" t="s">
        <v>7</v>
      </c>
      <c r="B3" s="1">
        <v>47.65</v>
      </c>
      <c r="C3" s="1">
        <v>45.97</v>
      </c>
      <c r="D3" s="1">
        <v>49.89</v>
      </c>
      <c r="E3" s="1">
        <v>54.58</v>
      </c>
      <c r="F3" s="1">
        <v>55.31</v>
      </c>
      <c r="G3" s="1">
        <v>63.31</v>
      </c>
    </row>
    <row r="4" spans="1:7" x14ac:dyDescent="0.3">
      <c r="A4" s="1" t="s">
        <v>8</v>
      </c>
      <c r="B4" s="1">
        <v>22698.49</v>
      </c>
      <c r="C4" s="1">
        <v>22785.21</v>
      </c>
      <c r="D4" s="1">
        <v>27217.3</v>
      </c>
      <c r="E4" s="1">
        <v>29537.02</v>
      </c>
      <c r="F4" s="1">
        <v>30200.560000000001</v>
      </c>
      <c r="G4" s="1">
        <v>35705.01</v>
      </c>
    </row>
    <row r="5" spans="1:7" x14ac:dyDescent="0.3">
      <c r="A5" s="1" t="s">
        <v>9</v>
      </c>
      <c r="B5" s="1">
        <v>1675.12</v>
      </c>
      <c r="C5" s="1">
        <v>2815.42</v>
      </c>
      <c r="D5" s="1">
        <v>3529.63</v>
      </c>
      <c r="E5" s="1">
        <v>2376.4</v>
      </c>
      <c r="F5" s="1">
        <v>1730.12</v>
      </c>
      <c r="G5" s="1">
        <v>2857.87</v>
      </c>
    </row>
    <row r="6" spans="1:7" x14ac:dyDescent="0.3">
      <c r="A6" s="3" t="s">
        <v>10</v>
      </c>
      <c r="B6" s="3">
        <v>167.51</v>
      </c>
      <c r="C6" s="3">
        <v>284.39</v>
      </c>
      <c r="D6" s="3">
        <v>356.53</v>
      </c>
      <c r="E6" s="3">
        <v>240.04</v>
      </c>
      <c r="F6" s="3">
        <v>174.76</v>
      </c>
      <c r="G6" s="3">
        <v>291.62</v>
      </c>
    </row>
    <row r="7" spans="1:7" x14ac:dyDescent="0.3">
      <c r="A7" s="1" t="s">
        <v>11</v>
      </c>
      <c r="B7" s="1">
        <v>1452.75</v>
      </c>
      <c r="C7" s="1">
        <v>2604.46</v>
      </c>
      <c r="D7" s="1">
        <v>3350.2</v>
      </c>
      <c r="E7" s="1">
        <v>2255.89</v>
      </c>
      <c r="F7" s="1">
        <v>1666.33</v>
      </c>
      <c r="G7" s="1">
        <v>2736.77</v>
      </c>
    </row>
    <row r="8" spans="1:7" x14ac:dyDescent="0.3">
      <c r="A8" s="1" t="s">
        <v>12</v>
      </c>
      <c r="B8" s="1">
        <v>145.27000000000001</v>
      </c>
      <c r="C8" s="1">
        <v>263.08</v>
      </c>
      <c r="D8" s="1">
        <v>338.4</v>
      </c>
      <c r="E8" s="1">
        <v>227.87</v>
      </c>
      <c r="F8" s="1">
        <v>168.32</v>
      </c>
      <c r="G8" s="1">
        <v>279.26</v>
      </c>
    </row>
    <row r="9" spans="1:7" x14ac:dyDescent="0.3">
      <c r="A9" s="1" t="s">
        <v>13</v>
      </c>
      <c r="B9" s="1">
        <v>871.34</v>
      </c>
      <c r="C9" s="1">
        <v>2604.46</v>
      </c>
      <c r="D9" s="1">
        <v>3350.2</v>
      </c>
      <c r="E9" s="1">
        <v>2255.89</v>
      </c>
      <c r="F9" s="1">
        <v>1656.89</v>
      </c>
      <c r="G9" s="1">
        <v>2736.77</v>
      </c>
    </row>
    <row r="10" spans="1:7" x14ac:dyDescent="0.3">
      <c r="A10" s="1" t="s">
        <v>14</v>
      </c>
      <c r="B10" s="1">
        <v>87.13</v>
      </c>
      <c r="C10" s="1">
        <v>263.08</v>
      </c>
      <c r="D10" s="1">
        <v>338.4</v>
      </c>
      <c r="E10" s="1">
        <v>227.87</v>
      </c>
      <c r="F10" s="1">
        <v>167.36</v>
      </c>
      <c r="G10" s="1">
        <v>279.26</v>
      </c>
    </row>
    <row r="11" spans="1:7" x14ac:dyDescent="0.3">
      <c r="A11" s="1" t="s">
        <v>15</v>
      </c>
      <c r="B11" s="1">
        <v>595.04999999999995</v>
      </c>
      <c r="C11" s="1">
        <v>2220.29</v>
      </c>
      <c r="D11" s="1">
        <v>3253.83</v>
      </c>
      <c r="E11" s="1">
        <v>2124.6</v>
      </c>
      <c r="F11" s="1">
        <v>1582.75</v>
      </c>
      <c r="G11" s="1">
        <v>2714.41</v>
      </c>
    </row>
    <row r="12" spans="1:7" x14ac:dyDescent="0.3">
      <c r="A12" s="1" t="s">
        <v>16</v>
      </c>
      <c r="B12" s="1">
        <v>217.54</v>
      </c>
      <c r="C12" s="1">
        <v>279.01</v>
      </c>
      <c r="D12" s="1">
        <v>278.81</v>
      </c>
      <c r="E12" s="1">
        <v>263.39999999999998</v>
      </c>
      <c r="F12" s="1">
        <v>258.77999999999997</v>
      </c>
      <c r="G12" s="1">
        <v>283.55</v>
      </c>
    </row>
    <row r="13" spans="1:7" x14ac:dyDescent="0.3">
      <c r="A13" s="1" t="s">
        <v>17</v>
      </c>
      <c r="B13" s="1">
        <v>33.53</v>
      </c>
      <c r="C13" s="1">
        <v>31.66</v>
      </c>
      <c r="D13" s="1">
        <v>27.23</v>
      </c>
      <c r="E13" s="1">
        <v>26.17</v>
      </c>
      <c r="F13" s="1">
        <v>26.5</v>
      </c>
      <c r="G13" s="1">
        <v>21.94</v>
      </c>
    </row>
    <row r="14" spans="1:7" x14ac:dyDescent="0.3">
      <c r="A14" s="1" t="s">
        <v>18</v>
      </c>
      <c r="B14" s="1">
        <v>90.18</v>
      </c>
      <c r="C14" s="1">
        <v>98.36</v>
      </c>
      <c r="D14" s="1">
        <v>69.900000000000006</v>
      </c>
      <c r="E14" s="1">
        <v>70.91</v>
      </c>
      <c r="F14" s="1">
        <v>69.86</v>
      </c>
      <c r="G14" s="1">
        <v>54.08</v>
      </c>
    </row>
    <row r="15" spans="1:7" x14ac:dyDescent="0.3">
      <c r="A15" s="1" t="s">
        <v>19</v>
      </c>
      <c r="B15" s="1">
        <v>6</v>
      </c>
      <c r="C15" s="1">
        <v>7</v>
      </c>
      <c r="D15" s="1">
        <v>5</v>
      </c>
      <c r="E15" s="1">
        <v>6</v>
      </c>
      <c r="F15" s="1">
        <v>4</v>
      </c>
      <c r="G15" s="1">
        <v>3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1162.04</v>
      </c>
      <c r="C17" s="1">
        <v>2604.46</v>
      </c>
      <c r="D17" s="1">
        <v>3350.2</v>
      </c>
      <c r="E17" s="1">
        <v>2255.89</v>
      </c>
      <c r="F17" s="1">
        <v>1661.61</v>
      </c>
      <c r="G17" s="1">
        <v>2736.77</v>
      </c>
    </row>
    <row r="18" spans="1:7" x14ac:dyDescent="0.3">
      <c r="A18" s="1" t="s">
        <v>22</v>
      </c>
      <c r="B18" s="1">
        <v>290.70999999999998</v>
      </c>
      <c r="C18" s="1">
        <v>0</v>
      </c>
      <c r="D18" s="1">
        <v>0</v>
      </c>
      <c r="E18" s="1">
        <v>0</v>
      </c>
      <c r="F18" s="1">
        <v>4.72</v>
      </c>
      <c r="G18" s="1">
        <v>0</v>
      </c>
    </row>
    <row r="19" spans="1:7" x14ac:dyDescent="0.3">
      <c r="A19" s="1" t="s">
        <v>23</v>
      </c>
      <c r="B19" s="1">
        <v>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3">
      <c r="A20" s="1" t="s">
        <v>24</v>
      </c>
      <c r="B20" s="1">
        <v>1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3">
      <c r="A21" s="1" t="s">
        <v>25</v>
      </c>
      <c r="B21" s="1">
        <v>9.1</v>
      </c>
      <c r="C21" s="1">
        <v>10</v>
      </c>
      <c r="D21" s="1">
        <v>10</v>
      </c>
      <c r="E21" s="1">
        <v>10</v>
      </c>
      <c r="F21" s="1">
        <v>10</v>
      </c>
      <c r="G21" s="1">
        <v>9.9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3">
      <c r="A25" s="1" t="s">
        <v>29</v>
      </c>
      <c r="B25" s="1">
        <v>2.9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3">
      <c r="A26" s="1" t="s">
        <v>30</v>
      </c>
      <c r="B26" s="1">
        <v>6.2</v>
      </c>
      <c r="C26" s="1">
        <v>10</v>
      </c>
      <c r="D26" s="1">
        <v>10</v>
      </c>
      <c r="E26" s="1">
        <v>10</v>
      </c>
      <c r="F26" s="1">
        <v>10</v>
      </c>
      <c r="G26" s="1">
        <v>9.9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9.9009900990099009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28.71287128712871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3">
      <c r="A31" s="3" t="s">
        <v>34</v>
      </c>
      <c r="B31" s="3">
        <f>B26/B28*100</f>
        <v>61.386138613861384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100</v>
      </c>
      <c r="G31" s="3">
        <f t="shared" si="3"/>
        <v>100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94.6</v>
      </c>
      <c r="C33" s="3">
        <v>285.37</v>
      </c>
      <c r="D33" s="3">
        <v>346.77</v>
      </c>
      <c r="E33" s="3">
        <v>237.65</v>
      </c>
      <c r="F33" s="3">
        <v>173.28</v>
      </c>
      <c r="G33" s="3">
        <v>288.95</v>
      </c>
    </row>
    <row r="35" spans="1:7" x14ac:dyDescent="0.3">
      <c r="A35" s="3" t="s">
        <v>36</v>
      </c>
      <c r="B35" s="3"/>
      <c r="C35" s="3"/>
      <c r="D35" s="3">
        <f>D33-C33</f>
        <v>61.399999999999977</v>
      </c>
      <c r="E35" s="3"/>
      <c r="F35" s="3">
        <f>F33-E33</f>
        <v>-64.37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-109.11999999999998</v>
      </c>
      <c r="F37" s="3"/>
      <c r="G37" s="3">
        <f>G33-F33</f>
        <v>115.66999999999999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34739-E996-4743-B521-5BBE6C45F4D9}">
  <dimension ref="A1:G37"/>
  <sheetViews>
    <sheetView zoomScale="70" zoomScaleNormal="70" workbookViewId="0">
      <selection activeCell="H38" sqref="H38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497.18</v>
      </c>
      <c r="C2" s="1">
        <v>511.89</v>
      </c>
      <c r="D2" s="1">
        <v>473.97</v>
      </c>
      <c r="E2" s="1">
        <v>557.16</v>
      </c>
      <c r="F2" s="1">
        <v>538.83000000000004</v>
      </c>
      <c r="G2" s="1">
        <v>522.21</v>
      </c>
    </row>
    <row r="3" spans="1:7" x14ac:dyDescent="0.3">
      <c r="A3" s="1" t="s">
        <v>7</v>
      </c>
      <c r="B3" s="1">
        <v>44.39</v>
      </c>
      <c r="C3" s="1">
        <v>44.12</v>
      </c>
      <c r="D3" s="1">
        <v>42.83</v>
      </c>
      <c r="E3" s="1">
        <v>52.18</v>
      </c>
      <c r="F3" s="1">
        <v>51.6</v>
      </c>
      <c r="G3" s="1">
        <v>48.51</v>
      </c>
    </row>
    <row r="4" spans="1:7" x14ac:dyDescent="0.3">
      <c r="A4" s="1" t="s">
        <v>8</v>
      </c>
      <c r="B4" s="1">
        <v>22465.46</v>
      </c>
      <c r="C4" s="1">
        <v>23006.46</v>
      </c>
      <c r="D4" s="1">
        <v>20670.97</v>
      </c>
      <c r="E4" s="1">
        <v>29541.360000000001</v>
      </c>
      <c r="F4" s="1">
        <v>28371</v>
      </c>
      <c r="G4" s="1">
        <v>25770.54</v>
      </c>
    </row>
    <row r="5" spans="1:7" x14ac:dyDescent="0.3">
      <c r="A5" s="1" t="s">
        <v>9</v>
      </c>
      <c r="B5" s="1">
        <v>1858.98</v>
      </c>
      <c r="C5" s="1">
        <v>2812.42</v>
      </c>
      <c r="D5" s="1">
        <v>2855.38</v>
      </c>
      <c r="E5" s="1">
        <v>1469.41</v>
      </c>
      <c r="F5" s="1">
        <v>1639.06</v>
      </c>
      <c r="G5" s="1">
        <v>2522.64</v>
      </c>
    </row>
    <row r="6" spans="1:7" x14ac:dyDescent="0.3">
      <c r="A6" s="3" t="s">
        <v>10</v>
      </c>
      <c r="B6" s="3">
        <v>185.9</v>
      </c>
      <c r="C6" s="3">
        <v>284.08</v>
      </c>
      <c r="D6" s="3">
        <v>288.42</v>
      </c>
      <c r="E6" s="3">
        <v>148.41999999999999</v>
      </c>
      <c r="F6" s="3">
        <v>165.56</v>
      </c>
      <c r="G6" s="3">
        <v>257.41000000000003</v>
      </c>
    </row>
    <row r="7" spans="1:7" x14ac:dyDescent="0.3">
      <c r="A7" s="1" t="s">
        <v>11</v>
      </c>
      <c r="B7" s="1">
        <v>1686.74</v>
      </c>
      <c r="C7" s="1">
        <v>2579.6799999999998</v>
      </c>
      <c r="D7" s="1">
        <v>2631.02</v>
      </c>
      <c r="E7" s="1">
        <v>1399.49</v>
      </c>
      <c r="F7" s="1">
        <v>1547.22</v>
      </c>
      <c r="G7" s="1">
        <v>2321.69</v>
      </c>
    </row>
    <row r="8" spans="1:7" x14ac:dyDescent="0.3">
      <c r="A8" s="1" t="s">
        <v>12</v>
      </c>
      <c r="B8" s="1">
        <v>168.67</v>
      </c>
      <c r="C8" s="1">
        <v>260.57</v>
      </c>
      <c r="D8" s="1">
        <v>265.76</v>
      </c>
      <c r="E8" s="1">
        <v>141.36000000000001</v>
      </c>
      <c r="F8" s="1">
        <v>156.28</v>
      </c>
      <c r="G8" s="1">
        <v>236.91</v>
      </c>
    </row>
    <row r="9" spans="1:7" x14ac:dyDescent="0.3">
      <c r="A9" s="1" t="s">
        <v>13</v>
      </c>
      <c r="B9" s="1">
        <v>1243.7</v>
      </c>
      <c r="C9" s="1">
        <v>2513.23</v>
      </c>
      <c r="D9" s="1">
        <v>2631.02</v>
      </c>
      <c r="E9" s="1">
        <v>728.23</v>
      </c>
      <c r="F9" s="1">
        <v>1452.8</v>
      </c>
      <c r="G9" s="1">
        <v>2270.0500000000002</v>
      </c>
    </row>
    <row r="10" spans="1:7" x14ac:dyDescent="0.3">
      <c r="A10" s="1" t="s">
        <v>14</v>
      </c>
      <c r="B10" s="1">
        <v>124.37</v>
      </c>
      <c r="C10" s="1">
        <v>253.86</v>
      </c>
      <c r="D10" s="1">
        <v>265.76</v>
      </c>
      <c r="E10" s="1">
        <v>73.56</v>
      </c>
      <c r="F10" s="1">
        <v>146.75</v>
      </c>
      <c r="G10" s="1">
        <v>231.64</v>
      </c>
    </row>
    <row r="11" spans="1:7" x14ac:dyDescent="0.3">
      <c r="A11" s="1" t="s">
        <v>15</v>
      </c>
      <c r="B11" s="1">
        <v>884.68</v>
      </c>
      <c r="C11" s="1">
        <v>1693.13</v>
      </c>
      <c r="D11" s="1">
        <v>2009.15</v>
      </c>
      <c r="E11" s="1">
        <v>339.67</v>
      </c>
      <c r="F11" s="1">
        <v>684.08</v>
      </c>
      <c r="G11" s="1">
        <v>1543.73</v>
      </c>
    </row>
    <row r="12" spans="1:7" x14ac:dyDescent="0.3">
      <c r="A12" s="1" t="s">
        <v>16</v>
      </c>
      <c r="B12" s="1">
        <v>252.64</v>
      </c>
      <c r="C12" s="1">
        <v>295.89</v>
      </c>
      <c r="D12" s="1">
        <v>307.11</v>
      </c>
      <c r="E12" s="1">
        <v>272.76</v>
      </c>
      <c r="F12" s="1">
        <v>273.02</v>
      </c>
      <c r="G12" s="1">
        <v>287.58999999999997</v>
      </c>
    </row>
    <row r="13" spans="1:7" x14ac:dyDescent="0.3">
      <c r="A13" s="1" t="s">
        <v>17</v>
      </c>
      <c r="B13" s="1">
        <v>40.47</v>
      </c>
      <c r="C13" s="1">
        <v>37.69</v>
      </c>
      <c r="D13" s="1">
        <v>39.340000000000003</v>
      </c>
      <c r="E13" s="1">
        <v>40.93</v>
      </c>
      <c r="F13" s="1">
        <v>43.57</v>
      </c>
      <c r="G13" s="1">
        <v>53.33</v>
      </c>
    </row>
    <row r="14" spans="1:7" x14ac:dyDescent="0.3">
      <c r="A14" s="1" t="s">
        <v>18</v>
      </c>
      <c r="B14" s="1">
        <v>98.69</v>
      </c>
      <c r="C14" s="1">
        <v>80.8</v>
      </c>
      <c r="D14" s="1">
        <v>76.739999999999995</v>
      </c>
      <c r="E14" s="1">
        <v>91.2</v>
      </c>
      <c r="F14" s="1">
        <v>93.5</v>
      </c>
      <c r="G14" s="1">
        <v>116.65</v>
      </c>
    </row>
    <row r="15" spans="1:7" x14ac:dyDescent="0.3">
      <c r="A15" s="1" t="s">
        <v>19</v>
      </c>
      <c r="B15" s="1">
        <v>7</v>
      </c>
      <c r="C15" s="1">
        <v>10</v>
      </c>
      <c r="D15" s="1">
        <v>10</v>
      </c>
      <c r="E15" s="1">
        <v>5</v>
      </c>
      <c r="F15" s="1">
        <v>2</v>
      </c>
      <c r="G15" s="1">
        <v>9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1465.22</v>
      </c>
      <c r="C17" s="1">
        <v>2546.46</v>
      </c>
      <c r="D17" s="1">
        <v>2631.02</v>
      </c>
      <c r="E17" s="1">
        <v>1063.8599999999999</v>
      </c>
      <c r="F17" s="1">
        <v>1500.01</v>
      </c>
      <c r="G17" s="1">
        <v>2295.87</v>
      </c>
    </row>
    <row r="18" spans="1:7" x14ac:dyDescent="0.3">
      <c r="A18" s="1" t="s">
        <v>22</v>
      </c>
      <c r="B18" s="1">
        <v>221.52</v>
      </c>
      <c r="C18" s="1">
        <v>33.229999999999997</v>
      </c>
      <c r="D18" s="1">
        <v>0</v>
      </c>
      <c r="E18" s="1">
        <v>335.63</v>
      </c>
      <c r="F18" s="1">
        <v>47.21</v>
      </c>
      <c r="G18" s="1">
        <v>25.82</v>
      </c>
    </row>
    <row r="19" spans="1:7" x14ac:dyDescent="0.3">
      <c r="A19" s="1" t="s">
        <v>23</v>
      </c>
      <c r="B19" s="1">
        <v>1</v>
      </c>
      <c r="C19" s="1">
        <v>0</v>
      </c>
      <c r="D19" s="1">
        <v>0</v>
      </c>
      <c r="E19" s="1">
        <v>1</v>
      </c>
      <c r="F19" s="1">
        <v>0</v>
      </c>
      <c r="G19" s="1">
        <v>0</v>
      </c>
    </row>
    <row r="20" spans="1:7" x14ac:dyDescent="0.3">
      <c r="A20" s="1" t="s">
        <v>24</v>
      </c>
      <c r="B20" s="1">
        <v>1.5</v>
      </c>
      <c r="C20" s="1">
        <v>0</v>
      </c>
      <c r="D20" s="1">
        <v>0</v>
      </c>
      <c r="E20" s="1">
        <v>2.6</v>
      </c>
      <c r="F20" s="1">
        <v>0</v>
      </c>
      <c r="G20" s="1">
        <v>0</v>
      </c>
    </row>
    <row r="21" spans="1:7" x14ac:dyDescent="0.3">
      <c r="A21" s="1" t="s">
        <v>25</v>
      </c>
      <c r="B21" s="1">
        <v>8.6</v>
      </c>
      <c r="C21" s="1">
        <v>10</v>
      </c>
      <c r="D21" s="1">
        <v>10</v>
      </c>
      <c r="E21" s="1">
        <v>7.4</v>
      </c>
      <c r="F21" s="1">
        <v>10</v>
      </c>
      <c r="G21" s="1">
        <v>9.9</v>
      </c>
    </row>
    <row r="22" spans="1:7" x14ac:dyDescent="0.3">
      <c r="A22" s="1" t="s">
        <v>26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2.9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1.5</v>
      </c>
      <c r="C24" s="1">
        <v>0</v>
      </c>
      <c r="D24" s="1">
        <v>0</v>
      </c>
      <c r="E24" s="1">
        <v>3.3</v>
      </c>
      <c r="F24" s="1">
        <v>0</v>
      </c>
      <c r="G24" s="1">
        <v>0</v>
      </c>
    </row>
    <row r="25" spans="1:7" x14ac:dyDescent="0.3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3.6</v>
      </c>
      <c r="G25" s="1">
        <v>1.6</v>
      </c>
    </row>
    <row r="26" spans="1:7" x14ac:dyDescent="0.3">
      <c r="A26" s="1" t="s">
        <v>30</v>
      </c>
      <c r="B26" s="1">
        <v>8.6</v>
      </c>
      <c r="C26" s="1">
        <v>10</v>
      </c>
      <c r="D26" s="1">
        <v>10</v>
      </c>
      <c r="E26" s="1">
        <v>6.7</v>
      </c>
      <c r="F26" s="1">
        <v>6.4</v>
      </c>
      <c r="G26" s="1">
        <v>8.3000000000000007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14.85148514851485</v>
      </c>
      <c r="C29" s="3">
        <f t="shared" ref="C29:G29" si="1">C24/C28*100</f>
        <v>0</v>
      </c>
      <c r="D29" s="3">
        <f t="shared" si="1"/>
        <v>0</v>
      </c>
      <c r="E29" s="3">
        <f t="shared" si="1"/>
        <v>32.999999999999993</v>
      </c>
      <c r="F29" s="3">
        <f t="shared" si="1"/>
        <v>0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36</v>
      </c>
      <c r="G30" s="3">
        <f t="shared" si="2"/>
        <v>16.161616161616163</v>
      </c>
    </row>
    <row r="31" spans="1:7" x14ac:dyDescent="0.3">
      <c r="A31" s="3" t="s">
        <v>34</v>
      </c>
      <c r="B31" s="3">
        <f>B26/B28*100</f>
        <v>85.148514851485146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67</v>
      </c>
      <c r="F31" s="3">
        <f t="shared" si="3"/>
        <v>64</v>
      </c>
      <c r="G31" s="3">
        <f t="shared" si="3"/>
        <v>83.838383838383848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126.76</v>
      </c>
      <c r="C33" s="3">
        <v>276.02</v>
      </c>
      <c r="D33" s="3">
        <v>284.05</v>
      </c>
      <c r="E33" s="3">
        <v>35.85</v>
      </c>
      <c r="F33" s="3">
        <v>137.61000000000001</v>
      </c>
      <c r="G33" s="3">
        <v>245.14</v>
      </c>
    </row>
    <row r="35" spans="1:7" x14ac:dyDescent="0.3">
      <c r="A35" s="3" t="s">
        <v>36</v>
      </c>
      <c r="B35" s="3"/>
      <c r="C35" s="3"/>
      <c r="D35" s="3">
        <f>D33-C33</f>
        <v>8.0300000000000296</v>
      </c>
      <c r="E35" s="3"/>
      <c r="F35" s="3">
        <f>F33-E33</f>
        <v>101.76000000000002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-248.20000000000002</v>
      </c>
      <c r="F37" s="3"/>
      <c r="G37" s="3">
        <f>G33-F33</f>
        <v>107.52999999999997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023E-83D8-4E28-8C33-D75A5DA7C963}">
  <dimension ref="A1:G37"/>
  <sheetViews>
    <sheetView zoomScale="70" zoomScaleNormal="70" workbookViewId="0">
      <selection activeCell="J36" sqref="J36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450.2</v>
      </c>
      <c r="C2" s="1">
        <v>475.02</v>
      </c>
      <c r="D2" s="1">
        <v>470.38</v>
      </c>
      <c r="E2" s="1">
        <v>440.08</v>
      </c>
      <c r="F2" s="1">
        <v>449.98</v>
      </c>
      <c r="G2" s="1">
        <v>522.15</v>
      </c>
    </row>
    <row r="3" spans="1:7" x14ac:dyDescent="0.3">
      <c r="A3" s="1" t="s">
        <v>7</v>
      </c>
      <c r="B3" s="1">
        <v>52.19</v>
      </c>
      <c r="C3" s="1">
        <v>47.98</v>
      </c>
      <c r="D3" s="1">
        <v>49.48</v>
      </c>
      <c r="E3" s="1">
        <v>54.34</v>
      </c>
      <c r="F3" s="1">
        <v>56.7</v>
      </c>
      <c r="G3" s="1">
        <v>55.89</v>
      </c>
    </row>
    <row r="4" spans="1:7" x14ac:dyDescent="0.3">
      <c r="A4" s="1" t="s">
        <v>8</v>
      </c>
      <c r="B4" s="1">
        <v>23863.31</v>
      </c>
      <c r="C4" s="1">
        <v>23177.8</v>
      </c>
      <c r="D4" s="1">
        <v>23951.85</v>
      </c>
      <c r="E4" s="1">
        <v>24275.96</v>
      </c>
      <c r="F4" s="1">
        <v>25946.35</v>
      </c>
      <c r="G4" s="1">
        <v>29749.32</v>
      </c>
    </row>
    <row r="5" spans="1:7" x14ac:dyDescent="0.3">
      <c r="A5" s="1" t="s">
        <v>9</v>
      </c>
      <c r="B5" s="1">
        <v>730.98</v>
      </c>
      <c r="C5" s="1">
        <v>2353.34</v>
      </c>
      <c r="D5" s="1">
        <v>2787.4</v>
      </c>
      <c r="E5" s="1">
        <v>550.66</v>
      </c>
      <c r="F5" s="1">
        <v>570.04999999999995</v>
      </c>
      <c r="G5" s="1">
        <v>2098.73</v>
      </c>
    </row>
    <row r="6" spans="1:7" x14ac:dyDescent="0.3">
      <c r="A6" s="3" t="s">
        <v>10</v>
      </c>
      <c r="B6" s="3">
        <v>73.099999999999994</v>
      </c>
      <c r="C6" s="3">
        <v>237.71</v>
      </c>
      <c r="D6" s="3">
        <v>281.56</v>
      </c>
      <c r="E6" s="3">
        <v>55.62</v>
      </c>
      <c r="F6" s="3">
        <v>57.58</v>
      </c>
      <c r="G6" s="3">
        <v>214.16</v>
      </c>
    </row>
    <row r="7" spans="1:7" x14ac:dyDescent="0.3">
      <c r="A7" s="1" t="s">
        <v>11</v>
      </c>
      <c r="B7" s="1">
        <v>631.30999999999995</v>
      </c>
      <c r="C7" s="1">
        <v>2084.3200000000002</v>
      </c>
      <c r="D7" s="1">
        <v>2619.0300000000002</v>
      </c>
      <c r="E7" s="1">
        <v>503.9</v>
      </c>
      <c r="F7" s="1">
        <v>505.63</v>
      </c>
      <c r="G7" s="1">
        <v>2014.99</v>
      </c>
    </row>
    <row r="8" spans="1:7" x14ac:dyDescent="0.3">
      <c r="A8" s="1" t="s">
        <v>12</v>
      </c>
      <c r="B8" s="1">
        <v>63.13</v>
      </c>
      <c r="C8" s="1">
        <v>210.54</v>
      </c>
      <c r="D8" s="1">
        <v>264.55</v>
      </c>
      <c r="E8" s="1">
        <v>50.9</v>
      </c>
      <c r="F8" s="1">
        <v>51.07</v>
      </c>
      <c r="G8" s="1">
        <v>205.61</v>
      </c>
    </row>
    <row r="9" spans="1:7" x14ac:dyDescent="0.3">
      <c r="A9" s="1" t="s">
        <v>13</v>
      </c>
      <c r="B9" s="1">
        <v>318.8</v>
      </c>
      <c r="C9" s="1">
        <v>2082.6999999999998</v>
      </c>
      <c r="D9" s="1">
        <v>2619.0300000000002</v>
      </c>
      <c r="E9" s="1">
        <v>158.26</v>
      </c>
      <c r="F9" s="1">
        <v>-210.2</v>
      </c>
      <c r="G9" s="1">
        <v>2014.99</v>
      </c>
    </row>
    <row r="10" spans="1:7" x14ac:dyDescent="0.3">
      <c r="A10" s="1" t="s">
        <v>14</v>
      </c>
      <c r="B10" s="1">
        <v>31.88</v>
      </c>
      <c r="C10" s="1">
        <v>210.37</v>
      </c>
      <c r="D10" s="1">
        <v>264.55</v>
      </c>
      <c r="E10" s="1">
        <v>15.99</v>
      </c>
      <c r="F10" s="1">
        <v>-21.23</v>
      </c>
      <c r="G10" s="1">
        <v>205.61</v>
      </c>
    </row>
    <row r="11" spans="1:7" x14ac:dyDescent="0.3">
      <c r="A11" s="1" t="s">
        <v>15</v>
      </c>
      <c r="B11" s="1">
        <v>256.33999999999997</v>
      </c>
      <c r="C11" s="1">
        <v>1922.05</v>
      </c>
      <c r="D11" s="1">
        <v>319.18</v>
      </c>
      <c r="E11" s="1">
        <v>67.14</v>
      </c>
      <c r="F11" s="1">
        <v>91.51</v>
      </c>
      <c r="G11" s="1">
        <v>1441.67</v>
      </c>
    </row>
    <row r="12" spans="1:7" x14ac:dyDescent="0.3">
      <c r="A12" s="1" t="s">
        <v>16</v>
      </c>
      <c r="B12" s="1">
        <v>176.04</v>
      </c>
      <c r="C12" s="1">
        <v>247.74</v>
      </c>
      <c r="D12" s="1">
        <v>283.47000000000003</v>
      </c>
      <c r="E12" s="1">
        <v>187.61</v>
      </c>
      <c r="F12" s="1">
        <v>161.69999999999999</v>
      </c>
      <c r="G12" s="1">
        <v>261.52999999999997</v>
      </c>
    </row>
    <row r="13" spans="1:7" x14ac:dyDescent="0.3">
      <c r="A13" s="1" t="s">
        <v>17</v>
      </c>
      <c r="B13" s="1">
        <v>46.7</v>
      </c>
      <c r="C13" s="1">
        <v>29.76</v>
      </c>
      <c r="D13" s="1">
        <v>25.94</v>
      </c>
      <c r="E13" s="1">
        <v>34.090000000000003</v>
      </c>
      <c r="F13" s="1">
        <v>37.799999999999997</v>
      </c>
      <c r="G13" s="1">
        <v>34.47</v>
      </c>
    </row>
    <row r="14" spans="1:7" x14ac:dyDescent="0.3">
      <c r="A14" s="1" t="s">
        <v>18</v>
      </c>
      <c r="B14" s="1">
        <v>91.12</v>
      </c>
      <c r="C14" s="1">
        <v>102.12</v>
      </c>
      <c r="D14" s="1">
        <v>85.59</v>
      </c>
      <c r="E14" s="1">
        <v>52.71</v>
      </c>
      <c r="F14" s="1">
        <v>87.77</v>
      </c>
      <c r="G14" s="1">
        <v>90.6</v>
      </c>
    </row>
    <row r="15" spans="1:7" x14ac:dyDescent="0.3">
      <c r="A15" s="1" t="s">
        <v>19</v>
      </c>
      <c r="B15" s="1">
        <v>5</v>
      </c>
      <c r="C15" s="1">
        <v>7</v>
      </c>
      <c r="D15" s="1">
        <v>5</v>
      </c>
      <c r="E15" s="1">
        <v>4</v>
      </c>
      <c r="F15" s="1">
        <v>4</v>
      </c>
      <c r="G15" s="1">
        <v>6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475.06</v>
      </c>
      <c r="C17" s="1">
        <v>2083.5100000000002</v>
      </c>
      <c r="D17" s="1">
        <v>2619.0300000000002</v>
      </c>
      <c r="E17" s="1">
        <v>331.08</v>
      </c>
      <c r="F17" s="1">
        <v>147.71</v>
      </c>
      <c r="G17" s="1">
        <v>2014.99</v>
      </c>
    </row>
    <row r="18" spans="1:7" x14ac:dyDescent="0.3">
      <c r="A18" s="1" t="s">
        <v>22</v>
      </c>
      <c r="B18" s="1">
        <v>156.26</v>
      </c>
      <c r="C18" s="1">
        <v>0.81</v>
      </c>
      <c r="D18" s="1">
        <v>0</v>
      </c>
      <c r="E18" s="1">
        <v>172.82</v>
      </c>
      <c r="F18" s="1">
        <v>357.92</v>
      </c>
      <c r="G18" s="1">
        <v>0</v>
      </c>
    </row>
    <row r="19" spans="1:7" x14ac:dyDescent="0.3">
      <c r="A19" s="1" t="s">
        <v>23</v>
      </c>
      <c r="B19" s="1">
        <v>2</v>
      </c>
      <c r="C19" s="1">
        <v>0</v>
      </c>
      <c r="D19" s="1">
        <v>0</v>
      </c>
      <c r="E19" s="1">
        <v>3</v>
      </c>
      <c r="F19" s="1">
        <v>4</v>
      </c>
      <c r="G19" s="1">
        <v>0</v>
      </c>
    </row>
    <row r="20" spans="1:7" x14ac:dyDescent="0.3">
      <c r="A20" s="1" t="s">
        <v>24</v>
      </c>
      <c r="B20" s="1">
        <v>3</v>
      </c>
      <c r="C20" s="1">
        <v>0</v>
      </c>
      <c r="D20" s="1">
        <v>0</v>
      </c>
      <c r="E20" s="1">
        <v>5.0999999999999996</v>
      </c>
      <c r="F20" s="1">
        <v>4.8</v>
      </c>
      <c r="G20" s="1">
        <v>0</v>
      </c>
    </row>
    <row r="21" spans="1:7" x14ac:dyDescent="0.3">
      <c r="A21" s="1" t="s">
        <v>25</v>
      </c>
      <c r="B21" s="1">
        <v>7.1</v>
      </c>
      <c r="C21" s="1">
        <v>10</v>
      </c>
      <c r="D21" s="1">
        <v>10</v>
      </c>
      <c r="E21" s="1">
        <v>4.9000000000000004</v>
      </c>
      <c r="F21" s="1">
        <v>5.2</v>
      </c>
      <c r="G21" s="1">
        <v>9.9</v>
      </c>
    </row>
    <row r="22" spans="1:7" x14ac:dyDescent="0.3">
      <c r="A22" s="1" t="s">
        <v>26</v>
      </c>
      <c r="B22" s="1">
        <v>1</v>
      </c>
      <c r="C22" s="1">
        <v>0</v>
      </c>
      <c r="D22" s="1">
        <v>0</v>
      </c>
      <c r="E22" s="1">
        <v>0</v>
      </c>
      <c r="F22" s="1">
        <v>1</v>
      </c>
      <c r="G22" s="1">
        <v>0</v>
      </c>
    </row>
    <row r="23" spans="1:7" x14ac:dyDescent="0.3">
      <c r="A23" s="1" t="s">
        <v>27</v>
      </c>
      <c r="B23" s="1">
        <v>2.8</v>
      </c>
      <c r="C23" s="1">
        <v>0</v>
      </c>
      <c r="D23" s="1">
        <v>0</v>
      </c>
      <c r="E23" s="1">
        <v>0</v>
      </c>
      <c r="F23" s="1">
        <v>2.2999999999999998</v>
      </c>
      <c r="G23" s="1">
        <v>0</v>
      </c>
    </row>
    <row r="24" spans="1:7" x14ac:dyDescent="0.3">
      <c r="A24" s="1" t="s">
        <v>28</v>
      </c>
      <c r="B24" s="1">
        <v>3</v>
      </c>
      <c r="C24" s="1">
        <v>0</v>
      </c>
      <c r="D24" s="1">
        <v>0</v>
      </c>
      <c r="E24" s="1">
        <v>1.1000000000000001</v>
      </c>
      <c r="F24" s="1">
        <v>2.6</v>
      </c>
      <c r="G24" s="1">
        <v>0</v>
      </c>
    </row>
    <row r="25" spans="1:7" x14ac:dyDescent="0.3">
      <c r="A25" s="1" t="s">
        <v>29</v>
      </c>
      <c r="B25" s="1">
        <v>5.9</v>
      </c>
      <c r="C25" s="1">
        <v>0</v>
      </c>
      <c r="D25" s="1">
        <v>0</v>
      </c>
      <c r="E25" s="1">
        <v>7.5</v>
      </c>
      <c r="F25" s="1">
        <v>5.5</v>
      </c>
      <c r="G25" s="1">
        <v>0</v>
      </c>
    </row>
    <row r="26" spans="1:7" x14ac:dyDescent="0.3">
      <c r="A26" s="1" t="s">
        <v>30</v>
      </c>
      <c r="B26" s="1">
        <v>1.2</v>
      </c>
      <c r="C26" s="1">
        <v>10</v>
      </c>
      <c r="D26" s="1">
        <v>10</v>
      </c>
      <c r="E26" s="1">
        <v>1.4</v>
      </c>
      <c r="F26" s="1">
        <v>1.9</v>
      </c>
      <c r="G26" s="1">
        <v>9.9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29.702970297029701</v>
      </c>
      <c r="C29" s="3">
        <f t="shared" ref="C29:G29" si="1">C24/C28*100</f>
        <v>0</v>
      </c>
      <c r="D29" s="3">
        <f t="shared" si="1"/>
        <v>0</v>
      </c>
      <c r="E29" s="3">
        <f t="shared" si="1"/>
        <v>11.000000000000002</v>
      </c>
      <c r="F29" s="3">
        <f t="shared" si="1"/>
        <v>26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58.415841584158422</v>
      </c>
      <c r="C30" s="3">
        <f t="shared" ref="C30:G30" si="2">C25/C28*100</f>
        <v>0</v>
      </c>
      <c r="D30" s="3">
        <f t="shared" si="2"/>
        <v>0</v>
      </c>
      <c r="E30" s="3">
        <f t="shared" si="2"/>
        <v>75</v>
      </c>
      <c r="F30" s="3">
        <f t="shared" si="2"/>
        <v>55.000000000000007</v>
      </c>
      <c r="G30" s="3">
        <f t="shared" si="2"/>
        <v>0</v>
      </c>
    </row>
    <row r="31" spans="1:7" x14ac:dyDescent="0.3">
      <c r="A31" s="3" t="s">
        <v>34</v>
      </c>
      <c r="B31" s="3">
        <f>B26/B28*100</f>
        <v>11.881188118811881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13.999999999999998</v>
      </c>
      <c r="F31" s="3">
        <f t="shared" si="3"/>
        <v>19</v>
      </c>
      <c r="G31" s="3">
        <f t="shared" si="3"/>
        <v>100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16.59</v>
      </c>
      <c r="C33" s="3">
        <v>232.49</v>
      </c>
      <c r="D33" s="3">
        <v>276.67</v>
      </c>
      <c r="E33" s="3">
        <v>-0.56000000000000005</v>
      </c>
      <c r="F33" s="3">
        <v>-5.31</v>
      </c>
      <c r="G33" s="3">
        <v>213.08</v>
      </c>
    </row>
    <row r="35" spans="1:7" x14ac:dyDescent="0.3">
      <c r="A35" s="3" t="s">
        <v>36</v>
      </c>
      <c r="B35" s="3"/>
      <c r="C35" s="3"/>
      <c r="D35" s="3">
        <f>D33-C33</f>
        <v>44.180000000000007</v>
      </c>
      <c r="E35" s="3"/>
      <c r="F35" s="3">
        <f>F33-E33</f>
        <v>-4.75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-277.23</v>
      </c>
      <c r="F37" s="3"/>
      <c r="G37" s="3">
        <f>G33-F33</f>
        <v>218.39000000000001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90419-E72C-48C5-BFD1-127E681A8ED2}">
  <dimension ref="A1:G37"/>
  <sheetViews>
    <sheetView zoomScale="70" zoomScaleNormal="70" workbookViewId="0">
      <selection activeCell="B30" sqref="B30:G30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500</v>
      </c>
      <c r="C2" s="1">
        <v>455.06</v>
      </c>
      <c r="D2" s="1">
        <v>467.65</v>
      </c>
      <c r="E2" s="1">
        <v>445.83</v>
      </c>
      <c r="F2" s="1">
        <v>503.19</v>
      </c>
      <c r="G2" s="1">
        <v>445.78</v>
      </c>
    </row>
    <row r="3" spans="1:7" x14ac:dyDescent="0.3">
      <c r="A3" s="1" t="s">
        <v>7</v>
      </c>
      <c r="B3" s="1">
        <v>50.9</v>
      </c>
      <c r="C3" s="1">
        <v>54.32</v>
      </c>
      <c r="D3" s="1">
        <v>51.3</v>
      </c>
      <c r="E3" s="1">
        <v>46.55</v>
      </c>
      <c r="F3" s="1">
        <v>56.56</v>
      </c>
      <c r="G3" s="1">
        <v>53.08</v>
      </c>
    </row>
    <row r="4" spans="1:7" x14ac:dyDescent="0.3">
      <c r="A4" s="1" t="s">
        <v>8</v>
      </c>
      <c r="B4" s="1">
        <v>25945.759999999998</v>
      </c>
      <c r="C4" s="1">
        <v>25338.17</v>
      </c>
      <c r="D4" s="1">
        <v>24461.83</v>
      </c>
      <c r="E4" s="1">
        <v>21229.040000000001</v>
      </c>
      <c r="F4" s="1">
        <v>28972.77</v>
      </c>
      <c r="G4" s="1">
        <v>23948.97</v>
      </c>
    </row>
    <row r="5" spans="1:7" x14ac:dyDescent="0.3">
      <c r="A5" s="1" t="s">
        <v>9</v>
      </c>
      <c r="B5" s="1">
        <v>4040.99</v>
      </c>
      <c r="C5" s="1">
        <v>3225.43</v>
      </c>
      <c r="D5" s="1">
        <v>3202.74</v>
      </c>
      <c r="E5" s="1">
        <v>3296.99</v>
      </c>
      <c r="F5" s="1">
        <v>2130.04</v>
      </c>
      <c r="G5" s="1">
        <v>1693.72</v>
      </c>
    </row>
    <row r="6" spans="1:7" x14ac:dyDescent="0.3">
      <c r="A6" s="3" t="s">
        <v>10</v>
      </c>
      <c r="B6" s="3">
        <v>404.1</v>
      </c>
      <c r="C6" s="3">
        <v>325.8</v>
      </c>
      <c r="D6" s="3">
        <v>323.51</v>
      </c>
      <c r="E6" s="3">
        <v>333.03</v>
      </c>
      <c r="F6" s="3">
        <v>215.16</v>
      </c>
      <c r="G6" s="3">
        <v>172.83</v>
      </c>
    </row>
    <row r="7" spans="1:7" x14ac:dyDescent="0.3">
      <c r="A7" s="1" t="s">
        <v>11</v>
      </c>
      <c r="B7" s="1">
        <v>3668.65</v>
      </c>
      <c r="C7" s="1">
        <v>2930.15</v>
      </c>
      <c r="D7" s="1">
        <v>2888.41</v>
      </c>
      <c r="E7" s="1">
        <v>3002.33</v>
      </c>
      <c r="F7" s="1">
        <v>2025.17</v>
      </c>
      <c r="G7" s="1">
        <v>1486.98</v>
      </c>
    </row>
    <row r="8" spans="1:7" x14ac:dyDescent="0.3">
      <c r="A8" s="1" t="s">
        <v>12</v>
      </c>
      <c r="B8" s="1">
        <v>366.87</v>
      </c>
      <c r="C8" s="1">
        <v>295.98</v>
      </c>
      <c r="D8" s="1">
        <v>291.76</v>
      </c>
      <c r="E8" s="1">
        <v>303.27</v>
      </c>
      <c r="F8" s="1">
        <v>204.56</v>
      </c>
      <c r="G8" s="1">
        <v>151.72999999999999</v>
      </c>
    </row>
    <row r="9" spans="1:7" x14ac:dyDescent="0.3">
      <c r="A9" s="1" t="s">
        <v>13</v>
      </c>
      <c r="B9" s="1">
        <v>3668.65</v>
      </c>
      <c r="C9" s="1">
        <v>2930.15</v>
      </c>
      <c r="D9" s="1">
        <v>2888.41</v>
      </c>
      <c r="E9" s="1">
        <v>3002.33</v>
      </c>
      <c r="F9" s="1">
        <v>1991.88</v>
      </c>
      <c r="G9" s="1">
        <v>1156.7</v>
      </c>
    </row>
    <row r="10" spans="1:7" x14ac:dyDescent="0.3">
      <c r="A10" s="1" t="s">
        <v>14</v>
      </c>
      <c r="B10" s="1">
        <v>366.87</v>
      </c>
      <c r="C10" s="1">
        <v>295.98</v>
      </c>
      <c r="D10" s="1">
        <v>291.76</v>
      </c>
      <c r="E10" s="1">
        <v>303.27</v>
      </c>
      <c r="F10" s="1">
        <v>201.2</v>
      </c>
      <c r="G10" s="1">
        <v>118.03</v>
      </c>
    </row>
    <row r="11" spans="1:7" x14ac:dyDescent="0.3">
      <c r="A11" s="1" t="s">
        <v>15</v>
      </c>
      <c r="B11" s="1">
        <v>3068.01</v>
      </c>
      <c r="C11" s="1">
        <v>2861.86</v>
      </c>
      <c r="D11" s="1">
        <v>2725.68</v>
      </c>
      <c r="E11" s="1">
        <v>2836.57</v>
      </c>
      <c r="F11" s="1">
        <v>1923.79</v>
      </c>
      <c r="G11" s="1">
        <v>745.77</v>
      </c>
    </row>
    <row r="12" spans="1:7" x14ac:dyDescent="0.3">
      <c r="A12" s="1" t="s">
        <v>16</v>
      </c>
      <c r="B12" s="1">
        <v>287.67</v>
      </c>
      <c r="C12" s="1">
        <v>255.41</v>
      </c>
      <c r="D12" s="1">
        <v>263.14999999999998</v>
      </c>
      <c r="E12" s="1">
        <v>254.31</v>
      </c>
      <c r="F12" s="1">
        <v>275.95999999999998</v>
      </c>
      <c r="G12" s="1">
        <v>226.83</v>
      </c>
    </row>
    <row r="13" spans="1:7" x14ac:dyDescent="0.3">
      <c r="A13" s="1" t="s">
        <v>17</v>
      </c>
      <c r="B13" s="1">
        <v>28.24</v>
      </c>
      <c r="C13" s="1">
        <v>31.27</v>
      </c>
      <c r="D13" s="1">
        <v>24.71</v>
      </c>
      <c r="E13" s="1">
        <v>23</v>
      </c>
      <c r="F13" s="1">
        <v>24.91</v>
      </c>
      <c r="G13" s="1">
        <v>37.04</v>
      </c>
    </row>
    <row r="14" spans="1:7" x14ac:dyDescent="0.3">
      <c r="A14" s="1" t="s">
        <v>18</v>
      </c>
      <c r="B14" s="1">
        <v>81.73</v>
      </c>
      <c r="C14" s="1">
        <v>75.64</v>
      </c>
      <c r="D14" s="1">
        <v>66.45</v>
      </c>
      <c r="E14" s="1">
        <v>60</v>
      </c>
      <c r="F14" s="1">
        <v>51.99</v>
      </c>
      <c r="G14" s="1">
        <v>78.790000000000006</v>
      </c>
    </row>
    <row r="15" spans="1:7" x14ac:dyDescent="0.3">
      <c r="A15" s="1" t="s">
        <v>19</v>
      </c>
      <c r="B15" s="1">
        <v>5</v>
      </c>
      <c r="C15" s="1">
        <v>5</v>
      </c>
      <c r="D15" s="1">
        <v>9</v>
      </c>
      <c r="E15" s="1">
        <v>5</v>
      </c>
      <c r="F15" s="1">
        <v>5</v>
      </c>
      <c r="G15" s="1">
        <v>5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3668.65</v>
      </c>
      <c r="C17" s="1">
        <v>2930.15</v>
      </c>
      <c r="D17" s="1">
        <v>2888.41</v>
      </c>
      <c r="E17" s="1">
        <v>3002.33</v>
      </c>
      <c r="F17" s="1">
        <v>2008.52</v>
      </c>
      <c r="G17" s="1">
        <v>1321.84</v>
      </c>
    </row>
    <row r="18" spans="1:7" x14ac:dyDescent="0.3">
      <c r="A18" s="1" t="s">
        <v>22</v>
      </c>
      <c r="B18" s="1">
        <v>0</v>
      </c>
      <c r="C18" s="1">
        <v>0</v>
      </c>
      <c r="D18" s="1">
        <v>0</v>
      </c>
      <c r="E18" s="1">
        <v>0</v>
      </c>
      <c r="F18" s="1">
        <v>16.649999999999999</v>
      </c>
      <c r="G18" s="1">
        <v>165.14</v>
      </c>
    </row>
    <row r="19" spans="1:7" x14ac:dyDescent="0.3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3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3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9.9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3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3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10</v>
      </c>
      <c r="G26" s="1">
        <v>9.9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3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100</v>
      </c>
      <c r="G31" s="3">
        <f t="shared" si="3"/>
        <v>100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392.92</v>
      </c>
      <c r="C33" s="3">
        <v>320.32</v>
      </c>
      <c r="D33" s="3">
        <v>325.7</v>
      </c>
      <c r="E33" s="3">
        <v>330.68</v>
      </c>
      <c r="F33" s="3">
        <v>215.59</v>
      </c>
      <c r="G33" s="3">
        <v>132.44</v>
      </c>
    </row>
    <row r="35" spans="1:7" x14ac:dyDescent="0.3">
      <c r="A35" s="3" t="s">
        <v>36</v>
      </c>
      <c r="B35" s="3"/>
      <c r="C35" s="3"/>
      <c r="D35" s="3">
        <f>D33-C33</f>
        <v>5.3799999999999955</v>
      </c>
      <c r="E35" s="3"/>
      <c r="F35" s="3">
        <f>F33-E33</f>
        <v>-115.09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4.9800000000000182</v>
      </c>
      <c r="F37" s="3"/>
      <c r="G37" s="3">
        <f>G33-F33</f>
        <v>-83.15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4F670-258A-4239-A6E1-84BF4882270B}">
  <dimension ref="A1:G37"/>
  <sheetViews>
    <sheetView tabSelected="1" zoomScale="70" zoomScaleNormal="70" workbookViewId="0">
      <selection activeCell="N20" sqref="N20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/>
      <c r="C2" s="1"/>
      <c r="D2" s="1"/>
      <c r="E2" s="1"/>
      <c r="F2" s="1"/>
      <c r="G2" s="1"/>
    </row>
    <row r="3" spans="1:7" x14ac:dyDescent="0.3">
      <c r="A3" s="1" t="s">
        <v>7</v>
      </c>
      <c r="B3" s="1"/>
      <c r="C3" s="1"/>
      <c r="D3" s="1"/>
      <c r="E3" s="1"/>
      <c r="F3" s="1"/>
      <c r="G3" s="1"/>
    </row>
    <row r="4" spans="1:7" x14ac:dyDescent="0.3">
      <c r="A4" s="1" t="s">
        <v>8</v>
      </c>
      <c r="B4" s="1"/>
      <c r="C4" s="1"/>
      <c r="D4" s="1"/>
      <c r="E4" s="1"/>
      <c r="F4" s="1"/>
      <c r="G4" s="1"/>
    </row>
    <row r="5" spans="1:7" x14ac:dyDescent="0.3">
      <c r="A5" s="1" t="s">
        <v>9</v>
      </c>
      <c r="B5" s="1"/>
      <c r="C5" s="1"/>
      <c r="D5" s="1"/>
      <c r="E5" s="1"/>
      <c r="F5" s="1"/>
      <c r="G5" s="1"/>
    </row>
    <row r="6" spans="1:7" x14ac:dyDescent="0.3">
      <c r="A6" s="3" t="s">
        <v>10</v>
      </c>
      <c r="B6" s="3"/>
      <c r="C6" s="3"/>
      <c r="D6" s="3"/>
      <c r="E6" s="3"/>
      <c r="F6" s="3"/>
      <c r="G6" s="3"/>
    </row>
    <row r="7" spans="1:7" x14ac:dyDescent="0.3">
      <c r="A7" s="1" t="s">
        <v>11</v>
      </c>
      <c r="B7" s="1"/>
      <c r="C7" s="1"/>
      <c r="D7" s="1"/>
      <c r="E7" s="1"/>
      <c r="F7" s="1"/>
      <c r="G7" s="1"/>
    </row>
    <row r="8" spans="1:7" x14ac:dyDescent="0.3">
      <c r="A8" s="1" t="s">
        <v>12</v>
      </c>
      <c r="B8" s="1"/>
      <c r="C8" s="1"/>
      <c r="D8" s="1"/>
      <c r="E8" s="1"/>
      <c r="F8" s="1"/>
      <c r="G8" s="1"/>
    </row>
    <row r="9" spans="1:7" x14ac:dyDescent="0.3">
      <c r="A9" s="1" t="s">
        <v>13</v>
      </c>
      <c r="B9" s="1"/>
      <c r="C9" s="1"/>
      <c r="D9" s="1"/>
      <c r="E9" s="1"/>
      <c r="F9" s="1"/>
      <c r="G9" s="1"/>
    </row>
    <row r="10" spans="1:7" x14ac:dyDescent="0.3">
      <c r="A10" s="1" t="s">
        <v>14</v>
      </c>
      <c r="B10" s="1"/>
      <c r="C10" s="1"/>
      <c r="D10" s="1"/>
      <c r="E10" s="1"/>
      <c r="F10" s="1"/>
      <c r="G10" s="1"/>
    </row>
    <row r="11" spans="1:7" x14ac:dyDescent="0.3">
      <c r="A11" s="1" t="s">
        <v>15</v>
      </c>
      <c r="B11" s="1"/>
      <c r="C11" s="1"/>
      <c r="D11" s="1"/>
      <c r="E11" s="1"/>
      <c r="F11" s="1"/>
      <c r="G11" s="1"/>
    </row>
    <row r="12" spans="1:7" x14ac:dyDescent="0.3">
      <c r="A12" s="1" t="s">
        <v>16</v>
      </c>
      <c r="B12" s="1"/>
      <c r="C12" s="1"/>
      <c r="D12" s="1"/>
      <c r="E12" s="1"/>
      <c r="F12" s="1"/>
      <c r="G12" s="1"/>
    </row>
    <row r="13" spans="1:7" x14ac:dyDescent="0.3">
      <c r="A13" s="1" t="s">
        <v>17</v>
      </c>
      <c r="B13" s="1"/>
      <c r="C13" s="1"/>
      <c r="D13" s="1"/>
      <c r="E13" s="1"/>
      <c r="F13" s="1"/>
      <c r="G13" s="1"/>
    </row>
    <row r="14" spans="1:7" x14ac:dyDescent="0.3">
      <c r="A14" s="1" t="s">
        <v>18</v>
      </c>
      <c r="B14" s="1"/>
      <c r="C14" s="1"/>
      <c r="D14" s="1"/>
      <c r="E14" s="1"/>
      <c r="F14" s="1"/>
      <c r="G14" s="1"/>
    </row>
    <row r="15" spans="1:7" x14ac:dyDescent="0.3">
      <c r="A15" s="1" t="s">
        <v>19</v>
      </c>
      <c r="B15" s="1"/>
      <c r="C15" s="1"/>
      <c r="D15" s="1"/>
      <c r="E15" s="1"/>
      <c r="F15" s="1"/>
      <c r="G15" s="1"/>
    </row>
    <row r="16" spans="1:7" x14ac:dyDescent="0.3">
      <c r="A16" s="1" t="s">
        <v>20</v>
      </c>
      <c r="B16" s="1"/>
      <c r="C16" s="1"/>
      <c r="D16" s="1"/>
      <c r="E16" s="1"/>
      <c r="F16" s="1"/>
      <c r="G16" s="1"/>
    </row>
    <row r="17" spans="1:7" x14ac:dyDescent="0.3">
      <c r="A17" s="1" t="s">
        <v>21</v>
      </c>
      <c r="B17" s="1"/>
      <c r="C17" s="1"/>
      <c r="D17" s="1"/>
      <c r="E17" s="1"/>
      <c r="F17" s="1"/>
      <c r="G17" s="1"/>
    </row>
    <row r="18" spans="1:7" x14ac:dyDescent="0.3">
      <c r="A18" s="1" t="s">
        <v>22</v>
      </c>
      <c r="B18" s="1"/>
      <c r="C18" s="1"/>
      <c r="D18" s="1"/>
      <c r="E18" s="1"/>
      <c r="F18" s="1"/>
      <c r="G18" s="1"/>
    </row>
    <row r="19" spans="1:7" x14ac:dyDescent="0.3">
      <c r="A19" s="1" t="s">
        <v>23</v>
      </c>
      <c r="B19" s="1"/>
      <c r="C19" s="1"/>
      <c r="D19" s="1"/>
      <c r="E19" s="1"/>
      <c r="F19" s="1"/>
      <c r="G19" s="1"/>
    </row>
    <row r="20" spans="1:7" x14ac:dyDescent="0.3">
      <c r="A20" s="1" t="s">
        <v>24</v>
      </c>
      <c r="B20" s="1"/>
      <c r="C20" s="1"/>
      <c r="D20" s="1"/>
      <c r="E20" s="1"/>
      <c r="F20" s="1"/>
      <c r="G20" s="1"/>
    </row>
    <row r="21" spans="1:7" x14ac:dyDescent="0.3">
      <c r="A21" s="1" t="s">
        <v>25</v>
      </c>
      <c r="B21" s="1"/>
      <c r="C21" s="1"/>
      <c r="D21" s="1"/>
      <c r="E21" s="1"/>
      <c r="F21" s="1"/>
      <c r="G21" s="1"/>
    </row>
    <row r="22" spans="1:7" x14ac:dyDescent="0.3">
      <c r="A22" s="1" t="s">
        <v>26</v>
      </c>
      <c r="B22" s="1"/>
      <c r="C22" s="1"/>
      <c r="D22" s="1"/>
      <c r="E22" s="1"/>
      <c r="F22" s="1"/>
      <c r="G22" s="1"/>
    </row>
    <row r="23" spans="1:7" x14ac:dyDescent="0.3">
      <c r="A23" s="1" t="s">
        <v>27</v>
      </c>
      <c r="B23" s="1"/>
      <c r="C23" s="1"/>
      <c r="D23" s="1"/>
      <c r="E23" s="1"/>
      <c r="F23" s="1"/>
      <c r="G23" s="1"/>
    </row>
    <row r="24" spans="1:7" x14ac:dyDescent="0.3">
      <c r="A24" s="1" t="s">
        <v>28</v>
      </c>
      <c r="B24" s="1"/>
      <c r="C24" s="1"/>
      <c r="D24" s="1"/>
      <c r="E24" s="1"/>
      <c r="F24" s="1"/>
      <c r="G24" s="1"/>
    </row>
    <row r="25" spans="1:7" x14ac:dyDescent="0.3">
      <c r="A25" s="1" t="s">
        <v>29</v>
      </c>
      <c r="B25" s="1"/>
      <c r="C25" s="1"/>
      <c r="D25" s="1"/>
      <c r="E25" s="1"/>
      <c r="F25" s="1"/>
      <c r="G25" s="1"/>
    </row>
    <row r="26" spans="1:7" x14ac:dyDescent="0.3">
      <c r="A26" s="1" t="s">
        <v>30</v>
      </c>
      <c r="B26" s="1"/>
      <c r="C26" s="1"/>
      <c r="D26" s="1"/>
      <c r="E26" s="1"/>
      <c r="F26" s="1"/>
      <c r="G26" s="1"/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0</v>
      </c>
      <c r="C28" s="1">
        <f t="shared" ref="C28:G28" si="0">SUM(C24:C26)</f>
        <v>0</v>
      </c>
      <c r="D28" s="1">
        <f t="shared" si="0"/>
        <v>0</v>
      </c>
      <c r="E28" s="1">
        <f t="shared" si="0"/>
        <v>0</v>
      </c>
      <c r="F28" s="1">
        <f t="shared" si="0"/>
        <v>0</v>
      </c>
      <c r="G28" s="1">
        <f t="shared" si="0"/>
        <v>0</v>
      </c>
    </row>
    <row r="29" spans="1:7" x14ac:dyDescent="0.3">
      <c r="A29" s="3" t="s">
        <v>32</v>
      </c>
      <c r="B29" s="3" t="e">
        <f>B24/B28*100</f>
        <v>#DIV/0!</v>
      </c>
      <c r="C29" s="3" t="e">
        <f t="shared" ref="C29:G29" si="1">C24/C28*100</f>
        <v>#DIV/0!</v>
      </c>
      <c r="D29" s="3" t="e">
        <f t="shared" si="1"/>
        <v>#DIV/0!</v>
      </c>
      <c r="E29" s="3" t="e">
        <f t="shared" si="1"/>
        <v>#DIV/0!</v>
      </c>
      <c r="F29" s="3" t="e">
        <f t="shared" si="1"/>
        <v>#DIV/0!</v>
      </c>
      <c r="G29" s="3" t="e">
        <f t="shared" si="1"/>
        <v>#DIV/0!</v>
      </c>
    </row>
    <row r="30" spans="1:7" x14ac:dyDescent="0.3">
      <c r="A30" s="3" t="s">
        <v>33</v>
      </c>
      <c r="B30" s="3" t="e">
        <f>B25/B28*100</f>
        <v>#DIV/0!</v>
      </c>
      <c r="C30" s="3" t="e">
        <f t="shared" ref="C30:G30" si="2">C25/C28*100</f>
        <v>#DIV/0!</v>
      </c>
      <c r="D30" s="3" t="e">
        <f t="shared" si="2"/>
        <v>#DIV/0!</v>
      </c>
      <c r="E30" s="3" t="e">
        <f t="shared" si="2"/>
        <v>#DIV/0!</v>
      </c>
      <c r="F30" s="3" t="e">
        <f t="shared" si="2"/>
        <v>#DIV/0!</v>
      </c>
      <c r="G30" s="3" t="e">
        <f t="shared" si="2"/>
        <v>#DIV/0!</v>
      </c>
    </row>
    <row r="31" spans="1:7" x14ac:dyDescent="0.3">
      <c r="A31" s="3" t="s">
        <v>34</v>
      </c>
      <c r="B31" s="3" t="e">
        <f>B26/B28*100</f>
        <v>#DIV/0!</v>
      </c>
      <c r="C31" s="3" t="e">
        <f t="shared" ref="C31:G31" si="3">C26/C28*100</f>
        <v>#DIV/0!</v>
      </c>
      <c r="D31" s="3" t="e">
        <f t="shared" si="3"/>
        <v>#DIV/0!</v>
      </c>
      <c r="E31" s="3" t="e">
        <f t="shared" si="3"/>
        <v>#DIV/0!</v>
      </c>
      <c r="F31" s="3" t="e">
        <f t="shared" si="3"/>
        <v>#DIV/0!</v>
      </c>
      <c r="G31" s="3" t="e">
        <f t="shared" si="3"/>
        <v>#DIV/0!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/>
      <c r="C33" s="3"/>
      <c r="D33" s="3"/>
      <c r="E33" s="3"/>
      <c r="F33" s="3"/>
      <c r="G33" s="3"/>
    </row>
    <row r="35" spans="1:7" x14ac:dyDescent="0.3">
      <c r="A35" s="3" t="s">
        <v>36</v>
      </c>
      <c r="B35" s="3"/>
      <c r="C35" s="3"/>
      <c r="D35" s="3">
        <f>D33-C33</f>
        <v>0</v>
      </c>
      <c r="E35" s="3"/>
      <c r="F35" s="3">
        <f>F33-E33</f>
        <v>0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0</v>
      </c>
      <c r="F37" s="3"/>
      <c r="G37" s="3">
        <f>G33-F33</f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F67D1-1573-4F76-BD33-8153F3EAC79C}">
  <dimension ref="A1:G37"/>
  <sheetViews>
    <sheetView zoomScale="70" zoomScaleNormal="70" workbookViewId="0">
      <selection activeCell="N20" sqref="N20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/>
      <c r="C2" s="1"/>
      <c r="D2" s="1"/>
      <c r="E2" s="1"/>
      <c r="F2" s="1"/>
      <c r="G2" s="1"/>
    </row>
    <row r="3" spans="1:7" x14ac:dyDescent="0.3">
      <c r="A3" s="1" t="s">
        <v>7</v>
      </c>
      <c r="B3" s="1"/>
      <c r="C3" s="1"/>
      <c r="D3" s="1"/>
      <c r="E3" s="1"/>
      <c r="F3" s="1"/>
      <c r="G3" s="1"/>
    </row>
    <row r="4" spans="1:7" x14ac:dyDescent="0.3">
      <c r="A4" s="1" t="s">
        <v>8</v>
      </c>
      <c r="B4" s="1"/>
      <c r="C4" s="1"/>
      <c r="D4" s="1"/>
      <c r="E4" s="1"/>
      <c r="F4" s="1"/>
      <c r="G4" s="1"/>
    </row>
    <row r="5" spans="1:7" x14ac:dyDescent="0.3">
      <c r="A5" s="1" t="s">
        <v>9</v>
      </c>
      <c r="B5" s="1"/>
      <c r="C5" s="1"/>
      <c r="D5" s="1"/>
      <c r="E5" s="1"/>
      <c r="F5" s="1"/>
      <c r="G5" s="1"/>
    </row>
    <row r="6" spans="1:7" x14ac:dyDescent="0.3">
      <c r="A6" s="3" t="s">
        <v>10</v>
      </c>
      <c r="B6" s="3"/>
      <c r="C6" s="3"/>
      <c r="D6" s="3"/>
      <c r="E6" s="3"/>
      <c r="F6" s="3"/>
      <c r="G6" s="3"/>
    </row>
    <row r="7" spans="1:7" x14ac:dyDescent="0.3">
      <c r="A7" s="1" t="s">
        <v>11</v>
      </c>
      <c r="B7" s="1"/>
      <c r="C7" s="1"/>
      <c r="D7" s="1"/>
      <c r="E7" s="1"/>
      <c r="F7" s="1"/>
      <c r="G7" s="1"/>
    </row>
    <row r="8" spans="1:7" x14ac:dyDescent="0.3">
      <c r="A8" s="1" t="s">
        <v>12</v>
      </c>
      <c r="B8" s="1"/>
      <c r="C8" s="1"/>
      <c r="D8" s="1"/>
      <c r="E8" s="1"/>
      <c r="F8" s="1"/>
      <c r="G8" s="1"/>
    </row>
    <row r="9" spans="1:7" x14ac:dyDescent="0.3">
      <c r="A9" s="1" t="s">
        <v>13</v>
      </c>
      <c r="B9" s="1"/>
      <c r="C9" s="1"/>
      <c r="D9" s="1"/>
      <c r="E9" s="1"/>
      <c r="F9" s="1"/>
      <c r="G9" s="1"/>
    </row>
    <row r="10" spans="1:7" x14ac:dyDescent="0.3">
      <c r="A10" s="1" t="s">
        <v>14</v>
      </c>
      <c r="B10" s="1"/>
      <c r="C10" s="1"/>
      <c r="D10" s="1"/>
      <c r="E10" s="1"/>
      <c r="F10" s="1"/>
      <c r="G10" s="1"/>
    </row>
    <row r="11" spans="1:7" x14ac:dyDescent="0.3">
      <c r="A11" s="1" t="s">
        <v>15</v>
      </c>
      <c r="B11" s="1"/>
      <c r="C11" s="1"/>
      <c r="D11" s="1"/>
      <c r="E11" s="1"/>
      <c r="F11" s="1"/>
      <c r="G11" s="1"/>
    </row>
    <row r="12" spans="1:7" x14ac:dyDescent="0.3">
      <c r="A12" s="1" t="s">
        <v>16</v>
      </c>
      <c r="B12" s="1"/>
      <c r="C12" s="1"/>
      <c r="D12" s="1"/>
      <c r="E12" s="1"/>
      <c r="F12" s="1"/>
      <c r="G12" s="1"/>
    </row>
    <row r="13" spans="1:7" x14ac:dyDescent="0.3">
      <c r="A13" s="1" t="s">
        <v>17</v>
      </c>
      <c r="B13" s="1"/>
      <c r="C13" s="1"/>
      <c r="D13" s="1"/>
      <c r="E13" s="1"/>
      <c r="F13" s="1"/>
      <c r="G13" s="1"/>
    </row>
    <row r="14" spans="1:7" x14ac:dyDescent="0.3">
      <c r="A14" s="1" t="s">
        <v>18</v>
      </c>
      <c r="B14" s="1"/>
      <c r="C14" s="1"/>
      <c r="D14" s="1"/>
      <c r="E14" s="1"/>
      <c r="F14" s="1"/>
      <c r="G14" s="1"/>
    </row>
    <row r="15" spans="1:7" x14ac:dyDescent="0.3">
      <c r="A15" s="1" t="s">
        <v>19</v>
      </c>
      <c r="B15" s="1"/>
      <c r="C15" s="1"/>
      <c r="D15" s="1"/>
      <c r="E15" s="1"/>
      <c r="F15" s="1"/>
      <c r="G15" s="1"/>
    </row>
    <row r="16" spans="1:7" x14ac:dyDescent="0.3">
      <c r="A16" s="1" t="s">
        <v>20</v>
      </c>
      <c r="B16" s="1"/>
      <c r="C16" s="1"/>
      <c r="D16" s="1"/>
      <c r="E16" s="1"/>
      <c r="F16" s="1"/>
      <c r="G16" s="1"/>
    </row>
    <row r="17" spans="1:7" x14ac:dyDescent="0.3">
      <c r="A17" s="1" t="s">
        <v>21</v>
      </c>
      <c r="B17" s="1"/>
      <c r="C17" s="1"/>
      <c r="D17" s="1"/>
      <c r="E17" s="1"/>
      <c r="F17" s="1"/>
      <c r="G17" s="1"/>
    </row>
    <row r="18" spans="1:7" x14ac:dyDescent="0.3">
      <c r="A18" s="1" t="s">
        <v>22</v>
      </c>
      <c r="B18" s="1"/>
      <c r="C18" s="1"/>
      <c r="D18" s="1"/>
      <c r="E18" s="1"/>
      <c r="F18" s="1"/>
      <c r="G18" s="1"/>
    </row>
    <row r="19" spans="1:7" x14ac:dyDescent="0.3">
      <c r="A19" s="1" t="s">
        <v>23</v>
      </c>
      <c r="B19" s="1"/>
      <c r="C19" s="1"/>
      <c r="D19" s="1"/>
      <c r="E19" s="1"/>
      <c r="F19" s="1"/>
      <c r="G19" s="1"/>
    </row>
    <row r="20" spans="1:7" x14ac:dyDescent="0.3">
      <c r="A20" s="1" t="s">
        <v>24</v>
      </c>
      <c r="B20" s="1"/>
      <c r="C20" s="1"/>
      <c r="D20" s="1"/>
      <c r="E20" s="1"/>
      <c r="F20" s="1"/>
      <c r="G20" s="1"/>
    </row>
    <row r="21" spans="1:7" x14ac:dyDescent="0.3">
      <c r="A21" s="1" t="s">
        <v>25</v>
      </c>
      <c r="B21" s="1"/>
      <c r="C21" s="1"/>
      <c r="D21" s="1"/>
      <c r="E21" s="1"/>
      <c r="F21" s="1"/>
      <c r="G21" s="1"/>
    </row>
    <row r="22" spans="1:7" x14ac:dyDescent="0.3">
      <c r="A22" s="1" t="s">
        <v>26</v>
      </c>
      <c r="B22" s="1"/>
      <c r="C22" s="1"/>
      <c r="D22" s="1"/>
      <c r="E22" s="1"/>
      <c r="F22" s="1"/>
      <c r="G22" s="1"/>
    </row>
    <row r="23" spans="1:7" x14ac:dyDescent="0.3">
      <c r="A23" s="1" t="s">
        <v>27</v>
      </c>
      <c r="B23" s="1"/>
      <c r="C23" s="1"/>
      <c r="D23" s="1"/>
      <c r="E23" s="1"/>
      <c r="F23" s="1"/>
      <c r="G23" s="1"/>
    </row>
    <row r="24" spans="1:7" x14ac:dyDescent="0.3">
      <c r="A24" s="1" t="s">
        <v>28</v>
      </c>
      <c r="B24" s="1"/>
      <c r="C24" s="1"/>
      <c r="D24" s="1"/>
      <c r="E24" s="1"/>
      <c r="F24" s="1"/>
      <c r="G24" s="1"/>
    </row>
    <row r="25" spans="1:7" x14ac:dyDescent="0.3">
      <c r="A25" s="1" t="s">
        <v>29</v>
      </c>
      <c r="B25" s="1"/>
      <c r="C25" s="1"/>
      <c r="D25" s="1"/>
      <c r="E25" s="1"/>
      <c r="F25" s="1"/>
      <c r="G25" s="1"/>
    </row>
    <row r="26" spans="1:7" x14ac:dyDescent="0.3">
      <c r="A26" s="1" t="s">
        <v>30</v>
      </c>
      <c r="B26" s="1"/>
      <c r="C26" s="1"/>
      <c r="D26" s="1"/>
      <c r="E26" s="1"/>
      <c r="F26" s="1"/>
      <c r="G26" s="1"/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0</v>
      </c>
      <c r="C28" s="1">
        <f t="shared" ref="C28:G28" si="0">SUM(C24:C26)</f>
        <v>0</v>
      </c>
      <c r="D28" s="1">
        <f t="shared" si="0"/>
        <v>0</v>
      </c>
      <c r="E28" s="1">
        <f t="shared" si="0"/>
        <v>0</v>
      </c>
      <c r="F28" s="1">
        <f t="shared" si="0"/>
        <v>0</v>
      </c>
      <c r="G28" s="1">
        <f t="shared" si="0"/>
        <v>0</v>
      </c>
    </row>
    <row r="29" spans="1:7" x14ac:dyDescent="0.3">
      <c r="A29" s="3" t="s">
        <v>32</v>
      </c>
      <c r="B29" s="3" t="e">
        <f>B24/B28*100</f>
        <v>#DIV/0!</v>
      </c>
      <c r="C29" s="3" t="e">
        <f t="shared" ref="C29:G29" si="1">C24/C28*100</f>
        <v>#DIV/0!</v>
      </c>
      <c r="D29" s="3" t="e">
        <f t="shared" si="1"/>
        <v>#DIV/0!</v>
      </c>
      <c r="E29" s="3" t="e">
        <f t="shared" si="1"/>
        <v>#DIV/0!</v>
      </c>
      <c r="F29" s="3" t="e">
        <f t="shared" si="1"/>
        <v>#DIV/0!</v>
      </c>
      <c r="G29" s="3" t="e">
        <f t="shared" si="1"/>
        <v>#DIV/0!</v>
      </c>
    </row>
    <row r="30" spans="1:7" x14ac:dyDescent="0.3">
      <c r="A30" s="3" t="s">
        <v>33</v>
      </c>
      <c r="B30" s="3" t="e">
        <f>B25/B28*100</f>
        <v>#DIV/0!</v>
      </c>
      <c r="C30" s="3" t="e">
        <f t="shared" ref="C30:G30" si="2">C25/C28*100</f>
        <v>#DIV/0!</v>
      </c>
      <c r="D30" s="3" t="e">
        <f t="shared" si="2"/>
        <v>#DIV/0!</v>
      </c>
      <c r="E30" s="3" t="e">
        <f t="shared" si="2"/>
        <v>#DIV/0!</v>
      </c>
      <c r="F30" s="3" t="e">
        <f t="shared" si="2"/>
        <v>#DIV/0!</v>
      </c>
      <c r="G30" s="3" t="e">
        <f t="shared" si="2"/>
        <v>#DIV/0!</v>
      </c>
    </row>
    <row r="31" spans="1:7" x14ac:dyDescent="0.3">
      <c r="A31" s="3" t="s">
        <v>34</v>
      </c>
      <c r="B31" s="3" t="e">
        <f>B26/B28*100</f>
        <v>#DIV/0!</v>
      </c>
      <c r="C31" s="3" t="e">
        <f t="shared" ref="C31:G31" si="3">C26/C28*100</f>
        <v>#DIV/0!</v>
      </c>
      <c r="D31" s="3" t="e">
        <f t="shared" si="3"/>
        <v>#DIV/0!</v>
      </c>
      <c r="E31" s="3" t="e">
        <f t="shared" si="3"/>
        <v>#DIV/0!</v>
      </c>
      <c r="F31" s="3" t="e">
        <f t="shared" si="3"/>
        <v>#DIV/0!</v>
      </c>
      <c r="G31" s="3" t="e">
        <f t="shared" si="3"/>
        <v>#DIV/0!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/>
      <c r="C33" s="3"/>
      <c r="D33" s="3"/>
      <c r="E33" s="3"/>
      <c r="F33" s="3"/>
      <c r="G33" s="3"/>
    </row>
    <row r="35" spans="1:7" x14ac:dyDescent="0.3">
      <c r="A35" s="3" t="s">
        <v>36</v>
      </c>
      <c r="B35" s="3"/>
      <c r="C35" s="3"/>
      <c r="D35" s="3">
        <f>D33-C33</f>
        <v>0</v>
      </c>
      <c r="E35" s="3"/>
      <c r="F35" s="3">
        <f>F33-E33</f>
        <v>0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0</v>
      </c>
      <c r="F37" s="3"/>
      <c r="G37" s="3">
        <f>G33-F33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240926Bttx001.2</vt:lpstr>
      <vt:lpstr>240926Bttx001.3</vt:lpstr>
      <vt:lpstr>240926Bttx002.2</vt:lpstr>
      <vt:lpstr>240926Bttx002.3</vt:lpstr>
      <vt:lpstr>240926Bttx002.4</vt:lpstr>
      <vt:lpstr>240926Bttx003.1</vt:lpstr>
      <vt:lpstr>240926Bttx003.2</vt:lpstr>
      <vt:lpstr>240926Bttx004.2</vt:lpstr>
      <vt:lpstr>240926Bttx004.3</vt:lpstr>
      <vt:lpstr>template (2)</vt:lpstr>
      <vt:lpstr>template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Walsh, Breanna M. (Medical Student)</dc:creator>
  <cp:lastModifiedBy>Walsh, Breanna M. (Medical Student)</cp:lastModifiedBy>
  <dcterms:created xsi:type="dcterms:W3CDTF">2025-01-01T19:37:09Z</dcterms:created>
  <dcterms:modified xsi:type="dcterms:W3CDTF">2025-01-04T22:42:54Z</dcterms:modified>
</cp:coreProperties>
</file>