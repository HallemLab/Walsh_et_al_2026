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1001 - Updated\WormLab Data\"/>
    </mc:Choice>
  </mc:AlternateContent>
  <xr:revisionPtr revIDLastSave="0" documentId="13_ncr:1_{0B16DA06-451F-4F96-873A-D4C308444BE2}" xr6:coauthVersionLast="47" xr6:coauthVersionMax="47" xr10:uidLastSave="{00000000-0000-0000-0000-000000000000}"/>
  <bookViews>
    <workbookView xWindow="564" yWindow="384" windowWidth="22404" windowHeight="12768" firstSheet="3" activeTab="7" xr2:uid="{09B3A63E-C165-4468-AEF0-68184B3E3211}"/>
  </bookViews>
  <sheets>
    <sheet name="241001Bttx002.1" sheetId="2" r:id="rId1"/>
    <sheet name="241001Bttx003.1" sheetId="3" r:id="rId2"/>
    <sheet name="241001Bttx003.2" sheetId="4" r:id="rId3"/>
    <sheet name="241001Bttx003.3" sheetId="5" r:id="rId4"/>
    <sheet name="241001Bttx003.4" sheetId="6" r:id="rId5"/>
    <sheet name="241001Bttx004.2" sheetId="7" r:id="rId6"/>
    <sheet name="241001Bttx004.3" sheetId="8" r:id="rId7"/>
    <sheet name="template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G31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G28" i="8"/>
  <c r="F28" i="8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G28" i="7"/>
  <c r="G30" i="7" s="1"/>
  <c r="F28" i="7"/>
  <c r="F30" i="7" s="1"/>
  <c r="E28" i="7"/>
  <c r="E30" i="7" s="1"/>
  <c r="D28" i="7"/>
  <c r="D29" i="7" s="1"/>
  <c r="C28" i="7"/>
  <c r="C29" i="7" s="1"/>
  <c r="B28" i="7"/>
  <c r="B31" i="7" s="1"/>
  <c r="G37" i="6"/>
  <c r="E37" i="6"/>
  <c r="C37" i="6"/>
  <c r="F35" i="6"/>
  <c r="D35" i="6"/>
  <c r="G28" i="6"/>
  <c r="G30" i="6" s="1"/>
  <c r="F28" i="6"/>
  <c r="F30" i="6" s="1"/>
  <c r="E28" i="6"/>
  <c r="E30" i="6" s="1"/>
  <c r="D28" i="6"/>
  <c r="D29" i="6" s="1"/>
  <c r="C28" i="6"/>
  <c r="C29" i="6" s="1"/>
  <c r="B28" i="6"/>
  <c r="B31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D31" i="4"/>
  <c r="C31" i="4"/>
  <c r="B31" i="4"/>
  <c r="G30" i="4"/>
  <c r="E30" i="4"/>
  <c r="D30" i="4"/>
  <c r="C30" i="4"/>
  <c r="B30" i="4"/>
  <c r="G29" i="4"/>
  <c r="E29" i="4"/>
  <c r="D29" i="4"/>
  <c r="G28" i="4"/>
  <c r="G31" i="4" s="1"/>
  <c r="F28" i="4"/>
  <c r="F29" i="4" s="1"/>
  <c r="E28" i="4"/>
  <c r="E31" i="4" s="1"/>
  <c r="D28" i="4"/>
  <c r="C28" i="4"/>
  <c r="C29" i="4" s="1"/>
  <c r="B28" i="4"/>
  <c r="B29" i="4" s="1"/>
  <c r="G37" i="3"/>
  <c r="E37" i="3"/>
  <c r="C37" i="3"/>
  <c r="F35" i="3"/>
  <c r="D35" i="3"/>
  <c r="G28" i="3"/>
  <c r="G30" i="3" s="1"/>
  <c r="F28" i="3"/>
  <c r="F31" i="3" s="1"/>
  <c r="E28" i="3"/>
  <c r="E31" i="3" s="1"/>
  <c r="D28" i="3"/>
  <c r="D30" i="3" s="1"/>
  <c r="C28" i="3"/>
  <c r="C31" i="3" s="1"/>
  <c r="B28" i="3"/>
  <c r="B31" i="3" s="1"/>
  <c r="G37" i="2"/>
  <c r="E37" i="2"/>
  <c r="C37" i="2"/>
  <c r="F35" i="2"/>
  <c r="D35" i="2"/>
  <c r="G28" i="2"/>
  <c r="G31" i="2" s="1"/>
  <c r="F28" i="2"/>
  <c r="F31" i="2" s="1"/>
  <c r="E28" i="2"/>
  <c r="E31" i="2" s="1"/>
  <c r="D28" i="2"/>
  <c r="D31" i="2" s="1"/>
  <c r="C28" i="2"/>
  <c r="C31" i="2" s="1"/>
  <c r="B28" i="2"/>
  <c r="B31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G28" i="1"/>
  <c r="F28" i="1"/>
  <c r="E28" i="1"/>
  <c r="D28" i="1"/>
  <c r="D29" i="1" s="1"/>
  <c r="C28" i="1"/>
  <c r="C29" i="1" s="1"/>
  <c r="B28" i="1"/>
  <c r="B29" i="1" s="1"/>
  <c r="B29" i="7" l="1"/>
  <c r="E29" i="7"/>
  <c r="F29" i="7"/>
  <c r="B30" i="7"/>
  <c r="E31" i="7"/>
  <c r="F31" i="7"/>
  <c r="G29" i="7"/>
  <c r="G31" i="7"/>
  <c r="C30" i="7"/>
  <c r="D30" i="7"/>
  <c r="C31" i="7"/>
  <c r="D31" i="7"/>
  <c r="B29" i="6"/>
  <c r="B30" i="6"/>
  <c r="E31" i="6"/>
  <c r="F31" i="6"/>
  <c r="G31" i="6"/>
  <c r="E29" i="6"/>
  <c r="F29" i="6"/>
  <c r="G29" i="6"/>
  <c r="C30" i="6"/>
  <c r="D30" i="6"/>
  <c r="C31" i="6"/>
  <c r="D31" i="6"/>
  <c r="F30" i="4"/>
  <c r="F31" i="4"/>
  <c r="D31" i="3"/>
  <c r="G31" i="3"/>
  <c r="B29" i="3"/>
  <c r="C29" i="3"/>
  <c r="D29" i="3"/>
  <c r="E29" i="3"/>
  <c r="F29" i="3"/>
  <c r="G29" i="3"/>
  <c r="B30" i="3"/>
  <c r="C30" i="3"/>
  <c r="E30" i="3"/>
  <c r="F30" i="3"/>
  <c r="E29" i="2"/>
  <c r="F29" i="2"/>
  <c r="E30" i="2"/>
  <c r="F30" i="2"/>
  <c r="B29" i="2"/>
  <c r="C29" i="2"/>
  <c r="D29" i="2"/>
  <c r="B30" i="2"/>
  <c r="C30" i="2"/>
  <c r="D30" i="2"/>
  <c r="G29" i="2"/>
  <c r="G30" i="2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<sst xmlns="http://schemas.openxmlformats.org/spreadsheetml/2006/main" count="304" uniqueCount="37">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</sst>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5587-0A28-4C1E-A3A4-6466970EC4CC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537.28</v>
      </c>
      <c r="C2" s="1">
        <v>519.38</v>
      </c>
      <c r="D2" s="1">
        <v>506.78</v>
      </c>
      <c r="E2" s="1">
        <v>540.03</v>
      </c>
      <c r="F2" s="1">
        <v>442.17</v>
      </c>
      <c r="G2" s="1">
        <v>550.33000000000004</v>
      </c>
    </row>
    <row r="3" spans="1:7" x14ac:dyDescent="0.3">
      <c r="A3" s="1" t="s">
        <v>7</v>
      </c>
      <c r="B3" s="1">
        <v>50.01</v>
      </c>
      <c r="C3" s="1">
        <v>54.01</v>
      </c>
      <c r="D3" s="1">
        <v>49.42</v>
      </c>
      <c r="E3" s="1">
        <v>51.47</v>
      </c>
      <c r="F3" s="1">
        <v>45.1</v>
      </c>
      <c r="G3" s="1">
        <v>51.38</v>
      </c>
    </row>
    <row r="4" spans="1:7" x14ac:dyDescent="0.3">
      <c r="A4" s="1" t="s">
        <v>8</v>
      </c>
      <c r="B4" s="1">
        <v>27432.12</v>
      </c>
      <c r="C4" s="1">
        <v>28593.25</v>
      </c>
      <c r="D4" s="1">
        <v>25504.97</v>
      </c>
      <c r="E4" s="1">
        <v>28268.46</v>
      </c>
      <c r="F4" s="1">
        <v>20293.59</v>
      </c>
      <c r="G4" s="1">
        <v>28763.52</v>
      </c>
    </row>
    <row r="5" spans="1:7" x14ac:dyDescent="0.3">
      <c r="A5" s="1" t="s">
        <v>9</v>
      </c>
      <c r="B5" s="1">
        <v>2085.66</v>
      </c>
      <c r="C5" s="1">
        <v>2316.11</v>
      </c>
      <c r="D5" s="1">
        <v>2520.31</v>
      </c>
      <c r="E5" s="1">
        <v>2107.81</v>
      </c>
      <c r="F5" s="1">
        <v>1740.72</v>
      </c>
      <c r="G5" s="1">
        <v>1371.44</v>
      </c>
    </row>
    <row r="6" spans="1:7" x14ac:dyDescent="0.3">
      <c r="A6" s="3" t="s">
        <v>10</v>
      </c>
      <c r="B6" s="3">
        <v>208.57</v>
      </c>
      <c r="C6" s="3">
        <v>233.95</v>
      </c>
      <c r="D6" s="3">
        <v>254.58</v>
      </c>
      <c r="E6" s="3">
        <v>212.91</v>
      </c>
      <c r="F6" s="3">
        <v>175.83</v>
      </c>
      <c r="G6" s="3">
        <v>139.94</v>
      </c>
    </row>
    <row r="7" spans="1:7" x14ac:dyDescent="0.3">
      <c r="A7" s="1" t="s">
        <v>11</v>
      </c>
      <c r="B7" s="1">
        <v>1965.02</v>
      </c>
      <c r="C7" s="1">
        <v>2151.25</v>
      </c>
      <c r="D7" s="1">
        <v>2395.4699999999998</v>
      </c>
      <c r="E7" s="1">
        <v>2059.65</v>
      </c>
      <c r="F7" s="1">
        <v>1670.19</v>
      </c>
      <c r="G7" s="1">
        <v>1295.52</v>
      </c>
    </row>
    <row r="8" spans="1:7" x14ac:dyDescent="0.3">
      <c r="A8" s="1" t="s">
        <v>12</v>
      </c>
      <c r="B8" s="1">
        <v>196.5</v>
      </c>
      <c r="C8" s="1">
        <v>217.3</v>
      </c>
      <c r="D8" s="1">
        <v>241.97</v>
      </c>
      <c r="E8" s="1">
        <v>208.05</v>
      </c>
      <c r="F8" s="1">
        <v>168.71</v>
      </c>
      <c r="G8" s="1">
        <v>132.19999999999999</v>
      </c>
    </row>
    <row r="9" spans="1:7" x14ac:dyDescent="0.3">
      <c r="A9" s="1" t="s">
        <v>13</v>
      </c>
      <c r="B9" s="1">
        <v>1499.36</v>
      </c>
      <c r="C9" s="1">
        <v>2145.0300000000002</v>
      </c>
      <c r="D9" s="1">
        <v>2395.4699999999998</v>
      </c>
      <c r="E9" s="1">
        <v>2059.65</v>
      </c>
      <c r="F9" s="1">
        <v>1622.25</v>
      </c>
      <c r="G9" s="1">
        <v>911.99</v>
      </c>
    </row>
    <row r="10" spans="1:7" x14ac:dyDescent="0.3">
      <c r="A10" s="1" t="s">
        <v>14</v>
      </c>
      <c r="B10" s="1">
        <v>149.94</v>
      </c>
      <c r="C10" s="1">
        <v>216.67</v>
      </c>
      <c r="D10" s="1">
        <v>241.97</v>
      </c>
      <c r="E10" s="1">
        <v>208.05</v>
      </c>
      <c r="F10" s="1">
        <v>163.86</v>
      </c>
      <c r="G10" s="1">
        <v>93.06</v>
      </c>
    </row>
    <row r="11" spans="1:7" x14ac:dyDescent="0.3">
      <c r="A11" s="1" t="s">
        <v>15</v>
      </c>
      <c r="B11" s="1">
        <v>141.81</v>
      </c>
      <c r="C11" s="1">
        <v>1556.48</v>
      </c>
      <c r="D11" s="1">
        <v>1607.63</v>
      </c>
      <c r="E11" s="1">
        <v>1897.21</v>
      </c>
      <c r="F11" s="1">
        <v>1515.38</v>
      </c>
      <c r="G11" s="1">
        <v>516.1</v>
      </c>
    </row>
    <row r="12" spans="1:7" x14ac:dyDescent="0.3">
      <c r="A12" s="1" t="s">
        <v>16</v>
      </c>
      <c r="B12" s="1">
        <v>249.22</v>
      </c>
      <c r="C12" s="1">
        <v>266.64</v>
      </c>
      <c r="D12" s="1">
        <v>270.58</v>
      </c>
      <c r="E12" s="1">
        <v>300.25</v>
      </c>
      <c r="F12" s="1">
        <v>260.98</v>
      </c>
      <c r="G12" s="1">
        <v>274.32</v>
      </c>
    </row>
    <row r="13" spans="1:7" x14ac:dyDescent="0.3">
      <c r="A13" s="1" t="s">
        <v>17</v>
      </c>
      <c r="B13" s="1">
        <v>47.08</v>
      </c>
      <c r="C13" s="1">
        <v>40.1</v>
      </c>
      <c r="D13" s="1">
        <v>28.92</v>
      </c>
      <c r="E13" s="1">
        <v>22.95</v>
      </c>
      <c r="F13" s="1">
        <v>18.28</v>
      </c>
      <c r="G13" s="1">
        <v>30.22</v>
      </c>
    </row>
    <row r="14" spans="1:7" x14ac:dyDescent="0.3">
      <c r="A14" s="1" t="s">
        <v>18</v>
      </c>
      <c r="B14" s="1">
        <v>101.7</v>
      </c>
      <c r="C14" s="1">
        <v>97.97</v>
      </c>
      <c r="D14" s="1">
        <v>68.08</v>
      </c>
      <c r="E14" s="1">
        <v>64.319999999999993</v>
      </c>
      <c r="F14" s="1">
        <v>37.6</v>
      </c>
      <c r="G14" s="1">
        <v>110.84</v>
      </c>
    </row>
    <row r="15" spans="1:7" x14ac:dyDescent="0.3">
      <c r="A15" s="1" t="s">
        <v>19</v>
      </c>
      <c r="B15" s="1">
        <v>5</v>
      </c>
      <c r="C15" s="1">
        <v>9</v>
      </c>
      <c r="D15" s="1">
        <v>7</v>
      </c>
      <c r="E15" s="1">
        <v>4</v>
      </c>
      <c r="F15" s="1">
        <v>5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1732.19</v>
      </c>
      <c r="C17" s="1">
        <v>2148.14</v>
      </c>
      <c r="D17" s="1">
        <v>2395.4699999999998</v>
      </c>
      <c r="E17" s="1">
        <v>2059.65</v>
      </c>
      <c r="F17" s="1">
        <v>1646.22</v>
      </c>
      <c r="G17" s="1">
        <v>1103.76</v>
      </c>
    </row>
    <row r="18" spans="1:7" x14ac:dyDescent="0.3">
      <c r="A18" s="1" t="s">
        <v>22</v>
      </c>
      <c r="B18" s="1">
        <v>232.83</v>
      </c>
      <c r="C18" s="1">
        <v>3.11</v>
      </c>
      <c r="D18" s="1">
        <v>0</v>
      </c>
      <c r="E18" s="1">
        <v>0</v>
      </c>
      <c r="F18" s="1">
        <v>23.97</v>
      </c>
      <c r="G18" s="1">
        <v>191.76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2.1</v>
      </c>
      <c r="C20" s="1">
        <v>0</v>
      </c>
      <c r="D20" s="1">
        <v>0</v>
      </c>
      <c r="E20" s="1">
        <v>0</v>
      </c>
      <c r="F20" s="1">
        <v>0</v>
      </c>
      <c r="G20" s="1">
        <v>3.2</v>
      </c>
    </row>
    <row r="21" spans="1:7" x14ac:dyDescent="0.3">
      <c r="A21" s="1" t="s">
        <v>25</v>
      </c>
      <c r="B21" s="1">
        <v>8</v>
      </c>
      <c r="C21" s="1">
        <v>10</v>
      </c>
      <c r="D21" s="1">
        <v>10</v>
      </c>
      <c r="E21" s="1">
        <v>10</v>
      </c>
      <c r="F21" s="1">
        <v>10</v>
      </c>
      <c r="G21" s="1">
        <v>6.7</v>
      </c>
    </row>
    <row r="22" spans="1:7" x14ac:dyDescent="0.3">
      <c r="A22" s="1" t="s">
        <v>26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2.4</v>
      </c>
      <c r="C23" s="1">
        <v>0</v>
      </c>
      <c r="D23" s="1">
        <v>0</v>
      </c>
      <c r="E23" s="1">
        <v>0</v>
      </c>
      <c r="F23" s="1">
        <v>0</v>
      </c>
      <c r="G23" s="1">
        <v>1.2</v>
      </c>
    </row>
    <row r="24" spans="1:7" x14ac:dyDescent="0.3">
      <c r="A24" s="1" t="s">
        <v>28</v>
      </c>
      <c r="B24" s="1">
        <v>3.3</v>
      </c>
      <c r="C24" s="1">
        <v>0</v>
      </c>
      <c r="D24" s="1">
        <v>0</v>
      </c>
      <c r="E24" s="1">
        <v>0</v>
      </c>
      <c r="F24" s="1">
        <v>0</v>
      </c>
      <c r="G24" s="1">
        <v>2.2999999999999998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</row>
    <row r="26" spans="1:7" x14ac:dyDescent="0.3">
      <c r="A26" s="1" t="s">
        <v>30</v>
      </c>
      <c r="B26" s="1">
        <v>6.8</v>
      </c>
      <c r="C26" s="1">
        <v>10</v>
      </c>
      <c r="D26" s="1">
        <v>10</v>
      </c>
      <c r="E26" s="1">
        <v>10</v>
      </c>
      <c r="F26" s="1">
        <v>10</v>
      </c>
      <c r="G26" s="1">
        <v>6.6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3">
      <c r="A29" s="3" t="s">
        <v>32</v>
      </c>
      <c r="B29" s="3">
        <f>B24/B28*100</f>
        <v>32.673267326732677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23.232323232323235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10.101010101010102</v>
      </c>
    </row>
    <row r="31" spans="1:7" x14ac:dyDescent="0.3">
      <c r="A31" s="3" t="s">
        <v>34</v>
      </c>
      <c r="B31" s="3">
        <f>B26/B28*100</f>
        <v>67.32673267326733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66.666666666666671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155.77000000000001</v>
      </c>
      <c r="C33" s="3">
        <v>227.22</v>
      </c>
      <c r="D33" s="3">
        <v>251.97</v>
      </c>
      <c r="E33" s="3">
        <v>209.57</v>
      </c>
      <c r="F33" s="3">
        <v>170.19</v>
      </c>
      <c r="G33" s="3">
        <v>65.09</v>
      </c>
    </row>
    <row r="35" spans="1:7" x14ac:dyDescent="0.3">
      <c r="A35" s="3" t="s">
        <v>36</v>
      </c>
      <c r="B35" s="3"/>
      <c r="C35" s="3"/>
      <c r="D35" s="3">
        <f>D33-C33</f>
        <v>24.75</v>
      </c>
      <c r="E35" s="3"/>
      <c r="F35" s="3">
        <f>F33-E33</f>
        <v>-39.379999999999995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-42.400000000000006</v>
      </c>
      <c r="F37" s="3"/>
      <c r="G37" s="3">
        <f>G33-F33</f>
        <v>-105.1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378D-920A-4589-A7B9-C353AA58ED93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439.65</v>
      </c>
      <c r="C2" s="1">
        <v>444.72</v>
      </c>
      <c r="D2" s="1">
        <v>443.52</v>
      </c>
      <c r="E2" s="1">
        <v>504.78</v>
      </c>
      <c r="F2" s="1">
        <v>509.69</v>
      </c>
      <c r="G2" s="1">
        <v>479.55</v>
      </c>
    </row>
    <row r="3" spans="1:7" x14ac:dyDescent="0.3">
      <c r="A3" s="1" t="s">
        <v>7</v>
      </c>
      <c r="B3" s="1">
        <v>42.47</v>
      </c>
      <c r="C3" s="1">
        <v>40.35</v>
      </c>
      <c r="D3" s="1">
        <v>40.869999999999997</v>
      </c>
      <c r="E3" s="1">
        <v>53.55</v>
      </c>
      <c r="F3" s="1">
        <v>56.1</v>
      </c>
      <c r="G3" s="1">
        <v>50.34</v>
      </c>
    </row>
    <row r="4" spans="1:7" x14ac:dyDescent="0.3">
      <c r="A4" s="1" t="s">
        <v>8</v>
      </c>
      <c r="B4" s="1">
        <v>19006.97</v>
      </c>
      <c r="C4" s="1">
        <v>18217.669999999998</v>
      </c>
      <c r="D4" s="1">
        <v>18512.37</v>
      </c>
      <c r="E4" s="1">
        <v>27476.05</v>
      </c>
      <c r="F4" s="1">
        <v>29108.16</v>
      </c>
      <c r="G4" s="1">
        <v>24610.14</v>
      </c>
    </row>
    <row r="5" spans="1:7" x14ac:dyDescent="0.3">
      <c r="A5" s="1" t="s">
        <v>9</v>
      </c>
      <c r="B5" s="1">
        <v>1855.65</v>
      </c>
      <c r="C5" s="1">
        <v>2263.2399999999998</v>
      </c>
      <c r="D5" s="1">
        <v>2197.44</v>
      </c>
      <c r="E5" s="1">
        <v>1309.69</v>
      </c>
      <c r="F5" s="1">
        <v>884.77</v>
      </c>
      <c r="G5" s="1">
        <v>1227.8499999999999</v>
      </c>
    </row>
    <row r="6" spans="1:7" x14ac:dyDescent="0.3">
      <c r="A6" s="3" t="s">
        <v>10</v>
      </c>
      <c r="B6" s="3">
        <v>185.56</v>
      </c>
      <c r="C6" s="3">
        <v>228.61</v>
      </c>
      <c r="D6" s="3">
        <v>221.96</v>
      </c>
      <c r="E6" s="3">
        <v>132.29</v>
      </c>
      <c r="F6" s="3">
        <v>89.37</v>
      </c>
      <c r="G6" s="3">
        <v>125.29</v>
      </c>
    </row>
    <row r="7" spans="1:7" x14ac:dyDescent="0.3">
      <c r="A7" s="1" t="s">
        <v>11</v>
      </c>
      <c r="B7" s="1">
        <v>1605.05</v>
      </c>
      <c r="C7" s="1">
        <v>2088.37</v>
      </c>
      <c r="D7" s="1">
        <v>2064.34</v>
      </c>
      <c r="E7" s="1">
        <v>1231.1400000000001</v>
      </c>
      <c r="F7" s="1">
        <v>763.43</v>
      </c>
      <c r="G7" s="1">
        <v>1069.78</v>
      </c>
    </row>
    <row r="8" spans="1:7" x14ac:dyDescent="0.3">
      <c r="A8" s="1" t="s">
        <v>12</v>
      </c>
      <c r="B8" s="1">
        <v>160.5</v>
      </c>
      <c r="C8" s="1">
        <v>210.95</v>
      </c>
      <c r="D8" s="1">
        <v>208.52</v>
      </c>
      <c r="E8" s="1">
        <v>124.36</v>
      </c>
      <c r="F8" s="1">
        <v>77.11</v>
      </c>
      <c r="G8" s="1">
        <v>109.16</v>
      </c>
    </row>
    <row r="9" spans="1:7" x14ac:dyDescent="0.3">
      <c r="A9" s="1" t="s">
        <v>13</v>
      </c>
      <c r="B9" s="1">
        <v>1553.6</v>
      </c>
      <c r="C9" s="1">
        <v>2088.37</v>
      </c>
      <c r="D9" s="1">
        <v>1983.62</v>
      </c>
      <c r="E9" s="1">
        <v>1165.3</v>
      </c>
      <c r="F9" s="1">
        <v>-263.04000000000002</v>
      </c>
      <c r="G9" s="1">
        <v>920.62</v>
      </c>
    </row>
    <row r="10" spans="1:7" x14ac:dyDescent="0.3">
      <c r="A10" s="1" t="s">
        <v>14</v>
      </c>
      <c r="B10" s="1">
        <v>155.36000000000001</v>
      </c>
      <c r="C10" s="1">
        <v>210.95</v>
      </c>
      <c r="D10" s="1">
        <v>200.37</v>
      </c>
      <c r="E10" s="1">
        <v>117.71</v>
      </c>
      <c r="F10" s="1">
        <v>-26.57</v>
      </c>
      <c r="G10" s="1">
        <v>93.94</v>
      </c>
    </row>
    <row r="11" spans="1:7" x14ac:dyDescent="0.3">
      <c r="A11" s="1" t="s">
        <v>15</v>
      </c>
      <c r="B11" s="1">
        <v>1403.86</v>
      </c>
      <c r="C11" s="1">
        <v>1551.05</v>
      </c>
      <c r="D11" s="1">
        <v>1753.19</v>
      </c>
      <c r="E11" s="1">
        <v>696.12</v>
      </c>
      <c r="F11" s="1">
        <v>234.12</v>
      </c>
      <c r="G11" s="1">
        <v>685.57</v>
      </c>
    </row>
    <row r="12" spans="1:7" x14ac:dyDescent="0.3">
      <c r="A12" s="1" t="s">
        <v>16</v>
      </c>
      <c r="B12" s="1">
        <v>216.92</v>
      </c>
      <c r="C12" s="1">
        <v>243.81</v>
      </c>
      <c r="D12" s="1">
        <v>246.36</v>
      </c>
      <c r="E12" s="1">
        <v>253.38</v>
      </c>
      <c r="F12" s="1">
        <v>233.3</v>
      </c>
      <c r="G12" s="1">
        <v>209.78</v>
      </c>
    </row>
    <row r="13" spans="1:7" x14ac:dyDescent="0.3">
      <c r="A13" s="1" t="s">
        <v>17</v>
      </c>
      <c r="B13" s="1">
        <v>34.33</v>
      </c>
      <c r="C13" s="1">
        <v>33.79</v>
      </c>
      <c r="D13" s="1">
        <v>31.78</v>
      </c>
      <c r="E13" s="1">
        <v>29.13</v>
      </c>
      <c r="F13" s="1">
        <v>44.05</v>
      </c>
      <c r="G13" s="1">
        <v>39.9</v>
      </c>
    </row>
    <row r="14" spans="1:7" x14ac:dyDescent="0.3">
      <c r="A14" s="1" t="s">
        <v>18</v>
      </c>
      <c r="B14" s="1">
        <v>79.31</v>
      </c>
      <c r="C14" s="1">
        <v>87.8</v>
      </c>
      <c r="D14" s="1">
        <v>79.88</v>
      </c>
      <c r="E14" s="1">
        <v>106.63</v>
      </c>
      <c r="F14" s="1">
        <v>102.82</v>
      </c>
      <c r="G14" s="1">
        <v>105.42</v>
      </c>
    </row>
    <row r="15" spans="1:7" x14ac:dyDescent="0.3">
      <c r="A15" s="1" t="s">
        <v>19</v>
      </c>
      <c r="B15" s="1">
        <v>9</v>
      </c>
      <c r="C15" s="1">
        <v>8</v>
      </c>
      <c r="D15" s="1">
        <v>6</v>
      </c>
      <c r="E15" s="1">
        <v>5</v>
      </c>
      <c r="F15" s="1">
        <v>2</v>
      </c>
      <c r="G15" s="1">
        <v>7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1579.32</v>
      </c>
      <c r="C17" s="1">
        <v>2088.37</v>
      </c>
      <c r="D17" s="1">
        <v>2023.98</v>
      </c>
      <c r="E17" s="1">
        <v>1198.22</v>
      </c>
      <c r="F17" s="1">
        <v>250.2</v>
      </c>
      <c r="G17" s="1">
        <v>995.2</v>
      </c>
    </row>
    <row r="18" spans="1:7" x14ac:dyDescent="0.3">
      <c r="A18" s="1" t="s">
        <v>22</v>
      </c>
      <c r="B18" s="1">
        <v>25.72</v>
      </c>
      <c r="C18" s="1">
        <v>0</v>
      </c>
      <c r="D18" s="1">
        <v>40.36</v>
      </c>
      <c r="E18" s="1">
        <v>32.92</v>
      </c>
      <c r="F18" s="1">
        <v>513.24</v>
      </c>
      <c r="G18" s="1">
        <v>74.58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1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5.2</v>
      </c>
      <c r="G20" s="1">
        <v>1.9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4.8</v>
      </c>
      <c r="G21" s="1">
        <v>8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1.5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1.2</v>
      </c>
      <c r="F25" s="1">
        <v>4.9000000000000004</v>
      </c>
      <c r="G25" s="1">
        <v>2.7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8.8000000000000007</v>
      </c>
      <c r="F26" s="1">
        <v>2</v>
      </c>
      <c r="G26" s="1">
        <v>7.2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31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12</v>
      </c>
      <c r="F30" s="3">
        <f t="shared" si="2"/>
        <v>49.000000000000007</v>
      </c>
      <c r="G30" s="3">
        <f t="shared" si="2"/>
        <v>27.272727272727277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88.000000000000014</v>
      </c>
      <c r="F31" s="3">
        <f t="shared" si="3"/>
        <v>20</v>
      </c>
      <c r="G31" s="3">
        <f t="shared" si="3"/>
        <v>72.727272727272734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176.61</v>
      </c>
      <c r="C33" s="3">
        <v>226.58</v>
      </c>
      <c r="D33" s="3">
        <v>211.6</v>
      </c>
      <c r="E33" s="3">
        <v>117.68</v>
      </c>
      <c r="F33" s="3">
        <v>-26.12</v>
      </c>
      <c r="G33" s="3">
        <v>85.65</v>
      </c>
    </row>
    <row r="35" spans="1:7" x14ac:dyDescent="0.3">
      <c r="A35" s="3" t="s">
        <v>36</v>
      </c>
      <c r="B35" s="3"/>
      <c r="C35" s="3"/>
      <c r="D35" s="3">
        <f>D33-C33</f>
        <v>-14.980000000000018</v>
      </c>
      <c r="E35" s="3"/>
      <c r="F35" s="3">
        <f>F33-E33</f>
        <v>-143.80000000000001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-93.919999999999987</v>
      </c>
      <c r="F37" s="3"/>
      <c r="G37" s="3">
        <f>G33-F33</f>
        <v>111.77000000000001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EBEC-FCED-49E3-9564-A0B20C0D848C}">
  <dimension ref="A1:G37"/>
  <sheetViews>
    <sheetView zoomScale="70" zoomScaleNormal="70" workbookViewId="0">
      <selection activeCell="E41" sqref="E4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449.03</v>
      </c>
      <c r="C2" s="1">
        <v>400.63</v>
      </c>
      <c r="D2" s="1">
        <v>449.89</v>
      </c>
      <c r="E2" s="1">
        <v>409.81</v>
      </c>
      <c r="F2" s="1">
        <v>435.43</v>
      </c>
      <c r="G2" s="1">
        <v>479.32</v>
      </c>
    </row>
    <row r="3" spans="1:7" x14ac:dyDescent="0.3">
      <c r="A3" s="1" t="s">
        <v>7</v>
      </c>
      <c r="B3" s="1">
        <v>48.43</v>
      </c>
      <c r="C3" s="1">
        <v>42.44</v>
      </c>
      <c r="D3" s="1">
        <v>43.36</v>
      </c>
      <c r="E3" s="1">
        <v>41.23</v>
      </c>
      <c r="F3" s="1">
        <v>40.4</v>
      </c>
      <c r="G3" s="1">
        <v>44.01</v>
      </c>
    </row>
    <row r="4" spans="1:7" x14ac:dyDescent="0.3">
      <c r="A4" s="1" t="s">
        <v>8</v>
      </c>
      <c r="B4" s="1">
        <v>22170.98</v>
      </c>
      <c r="C4" s="1">
        <v>17256.14</v>
      </c>
      <c r="D4" s="1">
        <v>19800.330000000002</v>
      </c>
      <c r="E4" s="1">
        <v>17199.02</v>
      </c>
      <c r="F4" s="1">
        <v>17891.21</v>
      </c>
      <c r="G4" s="1">
        <v>21488.02</v>
      </c>
    </row>
    <row r="5" spans="1:7" x14ac:dyDescent="0.3">
      <c r="A5" s="1" t="s">
        <v>9</v>
      </c>
      <c r="B5" s="1">
        <v>907.34</v>
      </c>
      <c r="C5" s="1">
        <v>977.96</v>
      </c>
      <c r="D5" s="1">
        <v>2041.22</v>
      </c>
      <c r="E5" s="1">
        <v>1306.3399999999999</v>
      </c>
      <c r="F5" s="1">
        <v>1133.02</v>
      </c>
      <c r="G5" s="1">
        <v>753.49</v>
      </c>
    </row>
    <row r="6" spans="1:7" x14ac:dyDescent="0.3">
      <c r="A6" s="3" t="s">
        <v>10</v>
      </c>
      <c r="B6" s="3">
        <v>90.73</v>
      </c>
      <c r="C6" s="3">
        <v>98.78</v>
      </c>
      <c r="D6" s="3">
        <v>206.18</v>
      </c>
      <c r="E6" s="3">
        <v>131.94999999999999</v>
      </c>
      <c r="F6" s="3">
        <v>114.45</v>
      </c>
      <c r="G6" s="3">
        <v>76.89</v>
      </c>
    </row>
    <row r="7" spans="1:7" x14ac:dyDescent="0.3">
      <c r="A7" s="1" t="s">
        <v>11</v>
      </c>
      <c r="B7" s="1">
        <v>703.79</v>
      </c>
      <c r="C7" s="1">
        <v>860.48</v>
      </c>
      <c r="D7" s="1">
        <v>1901</v>
      </c>
      <c r="E7" s="1">
        <v>1175.6199999999999</v>
      </c>
      <c r="F7" s="1">
        <v>954.65</v>
      </c>
      <c r="G7" s="1">
        <v>688.32</v>
      </c>
    </row>
    <row r="8" spans="1:7" x14ac:dyDescent="0.3">
      <c r="A8" s="1" t="s">
        <v>12</v>
      </c>
      <c r="B8" s="1">
        <v>70.38</v>
      </c>
      <c r="C8" s="1">
        <v>86.92</v>
      </c>
      <c r="D8" s="1">
        <v>192.02</v>
      </c>
      <c r="E8" s="1">
        <v>118.75</v>
      </c>
      <c r="F8" s="1">
        <v>96.43</v>
      </c>
      <c r="G8" s="1">
        <v>70.239999999999995</v>
      </c>
    </row>
    <row r="9" spans="1:7" x14ac:dyDescent="0.3">
      <c r="A9" s="1" t="s">
        <v>13</v>
      </c>
      <c r="B9" s="1">
        <v>294.44</v>
      </c>
      <c r="C9" s="1">
        <v>591.59</v>
      </c>
      <c r="D9" s="1">
        <v>1901</v>
      </c>
      <c r="E9" s="1">
        <v>-525.13</v>
      </c>
      <c r="F9" s="1">
        <v>-818.25</v>
      </c>
      <c r="G9" s="1">
        <v>-602.54999999999995</v>
      </c>
    </row>
    <row r="10" spans="1:7" x14ac:dyDescent="0.3">
      <c r="A10" s="1" t="s">
        <v>14</v>
      </c>
      <c r="B10" s="1">
        <v>29.44</v>
      </c>
      <c r="C10" s="1">
        <v>59.76</v>
      </c>
      <c r="D10" s="1">
        <v>192.02</v>
      </c>
      <c r="E10" s="1">
        <v>-53.04</v>
      </c>
      <c r="F10" s="1">
        <v>-82.65</v>
      </c>
      <c r="G10" s="1">
        <v>-61.48</v>
      </c>
    </row>
    <row r="11" spans="1:7" x14ac:dyDescent="0.3">
      <c r="A11" s="1" t="s">
        <v>15</v>
      </c>
      <c r="B11" s="1">
        <v>186.4</v>
      </c>
      <c r="C11" s="1">
        <v>270.86</v>
      </c>
      <c r="D11" s="1">
        <v>942.29</v>
      </c>
      <c r="E11" s="1">
        <v>357.69</v>
      </c>
      <c r="F11" s="1">
        <v>447.04</v>
      </c>
      <c r="G11" s="1">
        <v>271.3</v>
      </c>
    </row>
    <row r="12" spans="1:7" x14ac:dyDescent="0.3">
      <c r="A12" s="1" t="s">
        <v>16</v>
      </c>
      <c r="B12" s="1">
        <v>162.62</v>
      </c>
      <c r="C12" s="1">
        <v>148.71</v>
      </c>
      <c r="D12" s="1">
        <v>263.49</v>
      </c>
      <c r="E12" s="1">
        <v>175.21</v>
      </c>
      <c r="F12" s="1">
        <v>188.92</v>
      </c>
      <c r="G12" s="1">
        <v>168.47</v>
      </c>
    </row>
    <row r="13" spans="1:7" x14ac:dyDescent="0.3">
      <c r="A13" s="1" t="s">
        <v>17</v>
      </c>
      <c r="B13" s="1">
        <v>56.32</v>
      </c>
      <c r="C13" s="1">
        <v>46.61</v>
      </c>
      <c r="D13" s="1">
        <v>43.29</v>
      </c>
      <c r="E13" s="1">
        <v>37.96</v>
      </c>
      <c r="F13" s="1">
        <v>51.47</v>
      </c>
      <c r="G13" s="1">
        <v>53.8</v>
      </c>
    </row>
    <row r="14" spans="1:7" x14ac:dyDescent="0.3">
      <c r="A14" s="1" t="s">
        <v>18</v>
      </c>
      <c r="B14" s="1">
        <v>85.44</v>
      </c>
      <c r="C14" s="1">
        <v>76.31</v>
      </c>
      <c r="D14" s="1">
        <v>84.26</v>
      </c>
      <c r="E14" s="1">
        <v>96.25</v>
      </c>
      <c r="F14" s="1">
        <v>88.07</v>
      </c>
      <c r="G14" s="1">
        <v>94.77</v>
      </c>
    </row>
    <row r="15" spans="1:7" x14ac:dyDescent="0.3">
      <c r="A15" s="1" t="s">
        <v>19</v>
      </c>
      <c r="B15" s="1">
        <v>5</v>
      </c>
      <c r="C15" s="1">
        <v>8</v>
      </c>
      <c r="D15" s="1">
        <v>8</v>
      </c>
      <c r="E15" s="1">
        <v>5</v>
      </c>
      <c r="F15" s="1">
        <v>5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499.12</v>
      </c>
      <c r="C17" s="1">
        <v>726.03</v>
      </c>
      <c r="D17" s="1">
        <v>1901</v>
      </c>
      <c r="E17" s="1">
        <v>325.25</v>
      </c>
      <c r="F17" s="1">
        <v>68.2</v>
      </c>
      <c r="G17" s="1">
        <v>42.88</v>
      </c>
    </row>
    <row r="18" spans="1:7" x14ac:dyDescent="0.3">
      <c r="A18" s="1" t="s">
        <v>22</v>
      </c>
      <c r="B18" s="1">
        <v>204.67</v>
      </c>
      <c r="C18" s="1">
        <v>134.44</v>
      </c>
      <c r="D18" s="1">
        <v>0</v>
      </c>
      <c r="E18" s="1">
        <v>850.38</v>
      </c>
      <c r="F18" s="1">
        <v>886.45</v>
      </c>
      <c r="G18" s="1">
        <v>645.44000000000005</v>
      </c>
    </row>
    <row r="19" spans="1:7" x14ac:dyDescent="0.3">
      <c r="A19" s="1" t="s">
        <v>23</v>
      </c>
      <c r="B19" s="1">
        <v>2</v>
      </c>
      <c r="C19" s="1">
        <v>1</v>
      </c>
      <c r="D19" s="1">
        <v>0</v>
      </c>
      <c r="E19" s="1">
        <v>3</v>
      </c>
      <c r="F19" s="1">
        <v>3</v>
      </c>
      <c r="G19" s="1">
        <v>2</v>
      </c>
    </row>
    <row r="20" spans="1:7" x14ac:dyDescent="0.3">
      <c r="A20" s="1" t="s">
        <v>24</v>
      </c>
      <c r="B20" s="1">
        <v>4.5999999999999996</v>
      </c>
      <c r="C20" s="1">
        <v>1.2</v>
      </c>
      <c r="D20" s="1">
        <v>0</v>
      </c>
      <c r="E20" s="1">
        <v>6.8</v>
      </c>
      <c r="F20" s="1">
        <v>7.6</v>
      </c>
      <c r="G20" s="1">
        <v>8.8000000000000007</v>
      </c>
    </row>
    <row r="21" spans="1:7" x14ac:dyDescent="0.3">
      <c r="A21" s="1" t="s">
        <v>25</v>
      </c>
      <c r="B21" s="1">
        <v>5.5</v>
      </c>
      <c r="C21" s="1">
        <v>8.8000000000000007</v>
      </c>
      <c r="D21" s="1">
        <v>10</v>
      </c>
      <c r="E21" s="1">
        <v>3.2</v>
      </c>
      <c r="F21" s="1">
        <v>2.4</v>
      </c>
      <c r="G21" s="1">
        <v>1.1000000000000001</v>
      </c>
    </row>
    <row r="22" spans="1:7" x14ac:dyDescent="0.3">
      <c r="A22" s="1" t="s">
        <v>26</v>
      </c>
      <c r="B22" s="1">
        <v>1</v>
      </c>
      <c r="C22" s="1">
        <v>1</v>
      </c>
      <c r="D22" s="1">
        <v>0</v>
      </c>
      <c r="E22" s="1">
        <v>1</v>
      </c>
      <c r="F22" s="1">
        <v>2</v>
      </c>
      <c r="G22" s="1">
        <v>1</v>
      </c>
    </row>
    <row r="23" spans="1:7" x14ac:dyDescent="0.3">
      <c r="A23" s="1" t="s">
        <v>27</v>
      </c>
      <c r="B23" s="1">
        <v>3</v>
      </c>
      <c r="C23" s="1">
        <v>1.7</v>
      </c>
      <c r="D23" s="1">
        <v>0</v>
      </c>
      <c r="E23" s="1">
        <v>2.9</v>
      </c>
      <c r="F23" s="1">
        <v>2.9</v>
      </c>
      <c r="G23" s="1">
        <v>1.2</v>
      </c>
    </row>
    <row r="24" spans="1:7" x14ac:dyDescent="0.3">
      <c r="A24" s="1" t="s">
        <v>28</v>
      </c>
      <c r="B24" s="1">
        <v>1.9</v>
      </c>
      <c r="C24" s="1">
        <v>0</v>
      </c>
      <c r="D24" s="1">
        <v>0</v>
      </c>
      <c r="E24" s="1">
        <v>6.8</v>
      </c>
      <c r="F24" s="1">
        <v>6.5</v>
      </c>
      <c r="G24" s="1">
        <v>7.9</v>
      </c>
    </row>
    <row r="25" spans="1:7" x14ac:dyDescent="0.3">
      <c r="A25" s="1" t="s">
        <v>29</v>
      </c>
      <c r="B25" s="1">
        <v>4.7</v>
      </c>
      <c r="C25" s="1">
        <v>3.4</v>
      </c>
      <c r="D25" s="1">
        <v>0</v>
      </c>
      <c r="E25" s="1">
        <v>2.1</v>
      </c>
      <c r="F25" s="1">
        <v>3.5</v>
      </c>
      <c r="G25" s="1">
        <v>2</v>
      </c>
    </row>
    <row r="26" spans="1:7" x14ac:dyDescent="0.3">
      <c r="A26" s="1" t="s">
        <v>30</v>
      </c>
      <c r="B26" s="1">
        <v>3.5</v>
      </c>
      <c r="C26" s="1">
        <v>6.6</v>
      </c>
      <c r="D26" s="1">
        <v>10</v>
      </c>
      <c r="E26" s="1">
        <v>1.1000000000000001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18.811881188118811</v>
      </c>
      <c r="C29" s="3">
        <f t="shared" ref="C29:G29" si="1">C24/C28*100</f>
        <v>0</v>
      </c>
      <c r="D29" s="3">
        <f t="shared" si="1"/>
        <v>0</v>
      </c>
      <c r="E29" s="3">
        <f t="shared" si="1"/>
        <v>68</v>
      </c>
      <c r="F29" s="3">
        <f t="shared" si="1"/>
        <v>65</v>
      </c>
      <c r="G29" s="3">
        <f t="shared" si="1"/>
        <v>79.797979797979806</v>
      </c>
    </row>
    <row r="30" spans="1:7" x14ac:dyDescent="0.3">
      <c r="A30" s="3" t="s">
        <v>33</v>
      </c>
      <c r="B30" s="3">
        <f>B25/B28*100</f>
        <v>46.534653465346537</v>
      </c>
      <c r="C30" s="3">
        <f t="shared" ref="C30:G30" si="2">C25/C28*100</f>
        <v>34</v>
      </c>
      <c r="D30" s="3">
        <f t="shared" si="2"/>
        <v>0</v>
      </c>
      <c r="E30" s="3">
        <f t="shared" si="2"/>
        <v>21.000000000000004</v>
      </c>
      <c r="F30" s="3">
        <f t="shared" si="2"/>
        <v>35</v>
      </c>
      <c r="G30" s="3">
        <f t="shared" si="2"/>
        <v>20.202020202020201</v>
      </c>
    </row>
    <row r="31" spans="1:7" x14ac:dyDescent="0.3">
      <c r="A31" s="3" t="s">
        <v>34</v>
      </c>
      <c r="B31" s="3">
        <f>B26/B28*100</f>
        <v>34.653465346534659</v>
      </c>
      <c r="C31" s="3">
        <f t="shared" ref="C31:G31" si="3">C26/C28*100</f>
        <v>65.999999999999986</v>
      </c>
      <c r="D31" s="3">
        <f t="shared" si="3"/>
        <v>100</v>
      </c>
      <c r="E31" s="3">
        <f t="shared" si="3"/>
        <v>11.000000000000002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10.93</v>
      </c>
      <c r="C33" s="3">
        <v>61.37</v>
      </c>
      <c r="D33" s="3">
        <v>195.64</v>
      </c>
      <c r="E33" s="3">
        <v>-61.01</v>
      </c>
      <c r="F33" s="3">
        <v>-94.28</v>
      </c>
      <c r="G33" s="3">
        <v>-64.31</v>
      </c>
    </row>
    <row r="35" spans="1:7" x14ac:dyDescent="0.3">
      <c r="A35" s="3" t="s">
        <v>36</v>
      </c>
      <c r="B35" s="3"/>
      <c r="C35" s="3"/>
      <c r="D35" s="3">
        <f>D33-C33</f>
        <v>134.26999999999998</v>
      </c>
      <c r="E35" s="3"/>
      <c r="F35" s="3">
        <f>F33-E33</f>
        <v>-33.270000000000003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-256.64999999999998</v>
      </c>
      <c r="F37" s="3"/>
      <c r="G37" s="3">
        <f>G33-F33</f>
        <v>29.97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B104B-C40C-4F5E-86D5-5AFAA2126F81}">
  <dimension ref="A1:G37"/>
  <sheetViews>
    <sheetView zoomScale="70" zoomScaleNormal="70" workbookViewId="0">
      <selection activeCell="J34" sqref="J34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522.32000000000005</v>
      </c>
      <c r="C2" s="1">
        <v>492.13</v>
      </c>
      <c r="D2" s="1">
        <v>525.66</v>
      </c>
      <c r="E2" s="1">
        <v>515.38</v>
      </c>
      <c r="F2" s="1">
        <v>517.02</v>
      </c>
      <c r="G2" s="1">
        <v>538.13</v>
      </c>
    </row>
    <row r="3" spans="1:7" x14ac:dyDescent="0.3">
      <c r="A3" s="1" t="s">
        <v>7</v>
      </c>
      <c r="B3" s="1">
        <v>48.37</v>
      </c>
      <c r="C3" s="1">
        <v>45.76</v>
      </c>
      <c r="D3" s="1">
        <v>47.45</v>
      </c>
      <c r="E3" s="1">
        <v>52.68</v>
      </c>
      <c r="F3" s="1">
        <v>48.77</v>
      </c>
      <c r="G3" s="1">
        <v>52.38</v>
      </c>
    </row>
    <row r="4" spans="1:7" x14ac:dyDescent="0.3">
      <c r="A4" s="1" t="s">
        <v>8</v>
      </c>
      <c r="B4" s="1">
        <v>25710.59</v>
      </c>
      <c r="C4" s="1">
        <v>22979.43</v>
      </c>
      <c r="D4" s="1">
        <v>25444.84</v>
      </c>
      <c r="E4" s="1">
        <v>27849.5</v>
      </c>
      <c r="F4" s="1">
        <v>25739.56</v>
      </c>
      <c r="G4" s="1">
        <v>28656.63</v>
      </c>
    </row>
    <row r="5" spans="1:7" x14ac:dyDescent="0.3">
      <c r="A5" s="1" t="s">
        <v>9</v>
      </c>
      <c r="B5" s="1">
        <v>3104.75</v>
      </c>
      <c r="C5" s="1">
        <v>3148.82</v>
      </c>
      <c r="D5" s="1">
        <v>2573.38</v>
      </c>
      <c r="E5" s="1">
        <v>2625.69</v>
      </c>
      <c r="F5" s="1">
        <v>2807.95</v>
      </c>
      <c r="G5" s="1">
        <v>3248.86</v>
      </c>
    </row>
    <row r="6" spans="1:7" x14ac:dyDescent="0.3">
      <c r="A6" s="3" t="s">
        <v>10</v>
      </c>
      <c r="B6" s="3">
        <v>310.48</v>
      </c>
      <c r="C6" s="3">
        <v>318.06</v>
      </c>
      <c r="D6" s="3">
        <v>259.94</v>
      </c>
      <c r="E6" s="3">
        <v>265.22000000000003</v>
      </c>
      <c r="F6" s="3">
        <v>283.63</v>
      </c>
      <c r="G6" s="3">
        <v>331.52</v>
      </c>
    </row>
    <row r="7" spans="1:7" x14ac:dyDescent="0.3">
      <c r="A7" s="1" t="s">
        <v>11</v>
      </c>
      <c r="B7" s="1">
        <v>2881.67</v>
      </c>
      <c r="C7" s="1">
        <v>2952.12</v>
      </c>
      <c r="D7" s="1">
        <v>2415.09</v>
      </c>
      <c r="E7" s="1">
        <v>2450.83</v>
      </c>
      <c r="F7" s="1">
        <v>2667.99</v>
      </c>
      <c r="G7" s="1">
        <v>3038.05</v>
      </c>
    </row>
    <row r="8" spans="1:7" x14ac:dyDescent="0.3">
      <c r="A8" s="1" t="s">
        <v>12</v>
      </c>
      <c r="B8" s="1">
        <v>288.17</v>
      </c>
      <c r="C8" s="1">
        <v>298.19</v>
      </c>
      <c r="D8" s="1">
        <v>243.95</v>
      </c>
      <c r="E8" s="1">
        <v>247.56</v>
      </c>
      <c r="F8" s="1">
        <v>269.49</v>
      </c>
      <c r="G8" s="1">
        <v>310.01</v>
      </c>
    </row>
    <row r="9" spans="1:7" x14ac:dyDescent="0.3">
      <c r="A9" s="1" t="s">
        <v>13</v>
      </c>
      <c r="B9" s="1">
        <v>2881.67</v>
      </c>
      <c r="C9" s="1">
        <v>2952.12</v>
      </c>
      <c r="D9" s="1">
        <v>2397.48</v>
      </c>
      <c r="E9" s="1">
        <v>2450.83</v>
      </c>
      <c r="F9" s="1">
        <v>2667.99</v>
      </c>
      <c r="G9" s="1">
        <v>3038.05</v>
      </c>
    </row>
    <row r="10" spans="1:7" x14ac:dyDescent="0.3">
      <c r="A10" s="1" t="s">
        <v>14</v>
      </c>
      <c r="B10" s="1">
        <v>288.17</v>
      </c>
      <c r="C10" s="1">
        <v>298.19</v>
      </c>
      <c r="D10" s="1">
        <v>242.17</v>
      </c>
      <c r="E10" s="1">
        <v>247.56</v>
      </c>
      <c r="F10" s="1">
        <v>269.49</v>
      </c>
      <c r="G10" s="1">
        <v>310.01</v>
      </c>
    </row>
    <row r="11" spans="1:7" x14ac:dyDescent="0.3">
      <c r="A11" s="1" t="s">
        <v>15</v>
      </c>
      <c r="B11" s="1">
        <v>2131.4899999999998</v>
      </c>
      <c r="C11" s="1">
        <v>2167.83</v>
      </c>
      <c r="D11" s="1">
        <v>2231.75</v>
      </c>
      <c r="E11" s="1">
        <v>2072.86</v>
      </c>
      <c r="F11" s="1">
        <v>1912.91</v>
      </c>
      <c r="G11" s="1">
        <v>2791.41</v>
      </c>
    </row>
    <row r="12" spans="1:7" x14ac:dyDescent="0.3">
      <c r="A12" s="1" t="s">
        <v>16</v>
      </c>
      <c r="B12" s="1">
        <v>270.77</v>
      </c>
      <c r="C12" s="1">
        <v>278.77</v>
      </c>
      <c r="D12" s="1">
        <v>280.64</v>
      </c>
      <c r="E12" s="1">
        <v>266.27</v>
      </c>
      <c r="F12" s="1">
        <v>274.3</v>
      </c>
      <c r="G12" s="1">
        <v>299.64</v>
      </c>
    </row>
    <row r="13" spans="1:7" x14ac:dyDescent="0.3">
      <c r="A13" s="1" t="s">
        <v>17</v>
      </c>
      <c r="B13" s="1">
        <v>29.63</v>
      </c>
      <c r="C13" s="1">
        <v>31.14</v>
      </c>
      <c r="D13" s="1">
        <v>20.63</v>
      </c>
      <c r="E13" s="1">
        <v>24.47</v>
      </c>
      <c r="F13" s="1">
        <v>27.25</v>
      </c>
      <c r="G13" s="1">
        <v>26.34</v>
      </c>
    </row>
    <row r="14" spans="1:7" x14ac:dyDescent="0.3">
      <c r="A14" s="1" t="s">
        <v>18</v>
      </c>
      <c r="B14" s="1">
        <v>73.06</v>
      </c>
      <c r="C14" s="1">
        <v>64.459999999999994</v>
      </c>
      <c r="D14" s="1">
        <v>50.46</v>
      </c>
      <c r="E14" s="1">
        <v>68.989999999999995</v>
      </c>
      <c r="F14" s="1">
        <v>84.5</v>
      </c>
      <c r="G14" s="1">
        <v>63.67</v>
      </c>
    </row>
    <row r="15" spans="1:7" x14ac:dyDescent="0.3">
      <c r="A15" s="1" t="s">
        <v>19</v>
      </c>
      <c r="B15" s="1">
        <v>6</v>
      </c>
      <c r="C15" s="1">
        <v>5</v>
      </c>
      <c r="D15" s="1">
        <v>2</v>
      </c>
      <c r="E15" s="1">
        <v>6</v>
      </c>
      <c r="F15" s="1">
        <v>6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2881.67</v>
      </c>
      <c r="C17" s="1">
        <v>2952.12</v>
      </c>
      <c r="D17" s="1">
        <v>2406.29</v>
      </c>
      <c r="E17" s="1">
        <v>2450.83</v>
      </c>
      <c r="F17" s="1">
        <v>2667.99</v>
      </c>
      <c r="G17" s="1">
        <v>3038.05</v>
      </c>
    </row>
    <row r="18" spans="1:7" x14ac:dyDescent="0.3">
      <c r="A18" s="1" t="s">
        <v>22</v>
      </c>
      <c r="B18" s="1">
        <v>0</v>
      </c>
      <c r="C18" s="1">
        <v>0</v>
      </c>
      <c r="D18" s="1">
        <v>8.81</v>
      </c>
      <c r="E18" s="1">
        <v>0</v>
      </c>
      <c r="F18" s="1">
        <v>0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301.36</v>
      </c>
      <c r="C33" s="3">
        <v>315.3</v>
      </c>
      <c r="D33" s="3">
        <v>258.08</v>
      </c>
      <c r="E33" s="3">
        <v>261.86</v>
      </c>
      <c r="F33" s="3">
        <v>279.61</v>
      </c>
      <c r="G33" s="3">
        <v>331.14</v>
      </c>
    </row>
    <row r="35" spans="1:7" x14ac:dyDescent="0.3">
      <c r="A35" s="3" t="s">
        <v>36</v>
      </c>
      <c r="B35" s="3"/>
      <c r="C35" s="3"/>
      <c r="D35" s="3">
        <f>D33-C33</f>
        <v>-57.220000000000027</v>
      </c>
      <c r="E35" s="3"/>
      <c r="F35" s="3">
        <f>F33-E33</f>
        <v>17.75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3.7800000000000296</v>
      </c>
      <c r="F37" s="3"/>
      <c r="G37" s="3">
        <f>G33-F33</f>
        <v>51.529999999999973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D2B12-4F05-451A-A224-DA19704FAFF9}">
  <dimension ref="A1:G37"/>
  <sheetViews>
    <sheetView zoomScale="70" zoomScaleNormal="70" workbookViewId="0">
      <selection activeCell="I42" sqref="I4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479.47</v>
      </c>
      <c r="C2" s="1">
        <v>516.59</v>
      </c>
      <c r="D2" s="1">
        <v>495.23</v>
      </c>
      <c r="E2" s="1">
        <v>467.97</v>
      </c>
      <c r="F2" s="1">
        <v>485.67</v>
      </c>
      <c r="G2" s="1">
        <v>398.25</v>
      </c>
    </row>
    <row r="3" spans="1:7" x14ac:dyDescent="0.3">
      <c r="A3" s="1" t="s">
        <v>7</v>
      </c>
      <c r="B3" s="1">
        <v>50.6</v>
      </c>
      <c r="C3" s="1">
        <v>51.69</v>
      </c>
      <c r="D3" s="1">
        <v>50.27</v>
      </c>
      <c r="E3" s="1">
        <v>47.73</v>
      </c>
      <c r="F3" s="1">
        <v>55.51</v>
      </c>
      <c r="G3" s="1">
        <v>51.59</v>
      </c>
    </row>
    <row r="4" spans="1:7" x14ac:dyDescent="0.3">
      <c r="A4" s="1" t="s">
        <v>8</v>
      </c>
      <c r="B4" s="1">
        <v>24668.86</v>
      </c>
      <c r="C4" s="1">
        <v>27158.42</v>
      </c>
      <c r="D4" s="1">
        <v>25367.3</v>
      </c>
      <c r="E4" s="1">
        <v>22723.14</v>
      </c>
      <c r="F4" s="1">
        <v>27411.25</v>
      </c>
      <c r="G4" s="1">
        <v>20820.830000000002</v>
      </c>
    </row>
    <row r="5" spans="1:7" x14ac:dyDescent="0.3">
      <c r="A5" s="1" t="s">
        <v>9</v>
      </c>
      <c r="B5" s="1">
        <v>1237.4000000000001</v>
      </c>
      <c r="C5" s="1">
        <v>1836.12</v>
      </c>
      <c r="D5" s="1">
        <v>1499.51</v>
      </c>
      <c r="E5" s="1">
        <v>1443.42</v>
      </c>
      <c r="F5" s="1">
        <v>1255.21</v>
      </c>
      <c r="G5" s="1">
        <v>476.93</v>
      </c>
    </row>
    <row r="6" spans="1:7" x14ac:dyDescent="0.3">
      <c r="A6" s="3" t="s">
        <v>10</v>
      </c>
      <c r="B6" s="3">
        <v>123.74</v>
      </c>
      <c r="C6" s="3">
        <v>185.47</v>
      </c>
      <c r="D6" s="3">
        <v>151.47</v>
      </c>
      <c r="E6" s="3">
        <v>145.80000000000001</v>
      </c>
      <c r="F6" s="3">
        <v>126.79</v>
      </c>
      <c r="G6" s="3">
        <v>48.67</v>
      </c>
    </row>
    <row r="7" spans="1:7" x14ac:dyDescent="0.3">
      <c r="A7" s="1" t="s">
        <v>11</v>
      </c>
      <c r="B7" s="1">
        <v>1102.3699999999999</v>
      </c>
      <c r="C7" s="1">
        <v>1804.03</v>
      </c>
      <c r="D7" s="1">
        <v>1465.44</v>
      </c>
      <c r="E7" s="1">
        <v>1415.21</v>
      </c>
      <c r="F7" s="1">
        <v>1183.8699999999999</v>
      </c>
      <c r="G7" s="1">
        <v>412.49</v>
      </c>
    </row>
    <row r="8" spans="1:7" x14ac:dyDescent="0.3">
      <c r="A8" s="1" t="s">
        <v>12</v>
      </c>
      <c r="B8" s="1">
        <v>110.24</v>
      </c>
      <c r="C8" s="1">
        <v>182.23</v>
      </c>
      <c r="D8" s="1">
        <v>148.02000000000001</v>
      </c>
      <c r="E8" s="1">
        <v>142.94999999999999</v>
      </c>
      <c r="F8" s="1">
        <v>119.58</v>
      </c>
      <c r="G8" s="1">
        <v>42.09</v>
      </c>
    </row>
    <row r="9" spans="1:7" x14ac:dyDescent="0.3">
      <c r="A9" s="1" t="s">
        <v>13</v>
      </c>
      <c r="B9" s="1">
        <v>779.9</v>
      </c>
      <c r="C9" s="1">
        <v>1804.03</v>
      </c>
      <c r="D9" s="1">
        <v>1465.44</v>
      </c>
      <c r="E9" s="1">
        <v>1415.21</v>
      </c>
      <c r="F9" s="1">
        <v>1122.6600000000001</v>
      </c>
      <c r="G9" s="1">
        <v>-345.46</v>
      </c>
    </row>
    <row r="10" spans="1:7" x14ac:dyDescent="0.3">
      <c r="A10" s="1" t="s">
        <v>14</v>
      </c>
      <c r="B10" s="1">
        <v>77.989999999999995</v>
      </c>
      <c r="C10" s="1">
        <v>182.23</v>
      </c>
      <c r="D10" s="1">
        <v>148.02000000000001</v>
      </c>
      <c r="E10" s="1">
        <v>142.94999999999999</v>
      </c>
      <c r="F10" s="1">
        <v>113.4</v>
      </c>
      <c r="G10" s="1">
        <v>-35.25</v>
      </c>
    </row>
    <row r="11" spans="1:7" x14ac:dyDescent="0.3">
      <c r="A11" s="1" t="s">
        <v>15</v>
      </c>
      <c r="B11" s="1">
        <v>612.76</v>
      </c>
      <c r="C11" s="1">
        <v>1381.03</v>
      </c>
      <c r="D11" s="1">
        <v>1315.75</v>
      </c>
      <c r="E11" s="1">
        <v>1259.1400000000001</v>
      </c>
      <c r="F11" s="1">
        <v>842.81</v>
      </c>
      <c r="G11" s="1">
        <v>237.29</v>
      </c>
    </row>
    <row r="12" spans="1:7" x14ac:dyDescent="0.3">
      <c r="A12" s="1" t="s">
        <v>16</v>
      </c>
      <c r="B12" s="1">
        <v>243.57</v>
      </c>
      <c r="C12" s="1">
        <v>287.31</v>
      </c>
      <c r="D12" s="1">
        <v>262.54000000000002</v>
      </c>
      <c r="E12" s="1">
        <v>224.5</v>
      </c>
      <c r="F12" s="1">
        <v>237.36</v>
      </c>
      <c r="G12" s="1">
        <v>174.49</v>
      </c>
    </row>
    <row r="13" spans="1:7" x14ac:dyDescent="0.3">
      <c r="A13" s="1" t="s">
        <v>17</v>
      </c>
      <c r="B13" s="1">
        <v>42.39</v>
      </c>
      <c r="C13" s="1">
        <v>32.28</v>
      </c>
      <c r="D13" s="1">
        <v>29</v>
      </c>
      <c r="E13" s="1">
        <v>31.97</v>
      </c>
      <c r="F13" s="1">
        <v>44.94</v>
      </c>
      <c r="G13" s="1">
        <v>40.200000000000003</v>
      </c>
    </row>
    <row r="14" spans="1:7" x14ac:dyDescent="0.3">
      <c r="A14" s="1" t="s">
        <v>18</v>
      </c>
      <c r="B14" s="1">
        <v>97.9</v>
      </c>
      <c r="C14" s="1">
        <v>83.34</v>
      </c>
      <c r="D14" s="1">
        <v>73.95</v>
      </c>
      <c r="E14" s="1">
        <v>70.22</v>
      </c>
      <c r="F14" s="1">
        <v>90.49</v>
      </c>
      <c r="G14" s="1">
        <v>67.75</v>
      </c>
    </row>
    <row r="15" spans="1:7" x14ac:dyDescent="0.3">
      <c r="A15" s="1" t="s">
        <v>19</v>
      </c>
      <c r="B15" s="1">
        <v>6</v>
      </c>
      <c r="C15" s="1">
        <v>7</v>
      </c>
      <c r="D15" s="1">
        <v>5</v>
      </c>
      <c r="E15" s="1">
        <v>6</v>
      </c>
      <c r="F15" s="1">
        <v>6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941.14</v>
      </c>
      <c r="C17" s="1">
        <v>1804.03</v>
      </c>
      <c r="D17" s="1">
        <v>1465.44</v>
      </c>
      <c r="E17" s="1">
        <v>1415.21</v>
      </c>
      <c r="F17" s="1">
        <v>1153.26</v>
      </c>
      <c r="G17" s="1">
        <v>33.520000000000003</v>
      </c>
    </row>
    <row r="18" spans="1:7" x14ac:dyDescent="0.3">
      <c r="A18" s="1" t="s">
        <v>22</v>
      </c>
      <c r="B18" s="1">
        <v>161.22999999999999</v>
      </c>
      <c r="C18" s="1">
        <v>0</v>
      </c>
      <c r="D18" s="1">
        <v>0</v>
      </c>
      <c r="E18" s="1">
        <v>0</v>
      </c>
      <c r="F18" s="1">
        <v>30.6</v>
      </c>
      <c r="G18" s="1">
        <v>378.98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</row>
    <row r="20" spans="1:7" x14ac:dyDescent="0.3">
      <c r="A20" s="1" t="s">
        <v>24</v>
      </c>
      <c r="B20" s="1">
        <v>2.7</v>
      </c>
      <c r="C20" s="1">
        <v>0</v>
      </c>
      <c r="D20" s="1">
        <v>0</v>
      </c>
      <c r="E20" s="1">
        <v>0</v>
      </c>
      <c r="F20" s="1">
        <v>0</v>
      </c>
      <c r="G20" s="1">
        <v>7.9</v>
      </c>
    </row>
    <row r="21" spans="1:7" x14ac:dyDescent="0.3">
      <c r="A21" s="1" t="s">
        <v>25</v>
      </c>
      <c r="B21" s="1">
        <v>7.4</v>
      </c>
      <c r="C21" s="1">
        <v>10</v>
      </c>
      <c r="D21" s="1">
        <v>10</v>
      </c>
      <c r="E21" s="1">
        <v>10</v>
      </c>
      <c r="F21" s="1">
        <v>10</v>
      </c>
      <c r="G21" s="1">
        <v>2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3.4</v>
      </c>
      <c r="C24" s="1">
        <v>0</v>
      </c>
      <c r="D24" s="1">
        <v>0</v>
      </c>
      <c r="E24" s="1">
        <v>0</v>
      </c>
      <c r="F24" s="1">
        <v>0</v>
      </c>
      <c r="G24" s="1">
        <v>4.9000000000000004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5</v>
      </c>
    </row>
    <row r="26" spans="1:7" x14ac:dyDescent="0.3">
      <c r="A26" s="1" t="s">
        <v>30</v>
      </c>
      <c r="B26" s="1">
        <v>6.7</v>
      </c>
      <c r="C26" s="1">
        <v>10</v>
      </c>
      <c r="D26" s="1">
        <v>10</v>
      </c>
      <c r="E26" s="1">
        <v>10</v>
      </c>
      <c r="F26" s="1">
        <v>10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33.663366336633665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49.494949494949495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50.505050505050505</v>
      </c>
    </row>
    <row r="31" spans="1:7" x14ac:dyDescent="0.3">
      <c r="A31" s="3" t="s">
        <v>34</v>
      </c>
      <c r="B31" s="3">
        <f>B26/B28*100</f>
        <v>66.336633663366342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81.23</v>
      </c>
      <c r="C33" s="3">
        <v>184.59</v>
      </c>
      <c r="D33" s="3">
        <v>151.07</v>
      </c>
      <c r="E33" s="3">
        <v>143.82</v>
      </c>
      <c r="F33" s="3">
        <v>119.39</v>
      </c>
      <c r="G33" s="3">
        <v>-37.270000000000003</v>
      </c>
    </row>
    <row r="35" spans="1:7" x14ac:dyDescent="0.3">
      <c r="A35" s="3" t="s">
        <v>36</v>
      </c>
      <c r="B35" s="3"/>
      <c r="C35" s="3"/>
      <c r="D35" s="3">
        <f>D33-C33</f>
        <v>-33.52000000000001</v>
      </c>
      <c r="E35" s="3"/>
      <c r="F35" s="3">
        <f>F33-E33</f>
        <v>-24.429999999999993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-7.25</v>
      </c>
      <c r="F37" s="3"/>
      <c r="G37" s="3">
        <f>G33-F33</f>
        <v>-156.66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DF5E-2221-49FD-8D3C-8F656F21B1A9}">
  <dimension ref="A1:G37"/>
  <sheetViews>
    <sheetView zoomScale="70" zoomScaleNormal="70" workbookViewId="0">
      <selection activeCell="K33" sqref="K3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507.6</v>
      </c>
      <c r="C2" s="1">
        <v>443.02</v>
      </c>
      <c r="D2" s="1">
        <v>467.03</v>
      </c>
      <c r="E2" s="1">
        <v>485.18</v>
      </c>
      <c r="F2" s="1">
        <v>447.9</v>
      </c>
      <c r="G2" s="1">
        <v>456.92</v>
      </c>
    </row>
    <row r="3" spans="1:7" x14ac:dyDescent="0.3">
      <c r="A3" s="1" t="s">
        <v>7</v>
      </c>
      <c r="B3" s="1">
        <v>50.52</v>
      </c>
      <c r="C3" s="1">
        <v>49.7</v>
      </c>
      <c r="D3" s="1">
        <v>46.56</v>
      </c>
      <c r="E3" s="1">
        <v>48.42</v>
      </c>
      <c r="F3" s="1">
        <v>47.24</v>
      </c>
      <c r="G3" s="1">
        <v>46.71</v>
      </c>
    </row>
    <row r="4" spans="1:7" x14ac:dyDescent="0.3">
      <c r="A4" s="1" t="s">
        <v>8</v>
      </c>
      <c r="B4" s="1">
        <v>26088.11</v>
      </c>
      <c r="C4" s="1">
        <v>22354.29</v>
      </c>
      <c r="D4" s="1">
        <v>22333.65</v>
      </c>
      <c r="E4" s="1">
        <v>24373.72</v>
      </c>
      <c r="F4" s="1">
        <v>21507.599999999999</v>
      </c>
      <c r="G4" s="1">
        <v>21673.89</v>
      </c>
    </row>
    <row r="5" spans="1:7" x14ac:dyDescent="0.3">
      <c r="A5" s="1" t="s">
        <v>9</v>
      </c>
      <c r="B5" s="1">
        <v>2601.2399999999998</v>
      </c>
      <c r="C5" s="1">
        <v>2437.27</v>
      </c>
      <c r="D5" s="1">
        <v>3126.55</v>
      </c>
      <c r="E5" s="1">
        <v>2591.64</v>
      </c>
      <c r="F5" s="1">
        <v>1070.4000000000001</v>
      </c>
      <c r="G5" s="1">
        <v>864.09</v>
      </c>
    </row>
    <row r="6" spans="1:7" x14ac:dyDescent="0.3">
      <c r="A6" s="3" t="s">
        <v>10</v>
      </c>
      <c r="B6" s="3">
        <v>260.12</v>
      </c>
      <c r="C6" s="3">
        <v>246.19</v>
      </c>
      <c r="D6" s="3">
        <v>315.81</v>
      </c>
      <c r="E6" s="3">
        <v>261.77999999999997</v>
      </c>
      <c r="F6" s="3">
        <v>108.12</v>
      </c>
      <c r="G6" s="3">
        <v>88.17</v>
      </c>
    </row>
    <row r="7" spans="1:7" x14ac:dyDescent="0.3">
      <c r="A7" s="1" t="s">
        <v>11</v>
      </c>
      <c r="B7" s="1">
        <v>2412.1</v>
      </c>
      <c r="C7" s="1">
        <v>2193.9899999999998</v>
      </c>
      <c r="D7" s="1">
        <v>2869.25</v>
      </c>
      <c r="E7" s="1">
        <v>2298.71</v>
      </c>
      <c r="F7" s="1">
        <v>991.21</v>
      </c>
      <c r="G7" s="1">
        <v>659.63</v>
      </c>
    </row>
    <row r="8" spans="1:7" x14ac:dyDescent="0.3">
      <c r="A8" s="1" t="s">
        <v>12</v>
      </c>
      <c r="B8" s="1">
        <v>241.21</v>
      </c>
      <c r="C8" s="1">
        <v>221.62</v>
      </c>
      <c r="D8" s="1">
        <v>289.82</v>
      </c>
      <c r="E8" s="1">
        <v>232.19</v>
      </c>
      <c r="F8" s="1">
        <v>100.12</v>
      </c>
      <c r="G8" s="1">
        <v>67.31</v>
      </c>
    </row>
    <row r="9" spans="1:7" x14ac:dyDescent="0.3">
      <c r="A9" s="1" t="s">
        <v>13</v>
      </c>
      <c r="B9" s="1">
        <v>2412.1</v>
      </c>
      <c r="C9" s="1">
        <v>2149.15</v>
      </c>
      <c r="D9" s="1">
        <v>2792.75</v>
      </c>
      <c r="E9" s="1">
        <v>2297.52</v>
      </c>
      <c r="F9" s="1">
        <v>-818.55</v>
      </c>
      <c r="G9" s="1">
        <v>-133.66999999999999</v>
      </c>
    </row>
    <row r="10" spans="1:7" x14ac:dyDescent="0.3">
      <c r="A10" s="1" t="s">
        <v>14</v>
      </c>
      <c r="B10" s="1">
        <v>241.21</v>
      </c>
      <c r="C10" s="1">
        <v>217.09</v>
      </c>
      <c r="D10" s="1">
        <v>282.10000000000002</v>
      </c>
      <c r="E10" s="1">
        <v>232.07</v>
      </c>
      <c r="F10" s="1">
        <v>-82.68</v>
      </c>
      <c r="G10" s="1">
        <v>-13.64</v>
      </c>
    </row>
    <row r="11" spans="1:7" x14ac:dyDescent="0.3">
      <c r="A11" s="1" t="s">
        <v>15</v>
      </c>
      <c r="B11" s="1">
        <v>865.08</v>
      </c>
      <c r="C11" s="1">
        <v>1174.92</v>
      </c>
      <c r="D11" s="1">
        <v>646.1</v>
      </c>
      <c r="E11" s="1">
        <v>1474.23</v>
      </c>
      <c r="F11" s="1">
        <v>667.2</v>
      </c>
      <c r="G11" s="1">
        <v>56.34</v>
      </c>
    </row>
    <row r="12" spans="1:7" x14ac:dyDescent="0.3">
      <c r="A12" s="1" t="s">
        <v>16</v>
      </c>
      <c r="B12" s="1">
        <v>279.57</v>
      </c>
      <c r="C12" s="1">
        <v>248.58</v>
      </c>
      <c r="D12" s="1">
        <v>265.97000000000003</v>
      </c>
      <c r="E12" s="1">
        <v>276.49</v>
      </c>
      <c r="F12" s="1">
        <v>226.14</v>
      </c>
      <c r="G12" s="1">
        <v>178.78</v>
      </c>
    </row>
    <row r="13" spans="1:7" x14ac:dyDescent="0.3">
      <c r="A13" s="1" t="s">
        <v>17</v>
      </c>
      <c r="B13" s="1">
        <v>32.07</v>
      </c>
      <c r="C13" s="1">
        <v>35.96</v>
      </c>
      <c r="D13" s="1">
        <v>23.83</v>
      </c>
      <c r="E13" s="1">
        <v>22.81</v>
      </c>
      <c r="F13" s="1">
        <v>30</v>
      </c>
      <c r="G13" s="1">
        <v>43.29</v>
      </c>
    </row>
    <row r="14" spans="1:7" x14ac:dyDescent="0.3">
      <c r="A14" s="1" t="s">
        <v>18</v>
      </c>
      <c r="B14" s="1">
        <v>76.900000000000006</v>
      </c>
      <c r="C14" s="1">
        <v>75.94</v>
      </c>
      <c r="D14" s="1">
        <v>69.08</v>
      </c>
      <c r="E14" s="1">
        <v>60.63</v>
      </c>
      <c r="F14" s="1">
        <v>65.430000000000007</v>
      </c>
      <c r="G14" s="1">
        <v>100.97</v>
      </c>
    </row>
    <row r="15" spans="1:7" x14ac:dyDescent="0.3">
      <c r="A15" s="1" t="s">
        <v>19</v>
      </c>
      <c r="B15" s="1">
        <v>7</v>
      </c>
      <c r="C15" s="1">
        <v>7</v>
      </c>
      <c r="D15" s="1">
        <v>4</v>
      </c>
      <c r="E15" s="1">
        <v>5</v>
      </c>
      <c r="F15" s="1">
        <v>4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2412.1</v>
      </c>
      <c r="C17" s="1">
        <v>2171.5700000000002</v>
      </c>
      <c r="D17" s="1">
        <v>2831</v>
      </c>
      <c r="E17" s="1">
        <v>2298.12</v>
      </c>
      <c r="F17" s="1">
        <v>86.33</v>
      </c>
      <c r="G17" s="1">
        <v>262.98</v>
      </c>
    </row>
    <row r="18" spans="1:7" x14ac:dyDescent="0.3">
      <c r="A18" s="1" t="s">
        <v>22</v>
      </c>
      <c r="B18" s="1">
        <v>0</v>
      </c>
      <c r="C18" s="1">
        <v>22.42</v>
      </c>
      <c r="D18" s="1">
        <v>38.25</v>
      </c>
      <c r="E18" s="1">
        <v>0.59</v>
      </c>
      <c r="F18" s="1">
        <v>904.88</v>
      </c>
      <c r="G18" s="1">
        <v>396.65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3</v>
      </c>
      <c r="G19" s="1">
        <v>4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7.4</v>
      </c>
      <c r="G20" s="1">
        <v>4.8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2.6</v>
      </c>
      <c r="G21" s="1">
        <v>5.0999999999999996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2.4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7</v>
      </c>
      <c r="G24" s="1">
        <v>6.4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1</v>
      </c>
      <c r="G26" s="1">
        <v>3.5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70</v>
      </c>
      <c r="G29" s="3">
        <f t="shared" si="1"/>
        <v>64.646464646464651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10</v>
      </c>
      <c r="G31" s="3">
        <f t="shared" si="3"/>
        <v>35.353535353535356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252.98</v>
      </c>
      <c r="C33" s="3">
        <v>241.77</v>
      </c>
      <c r="D33" s="3">
        <v>301.37</v>
      </c>
      <c r="E33" s="3">
        <v>260.08</v>
      </c>
      <c r="F33" s="3">
        <v>-72.239999999999995</v>
      </c>
      <c r="G33" s="3">
        <v>-7.07</v>
      </c>
    </row>
    <row r="35" spans="1:7" x14ac:dyDescent="0.3">
      <c r="A35" s="3" t="s">
        <v>36</v>
      </c>
      <c r="B35" s="3"/>
      <c r="C35" s="3"/>
      <c r="D35" s="3">
        <f>D33-C33</f>
        <v>59.599999999999994</v>
      </c>
      <c r="E35" s="3"/>
      <c r="F35" s="3">
        <f>F33-E33</f>
        <v>-332.32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-41.29000000000002</v>
      </c>
      <c r="F37" s="3"/>
      <c r="G37" s="3" t="e">
        <f>#REF!-F33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5088-D8E8-41A7-A59A-082FAEC8DAFE}">
  <dimension ref="A1:G37"/>
  <sheetViews>
    <sheetView zoomScale="70" zoomScaleNormal="70" workbookViewId="0">
      <selection activeCell="I39" sqref="I3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372.73</v>
      </c>
      <c r="C2" s="1">
        <v>299.22000000000003</v>
      </c>
      <c r="D2" s="1">
        <v>422.92</v>
      </c>
      <c r="E2" s="1">
        <v>323.48</v>
      </c>
      <c r="F2" s="1">
        <v>319.74</v>
      </c>
      <c r="G2" s="1">
        <v>408.69</v>
      </c>
    </row>
    <row r="3" spans="1:7" x14ac:dyDescent="0.3">
      <c r="A3" s="1" t="s">
        <v>7</v>
      </c>
      <c r="B3" s="1">
        <v>37.07</v>
      </c>
      <c r="C3" s="1">
        <v>37.76</v>
      </c>
      <c r="D3" s="1">
        <v>37.65</v>
      </c>
      <c r="E3" s="1">
        <v>36.729999999999997</v>
      </c>
      <c r="F3" s="1">
        <v>37.83</v>
      </c>
      <c r="G3" s="1">
        <v>41.6</v>
      </c>
    </row>
    <row r="4" spans="1:7" x14ac:dyDescent="0.3">
      <c r="A4" s="1" t="s">
        <v>8</v>
      </c>
      <c r="B4" s="1">
        <v>14017.25</v>
      </c>
      <c r="C4" s="1">
        <v>11446.57</v>
      </c>
      <c r="D4" s="1">
        <v>16221.78</v>
      </c>
      <c r="E4" s="1">
        <v>12167.25</v>
      </c>
      <c r="F4" s="1">
        <v>12332.35</v>
      </c>
      <c r="G4" s="1">
        <v>17304.97</v>
      </c>
    </row>
    <row r="5" spans="1:7" x14ac:dyDescent="0.3">
      <c r="A5" s="1" t="s">
        <v>9</v>
      </c>
      <c r="B5" s="1">
        <v>960.7</v>
      </c>
      <c r="C5" s="1">
        <v>1085.27</v>
      </c>
      <c r="D5" s="1">
        <v>1877.67</v>
      </c>
      <c r="E5" s="1">
        <v>1786.38</v>
      </c>
      <c r="F5" s="1">
        <v>1130.8399999999999</v>
      </c>
      <c r="G5" s="1">
        <v>1594.84</v>
      </c>
    </row>
    <row r="6" spans="1:7" x14ac:dyDescent="0.3">
      <c r="A6" s="3" t="s">
        <v>10</v>
      </c>
      <c r="B6" s="3">
        <v>96.07</v>
      </c>
      <c r="C6" s="3">
        <v>109.62</v>
      </c>
      <c r="D6" s="3">
        <v>189.66</v>
      </c>
      <c r="E6" s="3">
        <v>180.44</v>
      </c>
      <c r="F6" s="3">
        <v>114.23</v>
      </c>
      <c r="G6" s="3">
        <v>162.74</v>
      </c>
    </row>
    <row r="7" spans="1:7" x14ac:dyDescent="0.3">
      <c r="A7" s="1" t="s">
        <v>11</v>
      </c>
      <c r="B7" s="1">
        <v>777.29</v>
      </c>
      <c r="C7" s="1">
        <v>849.88</v>
      </c>
      <c r="D7" s="1">
        <v>1645.42</v>
      </c>
      <c r="E7" s="1">
        <v>1560.48</v>
      </c>
      <c r="F7" s="1">
        <v>939.15</v>
      </c>
      <c r="G7" s="1">
        <v>1330.49</v>
      </c>
    </row>
    <row r="8" spans="1:7" x14ac:dyDescent="0.3">
      <c r="A8" s="1" t="s">
        <v>12</v>
      </c>
      <c r="B8" s="1">
        <v>77.73</v>
      </c>
      <c r="C8" s="1">
        <v>85.85</v>
      </c>
      <c r="D8" s="1">
        <v>166.2</v>
      </c>
      <c r="E8" s="1">
        <v>157.62</v>
      </c>
      <c r="F8" s="1">
        <v>94.86</v>
      </c>
      <c r="G8" s="1">
        <v>135.76</v>
      </c>
    </row>
    <row r="9" spans="1:7" x14ac:dyDescent="0.3">
      <c r="A9" s="1" t="s">
        <v>13</v>
      </c>
      <c r="B9" s="1">
        <v>-700.87</v>
      </c>
      <c r="C9" s="1">
        <v>739.04</v>
      </c>
      <c r="D9" s="1">
        <v>1645.42</v>
      </c>
      <c r="E9" s="1">
        <v>1481.8</v>
      </c>
      <c r="F9" s="1">
        <v>-477.99</v>
      </c>
      <c r="G9" s="1">
        <v>1293.03</v>
      </c>
    </row>
    <row r="10" spans="1:7" x14ac:dyDescent="0.3">
      <c r="A10" s="1" t="s">
        <v>14</v>
      </c>
      <c r="B10" s="1">
        <v>-70.09</v>
      </c>
      <c r="C10" s="1">
        <v>74.650000000000006</v>
      </c>
      <c r="D10" s="1">
        <v>166.2</v>
      </c>
      <c r="E10" s="1">
        <v>149.68</v>
      </c>
      <c r="F10" s="1">
        <v>-48.28</v>
      </c>
      <c r="G10" s="1">
        <v>131.94</v>
      </c>
    </row>
    <row r="11" spans="1:7" x14ac:dyDescent="0.3">
      <c r="A11" s="1" t="s">
        <v>15</v>
      </c>
      <c r="B11" s="1">
        <v>498.67</v>
      </c>
      <c r="C11" s="1">
        <v>324.02</v>
      </c>
      <c r="D11" s="1">
        <v>1589.08</v>
      </c>
      <c r="E11" s="1">
        <v>1387.79</v>
      </c>
      <c r="F11" s="1">
        <v>200.16</v>
      </c>
      <c r="G11" s="1">
        <v>1207.6500000000001</v>
      </c>
    </row>
    <row r="12" spans="1:7" x14ac:dyDescent="0.3">
      <c r="A12" s="1" t="s">
        <v>16</v>
      </c>
      <c r="B12" s="1">
        <v>170.33</v>
      </c>
      <c r="C12" s="1">
        <v>132.59</v>
      </c>
      <c r="D12" s="1">
        <v>221.16</v>
      </c>
      <c r="E12" s="1">
        <v>158.79</v>
      </c>
      <c r="F12" s="1">
        <v>172.47</v>
      </c>
      <c r="G12" s="1">
        <v>222.35</v>
      </c>
    </row>
    <row r="13" spans="1:7" x14ac:dyDescent="0.3">
      <c r="A13" s="1" t="s">
        <v>17</v>
      </c>
      <c r="B13" s="1">
        <v>34.909999999999997</v>
      </c>
      <c r="C13" s="1">
        <v>22.68</v>
      </c>
      <c r="D13" s="1">
        <v>27.51</v>
      </c>
      <c r="E13" s="1">
        <v>28.61</v>
      </c>
      <c r="F13" s="1">
        <v>27.63</v>
      </c>
      <c r="G13" s="1">
        <v>29.61</v>
      </c>
    </row>
    <row r="14" spans="1:7" x14ac:dyDescent="0.3">
      <c r="A14" s="1" t="s">
        <v>18</v>
      </c>
      <c r="B14" s="1">
        <v>78</v>
      </c>
      <c r="C14" s="1">
        <v>71.48</v>
      </c>
      <c r="D14" s="1">
        <v>69.42</v>
      </c>
      <c r="E14" s="1">
        <v>55.67</v>
      </c>
      <c r="F14" s="1">
        <v>54.06</v>
      </c>
      <c r="G14" s="1">
        <v>83.74</v>
      </c>
    </row>
    <row r="15" spans="1:7" x14ac:dyDescent="0.3">
      <c r="A15" s="1" t="s">
        <v>19</v>
      </c>
      <c r="B15" s="1">
        <v>7</v>
      </c>
      <c r="C15" s="1">
        <v>7</v>
      </c>
      <c r="D15" s="1">
        <v>8</v>
      </c>
      <c r="E15" s="1">
        <v>8</v>
      </c>
      <c r="F15" s="1">
        <v>6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38.21</v>
      </c>
      <c r="C17" s="1">
        <v>794.46</v>
      </c>
      <c r="D17" s="1">
        <v>1645.42</v>
      </c>
      <c r="E17" s="1">
        <v>1521.14</v>
      </c>
      <c r="F17" s="1">
        <v>230.58</v>
      </c>
      <c r="G17" s="1">
        <v>1311.76</v>
      </c>
    </row>
    <row r="18" spans="1:7" x14ac:dyDescent="0.3">
      <c r="A18" s="1" t="s">
        <v>22</v>
      </c>
      <c r="B18" s="1">
        <v>739.08</v>
      </c>
      <c r="C18" s="1">
        <v>55.42</v>
      </c>
      <c r="D18" s="1">
        <v>0</v>
      </c>
      <c r="E18" s="1">
        <v>39.340000000000003</v>
      </c>
      <c r="F18" s="1">
        <v>708.57</v>
      </c>
      <c r="G18" s="1">
        <v>18.73</v>
      </c>
    </row>
    <row r="19" spans="1:7" x14ac:dyDescent="0.3">
      <c r="A19" s="1" t="s">
        <v>23</v>
      </c>
      <c r="B19" s="1">
        <v>2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9.9</v>
      </c>
      <c r="C20" s="1">
        <v>0</v>
      </c>
      <c r="D20" s="1">
        <v>0</v>
      </c>
      <c r="E20" s="1">
        <v>0</v>
      </c>
      <c r="F20" s="1">
        <v>4.7</v>
      </c>
      <c r="G20" s="1">
        <v>0</v>
      </c>
    </row>
    <row r="21" spans="1:7" x14ac:dyDescent="0.3">
      <c r="A21" s="1" t="s">
        <v>25</v>
      </c>
      <c r="B21" s="1">
        <v>0.2</v>
      </c>
      <c r="C21" s="1">
        <v>10</v>
      </c>
      <c r="D21" s="1">
        <v>10</v>
      </c>
      <c r="E21" s="1">
        <v>10</v>
      </c>
      <c r="F21" s="1">
        <v>5.3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6.9</v>
      </c>
      <c r="C24" s="1">
        <v>0</v>
      </c>
      <c r="D24" s="1">
        <v>0</v>
      </c>
      <c r="E24" s="1">
        <v>0</v>
      </c>
      <c r="F24" s="1">
        <v>5.9</v>
      </c>
      <c r="G24" s="1">
        <v>0</v>
      </c>
    </row>
    <row r="25" spans="1:7" x14ac:dyDescent="0.3">
      <c r="A25" s="1" t="s">
        <v>29</v>
      </c>
      <c r="B25" s="1">
        <v>3.2</v>
      </c>
      <c r="C25" s="1">
        <v>1</v>
      </c>
      <c r="D25" s="1">
        <v>0</v>
      </c>
      <c r="E25" s="1">
        <v>0</v>
      </c>
      <c r="F25" s="1">
        <v>1.6</v>
      </c>
      <c r="G25" s="1">
        <v>0</v>
      </c>
    </row>
    <row r="26" spans="1:7" x14ac:dyDescent="0.3">
      <c r="A26" s="1" t="s">
        <v>30</v>
      </c>
      <c r="B26" s="1">
        <v>0</v>
      </c>
      <c r="C26" s="1">
        <v>9</v>
      </c>
      <c r="D26" s="1">
        <v>10</v>
      </c>
      <c r="E26" s="1">
        <v>10</v>
      </c>
      <c r="F26" s="1">
        <v>2.5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68.316831683168317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59.000000000000007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31.683168316831679</v>
      </c>
      <c r="C30" s="3">
        <f t="shared" ref="C30:G30" si="2">C25/C28*100</f>
        <v>10</v>
      </c>
      <c r="D30" s="3">
        <f t="shared" si="2"/>
        <v>0</v>
      </c>
      <c r="E30" s="3">
        <f t="shared" si="2"/>
        <v>0</v>
      </c>
      <c r="F30" s="3">
        <f t="shared" si="2"/>
        <v>16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90</v>
      </c>
      <c r="D31" s="3">
        <f t="shared" si="3"/>
        <v>100</v>
      </c>
      <c r="E31" s="3">
        <f t="shared" si="3"/>
        <v>100</v>
      </c>
      <c r="F31" s="3">
        <f t="shared" si="3"/>
        <v>25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-79.52</v>
      </c>
      <c r="C33" s="3">
        <v>85.31</v>
      </c>
      <c r="D33" s="3">
        <v>180.99</v>
      </c>
      <c r="E33" s="3">
        <v>169.72</v>
      </c>
      <c r="F33" s="3">
        <v>-20.02</v>
      </c>
      <c r="G33" s="3">
        <v>158.31</v>
      </c>
    </row>
    <row r="35" spans="1:7" x14ac:dyDescent="0.3">
      <c r="A35" s="3" t="s">
        <v>36</v>
      </c>
      <c r="B35" s="3"/>
      <c r="C35" s="3"/>
      <c r="D35" s="3">
        <f>D33-C33</f>
        <v>95.68</v>
      </c>
      <c r="E35" s="3"/>
      <c r="F35" s="3">
        <f>F33-E33</f>
        <v>-189.74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-11.27000000000001</v>
      </c>
      <c r="F37" s="3"/>
      <c r="G37" s="3">
        <f>G33-F33</f>
        <v>178.33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2B6B-DCA6-4851-85E9-D342871CAFCB}">
  <dimension ref="A1:G37"/>
  <sheetViews>
    <sheetView tabSelected="1" zoomScale="70" zoomScaleNormal="70" workbookViewId="0">
      <selection activeCell="A42" sqref="A4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241001Bttx002.1</vt:lpstr>
      <vt:lpstr>241001Bttx003.1</vt:lpstr>
      <vt:lpstr>241001Bttx003.2</vt:lpstr>
      <vt:lpstr>241001Bttx003.3</vt:lpstr>
      <vt:lpstr>241001Bttx003.4</vt:lpstr>
      <vt:lpstr>241001Bttx004.2</vt:lpstr>
      <vt:lpstr>241001Bttx004.3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2025-01-13T20:16:32Z</dcterms:created>
  <dcterms:modified xsi:type="dcterms:W3CDTF">2025-01-21T17:58:13Z</dcterms:modified>
</cp:coreProperties>
</file>