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lsh\Desktop\2024-0925\WormLab Data\"/>
    </mc:Choice>
  </mc:AlternateContent>
  <xr:revisionPtr revIDLastSave="0" documentId="13_ncr:1_{423E54A3-7B08-4C2F-B15F-DCFD423769A4}" xr6:coauthVersionLast="47" xr6:coauthVersionMax="47" xr10:uidLastSave="{00000000-0000-0000-0000-000000000000}"/>
  <bookViews>
    <workbookView xWindow="1812" yWindow="1812" windowWidth="21036" windowHeight="11256" firstSheet="3" activeTab="7" xr2:uid="{21CD2E1E-07BE-4CB6-9134-2BAD5B3EAE81}"/>
  </bookViews>
  <sheets>
    <sheet name="240925Bwt002.1" sheetId="2" r:id="rId1"/>
    <sheet name="240925Bwt002.2" sheetId="3" r:id="rId2"/>
    <sheet name="240925Bwt002.3" sheetId="4" r:id="rId3"/>
    <sheet name="240925Bwt002.4" sheetId="5" r:id="rId4"/>
    <sheet name="240925Bwt003.3" sheetId="6" r:id="rId5"/>
    <sheet name="240925Bwt003.4" sheetId="7" r:id="rId6"/>
    <sheet name="240925Bwt004.3" sheetId="8" r:id="rId7"/>
    <sheet name="240925Bwt004.4" sheetId="9" r:id="rId8"/>
    <sheet name="template" sheetId="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9" l="1"/>
  <c r="E37" i="9"/>
  <c r="C37" i="9"/>
  <c r="F35" i="9"/>
  <c r="D35" i="9"/>
  <c r="G28" i="9"/>
  <c r="G30" i="9" s="1"/>
  <c r="F28" i="9"/>
  <c r="F30" i="9" s="1"/>
  <c r="E28" i="9"/>
  <c r="E30" i="9" s="1"/>
  <c r="D28" i="9"/>
  <c r="D31" i="9" s="1"/>
  <c r="C28" i="9"/>
  <c r="C29" i="9" s="1"/>
  <c r="B28" i="9"/>
  <c r="B31" i="9" s="1"/>
  <c r="G37" i="8"/>
  <c r="E37" i="8"/>
  <c r="C37" i="8"/>
  <c r="F35" i="8"/>
  <c r="D35" i="8"/>
  <c r="E31" i="8"/>
  <c r="B31" i="8"/>
  <c r="E30" i="8"/>
  <c r="D30" i="8"/>
  <c r="C30" i="8"/>
  <c r="B30" i="8"/>
  <c r="E29" i="8"/>
  <c r="G28" i="8"/>
  <c r="G31" i="8" s="1"/>
  <c r="F28" i="8"/>
  <c r="F31" i="8" s="1"/>
  <c r="E28" i="8"/>
  <c r="D28" i="8"/>
  <c r="D29" i="8" s="1"/>
  <c r="C28" i="8"/>
  <c r="C29" i="8" s="1"/>
  <c r="B28" i="8"/>
  <c r="B29" i="8" s="1"/>
  <c r="G37" i="7"/>
  <c r="E37" i="7"/>
  <c r="C37" i="7"/>
  <c r="F35" i="7"/>
  <c r="D35" i="7"/>
  <c r="G28" i="7"/>
  <c r="G29" i="7" s="1"/>
  <c r="F28" i="7"/>
  <c r="F30" i="7" s="1"/>
  <c r="E28" i="7"/>
  <c r="E30" i="7" s="1"/>
  <c r="D28" i="7"/>
  <c r="D29" i="7" s="1"/>
  <c r="C28" i="7"/>
  <c r="C29" i="7" s="1"/>
  <c r="B28" i="7"/>
  <c r="B29" i="7" s="1"/>
  <c r="G37" i="6"/>
  <c r="E37" i="6"/>
  <c r="C37" i="6"/>
  <c r="F35" i="6"/>
  <c r="D35" i="6"/>
  <c r="F31" i="6"/>
  <c r="E31" i="6"/>
  <c r="D31" i="6"/>
  <c r="C31" i="6"/>
  <c r="F30" i="6"/>
  <c r="E30" i="6"/>
  <c r="D30" i="6"/>
  <c r="C30" i="6"/>
  <c r="B30" i="6"/>
  <c r="F29" i="6"/>
  <c r="E29" i="6"/>
  <c r="D29" i="6"/>
  <c r="C29" i="6"/>
  <c r="B29" i="6"/>
  <c r="G28" i="6"/>
  <c r="G31" i="6" s="1"/>
  <c r="F28" i="6"/>
  <c r="E28" i="6"/>
  <c r="D28" i="6"/>
  <c r="C28" i="6"/>
  <c r="B28" i="6"/>
  <c r="B31" i="6" s="1"/>
  <c r="G37" i="5"/>
  <c r="E37" i="5"/>
  <c r="C37" i="5"/>
  <c r="F35" i="5"/>
  <c r="D35" i="5"/>
  <c r="F31" i="5"/>
  <c r="E31" i="5"/>
  <c r="D31" i="5"/>
  <c r="G28" i="5"/>
  <c r="G31" i="5" s="1"/>
  <c r="F28" i="5"/>
  <c r="F30" i="5" s="1"/>
  <c r="E28" i="5"/>
  <c r="E30" i="5" s="1"/>
  <c r="D28" i="5"/>
  <c r="D30" i="5" s="1"/>
  <c r="C28" i="5"/>
  <c r="C31" i="5" s="1"/>
  <c r="B28" i="5"/>
  <c r="B29" i="5" s="1"/>
  <c r="G37" i="4"/>
  <c r="E37" i="4"/>
  <c r="C37" i="4"/>
  <c r="F35" i="4"/>
  <c r="D35" i="4"/>
  <c r="G28" i="4"/>
  <c r="G30" i="4" s="1"/>
  <c r="F28" i="4"/>
  <c r="F30" i="4" s="1"/>
  <c r="E28" i="4"/>
  <c r="E30" i="4" s="1"/>
  <c r="D28" i="4"/>
  <c r="D31" i="4" s="1"/>
  <c r="C28" i="4"/>
  <c r="C31" i="4" s="1"/>
  <c r="B28" i="4"/>
  <c r="B31" i="4" s="1"/>
  <c r="G37" i="3"/>
  <c r="E37" i="3"/>
  <c r="C37" i="3"/>
  <c r="F35" i="3"/>
  <c r="D35" i="3"/>
  <c r="B31" i="3"/>
  <c r="B30" i="3"/>
  <c r="B29" i="3"/>
  <c r="G28" i="3"/>
  <c r="G30" i="3" s="1"/>
  <c r="F28" i="3"/>
  <c r="F31" i="3" s="1"/>
  <c r="E28" i="3"/>
  <c r="E31" i="3" s="1"/>
  <c r="D28" i="3"/>
  <c r="D31" i="3" s="1"/>
  <c r="C28" i="3"/>
  <c r="C31" i="3" s="1"/>
  <c r="B28" i="3"/>
  <c r="G37" i="2"/>
  <c r="E37" i="2"/>
  <c r="C37" i="2"/>
  <c r="F35" i="2"/>
  <c r="D35" i="2"/>
  <c r="G28" i="2"/>
  <c r="G29" i="2" s="1"/>
  <c r="F28" i="2"/>
  <c r="F29" i="2" s="1"/>
  <c r="E28" i="2"/>
  <c r="E30" i="2" s="1"/>
  <c r="D28" i="2"/>
  <c r="D29" i="2" s="1"/>
  <c r="C28" i="2"/>
  <c r="C29" i="2" s="1"/>
  <c r="B28" i="2"/>
  <c r="B29" i="2" s="1"/>
  <c r="G37" i="1"/>
  <c r="E37" i="1"/>
  <c r="C37" i="1"/>
  <c r="F35" i="1"/>
  <c r="D35" i="1"/>
  <c r="F31" i="1"/>
  <c r="E31" i="1"/>
  <c r="D31" i="1"/>
  <c r="F29" i="1"/>
  <c r="E29" i="1"/>
  <c r="B29" i="1"/>
  <c r="G28" i="1"/>
  <c r="G31" i="1" s="1"/>
  <c r="F28" i="1"/>
  <c r="F30" i="1" s="1"/>
  <c r="E28" i="1"/>
  <c r="E30" i="1" s="1"/>
  <c r="D28" i="1"/>
  <c r="D29" i="1" s="1"/>
  <c r="C28" i="1"/>
  <c r="C29" i="1" s="1"/>
  <c r="B28" i="1"/>
  <c r="B31" i="1" s="1"/>
  <c r="B29" i="9" l="1"/>
  <c r="B30" i="9"/>
  <c r="E31" i="9"/>
  <c r="F31" i="9"/>
  <c r="G31" i="9"/>
  <c r="D29" i="9"/>
  <c r="E29" i="9"/>
  <c r="F29" i="9"/>
  <c r="G29" i="9"/>
  <c r="C30" i="9"/>
  <c r="D30" i="9"/>
  <c r="C31" i="9"/>
  <c r="F29" i="8"/>
  <c r="G29" i="8"/>
  <c r="F30" i="8"/>
  <c r="G30" i="8"/>
  <c r="C31" i="8"/>
  <c r="D31" i="8"/>
  <c r="G30" i="7"/>
  <c r="B31" i="7"/>
  <c r="C31" i="7"/>
  <c r="D31" i="7"/>
  <c r="E31" i="7"/>
  <c r="F31" i="7"/>
  <c r="G31" i="7"/>
  <c r="E29" i="7"/>
  <c r="F29" i="7"/>
  <c r="B30" i="7"/>
  <c r="C30" i="7"/>
  <c r="D30" i="7"/>
  <c r="G29" i="6"/>
  <c r="G30" i="6"/>
  <c r="B30" i="5"/>
  <c r="B31" i="5"/>
  <c r="C29" i="5"/>
  <c r="D29" i="5"/>
  <c r="E29" i="5"/>
  <c r="F29" i="5"/>
  <c r="G29" i="5"/>
  <c r="C30" i="5"/>
  <c r="G30" i="5"/>
  <c r="B29" i="4"/>
  <c r="B30" i="4"/>
  <c r="E31" i="4"/>
  <c r="F31" i="4"/>
  <c r="G31" i="4"/>
  <c r="C29" i="4"/>
  <c r="D29" i="4"/>
  <c r="E29" i="4"/>
  <c r="F29" i="4"/>
  <c r="G29" i="4"/>
  <c r="C30" i="4"/>
  <c r="D30" i="4"/>
  <c r="C29" i="3"/>
  <c r="D29" i="3"/>
  <c r="F29" i="3"/>
  <c r="C30" i="3"/>
  <c r="D30" i="3"/>
  <c r="G31" i="3"/>
  <c r="E29" i="3"/>
  <c r="G29" i="3"/>
  <c r="E30" i="3"/>
  <c r="F30" i="3"/>
  <c r="F30" i="2"/>
  <c r="G30" i="2"/>
  <c r="B31" i="2"/>
  <c r="C31" i="2"/>
  <c r="D31" i="2"/>
  <c r="E31" i="2"/>
  <c r="F31" i="2"/>
  <c r="G31" i="2"/>
  <c r="E29" i="2"/>
  <c r="B30" i="2"/>
  <c r="C30" i="2"/>
  <c r="D30" i="2"/>
  <c r="G29" i="1"/>
  <c r="B30" i="1"/>
  <c r="C30" i="1"/>
  <c r="D30" i="1"/>
  <c r="G30" i="1"/>
  <c r="C31" i="1"/>
</calcChain>
</file>

<file path=xl/sharedStrings.xml><?xml version="1.0" encoding="utf-8"?>
<sst xmlns="http://schemas.openxmlformats.org/spreadsheetml/2006/main" count="342" uniqueCount="37">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</sst>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B1AA3-7B11-4BE4-BE3F-78F13D3EFE2E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542.98</v>
      </c>
      <c r="C2" s="1">
        <v>523.22</v>
      </c>
      <c r="D2" s="1">
        <v>551.5</v>
      </c>
      <c r="E2" s="1">
        <v>578.55999999999995</v>
      </c>
      <c r="F2" s="1">
        <v>618.95000000000005</v>
      </c>
      <c r="G2" s="1">
        <v>587.98</v>
      </c>
    </row>
    <row r="3" spans="1:7" x14ac:dyDescent="0.3">
      <c r="A3" s="1" t="s">
        <v>7</v>
      </c>
      <c r="B3" s="1">
        <v>52.5</v>
      </c>
      <c r="C3" s="1">
        <v>51.75</v>
      </c>
      <c r="D3" s="1">
        <v>53.58</v>
      </c>
      <c r="E3" s="1">
        <v>63</v>
      </c>
      <c r="F3" s="1">
        <v>63.5</v>
      </c>
      <c r="G3" s="1">
        <v>62.74</v>
      </c>
    </row>
    <row r="4" spans="1:7" x14ac:dyDescent="0.3">
      <c r="A4" s="1" t="s">
        <v>8</v>
      </c>
      <c r="B4" s="1">
        <v>29020.21</v>
      </c>
      <c r="C4" s="1">
        <v>27652.09</v>
      </c>
      <c r="D4" s="1">
        <v>30050.77</v>
      </c>
      <c r="E4" s="1">
        <v>37086.879999999997</v>
      </c>
      <c r="F4" s="1">
        <v>40028.400000000001</v>
      </c>
      <c r="G4" s="1">
        <v>37567.03</v>
      </c>
    </row>
    <row r="5" spans="1:7" x14ac:dyDescent="0.3">
      <c r="A5" s="1" t="s">
        <v>9</v>
      </c>
      <c r="B5" s="1">
        <v>2888.79</v>
      </c>
      <c r="C5" s="1">
        <v>3229.92</v>
      </c>
      <c r="D5" s="1">
        <v>4062.42</v>
      </c>
      <c r="E5" s="1">
        <v>2671.47</v>
      </c>
      <c r="F5" s="1">
        <v>2297.58</v>
      </c>
      <c r="G5" s="1">
        <v>3665.31</v>
      </c>
    </row>
    <row r="6" spans="1:7" x14ac:dyDescent="0.3">
      <c r="A6" s="3" t="s">
        <v>10</v>
      </c>
      <c r="B6" s="3">
        <v>288.88</v>
      </c>
      <c r="C6" s="3">
        <v>326.25</v>
      </c>
      <c r="D6" s="3">
        <v>410.35</v>
      </c>
      <c r="E6" s="3">
        <v>269.85000000000002</v>
      </c>
      <c r="F6" s="3">
        <v>232.08</v>
      </c>
      <c r="G6" s="3">
        <v>374.01</v>
      </c>
    </row>
    <row r="7" spans="1:7" x14ac:dyDescent="0.3">
      <c r="A7" s="1" t="s">
        <v>11</v>
      </c>
      <c r="B7" s="1">
        <v>2561.64</v>
      </c>
      <c r="C7" s="1">
        <v>2949.05</v>
      </c>
      <c r="D7" s="1">
        <v>3721.01</v>
      </c>
      <c r="E7" s="1">
        <v>2430.39</v>
      </c>
      <c r="F7" s="1">
        <v>2128.0500000000002</v>
      </c>
      <c r="G7" s="1">
        <v>3416.33</v>
      </c>
    </row>
    <row r="8" spans="1:7" x14ac:dyDescent="0.3">
      <c r="A8" s="1" t="s">
        <v>12</v>
      </c>
      <c r="B8" s="1">
        <v>256.16000000000003</v>
      </c>
      <c r="C8" s="1">
        <v>297.88</v>
      </c>
      <c r="D8" s="1">
        <v>375.86</v>
      </c>
      <c r="E8" s="1">
        <v>245.49</v>
      </c>
      <c r="F8" s="1">
        <v>214.95</v>
      </c>
      <c r="G8" s="1">
        <v>348.61</v>
      </c>
    </row>
    <row r="9" spans="1:7" x14ac:dyDescent="0.3">
      <c r="A9" s="1" t="s">
        <v>13</v>
      </c>
      <c r="B9" s="1">
        <v>2561.64</v>
      </c>
      <c r="C9" s="1">
        <v>2949.05</v>
      </c>
      <c r="D9" s="1">
        <v>3721.01</v>
      </c>
      <c r="E9" s="1">
        <v>2430.12</v>
      </c>
      <c r="F9" s="1">
        <v>2128.0500000000002</v>
      </c>
      <c r="G9" s="1">
        <v>3347.19</v>
      </c>
    </row>
    <row r="10" spans="1:7" x14ac:dyDescent="0.3">
      <c r="A10" s="1" t="s">
        <v>14</v>
      </c>
      <c r="B10" s="1">
        <v>256.16000000000003</v>
      </c>
      <c r="C10" s="1">
        <v>297.88</v>
      </c>
      <c r="D10" s="1">
        <v>375.86</v>
      </c>
      <c r="E10" s="1">
        <v>245.47</v>
      </c>
      <c r="F10" s="1">
        <v>214.95</v>
      </c>
      <c r="G10" s="1">
        <v>341.55</v>
      </c>
    </row>
    <row r="11" spans="1:7" x14ac:dyDescent="0.3">
      <c r="A11" s="1" t="s">
        <v>15</v>
      </c>
      <c r="B11" s="1">
        <v>1940.44</v>
      </c>
      <c r="C11" s="1">
        <v>2986.69</v>
      </c>
      <c r="D11" s="1">
        <v>3820.39</v>
      </c>
      <c r="E11" s="1">
        <v>2266.77</v>
      </c>
      <c r="F11" s="1">
        <v>2162.86</v>
      </c>
      <c r="G11" s="1">
        <v>3318.71</v>
      </c>
    </row>
    <row r="12" spans="1:7" x14ac:dyDescent="0.3">
      <c r="A12" s="1" t="s">
        <v>16</v>
      </c>
      <c r="B12" s="1">
        <v>272.19</v>
      </c>
      <c r="C12" s="1">
        <v>278.19</v>
      </c>
      <c r="D12" s="1">
        <v>302.33</v>
      </c>
      <c r="E12" s="1">
        <v>287.38</v>
      </c>
      <c r="F12" s="1">
        <v>316.76</v>
      </c>
      <c r="G12" s="1">
        <v>277.52</v>
      </c>
    </row>
    <row r="13" spans="1:7" x14ac:dyDescent="0.3">
      <c r="A13" s="1" t="s">
        <v>17</v>
      </c>
      <c r="B13" s="1">
        <v>42.47</v>
      </c>
      <c r="C13" s="1">
        <v>29.87</v>
      </c>
      <c r="D13" s="1">
        <v>30.88</v>
      </c>
      <c r="E13" s="1">
        <v>44.61</v>
      </c>
      <c r="F13" s="1">
        <v>24.41</v>
      </c>
      <c r="G13" s="1">
        <v>33.72</v>
      </c>
    </row>
    <row r="14" spans="1:7" x14ac:dyDescent="0.3">
      <c r="A14" s="1" t="s">
        <v>18</v>
      </c>
      <c r="B14" s="1">
        <v>120.06</v>
      </c>
      <c r="C14" s="1">
        <v>80.58</v>
      </c>
      <c r="D14" s="1">
        <v>63.81</v>
      </c>
      <c r="E14" s="1">
        <v>99.18</v>
      </c>
      <c r="F14" s="1">
        <v>54.81</v>
      </c>
      <c r="G14" s="1">
        <v>80.14</v>
      </c>
    </row>
    <row r="15" spans="1:7" x14ac:dyDescent="0.3">
      <c r="A15" s="1" t="s">
        <v>19</v>
      </c>
      <c r="B15" s="1">
        <v>11</v>
      </c>
      <c r="C15" s="1">
        <v>7</v>
      </c>
      <c r="D15" s="1">
        <v>2</v>
      </c>
      <c r="E15" s="1">
        <v>8</v>
      </c>
      <c r="F15" s="1">
        <v>4</v>
      </c>
      <c r="G15" s="1">
        <v>5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2561.64</v>
      </c>
      <c r="C17" s="1">
        <v>2949.05</v>
      </c>
      <c r="D17" s="1">
        <v>3721.01</v>
      </c>
      <c r="E17" s="1">
        <v>2430.25</v>
      </c>
      <c r="F17" s="1">
        <v>2128.0500000000002</v>
      </c>
      <c r="G17" s="1">
        <v>3381.76</v>
      </c>
    </row>
    <row r="18" spans="1:7" x14ac:dyDescent="0.3">
      <c r="A18" s="1" t="s">
        <v>22</v>
      </c>
      <c r="B18" s="1">
        <v>0</v>
      </c>
      <c r="C18" s="1">
        <v>0</v>
      </c>
      <c r="D18" s="1">
        <v>0</v>
      </c>
      <c r="E18" s="1">
        <v>0.13</v>
      </c>
      <c r="F18" s="1">
        <v>0</v>
      </c>
      <c r="G18" s="1">
        <v>34.57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280.47000000000003</v>
      </c>
      <c r="C33" s="3">
        <v>319.45999999999998</v>
      </c>
      <c r="D33" s="3">
        <v>405.89</v>
      </c>
      <c r="E33" s="3">
        <v>265.94</v>
      </c>
      <c r="F33" s="3">
        <v>226.77</v>
      </c>
      <c r="G33" s="3">
        <v>355.68</v>
      </c>
    </row>
    <row r="35" spans="1:7" x14ac:dyDescent="0.3">
      <c r="A35" s="3" t="s">
        <v>36</v>
      </c>
      <c r="B35" s="3"/>
      <c r="C35" s="3"/>
      <c r="D35" s="3">
        <f>D33-C33</f>
        <v>86.43</v>
      </c>
      <c r="E35" s="3"/>
      <c r="F35" s="3">
        <f>F33-E33</f>
        <v>-39.169999999999987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-139.94999999999999</v>
      </c>
      <c r="F37" s="3"/>
      <c r="G37" s="3">
        <f>G33-F33</f>
        <v>128.91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86E04-910F-434E-9ACC-9B6CA1C23A60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551.49</v>
      </c>
      <c r="C2" s="1">
        <v>531.71</v>
      </c>
      <c r="D2" s="1">
        <v>555.67999999999995</v>
      </c>
      <c r="E2" s="1">
        <v>518.47</v>
      </c>
      <c r="F2" s="1">
        <v>522.62</v>
      </c>
      <c r="G2" s="1">
        <v>497.05</v>
      </c>
    </row>
    <row r="3" spans="1:7" x14ac:dyDescent="0.3">
      <c r="A3" s="1" t="s">
        <v>7</v>
      </c>
      <c r="B3" s="1">
        <v>60.93</v>
      </c>
      <c r="C3" s="1">
        <v>49.5</v>
      </c>
      <c r="D3" s="1">
        <v>53.6</v>
      </c>
      <c r="E3" s="1">
        <v>53.69</v>
      </c>
      <c r="F3" s="1">
        <v>51.94</v>
      </c>
      <c r="G3" s="1">
        <v>45.62</v>
      </c>
    </row>
    <row r="4" spans="1:7" x14ac:dyDescent="0.3">
      <c r="A4" s="1" t="s">
        <v>8</v>
      </c>
      <c r="B4" s="1">
        <v>34172.11</v>
      </c>
      <c r="C4" s="1">
        <v>26919.32</v>
      </c>
      <c r="D4" s="1">
        <v>30293.27</v>
      </c>
      <c r="E4" s="1">
        <v>28444.080000000002</v>
      </c>
      <c r="F4" s="1">
        <v>27676.86</v>
      </c>
      <c r="G4" s="1">
        <v>23062.67</v>
      </c>
    </row>
    <row r="5" spans="1:7" x14ac:dyDescent="0.3">
      <c r="A5" s="1" t="s">
        <v>9</v>
      </c>
      <c r="B5" s="1">
        <v>2407.7399999999998</v>
      </c>
      <c r="C5" s="1">
        <v>2630</v>
      </c>
      <c r="D5" s="1">
        <v>2939.87</v>
      </c>
      <c r="E5" s="1">
        <v>2716.54</v>
      </c>
      <c r="F5" s="1">
        <v>2701.08</v>
      </c>
      <c r="G5" s="1">
        <v>1351.85</v>
      </c>
    </row>
    <row r="6" spans="1:7" x14ac:dyDescent="0.3">
      <c r="A6" s="3" t="s">
        <v>10</v>
      </c>
      <c r="B6" s="3">
        <v>240.77</v>
      </c>
      <c r="C6" s="3">
        <v>265.66000000000003</v>
      </c>
      <c r="D6" s="3">
        <v>296.95999999999998</v>
      </c>
      <c r="E6" s="3">
        <v>274.39999999999998</v>
      </c>
      <c r="F6" s="3">
        <v>272.83999999999997</v>
      </c>
      <c r="G6" s="3">
        <v>137.94</v>
      </c>
    </row>
    <row r="7" spans="1:7" x14ac:dyDescent="0.3">
      <c r="A7" s="1" t="s">
        <v>11</v>
      </c>
      <c r="B7" s="1">
        <v>2316.0300000000002</v>
      </c>
      <c r="C7" s="1">
        <v>2443.27</v>
      </c>
      <c r="D7" s="1">
        <v>2806.08</v>
      </c>
      <c r="E7" s="1">
        <v>2596.85</v>
      </c>
      <c r="F7" s="1">
        <v>2553.67</v>
      </c>
      <c r="G7" s="1">
        <v>1318.98</v>
      </c>
    </row>
    <row r="8" spans="1:7" x14ac:dyDescent="0.3">
      <c r="A8" s="1" t="s">
        <v>12</v>
      </c>
      <c r="B8" s="1">
        <v>231.6</v>
      </c>
      <c r="C8" s="1">
        <v>246.8</v>
      </c>
      <c r="D8" s="1">
        <v>283.44</v>
      </c>
      <c r="E8" s="1">
        <v>262.31</v>
      </c>
      <c r="F8" s="1">
        <v>257.95</v>
      </c>
      <c r="G8" s="1">
        <v>134.59</v>
      </c>
    </row>
    <row r="9" spans="1:7" x14ac:dyDescent="0.3">
      <c r="A9" s="1" t="s">
        <v>13</v>
      </c>
      <c r="B9" s="1">
        <v>2316.0300000000002</v>
      </c>
      <c r="C9" s="1">
        <v>2443</v>
      </c>
      <c r="D9" s="1">
        <v>2806.08</v>
      </c>
      <c r="E9" s="1">
        <v>2591.5100000000002</v>
      </c>
      <c r="F9" s="1">
        <v>2519.37</v>
      </c>
      <c r="G9" s="1">
        <v>1318.98</v>
      </c>
    </row>
    <row r="10" spans="1:7" x14ac:dyDescent="0.3">
      <c r="A10" s="1" t="s">
        <v>14</v>
      </c>
      <c r="B10" s="1">
        <v>231.6</v>
      </c>
      <c r="C10" s="1">
        <v>246.77</v>
      </c>
      <c r="D10" s="1">
        <v>283.44</v>
      </c>
      <c r="E10" s="1">
        <v>261.77</v>
      </c>
      <c r="F10" s="1">
        <v>254.48</v>
      </c>
      <c r="G10" s="1">
        <v>134.59</v>
      </c>
    </row>
    <row r="11" spans="1:7" x14ac:dyDescent="0.3">
      <c r="A11" s="1" t="s">
        <v>15</v>
      </c>
      <c r="B11" s="1">
        <v>2090.94</v>
      </c>
      <c r="C11" s="1">
        <v>2275.36</v>
      </c>
      <c r="D11" s="1">
        <v>2770.67</v>
      </c>
      <c r="E11" s="1">
        <v>2285.17</v>
      </c>
      <c r="F11" s="1">
        <v>2221.21</v>
      </c>
      <c r="G11" s="1">
        <v>1211.25</v>
      </c>
    </row>
    <row r="12" spans="1:7" x14ac:dyDescent="0.3">
      <c r="A12" s="1" t="s">
        <v>16</v>
      </c>
      <c r="B12" s="1">
        <v>287.2</v>
      </c>
      <c r="C12" s="1">
        <v>268.41000000000003</v>
      </c>
      <c r="D12" s="1">
        <v>296.19</v>
      </c>
      <c r="E12" s="1">
        <v>276.10000000000002</v>
      </c>
      <c r="F12" s="1">
        <v>260.49</v>
      </c>
      <c r="G12" s="1">
        <v>265.33999999999997</v>
      </c>
    </row>
    <row r="13" spans="1:7" x14ac:dyDescent="0.3">
      <c r="A13" s="1" t="s">
        <v>17</v>
      </c>
      <c r="B13" s="1">
        <v>29.52</v>
      </c>
      <c r="C13" s="1">
        <v>33.5</v>
      </c>
      <c r="D13" s="1">
        <v>25.07</v>
      </c>
      <c r="E13" s="1">
        <v>27.91</v>
      </c>
      <c r="F13" s="1">
        <v>24.06</v>
      </c>
      <c r="G13" s="1">
        <v>21.04</v>
      </c>
    </row>
    <row r="14" spans="1:7" x14ac:dyDescent="0.3">
      <c r="A14" s="1" t="s">
        <v>18</v>
      </c>
      <c r="B14" s="1">
        <v>78.5</v>
      </c>
      <c r="C14" s="1">
        <v>69.84</v>
      </c>
      <c r="D14" s="1">
        <v>59.44</v>
      </c>
      <c r="E14" s="1">
        <v>55.21</v>
      </c>
      <c r="F14" s="1">
        <v>61.66</v>
      </c>
      <c r="G14" s="1">
        <v>56.58</v>
      </c>
    </row>
    <row r="15" spans="1:7" x14ac:dyDescent="0.3">
      <c r="A15" s="1" t="s">
        <v>19</v>
      </c>
      <c r="B15" s="1">
        <v>8</v>
      </c>
      <c r="C15" s="1">
        <v>9</v>
      </c>
      <c r="D15" s="1">
        <v>4</v>
      </c>
      <c r="E15" s="1">
        <v>8</v>
      </c>
      <c r="F15" s="1">
        <v>6</v>
      </c>
      <c r="G15" s="1">
        <v>5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2316.0300000000002</v>
      </c>
      <c r="C17" s="1">
        <v>2443.14</v>
      </c>
      <c r="D17" s="1">
        <v>2806.08</v>
      </c>
      <c r="E17" s="1">
        <v>2594.1799999999998</v>
      </c>
      <c r="F17" s="1">
        <v>2536.52</v>
      </c>
      <c r="G17" s="1">
        <v>1318.98</v>
      </c>
    </row>
    <row r="18" spans="1:7" x14ac:dyDescent="0.3">
      <c r="A18" s="1" t="s">
        <v>22</v>
      </c>
      <c r="B18" s="1">
        <v>0</v>
      </c>
      <c r="C18" s="1">
        <v>0.14000000000000001</v>
      </c>
      <c r="D18" s="1">
        <v>0</v>
      </c>
      <c r="E18" s="1">
        <v>2.67</v>
      </c>
      <c r="F18" s="1">
        <v>17.149999999999999</v>
      </c>
      <c r="G18" s="1">
        <v>0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233.03</v>
      </c>
      <c r="C33" s="3">
        <v>265.69</v>
      </c>
      <c r="D33" s="3">
        <v>290.97000000000003</v>
      </c>
      <c r="E33" s="3">
        <v>274.60000000000002</v>
      </c>
      <c r="F33" s="3">
        <v>263.26</v>
      </c>
      <c r="G33" s="3">
        <v>135.69999999999999</v>
      </c>
    </row>
    <row r="35" spans="1:7" x14ac:dyDescent="0.3">
      <c r="A35" s="3" t="s">
        <v>36</v>
      </c>
      <c r="B35" s="3"/>
      <c r="C35" s="3"/>
      <c r="D35" s="3">
        <f>D33-C33</f>
        <v>25.28000000000003</v>
      </c>
      <c r="E35" s="3"/>
      <c r="F35" s="3">
        <f>F33-E33</f>
        <v>-11.340000000000032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-16.370000000000005</v>
      </c>
      <c r="F37" s="3"/>
      <c r="G37" s="3">
        <f>G33-F33</f>
        <v>-127.56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4F2A0-AADA-47DA-8CC3-D1A17E77DC53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531.37</v>
      </c>
      <c r="C2" s="1">
        <v>588.73</v>
      </c>
      <c r="D2" s="1">
        <v>533.30999999999995</v>
      </c>
      <c r="E2" s="1">
        <v>545.16</v>
      </c>
      <c r="F2" s="1">
        <v>545.09</v>
      </c>
      <c r="G2" s="1">
        <v>581.96</v>
      </c>
    </row>
    <row r="3" spans="1:7" x14ac:dyDescent="0.3">
      <c r="A3" s="1" t="s">
        <v>7</v>
      </c>
      <c r="B3" s="1">
        <v>60.72</v>
      </c>
      <c r="C3" s="1">
        <v>65.45</v>
      </c>
      <c r="D3" s="1">
        <v>49.34</v>
      </c>
      <c r="E3" s="1">
        <v>57.48</v>
      </c>
      <c r="F3" s="1">
        <v>58</v>
      </c>
      <c r="G3" s="1">
        <v>66.61</v>
      </c>
    </row>
    <row r="4" spans="1:7" x14ac:dyDescent="0.3">
      <c r="A4" s="1" t="s">
        <v>8</v>
      </c>
      <c r="B4" s="1">
        <v>32755.13</v>
      </c>
      <c r="C4" s="1">
        <v>39229.82</v>
      </c>
      <c r="D4" s="1">
        <v>26753.77</v>
      </c>
      <c r="E4" s="1">
        <v>31857.32</v>
      </c>
      <c r="F4" s="1">
        <v>32130.81</v>
      </c>
      <c r="G4" s="1">
        <v>39431.81</v>
      </c>
    </row>
    <row r="5" spans="1:7" x14ac:dyDescent="0.3">
      <c r="A5" s="1" t="s">
        <v>9</v>
      </c>
      <c r="B5" s="1">
        <v>2336.54</v>
      </c>
      <c r="C5" s="1">
        <v>3524.36</v>
      </c>
      <c r="D5" s="1">
        <v>3048.04</v>
      </c>
      <c r="E5" s="1">
        <v>2513.16</v>
      </c>
      <c r="F5" s="1">
        <v>1577.28</v>
      </c>
      <c r="G5" s="1">
        <v>680.17</v>
      </c>
    </row>
    <row r="6" spans="1:7" x14ac:dyDescent="0.3">
      <c r="A6" s="3" t="s">
        <v>10</v>
      </c>
      <c r="B6" s="3">
        <v>233.65</v>
      </c>
      <c r="C6" s="3">
        <v>356</v>
      </c>
      <c r="D6" s="3">
        <v>307.88</v>
      </c>
      <c r="E6" s="3">
        <v>253.85</v>
      </c>
      <c r="F6" s="3">
        <v>159.32</v>
      </c>
      <c r="G6" s="3">
        <v>69.41</v>
      </c>
    </row>
    <row r="7" spans="1:7" x14ac:dyDescent="0.3">
      <c r="A7" s="1" t="s">
        <v>11</v>
      </c>
      <c r="B7" s="1">
        <v>2146.85</v>
      </c>
      <c r="C7" s="1">
        <v>3350.86</v>
      </c>
      <c r="D7" s="1">
        <v>2903.22</v>
      </c>
      <c r="E7" s="1">
        <v>2364.89</v>
      </c>
      <c r="F7" s="1">
        <v>1550.06</v>
      </c>
      <c r="G7" s="1">
        <v>672.85</v>
      </c>
    </row>
    <row r="8" spans="1:7" x14ac:dyDescent="0.3">
      <c r="A8" s="1" t="s">
        <v>12</v>
      </c>
      <c r="B8" s="1">
        <v>214.69</v>
      </c>
      <c r="C8" s="1">
        <v>338.47</v>
      </c>
      <c r="D8" s="1">
        <v>293.26</v>
      </c>
      <c r="E8" s="1">
        <v>238.88</v>
      </c>
      <c r="F8" s="1">
        <v>156.57</v>
      </c>
      <c r="G8" s="1">
        <v>68.66</v>
      </c>
    </row>
    <row r="9" spans="1:7" x14ac:dyDescent="0.3">
      <c r="A9" s="1" t="s">
        <v>13</v>
      </c>
      <c r="B9" s="1">
        <v>2047.84</v>
      </c>
      <c r="C9" s="1">
        <v>3350.86</v>
      </c>
      <c r="D9" s="1">
        <v>2903.22</v>
      </c>
      <c r="E9" s="1">
        <v>2337.9699999999998</v>
      </c>
      <c r="F9" s="1">
        <v>1550.06</v>
      </c>
      <c r="G9" s="1">
        <v>672.85</v>
      </c>
    </row>
    <row r="10" spans="1:7" x14ac:dyDescent="0.3">
      <c r="A10" s="1" t="s">
        <v>14</v>
      </c>
      <c r="B10" s="1">
        <v>204.78</v>
      </c>
      <c r="C10" s="1">
        <v>338.47</v>
      </c>
      <c r="D10" s="1">
        <v>293.26</v>
      </c>
      <c r="E10" s="1">
        <v>236.16</v>
      </c>
      <c r="F10" s="1">
        <v>156.57</v>
      </c>
      <c r="G10" s="1">
        <v>68.66</v>
      </c>
    </row>
    <row r="11" spans="1:7" x14ac:dyDescent="0.3">
      <c r="A11" s="1" t="s">
        <v>15</v>
      </c>
      <c r="B11" s="1">
        <v>362.08</v>
      </c>
      <c r="C11" s="1">
        <v>2966.21</v>
      </c>
      <c r="D11" s="1">
        <v>2783.77</v>
      </c>
      <c r="E11" s="1">
        <v>2139.7399999999998</v>
      </c>
      <c r="F11" s="1">
        <v>1446.48</v>
      </c>
      <c r="G11" s="1">
        <v>635.98</v>
      </c>
    </row>
    <row r="12" spans="1:7" x14ac:dyDescent="0.3">
      <c r="A12" s="1" t="s">
        <v>16</v>
      </c>
      <c r="B12" s="1">
        <v>272.63</v>
      </c>
      <c r="C12" s="1">
        <v>313.29000000000002</v>
      </c>
      <c r="D12" s="1">
        <v>267.01</v>
      </c>
      <c r="E12" s="1">
        <v>292.14999999999998</v>
      </c>
      <c r="F12" s="1">
        <v>301.49</v>
      </c>
      <c r="G12" s="1">
        <v>308.58</v>
      </c>
    </row>
    <row r="13" spans="1:7" x14ac:dyDescent="0.3">
      <c r="A13" s="1" t="s">
        <v>17</v>
      </c>
      <c r="B13" s="1">
        <v>46.63</v>
      </c>
      <c r="C13" s="1">
        <v>29.52</v>
      </c>
      <c r="D13" s="1">
        <v>27.28</v>
      </c>
      <c r="E13" s="1">
        <v>31.06</v>
      </c>
      <c r="F13" s="1">
        <v>19.12</v>
      </c>
      <c r="G13" s="1">
        <v>16.63</v>
      </c>
    </row>
    <row r="14" spans="1:7" x14ac:dyDescent="0.3">
      <c r="A14" s="1" t="s">
        <v>18</v>
      </c>
      <c r="B14" s="1">
        <v>116.37</v>
      </c>
      <c r="C14" s="1">
        <v>78.989999999999995</v>
      </c>
      <c r="D14" s="1">
        <v>78.58</v>
      </c>
      <c r="E14" s="1">
        <v>86.13</v>
      </c>
      <c r="F14" s="1">
        <v>54.26</v>
      </c>
      <c r="G14" s="1">
        <v>39.99</v>
      </c>
    </row>
    <row r="15" spans="1:7" x14ac:dyDescent="0.3">
      <c r="A15" s="1" t="s">
        <v>19</v>
      </c>
      <c r="B15" s="1">
        <v>5</v>
      </c>
      <c r="C15" s="1">
        <v>3</v>
      </c>
      <c r="D15" s="1">
        <v>6</v>
      </c>
      <c r="E15" s="1">
        <v>4</v>
      </c>
      <c r="F15" s="1">
        <v>5</v>
      </c>
      <c r="G15" s="1">
        <v>1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2097.35</v>
      </c>
      <c r="C17" s="1">
        <v>3350.86</v>
      </c>
      <c r="D17" s="1">
        <v>2903.22</v>
      </c>
      <c r="E17" s="1">
        <v>2351.4299999999998</v>
      </c>
      <c r="F17" s="1">
        <v>1550.06</v>
      </c>
      <c r="G17" s="1">
        <v>672.85</v>
      </c>
    </row>
    <row r="18" spans="1:7" x14ac:dyDescent="0.3">
      <c r="A18" s="1" t="s">
        <v>22</v>
      </c>
      <c r="B18" s="1">
        <v>49.51</v>
      </c>
      <c r="C18" s="1">
        <v>0</v>
      </c>
      <c r="D18" s="1">
        <v>0</v>
      </c>
      <c r="E18" s="1">
        <v>13.46</v>
      </c>
      <c r="F18" s="1">
        <v>0</v>
      </c>
      <c r="G18" s="1">
        <v>0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2.2999999999999998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3">
      <c r="A26" s="1" t="s">
        <v>30</v>
      </c>
      <c r="B26" s="1">
        <v>7.8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22.772277227722771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77.227722772277232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215.28</v>
      </c>
      <c r="C33" s="3">
        <v>353.54</v>
      </c>
      <c r="D33" s="3">
        <v>307.27</v>
      </c>
      <c r="E33" s="3">
        <v>241.17</v>
      </c>
      <c r="F33" s="3">
        <v>162.61000000000001</v>
      </c>
      <c r="G33" s="3">
        <v>67.78</v>
      </c>
    </row>
    <row r="35" spans="1:7" x14ac:dyDescent="0.3">
      <c r="A35" s="3" t="s">
        <v>36</v>
      </c>
      <c r="B35" s="3"/>
      <c r="C35" s="3"/>
      <c r="D35" s="3">
        <f>D33-C33</f>
        <v>-46.270000000000039</v>
      </c>
      <c r="E35" s="3"/>
      <c r="F35" s="3">
        <f>F33-E33</f>
        <v>-78.559999999999974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-66.099999999999994</v>
      </c>
      <c r="F37" s="3"/>
      <c r="G37" s="3">
        <f>G33-F33</f>
        <v>-94.830000000000013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960A6-2EE1-4388-9479-1C2F4A6E6866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480.46</v>
      </c>
      <c r="C2" s="1">
        <v>454.87</v>
      </c>
      <c r="D2" s="1">
        <v>381.65</v>
      </c>
      <c r="E2" s="1">
        <v>445.57</v>
      </c>
      <c r="F2" s="1">
        <v>450.74</v>
      </c>
      <c r="G2" s="1">
        <v>494.9</v>
      </c>
    </row>
    <row r="3" spans="1:7" x14ac:dyDescent="0.3">
      <c r="A3" s="1" t="s">
        <v>7</v>
      </c>
      <c r="B3" s="1">
        <v>42.64</v>
      </c>
      <c r="C3" s="1">
        <v>40.479999999999997</v>
      </c>
      <c r="D3" s="1">
        <v>37.630000000000003</v>
      </c>
      <c r="E3" s="1">
        <v>41.52</v>
      </c>
      <c r="F3" s="1">
        <v>41.78</v>
      </c>
      <c r="G3" s="1">
        <v>50.8</v>
      </c>
    </row>
    <row r="4" spans="1:7" x14ac:dyDescent="0.3">
      <c r="A4" s="1" t="s">
        <v>8</v>
      </c>
      <c r="B4" s="1">
        <v>20806.259999999998</v>
      </c>
      <c r="C4" s="1">
        <v>18685.36</v>
      </c>
      <c r="D4" s="1">
        <v>14591.55</v>
      </c>
      <c r="E4" s="1">
        <v>18737.18</v>
      </c>
      <c r="F4" s="1">
        <v>19118.46</v>
      </c>
      <c r="G4" s="1">
        <v>25542.73</v>
      </c>
    </row>
    <row r="5" spans="1:7" x14ac:dyDescent="0.3">
      <c r="A5" s="1" t="s">
        <v>9</v>
      </c>
      <c r="B5" s="1">
        <v>3306.26</v>
      </c>
      <c r="C5" s="1">
        <v>3546.34</v>
      </c>
      <c r="D5" s="1">
        <v>3387.55</v>
      </c>
      <c r="E5" s="1">
        <v>2370.9899999999998</v>
      </c>
      <c r="F5" s="1">
        <v>1439.25</v>
      </c>
      <c r="G5" s="1">
        <v>2322.44</v>
      </c>
    </row>
    <row r="6" spans="1:7" x14ac:dyDescent="0.3">
      <c r="A6" s="3" t="s">
        <v>10</v>
      </c>
      <c r="B6" s="3">
        <v>330.63</v>
      </c>
      <c r="C6" s="3">
        <v>358.22</v>
      </c>
      <c r="D6" s="3">
        <v>342.18</v>
      </c>
      <c r="E6" s="3">
        <v>239.49</v>
      </c>
      <c r="F6" s="3">
        <v>145.38</v>
      </c>
      <c r="G6" s="3">
        <v>236.98</v>
      </c>
    </row>
    <row r="7" spans="1:7" x14ac:dyDescent="0.3">
      <c r="A7" s="1" t="s">
        <v>11</v>
      </c>
      <c r="B7" s="1">
        <v>2865.94</v>
      </c>
      <c r="C7" s="1">
        <v>3077.7</v>
      </c>
      <c r="D7" s="1">
        <v>2857.84</v>
      </c>
      <c r="E7" s="1">
        <v>2004.92</v>
      </c>
      <c r="F7" s="1">
        <v>1203.9000000000001</v>
      </c>
      <c r="G7" s="1">
        <v>2144.41</v>
      </c>
    </row>
    <row r="8" spans="1:7" x14ac:dyDescent="0.3">
      <c r="A8" s="1" t="s">
        <v>12</v>
      </c>
      <c r="B8" s="1">
        <v>286.58999999999997</v>
      </c>
      <c r="C8" s="1">
        <v>310.88</v>
      </c>
      <c r="D8" s="1">
        <v>288.67</v>
      </c>
      <c r="E8" s="1">
        <v>202.52</v>
      </c>
      <c r="F8" s="1">
        <v>121.61</v>
      </c>
      <c r="G8" s="1">
        <v>218.82</v>
      </c>
    </row>
    <row r="9" spans="1:7" x14ac:dyDescent="0.3">
      <c r="A9" s="1" t="s">
        <v>13</v>
      </c>
      <c r="B9" s="1">
        <v>2865.94</v>
      </c>
      <c r="C9" s="1">
        <v>3077.7</v>
      </c>
      <c r="D9" s="1">
        <v>2857.14</v>
      </c>
      <c r="E9" s="1">
        <v>1930</v>
      </c>
      <c r="F9" s="1">
        <v>686.44</v>
      </c>
      <c r="G9" s="1">
        <v>2144.41</v>
      </c>
    </row>
    <row r="10" spans="1:7" x14ac:dyDescent="0.3">
      <c r="A10" s="1" t="s">
        <v>14</v>
      </c>
      <c r="B10" s="1">
        <v>286.58999999999997</v>
      </c>
      <c r="C10" s="1">
        <v>310.88</v>
      </c>
      <c r="D10" s="1">
        <v>288.60000000000002</v>
      </c>
      <c r="E10" s="1">
        <v>194.95</v>
      </c>
      <c r="F10" s="1">
        <v>69.34</v>
      </c>
      <c r="G10" s="1">
        <v>218.82</v>
      </c>
    </row>
    <row r="11" spans="1:7" x14ac:dyDescent="0.3">
      <c r="A11" s="1" t="s">
        <v>15</v>
      </c>
      <c r="B11" s="1">
        <v>2646.02</v>
      </c>
      <c r="C11" s="1">
        <v>1838.68</v>
      </c>
      <c r="D11" s="1">
        <v>2691.81</v>
      </c>
      <c r="E11" s="1">
        <v>1749.34</v>
      </c>
      <c r="F11" s="1">
        <v>552.87</v>
      </c>
      <c r="G11" s="1">
        <v>1821.67</v>
      </c>
    </row>
    <row r="12" spans="1:7" x14ac:dyDescent="0.3">
      <c r="A12" s="1" t="s">
        <v>16</v>
      </c>
      <c r="B12" s="1">
        <v>240.17</v>
      </c>
      <c r="C12" s="1">
        <v>245.66</v>
      </c>
      <c r="D12" s="1">
        <v>217.02</v>
      </c>
      <c r="E12" s="1">
        <v>230.1</v>
      </c>
      <c r="F12" s="1">
        <v>184.7</v>
      </c>
      <c r="G12" s="1">
        <v>239.85</v>
      </c>
    </row>
    <row r="13" spans="1:7" x14ac:dyDescent="0.3">
      <c r="A13" s="1" t="s">
        <v>17</v>
      </c>
      <c r="B13" s="1">
        <v>39.32</v>
      </c>
      <c r="C13" s="1">
        <v>34.89</v>
      </c>
      <c r="D13" s="1">
        <v>29.22</v>
      </c>
      <c r="E13" s="1">
        <v>41.67</v>
      </c>
      <c r="F13" s="1">
        <v>47.67</v>
      </c>
      <c r="G13" s="1">
        <v>37.82</v>
      </c>
    </row>
    <row r="14" spans="1:7" x14ac:dyDescent="0.3">
      <c r="A14" s="1" t="s">
        <v>18</v>
      </c>
      <c r="B14" s="1">
        <v>77.39</v>
      </c>
      <c r="C14" s="1">
        <v>72.819999999999993</v>
      </c>
      <c r="D14" s="1">
        <v>68.19</v>
      </c>
      <c r="E14" s="1">
        <v>83.7</v>
      </c>
      <c r="F14" s="1">
        <v>84.92</v>
      </c>
      <c r="G14" s="1">
        <v>92.2</v>
      </c>
    </row>
    <row r="15" spans="1:7" x14ac:dyDescent="0.3">
      <c r="A15" s="1" t="s">
        <v>19</v>
      </c>
      <c r="B15" s="1">
        <v>5</v>
      </c>
      <c r="C15" s="1">
        <v>7</v>
      </c>
      <c r="D15" s="1">
        <v>5</v>
      </c>
      <c r="E15" s="1">
        <v>5</v>
      </c>
      <c r="F15" s="1">
        <v>7</v>
      </c>
      <c r="G15" s="1">
        <v>7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2865.94</v>
      </c>
      <c r="C17" s="1">
        <v>3077.7</v>
      </c>
      <c r="D17" s="1">
        <v>2857.49</v>
      </c>
      <c r="E17" s="1">
        <v>1967.46</v>
      </c>
      <c r="F17" s="1">
        <v>945.17</v>
      </c>
      <c r="G17" s="1">
        <v>2144.41</v>
      </c>
    </row>
    <row r="18" spans="1:7" x14ac:dyDescent="0.3">
      <c r="A18" s="1" t="s">
        <v>22</v>
      </c>
      <c r="B18" s="1">
        <v>0</v>
      </c>
      <c r="C18" s="1">
        <v>0</v>
      </c>
      <c r="D18" s="1">
        <v>0.35</v>
      </c>
      <c r="E18" s="1">
        <v>37.46</v>
      </c>
      <c r="F18" s="1">
        <v>258.73</v>
      </c>
      <c r="G18" s="1">
        <v>0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2.8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7.2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2.8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7.2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27.999999999999996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72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317.45</v>
      </c>
      <c r="C33" s="3">
        <v>351.84</v>
      </c>
      <c r="D33" s="3">
        <v>330.66</v>
      </c>
      <c r="E33" s="3">
        <v>228.55</v>
      </c>
      <c r="F33" s="3">
        <v>44.57</v>
      </c>
      <c r="G33" s="3">
        <v>231.27</v>
      </c>
    </row>
    <row r="35" spans="1:7" x14ac:dyDescent="0.3">
      <c r="A35" s="3" t="s">
        <v>36</v>
      </c>
      <c r="B35" s="3"/>
      <c r="C35" s="3"/>
      <c r="D35" s="3">
        <f>D33-C33</f>
        <v>-21.17999999999995</v>
      </c>
      <c r="E35" s="3"/>
      <c r="F35" s="3">
        <f>F33-E33</f>
        <v>-183.98000000000002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-102.11000000000001</v>
      </c>
      <c r="F37" s="3"/>
      <c r="G37" s="3" t="e">
        <f>#REF!-F33</f>
        <v>#REF!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D1A52-8C10-48EA-BF5A-86FCB5E3B927}">
  <dimension ref="A1:G37"/>
  <sheetViews>
    <sheetView zoomScale="70" zoomScaleNormal="70" workbookViewId="0">
      <selection activeCell="J32" sqref="J32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537.04</v>
      </c>
      <c r="C2" s="1">
        <v>497.99</v>
      </c>
      <c r="D2" s="1">
        <v>482.38</v>
      </c>
      <c r="E2" s="1">
        <v>526.51</v>
      </c>
      <c r="F2" s="1">
        <v>473.21</v>
      </c>
      <c r="G2" s="1">
        <v>434.96</v>
      </c>
    </row>
    <row r="3" spans="1:7" x14ac:dyDescent="0.3">
      <c r="A3" s="1" t="s">
        <v>7</v>
      </c>
      <c r="B3" s="1">
        <v>57.41</v>
      </c>
      <c r="C3" s="1">
        <v>52.82</v>
      </c>
      <c r="D3" s="1">
        <v>46.42</v>
      </c>
      <c r="E3" s="1">
        <v>46.25</v>
      </c>
      <c r="F3" s="1">
        <v>42.76</v>
      </c>
      <c r="G3" s="1">
        <v>42.82</v>
      </c>
    </row>
    <row r="4" spans="1:7" x14ac:dyDescent="0.3">
      <c r="A4" s="1" t="s">
        <v>8</v>
      </c>
      <c r="B4" s="1">
        <v>31353.87</v>
      </c>
      <c r="C4" s="1">
        <v>26755.89</v>
      </c>
      <c r="D4" s="1">
        <v>22824.2</v>
      </c>
      <c r="E4" s="1">
        <v>24800.25</v>
      </c>
      <c r="F4" s="1">
        <v>20600.099999999999</v>
      </c>
      <c r="G4" s="1">
        <v>18956.97</v>
      </c>
    </row>
    <row r="5" spans="1:7" x14ac:dyDescent="0.3">
      <c r="A5" s="1" t="s">
        <v>9</v>
      </c>
      <c r="B5" s="1">
        <v>3463.87</v>
      </c>
      <c r="C5" s="1">
        <v>3131.2</v>
      </c>
      <c r="D5" s="1">
        <v>3415.24</v>
      </c>
      <c r="E5" s="1">
        <v>3215.06</v>
      </c>
      <c r="F5" s="1">
        <v>2970.4</v>
      </c>
      <c r="G5" s="1">
        <v>2673.57</v>
      </c>
    </row>
    <row r="6" spans="1:7" x14ac:dyDescent="0.3">
      <c r="A6" s="3" t="s">
        <v>10</v>
      </c>
      <c r="B6" s="3">
        <v>346.39</v>
      </c>
      <c r="C6" s="3">
        <v>316.27999999999997</v>
      </c>
      <c r="D6" s="3">
        <v>344.97</v>
      </c>
      <c r="E6" s="3">
        <v>324.75</v>
      </c>
      <c r="F6" s="3">
        <v>300.04000000000002</v>
      </c>
      <c r="G6" s="3">
        <v>272.81</v>
      </c>
    </row>
    <row r="7" spans="1:7" x14ac:dyDescent="0.3">
      <c r="A7" s="1" t="s">
        <v>11</v>
      </c>
      <c r="B7" s="1">
        <v>3195.24</v>
      </c>
      <c r="C7" s="1">
        <v>2820.46</v>
      </c>
      <c r="D7" s="1">
        <v>3124.79</v>
      </c>
      <c r="E7" s="1">
        <v>3056.25</v>
      </c>
      <c r="F7" s="1">
        <v>2664.69</v>
      </c>
      <c r="G7" s="1">
        <v>2306.2800000000002</v>
      </c>
    </row>
    <row r="8" spans="1:7" x14ac:dyDescent="0.3">
      <c r="A8" s="1" t="s">
        <v>12</v>
      </c>
      <c r="B8" s="1">
        <v>319.52</v>
      </c>
      <c r="C8" s="1">
        <v>284.89</v>
      </c>
      <c r="D8" s="1">
        <v>315.64</v>
      </c>
      <c r="E8" s="1">
        <v>308.70999999999998</v>
      </c>
      <c r="F8" s="1">
        <v>269.16000000000003</v>
      </c>
      <c r="G8" s="1">
        <v>235.33</v>
      </c>
    </row>
    <row r="9" spans="1:7" x14ac:dyDescent="0.3">
      <c r="A9" s="1" t="s">
        <v>13</v>
      </c>
      <c r="B9" s="1">
        <v>3195.24</v>
      </c>
      <c r="C9" s="1">
        <v>2772.68</v>
      </c>
      <c r="D9" s="1">
        <v>3124.79</v>
      </c>
      <c r="E9" s="1">
        <v>3056.25</v>
      </c>
      <c r="F9" s="1">
        <v>2664.69</v>
      </c>
      <c r="G9" s="1">
        <v>2264.46</v>
      </c>
    </row>
    <row r="10" spans="1:7" x14ac:dyDescent="0.3">
      <c r="A10" s="1" t="s">
        <v>14</v>
      </c>
      <c r="B10" s="1">
        <v>319.52</v>
      </c>
      <c r="C10" s="1">
        <v>280.07</v>
      </c>
      <c r="D10" s="1">
        <v>315.64</v>
      </c>
      <c r="E10" s="1">
        <v>308.70999999999998</v>
      </c>
      <c r="F10" s="1">
        <v>269.16000000000003</v>
      </c>
      <c r="G10" s="1">
        <v>231.07</v>
      </c>
    </row>
    <row r="11" spans="1:7" x14ac:dyDescent="0.3">
      <c r="A11" s="1" t="s">
        <v>15</v>
      </c>
      <c r="B11" s="1">
        <v>3106.9</v>
      </c>
      <c r="C11" s="1">
        <v>2846.04</v>
      </c>
      <c r="D11" s="1">
        <v>3240.3</v>
      </c>
      <c r="E11" s="1">
        <v>3008.99</v>
      </c>
      <c r="F11" s="1">
        <v>2222.12</v>
      </c>
      <c r="G11" s="1">
        <v>2053.06</v>
      </c>
    </row>
    <row r="12" spans="1:7" x14ac:dyDescent="0.3">
      <c r="A12" s="1" t="s">
        <v>16</v>
      </c>
      <c r="B12" s="1">
        <v>284.14999999999998</v>
      </c>
      <c r="C12" s="1">
        <v>272.7</v>
      </c>
      <c r="D12" s="1">
        <v>261.88</v>
      </c>
      <c r="E12" s="1">
        <v>268.23</v>
      </c>
      <c r="F12" s="1">
        <v>267.41000000000003</v>
      </c>
      <c r="G12" s="1">
        <v>233.17</v>
      </c>
    </row>
    <row r="13" spans="1:7" x14ac:dyDescent="0.3">
      <c r="A13" s="1" t="s">
        <v>17</v>
      </c>
      <c r="B13" s="1">
        <v>35.46</v>
      </c>
      <c r="C13" s="1">
        <v>30.21</v>
      </c>
      <c r="D13" s="1">
        <v>24.6</v>
      </c>
      <c r="E13" s="1">
        <v>24.37</v>
      </c>
      <c r="F13" s="1">
        <v>31.4</v>
      </c>
      <c r="G13" s="1">
        <v>41.52</v>
      </c>
    </row>
    <row r="14" spans="1:7" x14ac:dyDescent="0.3">
      <c r="A14" s="1" t="s">
        <v>18</v>
      </c>
      <c r="B14" s="1">
        <v>80.7</v>
      </c>
      <c r="C14" s="1">
        <v>68.180000000000007</v>
      </c>
      <c r="D14" s="1">
        <v>61.84</v>
      </c>
      <c r="E14" s="1">
        <v>62.12</v>
      </c>
      <c r="F14" s="1">
        <v>75.11</v>
      </c>
      <c r="G14" s="1">
        <v>94.02</v>
      </c>
    </row>
    <row r="15" spans="1:7" x14ac:dyDescent="0.3">
      <c r="A15" s="1" t="s">
        <v>19</v>
      </c>
      <c r="B15" s="1">
        <v>7</v>
      </c>
      <c r="C15" s="1">
        <v>8</v>
      </c>
      <c r="D15" s="1">
        <v>5</v>
      </c>
      <c r="E15" s="1">
        <v>5</v>
      </c>
      <c r="F15" s="1">
        <v>7</v>
      </c>
      <c r="G15" s="1">
        <v>9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3195.24</v>
      </c>
      <c r="C17" s="1">
        <v>2796.57</v>
      </c>
      <c r="D17" s="1">
        <v>3124.79</v>
      </c>
      <c r="E17" s="1">
        <v>3056.25</v>
      </c>
      <c r="F17" s="1">
        <v>2664.69</v>
      </c>
      <c r="G17" s="1">
        <v>2285.37</v>
      </c>
    </row>
    <row r="18" spans="1:7" x14ac:dyDescent="0.3">
      <c r="A18" s="1" t="s">
        <v>22</v>
      </c>
      <c r="B18" s="1">
        <v>0</v>
      </c>
      <c r="C18" s="1">
        <v>23.89</v>
      </c>
      <c r="D18" s="1">
        <v>0</v>
      </c>
      <c r="E18" s="1">
        <v>0</v>
      </c>
      <c r="F18" s="1">
        <v>0</v>
      </c>
      <c r="G18" s="1">
        <v>20.91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336.02</v>
      </c>
      <c r="C33" s="3">
        <v>308.20999999999998</v>
      </c>
      <c r="D33" s="3">
        <v>340.17</v>
      </c>
      <c r="E33" s="3">
        <v>322.8</v>
      </c>
      <c r="F33" s="3">
        <v>299.94</v>
      </c>
      <c r="G33" s="3">
        <v>256.49</v>
      </c>
    </row>
    <row r="35" spans="1:7" x14ac:dyDescent="0.3">
      <c r="A35" s="3" t="s">
        <v>36</v>
      </c>
      <c r="B35" s="3"/>
      <c r="C35" s="3"/>
      <c r="D35" s="3">
        <f>D33-C33</f>
        <v>31.960000000000036</v>
      </c>
      <c r="E35" s="3"/>
      <c r="F35" s="3">
        <f>F33-E33</f>
        <v>-22.860000000000014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-17.370000000000005</v>
      </c>
      <c r="F37" s="3"/>
      <c r="G37" s="3">
        <f>G33-F33</f>
        <v>-43.449999999999989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A3F22-8B48-4BD0-AA06-9728547C24FF}">
  <dimension ref="A1:G37"/>
  <sheetViews>
    <sheetView zoomScale="70" zoomScaleNormal="70" workbookViewId="0">
      <selection activeCell="I31" sqref="I31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479.73</v>
      </c>
      <c r="C2" s="1">
        <v>413.55</v>
      </c>
      <c r="D2" s="1">
        <v>441.66</v>
      </c>
      <c r="E2" s="1">
        <v>454.54</v>
      </c>
      <c r="F2" s="1">
        <v>410.35</v>
      </c>
      <c r="G2" s="1">
        <v>470.96</v>
      </c>
    </row>
    <row r="3" spans="1:7" x14ac:dyDescent="0.3">
      <c r="A3" s="1" t="s">
        <v>7</v>
      </c>
      <c r="B3" s="1">
        <v>44.62</v>
      </c>
      <c r="C3" s="1">
        <v>41.88</v>
      </c>
      <c r="D3" s="1">
        <v>43.23</v>
      </c>
      <c r="E3" s="1">
        <v>45.92</v>
      </c>
      <c r="F3" s="1">
        <v>45.25</v>
      </c>
      <c r="G3" s="1">
        <v>51.85</v>
      </c>
    </row>
    <row r="4" spans="1:7" x14ac:dyDescent="0.3">
      <c r="A4" s="1" t="s">
        <v>8</v>
      </c>
      <c r="B4" s="1">
        <v>21844.77</v>
      </c>
      <c r="C4" s="1">
        <v>17780.28</v>
      </c>
      <c r="D4" s="1">
        <v>19759.62</v>
      </c>
      <c r="E4" s="1">
        <v>21322.61</v>
      </c>
      <c r="F4" s="1">
        <v>18901.45</v>
      </c>
      <c r="G4" s="1">
        <v>24966.67</v>
      </c>
    </row>
    <row r="5" spans="1:7" x14ac:dyDescent="0.3">
      <c r="A5" s="1" t="s">
        <v>9</v>
      </c>
      <c r="B5" s="1">
        <v>3644.61</v>
      </c>
      <c r="C5" s="1">
        <v>3292.73</v>
      </c>
      <c r="D5" s="1">
        <v>3780.43</v>
      </c>
      <c r="E5" s="1">
        <v>3715.87</v>
      </c>
      <c r="F5" s="1">
        <v>1664.36</v>
      </c>
      <c r="G5" s="1">
        <v>3039.66</v>
      </c>
    </row>
    <row r="6" spans="1:7" x14ac:dyDescent="0.3">
      <c r="A6" s="3" t="s">
        <v>10</v>
      </c>
      <c r="B6" s="3">
        <v>364.46</v>
      </c>
      <c r="C6" s="3">
        <v>332.6</v>
      </c>
      <c r="D6" s="3">
        <v>381.86</v>
      </c>
      <c r="E6" s="3">
        <v>375.34</v>
      </c>
      <c r="F6" s="3">
        <v>168.12</v>
      </c>
      <c r="G6" s="3">
        <v>310.17</v>
      </c>
    </row>
    <row r="7" spans="1:7" x14ac:dyDescent="0.3">
      <c r="A7" s="1" t="s">
        <v>11</v>
      </c>
      <c r="B7" s="1">
        <v>3434.86</v>
      </c>
      <c r="C7" s="1">
        <v>3067.92</v>
      </c>
      <c r="D7" s="1">
        <v>3552.54</v>
      </c>
      <c r="E7" s="1">
        <v>3434.62</v>
      </c>
      <c r="F7" s="1">
        <v>1527.21</v>
      </c>
      <c r="G7" s="1">
        <v>2856.45</v>
      </c>
    </row>
    <row r="8" spans="1:7" x14ac:dyDescent="0.3">
      <c r="A8" s="1" t="s">
        <v>12</v>
      </c>
      <c r="B8" s="1">
        <v>343.49</v>
      </c>
      <c r="C8" s="1">
        <v>309.89</v>
      </c>
      <c r="D8" s="1">
        <v>358.84</v>
      </c>
      <c r="E8" s="1">
        <v>346.93</v>
      </c>
      <c r="F8" s="1">
        <v>154.26</v>
      </c>
      <c r="G8" s="1">
        <v>291.47000000000003</v>
      </c>
    </row>
    <row r="9" spans="1:7" x14ac:dyDescent="0.3">
      <c r="A9" s="1" t="s">
        <v>13</v>
      </c>
      <c r="B9" s="1">
        <v>3434.86</v>
      </c>
      <c r="C9" s="1">
        <v>3067.92</v>
      </c>
      <c r="D9" s="1">
        <v>3552.54</v>
      </c>
      <c r="E9" s="1">
        <v>3434.62</v>
      </c>
      <c r="F9" s="1">
        <v>1145.19</v>
      </c>
      <c r="G9" s="1">
        <v>2856.45</v>
      </c>
    </row>
    <row r="10" spans="1:7" x14ac:dyDescent="0.3">
      <c r="A10" s="1" t="s">
        <v>14</v>
      </c>
      <c r="B10" s="1">
        <v>343.49</v>
      </c>
      <c r="C10" s="1">
        <v>309.89</v>
      </c>
      <c r="D10" s="1">
        <v>358.84</v>
      </c>
      <c r="E10" s="1">
        <v>346.93</v>
      </c>
      <c r="F10" s="1">
        <v>115.68</v>
      </c>
      <c r="G10" s="1">
        <v>291.47000000000003</v>
      </c>
    </row>
    <row r="11" spans="1:7" x14ac:dyDescent="0.3">
      <c r="A11" s="1" t="s">
        <v>15</v>
      </c>
      <c r="B11" s="1">
        <v>3074.33</v>
      </c>
      <c r="C11" s="1">
        <v>2205.61</v>
      </c>
      <c r="D11" s="1">
        <v>2889.92</v>
      </c>
      <c r="E11" s="1">
        <v>2944.86</v>
      </c>
      <c r="F11" s="1">
        <v>789.94</v>
      </c>
      <c r="G11" s="1">
        <v>2603.16</v>
      </c>
    </row>
    <row r="12" spans="1:7" x14ac:dyDescent="0.3">
      <c r="A12" s="1" t="s">
        <v>16</v>
      </c>
      <c r="B12" s="1">
        <v>278.69</v>
      </c>
      <c r="C12" s="1">
        <v>244.27</v>
      </c>
      <c r="D12" s="1">
        <v>239.46</v>
      </c>
      <c r="E12" s="1">
        <v>246.73</v>
      </c>
      <c r="F12" s="1">
        <v>232.86</v>
      </c>
      <c r="G12" s="1">
        <v>264.41000000000003</v>
      </c>
    </row>
    <row r="13" spans="1:7" x14ac:dyDescent="0.3">
      <c r="A13" s="1" t="s">
        <v>17</v>
      </c>
      <c r="B13" s="1">
        <v>28.73</v>
      </c>
      <c r="C13" s="1">
        <v>29.42</v>
      </c>
      <c r="D13" s="1">
        <v>28.84</v>
      </c>
      <c r="E13" s="1">
        <v>26.83</v>
      </c>
      <c r="F13" s="1">
        <v>20.39</v>
      </c>
      <c r="G13" s="1">
        <v>36.369999999999997</v>
      </c>
    </row>
    <row r="14" spans="1:7" x14ac:dyDescent="0.3">
      <c r="A14" s="1" t="s">
        <v>18</v>
      </c>
      <c r="B14" s="1">
        <v>59.29</v>
      </c>
      <c r="C14" s="1">
        <v>71.040000000000006</v>
      </c>
      <c r="D14" s="1">
        <v>65.53</v>
      </c>
      <c r="E14" s="1">
        <v>53.89</v>
      </c>
      <c r="F14" s="1">
        <v>50.41</v>
      </c>
      <c r="G14" s="1">
        <v>83.26</v>
      </c>
    </row>
    <row r="15" spans="1:7" x14ac:dyDescent="0.3">
      <c r="A15" s="1" t="s">
        <v>19</v>
      </c>
      <c r="B15" s="1">
        <v>6</v>
      </c>
      <c r="C15" s="1">
        <v>8</v>
      </c>
      <c r="D15" s="1">
        <v>4</v>
      </c>
      <c r="E15" s="1">
        <v>5</v>
      </c>
      <c r="F15" s="1">
        <v>5</v>
      </c>
      <c r="G15" s="1">
        <v>6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3434.86</v>
      </c>
      <c r="C17" s="1">
        <v>3067.92</v>
      </c>
      <c r="D17" s="1">
        <v>3552.54</v>
      </c>
      <c r="E17" s="1">
        <v>3434.62</v>
      </c>
      <c r="F17" s="1">
        <v>1336.2</v>
      </c>
      <c r="G17" s="1">
        <v>2856.45</v>
      </c>
    </row>
    <row r="18" spans="1:7" x14ac:dyDescent="0.3">
      <c r="A18" s="1" t="s">
        <v>22</v>
      </c>
      <c r="B18" s="1">
        <v>0</v>
      </c>
      <c r="C18" s="1">
        <v>0</v>
      </c>
      <c r="D18" s="1">
        <v>0</v>
      </c>
      <c r="E18" s="1">
        <v>0</v>
      </c>
      <c r="F18" s="1">
        <v>191.01</v>
      </c>
      <c r="G18" s="1">
        <v>0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2.8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7.2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2.5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7.5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25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75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354.15</v>
      </c>
      <c r="C33" s="3">
        <v>334.16</v>
      </c>
      <c r="D33" s="3">
        <v>378.9</v>
      </c>
      <c r="E33" s="3">
        <v>368.37</v>
      </c>
      <c r="F33" s="3">
        <v>90.6</v>
      </c>
      <c r="G33" s="3">
        <v>303.5</v>
      </c>
    </row>
    <row r="35" spans="1:7" x14ac:dyDescent="0.3">
      <c r="A35" s="3" t="s">
        <v>36</v>
      </c>
      <c r="B35" s="3"/>
      <c r="C35" s="3"/>
      <c r="D35" s="3">
        <f>D33-C33</f>
        <v>44.739999999999952</v>
      </c>
      <c r="E35" s="3"/>
      <c r="F35" s="3">
        <f>F33-E33</f>
        <v>-277.77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-10.529999999999973</v>
      </c>
      <c r="F37" s="3"/>
      <c r="G37" s="3">
        <f>G33-F33</f>
        <v>212.9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9741-34A4-45A9-978B-895409DA6239}">
  <dimension ref="A1:G37"/>
  <sheetViews>
    <sheetView zoomScale="70" zoomScaleNormal="70" workbookViewId="0">
      <selection activeCell="K20" sqref="K2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377.1</v>
      </c>
      <c r="C2" s="1">
        <v>413.73</v>
      </c>
      <c r="D2" s="1">
        <v>425.68</v>
      </c>
      <c r="E2" s="1">
        <v>409.27</v>
      </c>
      <c r="F2" s="1">
        <v>404.94</v>
      </c>
      <c r="G2" s="1">
        <v>367.56</v>
      </c>
    </row>
    <row r="3" spans="1:7" x14ac:dyDescent="0.3">
      <c r="A3" s="1" t="s">
        <v>7</v>
      </c>
      <c r="B3" s="1">
        <v>40.659999999999997</v>
      </c>
      <c r="C3" s="1">
        <v>41.1</v>
      </c>
      <c r="D3" s="1">
        <v>42.08</v>
      </c>
      <c r="E3" s="1">
        <v>42.41</v>
      </c>
      <c r="F3" s="1">
        <v>40.29</v>
      </c>
      <c r="G3" s="1">
        <v>40.61</v>
      </c>
    </row>
    <row r="4" spans="1:7" x14ac:dyDescent="0.3">
      <c r="A4" s="1" t="s">
        <v>8</v>
      </c>
      <c r="B4" s="1">
        <v>15867.87</v>
      </c>
      <c r="C4" s="1">
        <v>17394.79</v>
      </c>
      <c r="D4" s="1">
        <v>18226.580000000002</v>
      </c>
      <c r="E4" s="1">
        <v>17851.169999999998</v>
      </c>
      <c r="F4" s="1">
        <v>16657.11</v>
      </c>
      <c r="G4" s="1">
        <v>15227.52</v>
      </c>
    </row>
    <row r="5" spans="1:7" x14ac:dyDescent="0.3">
      <c r="A5" s="1" t="s">
        <v>9</v>
      </c>
      <c r="B5" s="1">
        <v>3189.99</v>
      </c>
      <c r="C5" s="1">
        <v>2818.19</v>
      </c>
      <c r="D5" s="1">
        <v>3079.16</v>
      </c>
      <c r="E5" s="1">
        <v>3185.6</v>
      </c>
      <c r="F5" s="1">
        <v>2063.4899999999998</v>
      </c>
      <c r="G5" s="1">
        <v>2394.7600000000002</v>
      </c>
    </row>
    <row r="6" spans="1:7" x14ac:dyDescent="0.3">
      <c r="A6" s="3" t="s">
        <v>10</v>
      </c>
      <c r="B6" s="3">
        <v>319</v>
      </c>
      <c r="C6" s="3">
        <v>284.67</v>
      </c>
      <c r="D6" s="3">
        <v>311.02999999999997</v>
      </c>
      <c r="E6" s="3">
        <v>321.77999999999997</v>
      </c>
      <c r="F6" s="3">
        <v>208.43</v>
      </c>
      <c r="G6" s="3">
        <v>244.36</v>
      </c>
    </row>
    <row r="7" spans="1:7" x14ac:dyDescent="0.3">
      <c r="A7" s="1" t="s">
        <v>11</v>
      </c>
      <c r="B7" s="1">
        <v>2841.28</v>
      </c>
      <c r="C7" s="1">
        <v>2541.48</v>
      </c>
      <c r="D7" s="1">
        <v>2774.71</v>
      </c>
      <c r="E7" s="1">
        <v>2847.92</v>
      </c>
      <c r="F7" s="1">
        <v>1892.19</v>
      </c>
      <c r="G7" s="1">
        <v>2097.69</v>
      </c>
    </row>
    <row r="8" spans="1:7" x14ac:dyDescent="0.3">
      <c r="A8" s="1" t="s">
        <v>12</v>
      </c>
      <c r="B8" s="1">
        <v>284.13</v>
      </c>
      <c r="C8" s="1">
        <v>256.72000000000003</v>
      </c>
      <c r="D8" s="1">
        <v>280.27</v>
      </c>
      <c r="E8" s="1">
        <v>287.67</v>
      </c>
      <c r="F8" s="1">
        <v>191.13</v>
      </c>
      <c r="G8" s="1">
        <v>214.05</v>
      </c>
    </row>
    <row r="9" spans="1:7" x14ac:dyDescent="0.3">
      <c r="A9" s="1" t="s">
        <v>13</v>
      </c>
      <c r="B9" s="1">
        <v>2841.28</v>
      </c>
      <c r="C9" s="1">
        <v>2541.48</v>
      </c>
      <c r="D9" s="1">
        <v>2774.71</v>
      </c>
      <c r="E9" s="1">
        <v>2847.92</v>
      </c>
      <c r="F9" s="1">
        <v>1571.59</v>
      </c>
      <c r="G9" s="1">
        <v>2088.89</v>
      </c>
    </row>
    <row r="10" spans="1:7" x14ac:dyDescent="0.3">
      <c r="A10" s="1" t="s">
        <v>14</v>
      </c>
      <c r="B10" s="1">
        <v>284.13</v>
      </c>
      <c r="C10" s="1">
        <v>256.72000000000003</v>
      </c>
      <c r="D10" s="1">
        <v>280.27</v>
      </c>
      <c r="E10" s="1">
        <v>287.67</v>
      </c>
      <c r="F10" s="1">
        <v>158.75</v>
      </c>
      <c r="G10" s="1">
        <v>213.15</v>
      </c>
    </row>
    <row r="11" spans="1:7" x14ac:dyDescent="0.3">
      <c r="A11" s="1" t="s">
        <v>15</v>
      </c>
      <c r="B11" s="1">
        <v>2105.44</v>
      </c>
      <c r="C11" s="1">
        <v>2016.5</v>
      </c>
      <c r="D11" s="1">
        <v>1887.08</v>
      </c>
      <c r="E11" s="1">
        <v>2006.73</v>
      </c>
      <c r="F11" s="1">
        <v>1085.6600000000001</v>
      </c>
      <c r="G11" s="1">
        <v>1658.87</v>
      </c>
    </row>
    <row r="12" spans="1:7" x14ac:dyDescent="0.3">
      <c r="A12" s="1" t="s">
        <v>16</v>
      </c>
      <c r="B12" s="1">
        <v>234.25</v>
      </c>
      <c r="C12" s="1">
        <v>224.54</v>
      </c>
      <c r="D12" s="1">
        <v>256.33</v>
      </c>
      <c r="E12" s="1">
        <v>252.37</v>
      </c>
      <c r="F12" s="1">
        <v>237.14</v>
      </c>
      <c r="G12" s="1">
        <v>218.98</v>
      </c>
    </row>
    <row r="13" spans="1:7" x14ac:dyDescent="0.3">
      <c r="A13" s="1" t="s">
        <v>17</v>
      </c>
      <c r="B13" s="1">
        <v>24.75</v>
      </c>
      <c r="C13" s="1">
        <v>27.57</v>
      </c>
      <c r="D13" s="1">
        <v>31.51</v>
      </c>
      <c r="E13" s="1">
        <v>25.99</v>
      </c>
      <c r="F13" s="1">
        <v>29.31</v>
      </c>
      <c r="G13" s="1">
        <v>35.39</v>
      </c>
    </row>
    <row r="14" spans="1:7" x14ac:dyDescent="0.3">
      <c r="A14" s="1" t="s">
        <v>18</v>
      </c>
      <c r="B14" s="1">
        <v>52.89</v>
      </c>
      <c r="C14" s="1">
        <v>63.31</v>
      </c>
      <c r="D14" s="1">
        <v>75.03</v>
      </c>
      <c r="E14" s="1">
        <v>59.35</v>
      </c>
      <c r="F14" s="1">
        <v>75.83</v>
      </c>
      <c r="G14" s="1">
        <v>65.319999999999993</v>
      </c>
    </row>
    <row r="15" spans="1:7" x14ac:dyDescent="0.3">
      <c r="A15" s="1" t="s">
        <v>19</v>
      </c>
      <c r="B15" s="1">
        <v>9</v>
      </c>
      <c r="C15" s="1">
        <v>5</v>
      </c>
      <c r="D15" s="1">
        <v>6</v>
      </c>
      <c r="E15" s="1">
        <v>6</v>
      </c>
      <c r="F15" s="1">
        <v>9</v>
      </c>
      <c r="G15" s="1">
        <v>5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2841.28</v>
      </c>
      <c r="C17" s="1">
        <v>2541.48</v>
      </c>
      <c r="D17" s="1">
        <v>2774.71</v>
      </c>
      <c r="E17" s="1">
        <v>2847.92</v>
      </c>
      <c r="F17" s="1">
        <v>1731.89</v>
      </c>
      <c r="G17" s="1">
        <v>2093.29</v>
      </c>
    </row>
    <row r="18" spans="1:7" x14ac:dyDescent="0.3">
      <c r="A18" s="1" t="s">
        <v>22</v>
      </c>
      <c r="B18" s="1">
        <v>0</v>
      </c>
      <c r="C18" s="1">
        <v>0</v>
      </c>
      <c r="D18" s="1">
        <v>0</v>
      </c>
      <c r="E18" s="1">
        <v>0</v>
      </c>
      <c r="F18" s="1">
        <v>160.30000000000001</v>
      </c>
      <c r="G18" s="1">
        <v>4.4000000000000004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2.2999999999999998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7.7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3.1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6.9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31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69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314.2</v>
      </c>
      <c r="C33" s="3">
        <v>282.41000000000003</v>
      </c>
      <c r="D33" s="3">
        <v>306.01</v>
      </c>
      <c r="E33" s="3">
        <v>319.39</v>
      </c>
      <c r="F33" s="3">
        <v>153.69</v>
      </c>
      <c r="G33" s="3">
        <v>232.81</v>
      </c>
    </row>
    <row r="35" spans="1:7" x14ac:dyDescent="0.3">
      <c r="A35" s="3" t="s">
        <v>36</v>
      </c>
      <c r="B35" s="3"/>
      <c r="C35" s="3"/>
      <c r="D35" s="3">
        <f>D33-C33</f>
        <v>23.599999999999966</v>
      </c>
      <c r="E35" s="3"/>
      <c r="F35" s="3">
        <f>F33-E33</f>
        <v>-165.7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13.379999999999995</v>
      </c>
      <c r="F37" s="3"/>
      <c r="G37" s="3">
        <f>G33-F33</f>
        <v>79.12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1CF84-7DB6-492F-8156-AFB8F773DA80}">
  <dimension ref="A1:G37"/>
  <sheetViews>
    <sheetView tabSelected="1" zoomScale="70" zoomScaleNormal="70" workbookViewId="0">
      <selection activeCell="J26" sqref="J26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497.4</v>
      </c>
      <c r="C2" s="1">
        <v>465.23</v>
      </c>
      <c r="D2" s="1">
        <v>488.19</v>
      </c>
      <c r="E2" s="1">
        <v>555.33000000000004</v>
      </c>
      <c r="F2" s="1">
        <v>470.79</v>
      </c>
      <c r="G2" s="1">
        <v>450.93</v>
      </c>
    </row>
    <row r="3" spans="1:7" x14ac:dyDescent="0.3">
      <c r="A3" s="1" t="s">
        <v>7</v>
      </c>
      <c r="B3" s="1">
        <v>55.84</v>
      </c>
      <c r="C3" s="1">
        <v>56.81</v>
      </c>
      <c r="D3" s="1">
        <v>60.73</v>
      </c>
      <c r="E3" s="1">
        <v>59.59</v>
      </c>
      <c r="F3" s="1">
        <v>51.04</v>
      </c>
      <c r="G3" s="1">
        <v>50.26</v>
      </c>
    </row>
    <row r="4" spans="1:7" x14ac:dyDescent="0.3">
      <c r="A4" s="1" t="s">
        <v>8</v>
      </c>
      <c r="B4" s="1">
        <v>28367.07</v>
      </c>
      <c r="C4" s="1">
        <v>26908.47</v>
      </c>
      <c r="D4" s="1">
        <v>30270.720000000001</v>
      </c>
      <c r="E4" s="1">
        <v>33685.15</v>
      </c>
      <c r="F4" s="1">
        <v>24505.11</v>
      </c>
      <c r="G4" s="1">
        <v>23097.73</v>
      </c>
    </row>
    <row r="5" spans="1:7" x14ac:dyDescent="0.3">
      <c r="A5" s="1" t="s">
        <v>9</v>
      </c>
      <c r="B5" s="1">
        <v>3287</v>
      </c>
      <c r="C5" s="1">
        <v>3272.04</v>
      </c>
      <c r="D5" s="1">
        <v>3168.74</v>
      </c>
      <c r="E5" s="1">
        <v>3049.72</v>
      </c>
      <c r="F5" s="1">
        <v>3127.95</v>
      </c>
      <c r="G5" s="1">
        <v>3071.93</v>
      </c>
    </row>
    <row r="6" spans="1:7" x14ac:dyDescent="0.3">
      <c r="A6" s="3" t="s">
        <v>10</v>
      </c>
      <c r="B6" s="3">
        <v>328.7</v>
      </c>
      <c r="C6" s="3">
        <v>330.51</v>
      </c>
      <c r="D6" s="3">
        <v>320.07</v>
      </c>
      <c r="E6" s="3">
        <v>308.05</v>
      </c>
      <c r="F6" s="3">
        <v>315.95999999999998</v>
      </c>
      <c r="G6" s="3">
        <v>313.45999999999998</v>
      </c>
    </row>
    <row r="7" spans="1:7" x14ac:dyDescent="0.3">
      <c r="A7" s="1" t="s">
        <v>11</v>
      </c>
      <c r="B7" s="1">
        <v>2849.44</v>
      </c>
      <c r="C7" s="1">
        <v>2779.87</v>
      </c>
      <c r="D7" s="1">
        <v>2899.65</v>
      </c>
      <c r="E7" s="1">
        <v>2873.7</v>
      </c>
      <c r="F7" s="1">
        <v>2839.59</v>
      </c>
      <c r="G7" s="1">
        <v>2709.12</v>
      </c>
    </row>
    <row r="8" spans="1:7" x14ac:dyDescent="0.3">
      <c r="A8" s="1" t="s">
        <v>12</v>
      </c>
      <c r="B8" s="1">
        <v>284.94</v>
      </c>
      <c r="C8" s="1">
        <v>280.8</v>
      </c>
      <c r="D8" s="1">
        <v>292.89</v>
      </c>
      <c r="E8" s="1">
        <v>290.27</v>
      </c>
      <c r="F8" s="1">
        <v>286.83</v>
      </c>
      <c r="G8" s="1">
        <v>276.44</v>
      </c>
    </row>
    <row r="9" spans="1:7" x14ac:dyDescent="0.3">
      <c r="A9" s="1" t="s">
        <v>13</v>
      </c>
      <c r="B9" s="1">
        <v>2750.38</v>
      </c>
      <c r="C9" s="1">
        <v>2779.87</v>
      </c>
      <c r="D9" s="1">
        <v>2899.65</v>
      </c>
      <c r="E9" s="1">
        <v>2873.7</v>
      </c>
      <c r="F9" s="1">
        <v>2839.59</v>
      </c>
      <c r="G9" s="1">
        <v>2709.12</v>
      </c>
    </row>
    <row r="10" spans="1:7" x14ac:dyDescent="0.3">
      <c r="A10" s="1" t="s">
        <v>14</v>
      </c>
      <c r="B10" s="1">
        <v>275.04000000000002</v>
      </c>
      <c r="C10" s="1">
        <v>280.8</v>
      </c>
      <c r="D10" s="1">
        <v>292.89</v>
      </c>
      <c r="E10" s="1">
        <v>290.27</v>
      </c>
      <c r="F10" s="1">
        <v>286.83</v>
      </c>
      <c r="G10" s="1">
        <v>276.44</v>
      </c>
    </row>
    <row r="11" spans="1:7" x14ac:dyDescent="0.3">
      <c r="A11" s="1" t="s">
        <v>15</v>
      </c>
      <c r="B11" s="1">
        <v>2747.62</v>
      </c>
      <c r="C11" s="1">
        <v>2971.29</v>
      </c>
      <c r="D11" s="1">
        <v>3020.07</v>
      </c>
      <c r="E11" s="1">
        <v>2916.12</v>
      </c>
      <c r="F11" s="1">
        <v>2800.97</v>
      </c>
      <c r="G11" s="1">
        <v>2652.7</v>
      </c>
    </row>
    <row r="12" spans="1:7" x14ac:dyDescent="0.3">
      <c r="A12" s="1" t="s">
        <v>16</v>
      </c>
      <c r="B12" s="1">
        <v>284.83999999999997</v>
      </c>
      <c r="C12" s="1">
        <v>262.82</v>
      </c>
      <c r="D12" s="1">
        <v>269.22000000000003</v>
      </c>
      <c r="E12" s="1">
        <v>260.60000000000002</v>
      </c>
      <c r="F12" s="1">
        <v>268.74</v>
      </c>
      <c r="G12" s="1">
        <v>265.45999999999998</v>
      </c>
    </row>
    <row r="13" spans="1:7" x14ac:dyDescent="0.3">
      <c r="A13" s="1" t="s">
        <v>17</v>
      </c>
      <c r="B13" s="1">
        <v>33.369999999999997</v>
      </c>
      <c r="C13" s="1">
        <v>29.49</v>
      </c>
      <c r="D13" s="1">
        <v>22.73</v>
      </c>
      <c r="E13" s="1">
        <v>21.97</v>
      </c>
      <c r="F13" s="1">
        <v>26.06</v>
      </c>
      <c r="G13" s="1">
        <v>31.5</v>
      </c>
    </row>
    <row r="14" spans="1:7" x14ac:dyDescent="0.3">
      <c r="A14" s="1" t="s">
        <v>18</v>
      </c>
      <c r="B14" s="1">
        <v>81.400000000000006</v>
      </c>
      <c r="C14" s="1">
        <v>69.91</v>
      </c>
      <c r="D14" s="1">
        <v>49.62</v>
      </c>
      <c r="E14" s="1">
        <v>48.35</v>
      </c>
      <c r="F14" s="1">
        <v>62.17</v>
      </c>
      <c r="G14" s="1">
        <v>61.31</v>
      </c>
    </row>
    <row r="15" spans="1:7" x14ac:dyDescent="0.3">
      <c r="A15" s="1" t="s">
        <v>19</v>
      </c>
      <c r="B15" s="1">
        <v>7</v>
      </c>
      <c r="C15" s="1">
        <v>5</v>
      </c>
      <c r="D15" s="1">
        <v>3</v>
      </c>
      <c r="E15" s="1">
        <v>4</v>
      </c>
      <c r="F15" s="1">
        <v>7</v>
      </c>
      <c r="G15" s="1">
        <v>7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2799.91</v>
      </c>
      <c r="C17" s="1">
        <v>2779.87</v>
      </c>
      <c r="D17" s="1">
        <v>2899.65</v>
      </c>
      <c r="E17" s="1">
        <v>2873.7</v>
      </c>
      <c r="F17" s="1">
        <v>2839.59</v>
      </c>
      <c r="G17" s="1">
        <v>2709.12</v>
      </c>
    </row>
    <row r="18" spans="1:7" x14ac:dyDescent="0.3">
      <c r="A18" s="1" t="s">
        <v>22</v>
      </c>
      <c r="B18" s="1">
        <v>49.53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309.33</v>
      </c>
      <c r="C33" s="3">
        <v>326.95</v>
      </c>
      <c r="D33" s="3">
        <v>312.60000000000002</v>
      </c>
      <c r="E33" s="3">
        <v>301.94</v>
      </c>
      <c r="F33" s="3">
        <v>312.12</v>
      </c>
      <c r="G33" s="3">
        <v>308.47000000000003</v>
      </c>
    </row>
    <row r="35" spans="1:7" x14ac:dyDescent="0.3">
      <c r="A35" s="3" t="s">
        <v>36</v>
      </c>
      <c r="B35" s="3"/>
      <c r="C35" s="3"/>
      <c r="D35" s="3">
        <f>D33-C33</f>
        <v>-14.349999999999966</v>
      </c>
      <c r="E35" s="3"/>
      <c r="F35" s="3">
        <f>F33-E33</f>
        <v>10.180000000000007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-10.660000000000025</v>
      </c>
      <c r="F37" s="3"/>
      <c r="G37" s="3">
        <f>G33-F33</f>
        <v>-3.6499999999999773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82DF3-E68F-4E7D-AA05-082F5982DC49}">
  <dimension ref="A1:G37"/>
  <sheetViews>
    <sheetView zoomScale="70" zoomScaleNormal="70" workbookViewId="0">
      <selection activeCell="M23" sqref="M23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/>
      <c r="C2" s="1"/>
      <c r="D2" s="1"/>
      <c r="E2" s="1"/>
      <c r="F2" s="1"/>
      <c r="G2" s="1"/>
    </row>
    <row r="3" spans="1:7" x14ac:dyDescent="0.3">
      <c r="A3" s="1" t="s">
        <v>7</v>
      </c>
      <c r="B3" s="1"/>
      <c r="C3" s="1"/>
      <c r="D3" s="1"/>
      <c r="E3" s="1"/>
      <c r="F3" s="1"/>
      <c r="G3" s="1"/>
    </row>
    <row r="4" spans="1:7" x14ac:dyDescent="0.3">
      <c r="A4" s="1" t="s">
        <v>8</v>
      </c>
      <c r="B4" s="1"/>
      <c r="C4" s="1"/>
      <c r="D4" s="1"/>
      <c r="E4" s="1"/>
      <c r="F4" s="1"/>
      <c r="G4" s="1"/>
    </row>
    <row r="5" spans="1:7" x14ac:dyDescent="0.3">
      <c r="A5" s="1" t="s">
        <v>9</v>
      </c>
      <c r="B5" s="1"/>
      <c r="C5" s="1"/>
      <c r="D5" s="1"/>
      <c r="E5" s="1"/>
      <c r="F5" s="1"/>
      <c r="G5" s="1"/>
    </row>
    <row r="6" spans="1:7" x14ac:dyDescent="0.3">
      <c r="A6" s="3" t="s">
        <v>10</v>
      </c>
      <c r="B6" s="3"/>
      <c r="C6" s="3"/>
      <c r="D6" s="3"/>
      <c r="E6" s="3"/>
      <c r="F6" s="3"/>
      <c r="G6" s="3"/>
    </row>
    <row r="7" spans="1:7" x14ac:dyDescent="0.3">
      <c r="A7" s="1" t="s">
        <v>11</v>
      </c>
      <c r="B7" s="1"/>
      <c r="C7" s="1"/>
      <c r="D7" s="1"/>
      <c r="E7" s="1"/>
      <c r="F7" s="1"/>
      <c r="G7" s="1"/>
    </row>
    <row r="8" spans="1:7" x14ac:dyDescent="0.3">
      <c r="A8" s="1" t="s">
        <v>12</v>
      </c>
      <c r="B8" s="1"/>
      <c r="C8" s="1"/>
      <c r="D8" s="1"/>
      <c r="E8" s="1"/>
      <c r="F8" s="1"/>
      <c r="G8" s="1"/>
    </row>
    <row r="9" spans="1:7" x14ac:dyDescent="0.3">
      <c r="A9" s="1" t="s">
        <v>13</v>
      </c>
      <c r="B9" s="1"/>
      <c r="C9" s="1"/>
      <c r="D9" s="1"/>
      <c r="E9" s="1"/>
      <c r="F9" s="1"/>
      <c r="G9" s="1"/>
    </row>
    <row r="10" spans="1:7" x14ac:dyDescent="0.3">
      <c r="A10" s="1" t="s">
        <v>14</v>
      </c>
      <c r="B10" s="1"/>
      <c r="C10" s="1"/>
      <c r="D10" s="1"/>
      <c r="E10" s="1"/>
      <c r="F10" s="1"/>
      <c r="G10" s="1"/>
    </row>
    <row r="11" spans="1:7" x14ac:dyDescent="0.3">
      <c r="A11" s="1" t="s">
        <v>15</v>
      </c>
      <c r="B11" s="1"/>
      <c r="C11" s="1"/>
      <c r="D11" s="1"/>
      <c r="E11" s="1"/>
      <c r="F11" s="1"/>
      <c r="G11" s="1"/>
    </row>
    <row r="12" spans="1:7" x14ac:dyDescent="0.3">
      <c r="A12" s="1" t="s">
        <v>16</v>
      </c>
      <c r="B12" s="1"/>
      <c r="C12" s="1"/>
      <c r="D12" s="1"/>
      <c r="E12" s="1"/>
      <c r="F12" s="1"/>
      <c r="G12" s="1"/>
    </row>
    <row r="13" spans="1:7" x14ac:dyDescent="0.3">
      <c r="A13" s="1" t="s">
        <v>17</v>
      </c>
      <c r="B13" s="1"/>
      <c r="C13" s="1"/>
      <c r="D13" s="1"/>
      <c r="E13" s="1"/>
      <c r="F13" s="1"/>
      <c r="G13" s="1"/>
    </row>
    <row r="14" spans="1:7" x14ac:dyDescent="0.3">
      <c r="A14" s="1" t="s">
        <v>18</v>
      </c>
      <c r="B14" s="1"/>
      <c r="C14" s="1"/>
      <c r="D14" s="1"/>
      <c r="E14" s="1"/>
      <c r="F14" s="1"/>
      <c r="G14" s="1"/>
    </row>
    <row r="15" spans="1:7" x14ac:dyDescent="0.3">
      <c r="A15" s="1" t="s">
        <v>19</v>
      </c>
      <c r="B15" s="1"/>
      <c r="C15" s="1"/>
      <c r="D15" s="1"/>
      <c r="E15" s="1"/>
      <c r="F15" s="1"/>
      <c r="G15" s="1"/>
    </row>
    <row r="16" spans="1:7" x14ac:dyDescent="0.3">
      <c r="A16" s="1" t="s">
        <v>20</v>
      </c>
      <c r="B16" s="1"/>
      <c r="C16" s="1"/>
      <c r="D16" s="1"/>
      <c r="E16" s="1"/>
      <c r="F16" s="1"/>
      <c r="G16" s="1"/>
    </row>
    <row r="17" spans="1:7" x14ac:dyDescent="0.3">
      <c r="A17" s="1" t="s">
        <v>21</v>
      </c>
      <c r="B17" s="1"/>
      <c r="C17" s="1"/>
      <c r="D17" s="1"/>
      <c r="E17" s="1"/>
      <c r="F17" s="1"/>
      <c r="G17" s="1"/>
    </row>
    <row r="18" spans="1:7" x14ac:dyDescent="0.3">
      <c r="A18" s="1" t="s">
        <v>22</v>
      </c>
      <c r="B18" s="1"/>
      <c r="C18" s="1"/>
      <c r="D18" s="1"/>
      <c r="E18" s="1"/>
      <c r="F18" s="1"/>
      <c r="G18" s="1"/>
    </row>
    <row r="19" spans="1:7" x14ac:dyDescent="0.3">
      <c r="A19" s="1" t="s">
        <v>23</v>
      </c>
      <c r="B19" s="1"/>
      <c r="C19" s="1"/>
      <c r="D19" s="1"/>
      <c r="E19" s="1"/>
      <c r="F19" s="1"/>
      <c r="G19" s="1"/>
    </row>
    <row r="20" spans="1:7" x14ac:dyDescent="0.3">
      <c r="A20" s="1" t="s">
        <v>24</v>
      </c>
      <c r="B20" s="1"/>
      <c r="C20" s="1"/>
      <c r="D20" s="1"/>
      <c r="E20" s="1"/>
      <c r="F20" s="1"/>
      <c r="G20" s="1"/>
    </row>
    <row r="21" spans="1:7" x14ac:dyDescent="0.3">
      <c r="A21" s="1" t="s">
        <v>25</v>
      </c>
      <c r="B21" s="1"/>
      <c r="C21" s="1"/>
      <c r="D21" s="1"/>
      <c r="E21" s="1"/>
      <c r="F21" s="1"/>
      <c r="G21" s="1"/>
    </row>
    <row r="22" spans="1:7" x14ac:dyDescent="0.3">
      <c r="A22" s="1" t="s">
        <v>26</v>
      </c>
      <c r="B22" s="1"/>
      <c r="C22" s="1"/>
      <c r="D22" s="1"/>
      <c r="E22" s="1"/>
      <c r="F22" s="1"/>
      <c r="G22" s="1"/>
    </row>
    <row r="23" spans="1:7" x14ac:dyDescent="0.3">
      <c r="A23" s="1" t="s">
        <v>27</v>
      </c>
      <c r="B23" s="1"/>
      <c r="C23" s="1"/>
      <c r="D23" s="1"/>
      <c r="E23" s="1"/>
      <c r="F23" s="1"/>
      <c r="G23" s="1"/>
    </row>
    <row r="24" spans="1:7" x14ac:dyDescent="0.3">
      <c r="A24" s="1" t="s">
        <v>28</v>
      </c>
      <c r="B24" s="1"/>
      <c r="C24" s="1"/>
      <c r="D24" s="1"/>
      <c r="E24" s="1"/>
      <c r="F24" s="1"/>
      <c r="G24" s="1"/>
    </row>
    <row r="25" spans="1:7" x14ac:dyDescent="0.3">
      <c r="A25" s="1" t="s">
        <v>29</v>
      </c>
      <c r="B25" s="1"/>
      <c r="C25" s="1"/>
      <c r="D25" s="1"/>
      <c r="E25" s="1"/>
      <c r="F25" s="1"/>
      <c r="G25" s="1"/>
    </row>
    <row r="26" spans="1:7" x14ac:dyDescent="0.3">
      <c r="A26" s="1" t="s">
        <v>30</v>
      </c>
      <c r="B26" s="1"/>
      <c r="C26" s="1"/>
      <c r="D26" s="1"/>
      <c r="E26" s="1"/>
      <c r="F26" s="1"/>
      <c r="G26" s="1"/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3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3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3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/>
      <c r="C33" s="3"/>
      <c r="D33" s="3"/>
      <c r="E33" s="3"/>
      <c r="F33" s="3"/>
      <c r="G33" s="3"/>
    </row>
    <row r="35" spans="1:7" x14ac:dyDescent="0.3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240925Bwt002.1</vt:lpstr>
      <vt:lpstr>240925Bwt002.2</vt:lpstr>
      <vt:lpstr>240925Bwt002.3</vt:lpstr>
      <vt:lpstr>240925Bwt002.4</vt:lpstr>
      <vt:lpstr>240925Bwt003.3</vt:lpstr>
      <vt:lpstr>240925Bwt003.4</vt:lpstr>
      <vt:lpstr>240925Bwt004.3</vt:lpstr>
      <vt:lpstr>240925Bwt004.4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2024-12-10T23:41:14Z</dcterms:created>
  <dcterms:modified xsi:type="dcterms:W3CDTF">2024-12-11T06:37:57Z</dcterms:modified>
</cp:coreProperties>
</file>