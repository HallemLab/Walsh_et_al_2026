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926\WormLab Data\"/>
    </mc:Choice>
  </mc:AlternateContent>
  <xr:revisionPtr revIDLastSave="0" documentId="13_ncr:1_{045BBD97-DF9C-4309-A73B-18A03454D316}" xr6:coauthVersionLast="47" xr6:coauthVersionMax="47" xr10:uidLastSave="{00000000-0000-0000-0000-000000000000}"/>
  <bookViews>
    <workbookView xWindow="1428" yWindow="1428" windowWidth="21036" windowHeight="11256" activeTab="3" xr2:uid="{CD8555D9-FE3D-4DD6-AF4A-1A3593D66432}"/>
  </bookViews>
  <sheets>
    <sheet name="240926Bwt001.2" sheetId="2" r:id="rId1"/>
    <sheet name="240926Bwt002.3" sheetId="3" r:id="rId2"/>
    <sheet name="240926Bwt003.3" sheetId="4" r:id="rId3"/>
    <sheet name="240926Bwt003.4" sheetId="5" r:id="rId4"/>
    <sheet name="template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5" l="1"/>
  <c r="E37" i="5"/>
  <c r="C37" i="5"/>
  <c r="F35" i="5"/>
  <c r="D35" i="5"/>
  <c r="G31" i="5"/>
  <c r="F31" i="5"/>
  <c r="E31" i="5"/>
  <c r="G28" i="5"/>
  <c r="G30" i="5" s="1"/>
  <c r="F28" i="5"/>
  <c r="F30" i="5" s="1"/>
  <c r="E28" i="5"/>
  <c r="E30" i="5" s="1"/>
  <c r="D28" i="5"/>
  <c r="D29" i="5" s="1"/>
  <c r="C28" i="5"/>
  <c r="C29" i="5" s="1"/>
  <c r="B28" i="5"/>
  <c r="B29" i="5" s="1"/>
  <c r="C37" i="4"/>
  <c r="G37" i="4"/>
  <c r="E37" i="4"/>
  <c r="F35" i="4"/>
  <c r="D35" i="4"/>
  <c r="G28" i="4"/>
  <c r="G30" i="4" s="1"/>
  <c r="F28" i="4"/>
  <c r="F30" i="4" s="1"/>
  <c r="E28" i="4"/>
  <c r="E31" i="4" s="1"/>
  <c r="D28" i="4"/>
  <c r="D31" i="4" s="1"/>
  <c r="C28" i="4"/>
  <c r="C31" i="4" s="1"/>
  <c r="B28" i="4"/>
  <c r="B31" i="4" s="1"/>
  <c r="G37" i="3"/>
  <c r="E37" i="3"/>
  <c r="C37" i="3"/>
  <c r="F35" i="3"/>
  <c r="D35" i="3"/>
  <c r="G28" i="3"/>
  <c r="G30" i="3" s="1"/>
  <c r="F28" i="3"/>
  <c r="F31" i="3" s="1"/>
  <c r="E28" i="3"/>
  <c r="E31" i="3" s="1"/>
  <c r="D28" i="3"/>
  <c r="D31" i="3" s="1"/>
  <c r="C28" i="3"/>
  <c r="C31" i="3" s="1"/>
  <c r="B28" i="3"/>
  <c r="B31" i="3" s="1"/>
  <c r="G37" i="2"/>
  <c r="E37" i="2"/>
  <c r="C37" i="2"/>
  <c r="F35" i="2"/>
  <c r="D35" i="2"/>
  <c r="E31" i="2"/>
  <c r="D31" i="2"/>
  <c r="C31" i="2"/>
  <c r="B31" i="2"/>
  <c r="G30" i="2"/>
  <c r="F30" i="2"/>
  <c r="E30" i="2"/>
  <c r="D30" i="2"/>
  <c r="C30" i="2"/>
  <c r="B30" i="2"/>
  <c r="G29" i="2"/>
  <c r="F29" i="2"/>
  <c r="E29" i="2"/>
  <c r="D29" i="2"/>
  <c r="C29" i="2"/>
  <c r="G28" i="2"/>
  <c r="G31" i="2" s="1"/>
  <c r="F28" i="2"/>
  <c r="F31" i="2" s="1"/>
  <c r="E28" i="2"/>
  <c r="D28" i="2"/>
  <c r="C28" i="2"/>
  <c r="B28" i="2"/>
  <c r="B29" i="2" s="1"/>
  <c r="G37" i="1"/>
  <c r="E37" i="1"/>
  <c r="C37" i="1"/>
  <c r="F35" i="1"/>
  <c r="D35" i="1"/>
  <c r="G28" i="1"/>
  <c r="G31" i="1" s="1"/>
  <c r="F28" i="1"/>
  <c r="F31" i="1" s="1"/>
  <c r="E28" i="1"/>
  <c r="E31" i="1" s="1"/>
  <c r="D28" i="1"/>
  <c r="D31" i="1" s="1"/>
  <c r="C28" i="1"/>
  <c r="C31" i="1" s="1"/>
  <c r="B28" i="1"/>
  <c r="B31" i="1" s="1"/>
  <c r="B30" i="5" l="1"/>
  <c r="B31" i="5"/>
  <c r="E29" i="5"/>
  <c r="F29" i="5"/>
  <c r="G29" i="5"/>
  <c r="C30" i="5"/>
  <c r="D30" i="5"/>
  <c r="C31" i="5"/>
  <c r="D31" i="5"/>
  <c r="C29" i="4"/>
  <c r="C30" i="4"/>
  <c r="F31" i="4"/>
  <c r="B29" i="4"/>
  <c r="B30" i="4"/>
  <c r="G31" i="4"/>
  <c r="D29" i="4"/>
  <c r="E29" i="4"/>
  <c r="F29" i="4"/>
  <c r="G29" i="4"/>
  <c r="D30" i="4"/>
  <c r="E30" i="4"/>
  <c r="B29" i="3"/>
  <c r="C29" i="3"/>
  <c r="D29" i="3"/>
  <c r="B30" i="3"/>
  <c r="C30" i="3"/>
  <c r="D30" i="3"/>
  <c r="G31" i="3"/>
  <c r="E29" i="3"/>
  <c r="F29" i="3"/>
  <c r="G29" i="3"/>
  <c r="E30" i="3"/>
  <c r="F30" i="3"/>
  <c r="E29" i="1"/>
  <c r="F29" i="1"/>
  <c r="G29" i="1"/>
  <c r="B30" i="1"/>
  <c r="C30" i="1"/>
  <c r="B29" i="1"/>
  <c r="D30" i="1"/>
  <c r="C29" i="1"/>
  <c r="E30" i="1"/>
  <c r="D29" i="1"/>
  <c r="F30" i="1"/>
  <c r="G30" i="1"/>
</calcChain>
</file>

<file path=xl/sharedStrings.xml><?xml version="1.0" encoding="utf-8"?>
<sst xmlns="http://schemas.openxmlformats.org/spreadsheetml/2006/main" count="190" uniqueCount="37">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</sst>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AF12E-2F3A-4E84-891E-BEC3FF3F0723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481.57</v>
      </c>
      <c r="C2" s="1">
        <v>507.16</v>
      </c>
      <c r="D2" s="1">
        <v>497.24</v>
      </c>
      <c r="E2" s="1">
        <v>545.57000000000005</v>
      </c>
      <c r="F2" s="1">
        <v>463.54</v>
      </c>
      <c r="G2" s="1">
        <v>530.36</v>
      </c>
    </row>
    <row r="3" spans="1:7" x14ac:dyDescent="0.3">
      <c r="A3" s="1" t="s">
        <v>7</v>
      </c>
      <c r="B3" s="1">
        <v>50.24</v>
      </c>
      <c r="C3" s="1">
        <v>49.26</v>
      </c>
      <c r="D3" s="1">
        <v>48.72</v>
      </c>
      <c r="E3" s="1">
        <v>59.2</v>
      </c>
      <c r="F3" s="1">
        <v>51.95</v>
      </c>
      <c r="G3" s="1">
        <v>58.21</v>
      </c>
    </row>
    <row r="4" spans="1:7" x14ac:dyDescent="0.3">
      <c r="A4" s="1" t="s">
        <v>8</v>
      </c>
      <c r="B4" s="1">
        <v>24477.58</v>
      </c>
      <c r="C4" s="1">
        <v>25405.83</v>
      </c>
      <c r="D4" s="1">
        <v>24705.66</v>
      </c>
      <c r="E4" s="1">
        <v>32857.879999999997</v>
      </c>
      <c r="F4" s="1">
        <v>24760.82</v>
      </c>
      <c r="G4" s="1">
        <v>31405.19</v>
      </c>
    </row>
    <row r="5" spans="1:7" x14ac:dyDescent="0.3">
      <c r="A5" s="1" t="s">
        <v>9</v>
      </c>
      <c r="B5" s="1">
        <v>1553.13</v>
      </c>
      <c r="C5" s="1">
        <v>1728.35</v>
      </c>
      <c r="D5" s="1">
        <v>2493.2399999999998</v>
      </c>
      <c r="E5" s="1">
        <v>111.86</v>
      </c>
      <c r="F5" s="1">
        <v>555.4</v>
      </c>
      <c r="G5" s="1">
        <v>781.57</v>
      </c>
    </row>
    <row r="6" spans="1:7" x14ac:dyDescent="0.3">
      <c r="A6" s="3" t="s">
        <v>10</v>
      </c>
      <c r="B6" s="3">
        <v>155.31</v>
      </c>
      <c r="C6" s="3">
        <v>174.58</v>
      </c>
      <c r="D6" s="3">
        <v>251.84</v>
      </c>
      <c r="E6" s="3">
        <v>11.3</v>
      </c>
      <c r="F6" s="3">
        <v>56.1</v>
      </c>
      <c r="G6" s="3">
        <v>79.75</v>
      </c>
    </row>
    <row r="7" spans="1:7" x14ac:dyDescent="0.3">
      <c r="A7" s="1" t="s">
        <v>11</v>
      </c>
      <c r="B7" s="1">
        <v>1458.79</v>
      </c>
      <c r="C7" s="1">
        <v>1522.15</v>
      </c>
      <c r="D7" s="1">
        <v>2349.58</v>
      </c>
      <c r="E7" s="1">
        <v>88.1</v>
      </c>
      <c r="F7" s="1">
        <v>514.92999999999995</v>
      </c>
      <c r="G7" s="1">
        <v>673.63</v>
      </c>
    </row>
    <row r="8" spans="1:7" x14ac:dyDescent="0.3">
      <c r="A8" s="1" t="s">
        <v>12</v>
      </c>
      <c r="B8" s="1">
        <v>145.88</v>
      </c>
      <c r="C8" s="1">
        <v>153.75</v>
      </c>
      <c r="D8" s="1">
        <v>237.33</v>
      </c>
      <c r="E8" s="1">
        <v>8.9</v>
      </c>
      <c r="F8" s="1">
        <v>52.01</v>
      </c>
      <c r="G8" s="1">
        <v>68.739999999999995</v>
      </c>
    </row>
    <row r="9" spans="1:7" x14ac:dyDescent="0.3">
      <c r="A9" s="1" t="s">
        <v>13</v>
      </c>
      <c r="B9" s="1">
        <v>1413.2</v>
      </c>
      <c r="C9" s="1">
        <v>1412.4</v>
      </c>
      <c r="D9" s="1">
        <v>2319.42</v>
      </c>
      <c r="E9" s="1">
        <v>39.93</v>
      </c>
      <c r="F9" s="1">
        <v>275.39999999999998</v>
      </c>
      <c r="G9" s="1">
        <v>280.33999999999997</v>
      </c>
    </row>
    <row r="10" spans="1:7" x14ac:dyDescent="0.3">
      <c r="A10" s="1" t="s">
        <v>14</v>
      </c>
      <c r="B10" s="1">
        <v>141.32</v>
      </c>
      <c r="C10" s="1">
        <v>142.66999999999999</v>
      </c>
      <c r="D10" s="1">
        <v>234.29</v>
      </c>
      <c r="E10" s="1">
        <v>4.03</v>
      </c>
      <c r="F10" s="1">
        <v>27.82</v>
      </c>
      <c r="G10" s="1">
        <v>28.61</v>
      </c>
    </row>
    <row r="11" spans="1:7" x14ac:dyDescent="0.3">
      <c r="A11" s="1" t="s">
        <v>15</v>
      </c>
      <c r="B11" s="1">
        <v>771.39</v>
      </c>
      <c r="C11" s="1">
        <v>1230.95</v>
      </c>
      <c r="D11" s="1">
        <v>1980.23</v>
      </c>
      <c r="E11" s="1">
        <v>42.65</v>
      </c>
      <c r="F11" s="1">
        <v>162.01</v>
      </c>
      <c r="G11" s="1">
        <v>214.46</v>
      </c>
    </row>
    <row r="12" spans="1:7" x14ac:dyDescent="0.3">
      <c r="A12" s="1" t="s">
        <v>16</v>
      </c>
      <c r="B12" s="1">
        <v>247.04</v>
      </c>
      <c r="C12" s="1">
        <v>244.02</v>
      </c>
      <c r="D12" s="1">
        <v>297.52999999999997</v>
      </c>
      <c r="E12" s="1">
        <v>227.56</v>
      </c>
      <c r="F12" s="1">
        <v>260.95</v>
      </c>
      <c r="G12" s="1">
        <v>205.64</v>
      </c>
    </row>
    <row r="13" spans="1:7" x14ac:dyDescent="0.3">
      <c r="A13" s="1" t="s">
        <v>17</v>
      </c>
      <c r="B13" s="1">
        <v>42.73</v>
      </c>
      <c r="C13" s="1">
        <v>41.85</v>
      </c>
      <c r="D13" s="1">
        <v>35.04</v>
      </c>
      <c r="E13" s="1">
        <v>13.92</v>
      </c>
      <c r="F13" s="1">
        <v>10.68</v>
      </c>
      <c r="G13" s="1">
        <v>53.51</v>
      </c>
    </row>
    <row r="14" spans="1:7" x14ac:dyDescent="0.3">
      <c r="A14" s="1" t="s">
        <v>18</v>
      </c>
      <c r="B14" s="1">
        <v>95</v>
      </c>
      <c r="C14" s="1">
        <v>94.36</v>
      </c>
      <c r="D14" s="1">
        <v>74.739999999999995</v>
      </c>
      <c r="E14" s="1">
        <v>30.66</v>
      </c>
      <c r="F14" s="1">
        <v>30.18</v>
      </c>
      <c r="G14" s="1">
        <v>107.21</v>
      </c>
    </row>
    <row r="15" spans="1:7" x14ac:dyDescent="0.3">
      <c r="A15" s="1" t="s">
        <v>19</v>
      </c>
      <c r="B15" s="1">
        <v>6</v>
      </c>
      <c r="C15" s="1">
        <v>7</v>
      </c>
      <c r="D15" s="1">
        <v>8</v>
      </c>
      <c r="E15" s="1">
        <v>2</v>
      </c>
      <c r="F15" s="1">
        <v>4</v>
      </c>
      <c r="G15" s="1">
        <v>4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1436</v>
      </c>
      <c r="C17" s="1">
        <v>1467.28</v>
      </c>
      <c r="D17" s="1">
        <v>2334.5</v>
      </c>
      <c r="E17" s="1">
        <v>64.02</v>
      </c>
      <c r="F17" s="1">
        <v>395.16</v>
      </c>
      <c r="G17" s="1">
        <v>476.98</v>
      </c>
    </row>
    <row r="18" spans="1:7" x14ac:dyDescent="0.3">
      <c r="A18" s="1" t="s">
        <v>22</v>
      </c>
      <c r="B18" s="1">
        <v>22.8</v>
      </c>
      <c r="C18" s="1">
        <v>54.87</v>
      </c>
      <c r="D18" s="1">
        <v>15.08</v>
      </c>
      <c r="E18" s="1">
        <v>24.08</v>
      </c>
      <c r="F18" s="1">
        <v>119.77</v>
      </c>
      <c r="G18" s="1">
        <v>196.65</v>
      </c>
    </row>
    <row r="19" spans="1:7" x14ac:dyDescent="0.3">
      <c r="A19" s="1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1</v>
      </c>
      <c r="G19" s="1">
        <v>1</v>
      </c>
    </row>
    <row r="20" spans="1:7" x14ac:dyDescent="0.3">
      <c r="A20" s="1" t="s">
        <v>24</v>
      </c>
      <c r="B20" s="1">
        <v>1</v>
      </c>
      <c r="C20" s="1">
        <v>0</v>
      </c>
      <c r="D20" s="1">
        <v>0</v>
      </c>
      <c r="E20" s="1">
        <v>0</v>
      </c>
      <c r="F20" s="1">
        <v>2.8</v>
      </c>
      <c r="G20" s="1">
        <v>3</v>
      </c>
    </row>
    <row r="21" spans="1:7" x14ac:dyDescent="0.3">
      <c r="A21" s="1" t="s">
        <v>25</v>
      </c>
      <c r="B21" s="1">
        <v>9.1</v>
      </c>
      <c r="C21" s="1">
        <v>10</v>
      </c>
      <c r="D21" s="1">
        <v>10</v>
      </c>
      <c r="E21" s="1">
        <v>10</v>
      </c>
      <c r="F21" s="1">
        <v>7.2</v>
      </c>
      <c r="G21" s="1">
        <v>6.9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2.4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1.7</v>
      </c>
      <c r="G24" s="1">
        <v>2.2000000000000002</v>
      </c>
    </row>
    <row r="25" spans="1:7" x14ac:dyDescent="0.3">
      <c r="A25" s="1" t="s">
        <v>29</v>
      </c>
      <c r="B25" s="1">
        <v>2.7</v>
      </c>
      <c r="C25" s="1">
        <v>0</v>
      </c>
      <c r="D25" s="1">
        <v>0</v>
      </c>
      <c r="E25" s="1">
        <v>10</v>
      </c>
      <c r="F25" s="1">
        <v>6.2</v>
      </c>
      <c r="G25" s="1">
        <v>4.0999999999999996</v>
      </c>
    </row>
    <row r="26" spans="1:7" x14ac:dyDescent="0.3">
      <c r="A26" s="1" t="s">
        <v>30</v>
      </c>
      <c r="B26" s="1">
        <v>7.4</v>
      </c>
      <c r="C26" s="1">
        <v>10</v>
      </c>
      <c r="D26" s="1">
        <v>10</v>
      </c>
      <c r="E26" s="1">
        <v>0</v>
      </c>
      <c r="F26" s="1">
        <v>2.1</v>
      </c>
      <c r="G26" s="1">
        <v>3.6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17</v>
      </c>
      <c r="G29" s="3">
        <f t="shared" si="1"/>
        <v>22.222222222222225</v>
      </c>
    </row>
    <row r="30" spans="1:7" x14ac:dyDescent="0.3">
      <c r="A30" s="3" t="s">
        <v>33</v>
      </c>
      <c r="B30" s="3">
        <f>B25/B28*100</f>
        <v>26.732673267326728</v>
      </c>
      <c r="C30" s="3">
        <f t="shared" ref="C30:G30" si="2">C25/C28*100</f>
        <v>0</v>
      </c>
      <c r="D30" s="3">
        <f t="shared" si="2"/>
        <v>0</v>
      </c>
      <c r="E30" s="3">
        <f t="shared" si="2"/>
        <v>100</v>
      </c>
      <c r="F30" s="3">
        <f t="shared" si="2"/>
        <v>62</v>
      </c>
      <c r="G30" s="3">
        <f t="shared" si="2"/>
        <v>41.414141414141412</v>
      </c>
    </row>
    <row r="31" spans="1:7" x14ac:dyDescent="0.3">
      <c r="A31" s="3" t="s">
        <v>34</v>
      </c>
      <c r="B31" s="3">
        <f>B26/B28*100</f>
        <v>73.267326732673268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0</v>
      </c>
      <c r="F31" s="3">
        <f t="shared" si="3"/>
        <v>21.000000000000004</v>
      </c>
      <c r="G31" s="3">
        <f t="shared" si="3"/>
        <v>36.363636363636367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145.36000000000001</v>
      </c>
      <c r="C33" s="3">
        <v>166.3</v>
      </c>
      <c r="D33" s="3">
        <v>244.12</v>
      </c>
      <c r="E33" s="3">
        <v>5.62</v>
      </c>
      <c r="F33" s="3">
        <v>16.5</v>
      </c>
      <c r="G33" s="3">
        <v>5.94</v>
      </c>
    </row>
    <row r="35" spans="1:7" x14ac:dyDescent="0.3">
      <c r="A35" s="3" t="s">
        <v>36</v>
      </c>
      <c r="B35" s="3"/>
      <c r="C35" s="3"/>
      <c r="D35" s="3">
        <f>D33-C33</f>
        <v>77.819999999999993</v>
      </c>
      <c r="E35" s="3"/>
      <c r="F35" s="3">
        <f>F33-E33</f>
        <v>10.879999999999999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-238.5</v>
      </c>
      <c r="F37" s="3"/>
      <c r="G37" s="3">
        <f>G33-F33</f>
        <v>-10.559999999999999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D648E-3C8A-4928-9D9E-3B748045C003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469.71</v>
      </c>
      <c r="C2" s="1">
        <v>501.03</v>
      </c>
      <c r="D2" s="1">
        <v>514.30999999999995</v>
      </c>
      <c r="E2" s="1">
        <v>554.44000000000005</v>
      </c>
      <c r="F2" s="1">
        <v>544.04</v>
      </c>
      <c r="G2" s="1">
        <v>436.19</v>
      </c>
    </row>
    <row r="3" spans="1:7" x14ac:dyDescent="0.3">
      <c r="A3" s="1" t="s">
        <v>7</v>
      </c>
      <c r="B3" s="1">
        <v>43.35</v>
      </c>
      <c r="C3" s="1">
        <v>47.69</v>
      </c>
      <c r="D3" s="1">
        <v>49.8</v>
      </c>
      <c r="E3" s="1">
        <v>65.72</v>
      </c>
      <c r="F3" s="1">
        <v>64.41</v>
      </c>
      <c r="G3" s="1">
        <v>44.1</v>
      </c>
    </row>
    <row r="4" spans="1:7" x14ac:dyDescent="0.3">
      <c r="A4" s="1" t="s">
        <v>8</v>
      </c>
      <c r="B4" s="1">
        <v>20712.02</v>
      </c>
      <c r="C4" s="1">
        <v>24313.58</v>
      </c>
      <c r="D4" s="1">
        <v>26039.49</v>
      </c>
      <c r="E4" s="1">
        <v>37068.19</v>
      </c>
      <c r="F4" s="1">
        <v>35663.480000000003</v>
      </c>
      <c r="G4" s="1">
        <v>19572.740000000002</v>
      </c>
    </row>
    <row r="5" spans="1:7" x14ac:dyDescent="0.3">
      <c r="A5" s="1" t="s">
        <v>9</v>
      </c>
      <c r="B5" s="1">
        <v>3882.77</v>
      </c>
      <c r="C5" s="1">
        <v>3680.27</v>
      </c>
      <c r="D5" s="1">
        <v>3257.96</v>
      </c>
      <c r="E5" s="1">
        <v>2093.7399999999998</v>
      </c>
      <c r="F5" s="1">
        <v>1097.47</v>
      </c>
      <c r="G5" s="1">
        <v>2353.4899999999998</v>
      </c>
    </row>
    <row r="6" spans="1:7" x14ac:dyDescent="0.3">
      <c r="A6" s="3" t="s">
        <v>10</v>
      </c>
      <c r="B6" s="3">
        <v>388.28</v>
      </c>
      <c r="C6" s="3">
        <v>371.74</v>
      </c>
      <c r="D6" s="3">
        <v>329.09</v>
      </c>
      <c r="E6" s="3">
        <v>211.49</v>
      </c>
      <c r="F6" s="3">
        <v>110.86</v>
      </c>
      <c r="G6" s="3">
        <v>240.15</v>
      </c>
    </row>
    <row r="7" spans="1:7" x14ac:dyDescent="0.3">
      <c r="A7" s="1" t="s">
        <v>11</v>
      </c>
      <c r="B7" s="1">
        <v>3404.32</v>
      </c>
      <c r="C7" s="1">
        <v>3245.4</v>
      </c>
      <c r="D7" s="1">
        <v>2966.28</v>
      </c>
      <c r="E7" s="1">
        <v>1897.29</v>
      </c>
      <c r="F7" s="1">
        <v>1038.6500000000001</v>
      </c>
      <c r="G7" s="1">
        <v>2230.9699999999998</v>
      </c>
    </row>
    <row r="8" spans="1:7" x14ac:dyDescent="0.3">
      <c r="A8" s="1" t="s">
        <v>12</v>
      </c>
      <c r="B8" s="1">
        <v>340.43</v>
      </c>
      <c r="C8" s="1">
        <v>327.82</v>
      </c>
      <c r="D8" s="1">
        <v>299.62</v>
      </c>
      <c r="E8" s="1">
        <v>191.65</v>
      </c>
      <c r="F8" s="1">
        <v>104.91</v>
      </c>
      <c r="G8" s="1">
        <v>227.65</v>
      </c>
    </row>
    <row r="9" spans="1:7" x14ac:dyDescent="0.3">
      <c r="A9" s="1" t="s">
        <v>13</v>
      </c>
      <c r="B9" s="1">
        <v>3404.32</v>
      </c>
      <c r="C9" s="1">
        <v>3245.4</v>
      </c>
      <c r="D9" s="1">
        <v>2966.28</v>
      </c>
      <c r="E9" s="1">
        <v>1897.29</v>
      </c>
      <c r="F9" s="1">
        <v>786.47</v>
      </c>
      <c r="G9" s="1">
        <v>2230.9699999999998</v>
      </c>
    </row>
    <row r="10" spans="1:7" x14ac:dyDescent="0.3">
      <c r="A10" s="1" t="s">
        <v>14</v>
      </c>
      <c r="B10" s="1">
        <v>340.43</v>
      </c>
      <c r="C10" s="1">
        <v>327.82</v>
      </c>
      <c r="D10" s="1">
        <v>299.62</v>
      </c>
      <c r="E10" s="1">
        <v>191.65</v>
      </c>
      <c r="F10" s="1">
        <v>79.44</v>
      </c>
      <c r="G10" s="1">
        <v>227.65</v>
      </c>
    </row>
    <row r="11" spans="1:7" x14ac:dyDescent="0.3">
      <c r="A11" s="1" t="s">
        <v>15</v>
      </c>
      <c r="B11" s="1">
        <v>3053.81</v>
      </c>
      <c r="C11" s="1">
        <v>3211.2</v>
      </c>
      <c r="D11" s="1">
        <v>3159.7</v>
      </c>
      <c r="E11" s="1">
        <v>1738.84</v>
      </c>
      <c r="F11" s="1">
        <v>680.82</v>
      </c>
      <c r="G11" s="1">
        <v>2108.85</v>
      </c>
    </row>
    <row r="12" spans="1:7" x14ac:dyDescent="0.3">
      <c r="A12" s="1" t="s">
        <v>16</v>
      </c>
      <c r="B12" s="1">
        <v>274.14999999999998</v>
      </c>
      <c r="C12" s="1">
        <v>267.81</v>
      </c>
      <c r="D12" s="1">
        <v>256.07</v>
      </c>
      <c r="E12" s="1">
        <v>286.3</v>
      </c>
      <c r="F12" s="1">
        <v>245.37</v>
      </c>
      <c r="G12" s="1">
        <v>236.77</v>
      </c>
    </row>
    <row r="13" spans="1:7" x14ac:dyDescent="0.3">
      <c r="A13" s="1" t="s">
        <v>17</v>
      </c>
      <c r="B13" s="1">
        <v>31.61</v>
      </c>
      <c r="C13" s="1">
        <v>28.77</v>
      </c>
      <c r="D13" s="1">
        <v>18.3</v>
      </c>
      <c r="E13" s="1">
        <v>25.43</v>
      </c>
      <c r="F13" s="1">
        <v>27.84</v>
      </c>
      <c r="G13" s="1">
        <v>27.58</v>
      </c>
    </row>
    <row r="14" spans="1:7" x14ac:dyDescent="0.3">
      <c r="A14" s="1" t="s">
        <v>18</v>
      </c>
      <c r="B14" s="1">
        <v>72.510000000000005</v>
      </c>
      <c r="C14" s="1">
        <v>65.959999999999994</v>
      </c>
      <c r="D14" s="1">
        <v>43.09</v>
      </c>
      <c r="E14" s="1">
        <v>69.03</v>
      </c>
      <c r="F14" s="1">
        <v>56.87</v>
      </c>
      <c r="G14" s="1">
        <v>76.319999999999993</v>
      </c>
    </row>
    <row r="15" spans="1:7" x14ac:dyDescent="0.3">
      <c r="A15" s="1" t="s">
        <v>19</v>
      </c>
      <c r="B15" s="1">
        <v>5</v>
      </c>
      <c r="C15" s="1">
        <v>4</v>
      </c>
      <c r="D15" s="1">
        <v>1</v>
      </c>
      <c r="E15" s="1">
        <v>7</v>
      </c>
      <c r="F15" s="1">
        <v>2</v>
      </c>
      <c r="G15" s="1">
        <v>6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3404.32</v>
      </c>
      <c r="C17" s="1">
        <v>3245.4</v>
      </c>
      <c r="D17" s="1">
        <v>2966.28</v>
      </c>
      <c r="E17" s="1">
        <v>1897.29</v>
      </c>
      <c r="F17" s="1">
        <v>912.56</v>
      </c>
      <c r="G17" s="1">
        <v>2230.9699999999998</v>
      </c>
    </row>
    <row r="18" spans="1:7" x14ac:dyDescent="0.3">
      <c r="A18" s="1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126.09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2.6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7.4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2.9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7.1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28.999999999999996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71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378.93</v>
      </c>
      <c r="C33" s="3">
        <v>370.45</v>
      </c>
      <c r="D33" s="3">
        <v>326.76</v>
      </c>
      <c r="E33">
        <v>210.59</v>
      </c>
      <c r="F33">
        <v>71.81</v>
      </c>
      <c r="G33">
        <v>236.69</v>
      </c>
    </row>
    <row r="35" spans="1:7" x14ac:dyDescent="0.3">
      <c r="A35" s="3" t="s">
        <v>36</v>
      </c>
      <c r="B35" s="3"/>
      <c r="C35" s="3"/>
      <c r="D35" s="3">
        <f>D33-C33</f>
        <v>-43.69</v>
      </c>
      <c r="E35" s="3"/>
      <c r="F35" s="3">
        <f>F33-E33</f>
        <v>-138.78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-116.16999999999999</v>
      </c>
      <c r="F37" s="3"/>
      <c r="G37" s="3" t="e">
        <f>#REF!-F33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13056-173F-476A-8D55-C734D9C35188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471.28</v>
      </c>
      <c r="C2" s="1">
        <v>496.89</v>
      </c>
      <c r="D2" s="1">
        <v>532.17999999999995</v>
      </c>
      <c r="E2" s="1">
        <v>397.53</v>
      </c>
      <c r="F2" s="1">
        <v>430.33</v>
      </c>
      <c r="G2" s="1">
        <v>390.73</v>
      </c>
    </row>
    <row r="3" spans="1:7" x14ac:dyDescent="0.3">
      <c r="A3" s="1" t="s">
        <v>7</v>
      </c>
      <c r="B3" s="1">
        <v>41.37</v>
      </c>
      <c r="C3" s="1">
        <v>43.3</v>
      </c>
      <c r="D3" s="1">
        <v>44.04</v>
      </c>
      <c r="E3" s="1">
        <v>40.409999999999997</v>
      </c>
      <c r="F3" s="1">
        <v>41.43</v>
      </c>
      <c r="G3" s="1">
        <v>39.65</v>
      </c>
    </row>
    <row r="4" spans="1:7" x14ac:dyDescent="0.3">
      <c r="A4" s="1" t="s">
        <v>8</v>
      </c>
      <c r="B4" s="1">
        <v>19875.57</v>
      </c>
      <c r="C4" s="1">
        <v>21906.53</v>
      </c>
      <c r="D4" s="1">
        <v>23828.31</v>
      </c>
      <c r="E4" s="1">
        <v>16402.900000000001</v>
      </c>
      <c r="F4" s="1">
        <v>18150.82</v>
      </c>
      <c r="G4" s="1">
        <v>15801.69</v>
      </c>
    </row>
    <row r="5" spans="1:7" x14ac:dyDescent="0.3">
      <c r="A5" s="1" t="s">
        <v>9</v>
      </c>
      <c r="B5" s="1">
        <v>3597.64</v>
      </c>
      <c r="C5" s="1">
        <v>3765.57</v>
      </c>
      <c r="D5" s="1">
        <v>3623.6</v>
      </c>
      <c r="E5" s="1">
        <v>1356.64</v>
      </c>
      <c r="F5" s="1">
        <v>984.47</v>
      </c>
      <c r="G5" s="1">
        <v>1405.48</v>
      </c>
    </row>
    <row r="6" spans="1:7" x14ac:dyDescent="0.3">
      <c r="A6" s="3" t="s">
        <v>10</v>
      </c>
      <c r="B6" s="3">
        <v>359.76</v>
      </c>
      <c r="C6" s="3">
        <v>380.36</v>
      </c>
      <c r="D6" s="3">
        <v>366.02</v>
      </c>
      <c r="E6" s="3">
        <v>137.03</v>
      </c>
      <c r="F6" s="3">
        <v>99.44</v>
      </c>
      <c r="G6" s="3">
        <v>143.41999999999999</v>
      </c>
    </row>
    <row r="7" spans="1:7" x14ac:dyDescent="0.3">
      <c r="A7" s="1" t="s">
        <v>11</v>
      </c>
      <c r="B7" s="1">
        <v>3207.38</v>
      </c>
      <c r="C7" s="1">
        <v>3508.68</v>
      </c>
      <c r="D7" s="1">
        <v>3387.01</v>
      </c>
      <c r="E7" s="1">
        <v>1242.31</v>
      </c>
      <c r="F7" s="1">
        <v>931.61</v>
      </c>
      <c r="G7" s="1">
        <v>1101.44</v>
      </c>
    </row>
    <row r="8" spans="1:7" x14ac:dyDescent="0.3">
      <c r="A8" s="1" t="s">
        <v>12</v>
      </c>
      <c r="B8" s="1">
        <v>320.74</v>
      </c>
      <c r="C8" s="1">
        <v>354.41</v>
      </c>
      <c r="D8" s="1">
        <v>342.12</v>
      </c>
      <c r="E8" s="1">
        <v>125.49</v>
      </c>
      <c r="F8" s="1">
        <v>94.1</v>
      </c>
      <c r="G8" s="1">
        <v>112.39</v>
      </c>
    </row>
    <row r="9" spans="1:7" x14ac:dyDescent="0.3">
      <c r="A9" s="1" t="s">
        <v>13</v>
      </c>
      <c r="B9" s="1">
        <v>3099.33</v>
      </c>
      <c r="C9" s="1">
        <v>3508.68</v>
      </c>
      <c r="D9" s="1">
        <v>3387.01</v>
      </c>
      <c r="E9" s="1">
        <v>912.07</v>
      </c>
      <c r="F9" s="1">
        <v>533</v>
      </c>
      <c r="G9" s="1">
        <v>-331.52</v>
      </c>
    </row>
    <row r="10" spans="1:7" x14ac:dyDescent="0.3">
      <c r="A10" s="1" t="s">
        <v>14</v>
      </c>
      <c r="B10" s="1">
        <v>309.93</v>
      </c>
      <c r="C10" s="1">
        <v>354.41</v>
      </c>
      <c r="D10" s="1">
        <v>342.12</v>
      </c>
      <c r="E10" s="1">
        <v>92.13</v>
      </c>
      <c r="F10" s="1">
        <v>53.84</v>
      </c>
      <c r="G10" s="1">
        <v>-33.83</v>
      </c>
    </row>
    <row r="11" spans="1:7" x14ac:dyDescent="0.3">
      <c r="A11" s="1" t="s">
        <v>15</v>
      </c>
      <c r="B11" s="1">
        <v>2625.05</v>
      </c>
      <c r="C11" s="1">
        <v>2736.6</v>
      </c>
      <c r="D11" s="1">
        <v>3362.33</v>
      </c>
      <c r="E11" s="1">
        <v>404.45</v>
      </c>
      <c r="F11" s="1">
        <v>246.07</v>
      </c>
      <c r="G11" s="1">
        <v>196.49</v>
      </c>
    </row>
    <row r="12" spans="1:7" x14ac:dyDescent="0.3">
      <c r="A12" s="1" t="s">
        <v>16</v>
      </c>
      <c r="B12" s="1">
        <v>261.19</v>
      </c>
      <c r="C12" s="1">
        <v>294.27</v>
      </c>
      <c r="D12" s="1">
        <v>287.69</v>
      </c>
      <c r="E12" s="1">
        <v>192.23</v>
      </c>
      <c r="F12" s="1">
        <v>214.55</v>
      </c>
      <c r="G12" s="1">
        <v>173.97</v>
      </c>
    </row>
    <row r="13" spans="1:7" x14ac:dyDescent="0.3">
      <c r="A13" s="1" t="s">
        <v>17</v>
      </c>
      <c r="B13" s="1">
        <v>33.32</v>
      </c>
      <c r="C13" s="1">
        <v>31.45</v>
      </c>
      <c r="D13" s="1">
        <v>24.81</v>
      </c>
      <c r="E13" s="1">
        <v>30.87</v>
      </c>
      <c r="F13" s="1">
        <v>32.51</v>
      </c>
      <c r="G13" s="1">
        <v>47.8</v>
      </c>
    </row>
    <row r="14" spans="1:7" x14ac:dyDescent="0.3">
      <c r="A14" s="1" t="s">
        <v>18</v>
      </c>
      <c r="B14" s="1">
        <v>87.84</v>
      </c>
      <c r="C14" s="1">
        <v>74.28</v>
      </c>
      <c r="D14" s="1">
        <v>74.930000000000007</v>
      </c>
      <c r="E14" s="1">
        <v>83.81</v>
      </c>
      <c r="F14" s="1">
        <v>59.23</v>
      </c>
      <c r="G14" s="1">
        <v>106.2</v>
      </c>
    </row>
    <row r="15" spans="1:7" x14ac:dyDescent="0.3">
      <c r="A15" s="1" t="s">
        <v>19</v>
      </c>
      <c r="B15" s="1">
        <v>5</v>
      </c>
      <c r="C15" s="1">
        <v>6</v>
      </c>
      <c r="D15" s="1">
        <v>5</v>
      </c>
      <c r="E15" s="1">
        <v>8</v>
      </c>
      <c r="F15" s="1">
        <v>5</v>
      </c>
      <c r="G15" s="1">
        <v>6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3153.35</v>
      </c>
      <c r="C17" s="1">
        <v>3508.68</v>
      </c>
      <c r="D17" s="1">
        <v>3387.01</v>
      </c>
      <c r="E17" s="1">
        <v>1077.19</v>
      </c>
      <c r="F17" s="1">
        <v>732.3</v>
      </c>
      <c r="G17" s="1">
        <v>384.96</v>
      </c>
    </row>
    <row r="18" spans="1:7" x14ac:dyDescent="0.3">
      <c r="A18" s="1" t="s">
        <v>22</v>
      </c>
      <c r="B18" s="1">
        <v>54.02</v>
      </c>
      <c r="C18" s="1">
        <v>0</v>
      </c>
      <c r="D18" s="1">
        <v>0</v>
      </c>
      <c r="E18" s="1">
        <v>165.12</v>
      </c>
      <c r="F18" s="1">
        <v>199.31</v>
      </c>
      <c r="G18" s="1">
        <v>716.48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1</v>
      </c>
      <c r="F19" s="1">
        <v>2</v>
      </c>
      <c r="G19" s="1">
        <v>2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1</v>
      </c>
      <c r="F20" s="1">
        <v>4.2</v>
      </c>
      <c r="G20" s="1">
        <v>3.4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9</v>
      </c>
      <c r="F21" s="1">
        <v>5.8</v>
      </c>
      <c r="G21" s="1">
        <v>6.5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2.1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1.6</v>
      </c>
      <c r="F24" s="1">
        <v>2.6</v>
      </c>
      <c r="G24" s="1">
        <v>2.1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2.6</v>
      </c>
      <c r="F25" s="1">
        <v>3.3</v>
      </c>
      <c r="G25" s="1">
        <v>3.3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5.8</v>
      </c>
      <c r="F26" s="1">
        <v>4.0999999999999996</v>
      </c>
      <c r="G26" s="1">
        <v>4.5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16</v>
      </c>
      <c r="F29" s="3">
        <f t="shared" si="1"/>
        <v>26</v>
      </c>
      <c r="G29" s="3">
        <f t="shared" si="1"/>
        <v>21.212121212121211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26</v>
      </c>
      <c r="F30" s="3">
        <f t="shared" si="2"/>
        <v>32.999999999999993</v>
      </c>
      <c r="G30" s="3">
        <f t="shared" si="2"/>
        <v>33.333333333333329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57.999999999999993</v>
      </c>
      <c r="F31" s="3">
        <f t="shared" si="3"/>
        <v>41</v>
      </c>
      <c r="G31" s="3">
        <f t="shared" si="3"/>
        <v>45.454545454545453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334.34</v>
      </c>
      <c r="C33" s="3">
        <v>377.01</v>
      </c>
      <c r="D33" s="3">
        <v>365.24</v>
      </c>
      <c r="E33" s="3">
        <v>78.78</v>
      </c>
      <c r="F33" s="3">
        <v>24.5</v>
      </c>
      <c r="G33" s="3">
        <v>4.93</v>
      </c>
    </row>
    <row r="35" spans="1:7" x14ac:dyDescent="0.3">
      <c r="A35" s="3" t="s">
        <v>36</v>
      </c>
      <c r="B35" s="3"/>
      <c r="C35" s="3"/>
      <c r="D35" s="3">
        <f>D33-C33</f>
        <v>-11.769999999999982</v>
      </c>
      <c r="E35" s="3"/>
      <c r="F35" s="3">
        <f>F33-E33</f>
        <v>-54.28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-286.46000000000004</v>
      </c>
      <c r="F37" s="3"/>
      <c r="G37" s="3" t="e">
        <f>#REF!-F33</f>
        <v>#REF!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DEAA5-CCC4-4711-9E48-ACF7997D828A}">
  <dimension ref="A1:G37"/>
  <sheetViews>
    <sheetView tabSelected="1" zoomScale="70" zoomScaleNormal="70" workbookViewId="0">
      <selection activeCell="T5" sqref="T5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425.11</v>
      </c>
      <c r="C2" s="1">
        <v>418.66</v>
      </c>
      <c r="D2" s="1">
        <v>489.65</v>
      </c>
      <c r="E2" s="1">
        <v>488.22</v>
      </c>
      <c r="F2" s="1">
        <v>510.17</v>
      </c>
      <c r="G2" s="1">
        <v>480.68</v>
      </c>
    </row>
    <row r="3" spans="1:7" x14ac:dyDescent="0.3">
      <c r="A3" s="1" t="s">
        <v>7</v>
      </c>
      <c r="B3" s="1">
        <v>50.17</v>
      </c>
      <c r="C3" s="1">
        <v>54.73</v>
      </c>
      <c r="D3" s="1">
        <v>52.68</v>
      </c>
      <c r="E3" s="1">
        <v>53.55</v>
      </c>
      <c r="F3" s="1">
        <v>61</v>
      </c>
      <c r="G3" s="1">
        <v>55.86</v>
      </c>
    </row>
    <row r="4" spans="1:7" x14ac:dyDescent="0.3">
      <c r="A4" s="1" t="s">
        <v>8</v>
      </c>
      <c r="B4" s="1">
        <v>21422.36</v>
      </c>
      <c r="C4" s="1">
        <v>22992.87</v>
      </c>
      <c r="D4" s="1">
        <v>26214.99</v>
      </c>
      <c r="E4" s="1">
        <v>26550.67</v>
      </c>
      <c r="F4" s="1">
        <v>31681.89</v>
      </c>
      <c r="G4" s="1">
        <v>27392.95</v>
      </c>
    </row>
    <row r="5" spans="1:7" x14ac:dyDescent="0.3">
      <c r="A5" s="1" t="s">
        <v>9</v>
      </c>
      <c r="B5" s="1">
        <v>1791.66</v>
      </c>
      <c r="C5" s="1">
        <v>1795.35</v>
      </c>
      <c r="D5" s="1">
        <v>2988.79</v>
      </c>
      <c r="E5" s="1">
        <v>1100.95</v>
      </c>
      <c r="F5" s="1">
        <v>1209.3900000000001</v>
      </c>
      <c r="G5" s="1">
        <v>2206.25</v>
      </c>
    </row>
    <row r="6" spans="1:7" x14ac:dyDescent="0.3">
      <c r="A6" s="3" t="s">
        <v>10</v>
      </c>
      <c r="B6" s="3">
        <v>179.17</v>
      </c>
      <c r="C6" s="3">
        <v>181.35</v>
      </c>
      <c r="D6" s="3">
        <v>301.89999999999998</v>
      </c>
      <c r="E6" s="3">
        <v>111.21</v>
      </c>
      <c r="F6" s="3">
        <v>122.16</v>
      </c>
      <c r="G6" s="3">
        <v>225.13</v>
      </c>
    </row>
    <row r="7" spans="1:7" x14ac:dyDescent="0.3">
      <c r="A7" s="1" t="s">
        <v>11</v>
      </c>
      <c r="B7" s="1">
        <v>1533.51</v>
      </c>
      <c r="C7" s="1">
        <v>1608.09</v>
      </c>
      <c r="D7" s="1">
        <v>2573.39</v>
      </c>
      <c r="E7" s="1">
        <v>1043.28</v>
      </c>
      <c r="F7" s="1">
        <v>1067.54</v>
      </c>
      <c r="G7" s="1">
        <v>2032.78</v>
      </c>
    </row>
    <row r="8" spans="1:7" x14ac:dyDescent="0.3">
      <c r="A8" s="1" t="s">
        <v>12</v>
      </c>
      <c r="B8" s="1">
        <v>153.35</v>
      </c>
      <c r="C8" s="1">
        <v>162.43</v>
      </c>
      <c r="D8" s="1">
        <v>259.94</v>
      </c>
      <c r="E8" s="1">
        <v>105.38</v>
      </c>
      <c r="F8" s="1">
        <v>107.83</v>
      </c>
      <c r="G8" s="1">
        <v>207.43</v>
      </c>
    </row>
    <row r="9" spans="1:7" x14ac:dyDescent="0.3">
      <c r="A9" s="1" t="s">
        <v>13</v>
      </c>
      <c r="B9" s="1">
        <v>872.24</v>
      </c>
      <c r="C9" s="1">
        <v>713.98</v>
      </c>
      <c r="D9" s="1">
        <v>2572.58</v>
      </c>
      <c r="E9" s="1">
        <v>-648.55999999999995</v>
      </c>
      <c r="F9" s="1">
        <v>-734.34</v>
      </c>
      <c r="G9" s="1">
        <v>1935.02</v>
      </c>
    </row>
    <row r="10" spans="1:7" x14ac:dyDescent="0.3">
      <c r="A10" s="1" t="s">
        <v>14</v>
      </c>
      <c r="B10" s="1">
        <v>87.22</v>
      </c>
      <c r="C10" s="1">
        <v>72.12</v>
      </c>
      <c r="D10" s="1">
        <v>259.86</v>
      </c>
      <c r="E10" s="1">
        <v>-65.510000000000005</v>
      </c>
      <c r="F10" s="1">
        <v>-74.180000000000007</v>
      </c>
      <c r="G10" s="1">
        <v>197.45</v>
      </c>
    </row>
    <row r="11" spans="1:7" x14ac:dyDescent="0.3">
      <c r="A11" s="1" t="s">
        <v>15</v>
      </c>
      <c r="B11" s="1">
        <v>441.93</v>
      </c>
      <c r="C11" s="1">
        <v>733.9</v>
      </c>
      <c r="D11" s="1">
        <v>2820.54</v>
      </c>
      <c r="E11" s="1">
        <v>393.16</v>
      </c>
      <c r="F11" s="1">
        <v>591.6</v>
      </c>
      <c r="G11" s="1">
        <v>1264.96</v>
      </c>
    </row>
    <row r="12" spans="1:7" x14ac:dyDescent="0.3">
      <c r="A12" s="1" t="s">
        <v>16</v>
      </c>
      <c r="B12" s="1">
        <v>213.66</v>
      </c>
      <c r="C12" s="1">
        <v>197.26</v>
      </c>
      <c r="D12" s="1">
        <v>252.14</v>
      </c>
      <c r="E12" s="1">
        <v>236.36</v>
      </c>
      <c r="F12" s="1">
        <v>188.53</v>
      </c>
      <c r="G12" s="1">
        <v>226.1</v>
      </c>
    </row>
    <row r="13" spans="1:7" x14ac:dyDescent="0.3">
      <c r="A13" s="1" t="s">
        <v>17</v>
      </c>
      <c r="B13" s="1">
        <v>29.86</v>
      </c>
      <c r="C13" s="1">
        <v>33.799999999999997</v>
      </c>
      <c r="D13" s="1">
        <v>22.84</v>
      </c>
      <c r="E13" s="1">
        <v>44.95</v>
      </c>
      <c r="F13" s="1">
        <v>54.1</v>
      </c>
      <c r="G13" s="1">
        <v>31.41</v>
      </c>
    </row>
    <row r="14" spans="1:7" x14ac:dyDescent="0.3">
      <c r="A14" s="1" t="s">
        <v>18</v>
      </c>
      <c r="B14" s="1">
        <v>73.7</v>
      </c>
      <c r="C14" s="1">
        <v>88.44</v>
      </c>
      <c r="D14" s="1">
        <v>54.05</v>
      </c>
      <c r="E14" s="1">
        <v>95.01</v>
      </c>
      <c r="F14" s="1">
        <v>92.64</v>
      </c>
      <c r="G14" s="1">
        <v>79.959999999999994</v>
      </c>
    </row>
    <row r="15" spans="1:7" x14ac:dyDescent="0.3">
      <c r="A15" s="1" t="s">
        <v>19</v>
      </c>
      <c r="B15" s="1">
        <v>6</v>
      </c>
      <c r="C15" s="1">
        <v>9</v>
      </c>
      <c r="D15" s="1">
        <v>5</v>
      </c>
      <c r="E15" s="1">
        <v>3</v>
      </c>
      <c r="F15" s="1">
        <v>6</v>
      </c>
      <c r="G15" s="1">
        <v>5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1202.8800000000001</v>
      </c>
      <c r="C17" s="1">
        <v>1161.03</v>
      </c>
      <c r="D17" s="1">
        <v>2572.9899999999998</v>
      </c>
      <c r="E17" s="1">
        <v>197.36</v>
      </c>
      <c r="F17" s="1">
        <v>166.6</v>
      </c>
      <c r="G17" s="1">
        <v>1983.9</v>
      </c>
    </row>
    <row r="18" spans="1:7" x14ac:dyDescent="0.3">
      <c r="A18" s="1" t="s">
        <v>22</v>
      </c>
      <c r="B18" s="1">
        <v>330.64</v>
      </c>
      <c r="C18" s="1">
        <v>447.05</v>
      </c>
      <c r="D18" s="1">
        <v>0.41</v>
      </c>
      <c r="E18" s="1">
        <v>845.92</v>
      </c>
      <c r="F18" s="1">
        <v>900.94</v>
      </c>
      <c r="G18" s="1">
        <v>48.88</v>
      </c>
    </row>
    <row r="19" spans="1:7" x14ac:dyDescent="0.3">
      <c r="A19" s="1" t="s">
        <v>23</v>
      </c>
      <c r="B19" s="1">
        <v>1</v>
      </c>
      <c r="C19" s="1">
        <v>1</v>
      </c>
      <c r="D19" s="1">
        <v>0</v>
      </c>
      <c r="E19" s="1">
        <v>2</v>
      </c>
      <c r="F19" s="1">
        <v>3</v>
      </c>
      <c r="G19" s="1">
        <v>0</v>
      </c>
    </row>
    <row r="20" spans="1:7" x14ac:dyDescent="0.3">
      <c r="A20" s="1" t="s">
        <v>24</v>
      </c>
      <c r="B20" s="1">
        <v>1.8</v>
      </c>
      <c r="C20" s="1">
        <v>3.9</v>
      </c>
      <c r="D20" s="1">
        <v>0</v>
      </c>
      <c r="E20" s="1">
        <v>4.0999999999999996</v>
      </c>
      <c r="F20" s="1">
        <v>6.1</v>
      </c>
      <c r="G20" s="1">
        <v>0</v>
      </c>
    </row>
    <row r="21" spans="1:7" x14ac:dyDescent="0.3">
      <c r="A21" s="1" t="s">
        <v>25</v>
      </c>
      <c r="B21" s="1">
        <v>8.3000000000000007</v>
      </c>
      <c r="C21" s="1">
        <v>6.1</v>
      </c>
      <c r="D21" s="1">
        <v>10</v>
      </c>
      <c r="E21" s="1">
        <v>5.9</v>
      </c>
      <c r="F21" s="1">
        <v>3.9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3</v>
      </c>
      <c r="C24" s="1">
        <v>2.4</v>
      </c>
      <c r="D24" s="1">
        <v>0</v>
      </c>
      <c r="E24" s="1">
        <v>6.5</v>
      </c>
      <c r="F24" s="1">
        <v>7.5</v>
      </c>
      <c r="G24" s="1">
        <v>0</v>
      </c>
    </row>
    <row r="25" spans="1:7" x14ac:dyDescent="0.3">
      <c r="A25" s="1" t="s">
        <v>29</v>
      </c>
      <c r="B25" s="1">
        <v>0</v>
      </c>
      <c r="C25" s="1">
        <v>2.2000000000000002</v>
      </c>
      <c r="D25" s="1">
        <v>0</v>
      </c>
      <c r="E25" s="1">
        <v>1.5</v>
      </c>
      <c r="F25" s="1">
        <v>1.5</v>
      </c>
      <c r="G25" s="1">
        <v>1.6</v>
      </c>
    </row>
    <row r="26" spans="1:7" x14ac:dyDescent="0.3">
      <c r="A26" s="1" t="s">
        <v>30</v>
      </c>
      <c r="B26" s="1">
        <v>7.1</v>
      </c>
      <c r="C26" s="1">
        <v>5.4</v>
      </c>
      <c r="D26" s="1">
        <v>10</v>
      </c>
      <c r="E26" s="1">
        <v>2</v>
      </c>
      <c r="F26" s="1">
        <v>1</v>
      </c>
      <c r="G26" s="1">
        <v>8.3000000000000007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29.702970297029701</v>
      </c>
      <c r="C29" s="3">
        <f t="shared" ref="C29:G29" si="1">C24/C28*100</f>
        <v>24</v>
      </c>
      <c r="D29" s="3">
        <f t="shared" si="1"/>
        <v>0</v>
      </c>
      <c r="E29" s="3">
        <f t="shared" si="1"/>
        <v>65</v>
      </c>
      <c r="F29" s="3">
        <f t="shared" si="1"/>
        <v>75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22.000000000000004</v>
      </c>
      <c r="D30" s="3">
        <f t="shared" si="2"/>
        <v>0</v>
      </c>
      <c r="E30" s="3">
        <f t="shared" si="2"/>
        <v>15</v>
      </c>
      <c r="F30" s="3">
        <f t="shared" si="2"/>
        <v>15</v>
      </c>
      <c r="G30" s="3">
        <f t="shared" si="2"/>
        <v>16.161616161616163</v>
      </c>
    </row>
    <row r="31" spans="1:7" x14ac:dyDescent="0.3">
      <c r="A31" s="3" t="s">
        <v>34</v>
      </c>
      <c r="B31" s="3">
        <f>B26/B28*100</f>
        <v>70.297029702970292</v>
      </c>
      <c r="C31" s="3">
        <f t="shared" ref="C31:G31" si="3">C26/C28*100</f>
        <v>54</v>
      </c>
      <c r="D31" s="3">
        <f t="shared" si="3"/>
        <v>100</v>
      </c>
      <c r="E31" s="3">
        <f t="shared" si="3"/>
        <v>20</v>
      </c>
      <c r="F31" s="3">
        <f t="shared" si="3"/>
        <v>10</v>
      </c>
      <c r="G31" s="3">
        <f t="shared" si="3"/>
        <v>83.838383838383848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92.7</v>
      </c>
      <c r="C33" s="3">
        <v>-1.75</v>
      </c>
      <c r="D33" s="3">
        <v>295.39</v>
      </c>
      <c r="E33" s="3">
        <v>-53.25</v>
      </c>
      <c r="F33" s="3">
        <v>-76.27</v>
      </c>
      <c r="G33" s="3">
        <v>202.84</v>
      </c>
    </row>
    <row r="35" spans="1:7" x14ac:dyDescent="0.3">
      <c r="A35" s="3" t="s">
        <v>36</v>
      </c>
      <c r="B35" s="3"/>
      <c r="C35" s="3"/>
      <c r="D35" s="3">
        <f>D33-C33</f>
        <v>297.14</v>
      </c>
      <c r="E35" s="3"/>
      <c r="F35" s="3">
        <f>F33-E33</f>
        <v>-23.019999999999996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-348.64</v>
      </c>
      <c r="F37" s="3"/>
      <c r="G37" s="3">
        <f>G33-F33</f>
        <v>279.11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219EA-F565-4D93-87D0-BE88B3992805}">
  <dimension ref="A1:G37"/>
  <sheetViews>
    <sheetView zoomScale="70" zoomScaleNormal="70" workbookViewId="0">
      <selection activeCell="K29" sqref="K29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/>
      <c r="C2" s="1"/>
      <c r="D2" s="1"/>
      <c r="E2" s="1"/>
      <c r="F2" s="1"/>
      <c r="G2" s="1"/>
    </row>
    <row r="3" spans="1:7" x14ac:dyDescent="0.3">
      <c r="A3" s="1" t="s">
        <v>7</v>
      </c>
      <c r="B3" s="1"/>
      <c r="C3" s="1"/>
      <c r="D3" s="1"/>
      <c r="E3" s="1"/>
      <c r="F3" s="1"/>
      <c r="G3" s="1"/>
    </row>
    <row r="4" spans="1:7" x14ac:dyDescent="0.3">
      <c r="A4" s="1" t="s">
        <v>8</v>
      </c>
      <c r="B4" s="1"/>
      <c r="C4" s="1"/>
      <c r="D4" s="1"/>
      <c r="E4" s="1"/>
      <c r="F4" s="1"/>
      <c r="G4" s="1"/>
    </row>
    <row r="5" spans="1:7" x14ac:dyDescent="0.3">
      <c r="A5" s="1" t="s">
        <v>9</v>
      </c>
      <c r="B5" s="1"/>
      <c r="C5" s="1"/>
      <c r="D5" s="1"/>
      <c r="E5" s="1"/>
      <c r="F5" s="1"/>
      <c r="G5" s="1"/>
    </row>
    <row r="6" spans="1:7" x14ac:dyDescent="0.3">
      <c r="A6" s="3" t="s">
        <v>10</v>
      </c>
      <c r="B6" s="3"/>
      <c r="C6" s="3"/>
      <c r="D6" s="3"/>
      <c r="E6" s="3"/>
      <c r="F6" s="3"/>
      <c r="G6" s="3"/>
    </row>
    <row r="7" spans="1:7" x14ac:dyDescent="0.3">
      <c r="A7" s="1" t="s">
        <v>11</v>
      </c>
      <c r="B7" s="1"/>
      <c r="C7" s="1"/>
      <c r="D7" s="1"/>
      <c r="E7" s="1"/>
      <c r="F7" s="1"/>
      <c r="G7" s="1"/>
    </row>
    <row r="8" spans="1:7" x14ac:dyDescent="0.3">
      <c r="A8" s="1" t="s">
        <v>12</v>
      </c>
      <c r="B8" s="1"/>
      <c r="C8" s="1"/>
      <c r="D8" s="1"/>
      <c r="E8" s="1"/>
      <c r="F8" s="1"/>
      <c r="G8" s="1"/>
    </row>
    <row r="9" spans="1:7" x14ac:dyDescent="0.3">
      <c r="A9" s="1" t="s">
        <v>13</v>
      </c>
      <c r="B9" s="1"/>
      <c r="C9" s="1"/>
      <c r="D9" s="1"/>
      <c r="E9" s="1"/>
      <c r="F9" s="1"/>
      <c r="G9" s="1"/>
    </row>
    <row r="10" spans="1:7" x14ac:dyDescent="0.3">
      <c r="A10" s="1" t="s">
        <v>14</v>
      </c>
      <c r="B10" s="1"/>
      <c r="C10" s="1"/>
      <c r="D10" s="1"/>
      <c r="E10" s="1"/>
      <c r="F10" s="1"/>
      <c r="G10" s="1"/>
    </row>
    <row r="11" spans="1:7" x14ac:dyDescent="0.3">
      <c r="A11" s="1" t="s">
        <v>15</v>
      </c>
      <c r="B11" s="1"/>
      <c r="C11" s="1"/>
      <c r="D11" s="1"/>
      <c r="E11" s="1"/>
      <c r="F11" s="1"/>
      <c r="G11" s="1"/>
    </row>
    <row r="12" spans="1:7" x14ac:dyDescent="0.3">
      <c r="A12" s="1" t="s">
        <v>16</v>
      </c>
      <c r="B12" s="1"/>
      <c r="C12" s="1"/>
      <c r="D12" s="1"/>
      <c r="E12" s="1"/>
      <c r="F12" s="1"/>
      <c r="G12" s="1"/>
    </row>
    <row r="13" spans="1:7" x14ac:dyDescent="0.3">
      <c r="A13" s="1" t="s">
        <v>17</v>
      </c>
      <c r="B13" s="1"/>
      <c r="C13" s="1"/>
      <c r="D13" s="1"/>
      <c r="E13" s="1"/>
      <c r="F13" s="1"/>
      <c r="G13" s="1"/>
    </row>
    <row r="14" spans="1:7" x14ac:dyDescent="0.3">
      <c r="A14" s="1" t="s">
        <v>18</v>
      </c>
      <c r="B14" s="1"/>
      <c r="C14" s="1"/>
      <c r="D14" s="1"/>
      <c r="E14" s="1"/>
      <c r="F14" s="1"/>
      <c r="G14" s="1"/>
    </row>
    <row r="15" spans="1:7" x14ac:dyDescent="0.3">
      <c r="A15" s="1" t="s">
        <v>19</v>
      </c>
      <c r="B15" s="1"/>
      <c r="C15" s="1"/>
      <c r="D15" s="1"/>
      <c r="E15" s="1"/>
      <c r="F15" s="1"/>
      <c r="G15" s="1"/>
    </row>
    <row r="16" spans="1:7" x14ac:dyDescent="0.3">
      <c r="A16" s="1" t="s">
        <v>20</v>
      </c>
      <c r="B16" s="1"/>
      <c r="C16" s="1"/>
      <c r="D16" s="1"/>
      <c r="E16" s="1"/>
      <c r="F16" s="1"/>
      <c r="G16" s="1"/>
    </row>
    <row r="17" spans="1:7" x14ac:dyDescent="0.3">
      <c r="A17" s="1" t="s">
        <v>21</v>
      </c>
      <c r="B17" s="1"/>
      <c r="C17" s="1"/>
      <c r="D17" s="1"/>
      <c r="E17" s="1"/>
      <c r="F17" s="1"/>
      <c r="G17" s="1"/>
    </row>
    <row r="18" spans="1:7" x14ac:dyDescent="0.3">
      <c r="A18" s="1" t="s">
        <v>22</v>
      </c>
      <c r="B18" s="1"/>
      <c r="C18" s="1"/>
      <c r="D18" s="1"/>
      <c r="E18" s="1"/>
      <c r="F18" s="1"/>
      <c r="G18" s="1"/>
    </row>
    <row r="19" spans="1:7" x14ac:dyDescent="0.3">
      <c r="A19" s="1" t="s">
        <v>23</v>
      </c>
      <c r="B19" s="1"/>
      <c r="C19" s="1"/>
      <c r="D19" s="1"/>
      <c r="E19" s="1"/>
      <c r="F19" s="1"/>
      <c r="G19" s="1"/>
    </row>
    <row r="20" spans="1:7" x14ac:dyDescent="0.3">
      <c r="A20" s="1" t="s">
        <v>24</v>
      </c>
      <c r="B20" s="1"/>
      <c r="C20" s="1"/>
      <c r="D20" s="1"/>
      <c r="E20" s="1"/>
      <c r="F20" s="1"/>
      <c r="G20" s="1"/>
    </row>
    <row r="21" spans="1:7" x14ac:dyDescent="0.3">
      <c r="A21" s="1" t="s">
        <v>25</v>
      </c>
      <c r="B21" s="1"/>
      <c r="C21" s="1"/>
      <c r="D21" s="1"/>
      <c r="E21" s="1"/>
      <c r="F21" s="1"/>
      <c r="G21" s="1"/>
    </row>
    <row r="22" spans="1:7" x14ac:dyDescent="0.3">
      <c r="A22" s="1" t="s">
        <v>26</v>
      </c>
      <c r="B22" s="1"/>
      <c r="C22" s="1"/>
      <c r="D22" s="1"/>
      <c r="E22" s="1"/>
      <c r="F22" s="1"/>
      <c r="G22" s="1"/>
    </row>
    <row r="23" spans="1:7" x14ac:dyDescent="0.3">
      <c r="A23" s="1" t="s">
        <v>27</v>
      </c>
      <c r="B23" s="1"/>
      <c r="C23" s="1"/>
      <c r="D23" s="1"/>
      <c r="E23" s="1"/>
      <c r="F23" s="1"/>
      <c r="G23" s="1"/>
    </row>
    <row r="24" spans="1:7" x14ac:dyDescent="0.3">
      <c r="A24" s="1" t="s">
        <v>28</v>
      </c>
      <c r="B24" s="1"/>
      <c r="C24" s="1"/>
      <c r="D24" s="1"/>
      <c r="E24" s="1"/>
      <c r="F24" s="1"/>
      <c r="G24" s="1"/>
    </row>
    <row r="25" spans="1:7" x14ac:dyDescent="0.3">
      <c r="A25" s="1" t="s">
        <v>29</v>
      </c>
      <c r="B25" s="1"/>
      <c r="C25" s="1"/>
      <c r="D25" s="1"/>
      <c r="E25" s="1"/>
      <c r="F25" s="1"/>
      <c r="G25" s="1"/>
    </row>
    <row r="26" spans="1:7" x14ac:dyDescent="0.3">
      <c r="A26" s="1" t="s">
        <v>30</v>
      </c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3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3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3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/>
      <c r="C33" s="3"/>
      <c r="D33" s="3"/>
      <c r="E33" s="3"/>
      <c r="F33" s="3"/>
      <c r="G33" s="3"/>
    </row>
    <row r="35" spans="1:7" x14ac:dyDescent="0.3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240926Bwt001.2</vt:lpstr>
      <vt:lpstr>240926Bwt002.3</vt:lpstr>
      <vt:lpstr>240926Bwt003.3</vt:lpstr>
      <vt:lpstr>240926Bwt003.4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2024-12-17T03:42:52Z</dcterms:created>
  <dcterms:modified xsi:type="dcterms:W3CDTF">2024-12-18T05:39:12Z</dcterms:modified>
</cp:coreProperties>
</file>