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. stercoralis\iL3s\pNB14\2024-1001\WormLab Data\"/>
    </mc:Choice>
  </mc:AlternateContent>
  <xr:revisionPtr revIDLastSave="0" documentId="13_ncr:1_{A05F41CF-AB3C-48C3-A889-BCA6FA7EF81C}" xr6:coauthVersionLast="36" xr6:coauthVersionMax="36" xr10:uidLastSave="{00000000-0000-0000-0000-000000000000}"/>
  <bookViews>
    <workbookView xWindow="0" yWindow="0" windowWidth="24045" windowHeight="10200" firstSheet="2" activeTab="7" xr2:uid="{953D7806-1A48-4D1F-AE68-C9C47DC10881}"/>
  </bookViews>
  <sheets>
    <sheet name="241001Bwt001.3" sheetId="2" r:id="rId1"/>
    <sheet name="241001Bwt001.4" sheetId="3" r:id="rId2"/>
    <sheet name="241001Bwt002.1" sheetId="4" r:id="rId3"/>
    <sheet name="241001Bwt002.3" sheetId="5" r:id="rId4"/>
    <sheet name="241001Bwt002.4" sheetId="6" r:id="rId5"/>
    <sheet name="241001Bwt003.2" sheetId="7" r:id="rId6"/>
    <sheet name="241001Bwt003.4" sheetId="8" r:id="rId7"/>
    <sheet name="241001Bwt004.4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B31" i="9"/>
  <c r="E30" i="9"/>
  <c r="D30" i="9"/>
  <c r="B30" i="9"/>
  <c r="E29" i="9"/>
  <c r="D29" i="9"/>
  <c r="G28" i="9"/>
  <c r="G31" i="9" s="1"/>
  <c r="F28" i="9"/>
  <c r="F31" i="9" s="1"/>
  <c r="E28" i="9"/>
  <c r="E31" i="9" s="1"/>
  <c r="D28" i="9"/>
  <c r="D31" i="9" s="1"/>
  <c r="C28" i="9"/>
  <c r="C31" i="9" s="1"/>
  <c r="B28" i="9"/>
  <c r="B29" i="9" s="1"/>
  <c r="G37" i="8"/>
  <c r="E37" i="8"/>
  <c r="C37" i="8"/>
  <c r="F35" i="8"/>
  <c r="D35" i="8"/>
  <c r="F31" i="8"/>
  <c r="E31" i="8"/>
  <c r="B31" i="8"/>
  <c r="F30" i="8"/>
  <c r="E30" i="8"/>
  <c r="D30" i="8"/>
  <c r="C30" i="8"/>
  <c r="B30" i="8"/>
  <c r="F29" i="8"/>
  <c r="E29" i="8"/>
  <c r="D29" i="8"/>
  <c r="C29" i="8"/>
  <c r="G28" i="8"/>
  <c r="G31" i="8" s="1"/>
  <c r="F28" i="8"/>
  <c r="E28" i="8"/>
  <c r="D28" i="8"/>
  <c r="D31" i="8" s="1"/>
  <c r="C28" i="8"/>
  <c r="C31" i="8" s="1"/>
  <c r="B28" i="8"/>
  <c r="B29" i="8" s="1"/>
  <c r="G37" i="7"/>
  <c r="E37" i="7"/>
  <c r="C37" i="7"/>
  <c r="F35" i="7"/>
  <c r="D35" i="7"/>
  <c r="G28" i="7"/>
  <c r="G30" i="7" s="1"/>
  <c r="F28" i="7"/>
  <c r="F31" i="7" s="1"/>
  <c r="E28" i="7"/>
  <c r="E30" i="7" s="1"/>
  <c r="D28" i="7"/>
  <c r="D31" i="7" s="1"/>
  <c r="C28" i="7"/>
  <c r="C31" i="7" s="1"/>
  <c r="B28" i="7"/>
  <c r="B30" i="7" s="1"/>
  <c r="G37" i="6"/>
  <c r="E37" i="6"/>
  <c r="C37" i="6"/>
  <c r="F35" i="6"/>
  <c r="D35" i="6"/>
  <c r="E31" i="6"/>
  <c r="D31" i="6"/>
  <c r="C31" i="6"/>
  <c r="B31" i="6"/>
  <c r="E30" i="6"/>
  <c r="D30" i="6"/>
  <c r="C30" i="6"/>
  <c r="B30" i="6"/>
  <c r="G29" i="6"/>
  <c r="E29" i="6"/>
  <c r="G28" i="6"/>
  <c r="G31" i="6" s="1"/>
  <c r="F28" i="6"/>
  <c r="F30" i="6" s="1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29" i="5" s="1"/>
  <c r="F29" i="9" l="1"/>
  <c r="F30" i="9"/>
  <c r="C30" i="9"/>
  <c r="G29" i="9"/>
  <c r="C29" i="9"/>
  <c r="G30" i="9"/>
  <c r="G29" i="8"/>
  <c r="G30" i="8"/>
  <c r="B29" i="7"/>
  <c r="B31" i="7"/>
  <c r="E31" i="7"/>
  <c r="G31" i="7"/>
  <c r="E29" i="7"/>
  <c r="F29" i="7"/>
  <c r="C29" i="7"/>
  <c r="G29" i="7"/>
  <c r="C30" i="7"/>
  <c r="D30" i="7"/>
  <c r="F30" i="7"/>
  <c r="D29" i="7"/>
  <c r="G30" i="6"/>
  <c r="F29" i="6"/>
  <c r="F31" i="6"/>
  <c r="E31" i="5"/>
  <c r="F31" i="5"/>
  <c r="E29" i="5"/>
  <c r="G31" i="5"/>
  <c r="F29" i="5"/>
  <c r="G29" i="5"/>
  <c r="B30" i="5"/>
  <c r="C30" i="5"/>
  <c r="D30" i="5"/>
  <c r="B31" i="5"/>
  <c r="C31" i="5"/>
  <c r="D31" i="5"/>
  <c r="G37" i="4"/>
  <c r="E37" i="4"/>
  <c r="C37" i="4"/>
  <c r="F35" i="4"/>
  <c r="D35" i="4"/>
  <c r="G28" i="4"/>
  <c r="G31" i="4" s="1"/>
  <c r="F28" i="4"/>
  <c r="F31" i="4" s="1"/>
  <c r="E28" i="4"/>
  <c r="E31" i="4" s="1"/>
  <c r="D28" i="4"/>
  <c r="D31" i="4" s="1"/>
  <c r="C28" i="4"/>
  <c r="C31" i="4" s="1"/>
  <c r="B28" i="4"/>
  <c r="B31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0" i="2" s="1"/>
  <c r="D28" i="2"/>
  <c r="D31" i="2" s="1"/>
  <c r="C28" i="2"/>
  <c r="C29" i="2" s="1"/>
  <c r="B28" i="2"/>
  <c r="B29" i="2" s="1"/>
  <c r="G37" i="1"/>
  <c r="E37" i="1"/>
  <c r="C37" i="1"/>
  <c r="F35" i="1"/>
  <c r="D35" i="1"/>
  <c r="E31" i="1"/>
  <c r="C31" i="1"/>
  <c r="F30" i="1"/>
  <c r="E30" i="1"/>
  <c r="C30" i="1"/>
  <c r="G29" i="1"/>
  <c r="G28" i="1"/>
  <c r="G31" i="1" s="1"/>
  <c r="F28" i="1"/>
  <c r="F31" i="1" s="1"/>
  <c r="E28" i="1"/>
  <c r="E29" i="1" s="1"/>
  <c r="D28" i="1"/>
  <c r="D31" i="1" s="1"/>
  <c r="C28" i="1"/>
  <c r="C29" i="1" s="1"/>
  <c r="B28" i="1"/>
  <c r="B31" i="1" s="1"/>
  <c r="C29" i="4" l="1"/>
  <c r="D29" i="4"/>
  <c r="F29" i="4"/>
  <c r="E30" i="4"/>
  <c r="F30" i="4"/>
  <c r="E29" i="4"/>
  <c r="C30" i="4"/>
  <c r="D30" i="4"/>
  <c r="B29" i="4"/>
  <c r="B30" i="4"/>
  <c r="G29" i="4"/>
  <c r="G30" i="4"/>
  <c r="F30" i="2"/>
  <c r="D29" i="2"/>
  <c r="F29" i="2"/>
  <c r="B30" i="2"/>
  <c r="D30" i="2"/>
  <c r="E31" i="2"/>
  <c r="E29" i="2"/>
  <c r="G29" i="2"/>
  <c r="C30" i="2"/>
  <c r="G30" i="2"/>
  <c r="B31" i="2"/>
  <c r="C31" i="2"/>
  <c r="B29" i="1"/>
  <c r="D29" i="1"/>
  <c r="F29" i="1"/>
  <c r="B30" i="1"/>
  <c r="D30" i="1"/>
  <c r="G30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<sst xmlns="http://schemas.openxmlformats.org/spreadsheetml/2006/main" count="342" uniqueCount="37">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</sst>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725-3364-4008-8E78-19EA114AADDD}">
  <dimension ref="A1:G37"/>
  <sheetViews>
    <sheetView topLeftCell="A7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431.26</v>
      </c>
      <c r="C2" s="1">
        <v>447.1</v>
      </c>
      <c r="D2" s="1">
        <v>459.38</v>
      </c>
      <c r="E2" s="1">
        <v>467.02</v>
      </c>
      <c r="F2" s="1">
        <v>496.99</v>
      </c>
      <c r="G2" s="1">
        <v>495.62</v>
      </c>
    </row>
    <row r="3" spans="1:7" x14ac:dyDescent="0.25">
      <c r="A3" s="1" t="s">
        <v>7</v>
      </c>
      <c r="B3" s="1">
        <v>43.67</v>
      </c>
      <c r="C3" s="1">
        <v>41.68</v>
      </c>
      <c r="D3" s="1">
        <v>41.09</v>
      </c>
      <c r="E3" s="1">
        <v>44.14</v>
      </c>
      <c r="F3" s="1">
        <v>43.78</v>
      </c>
      <c r="G3" s="1">
        <v>48.46</v>
      </c>
    </row>
    <row r="4" spans="1:7" x14ac:dyDescent="0.25">
      <c r="A4" s="1" t="s">
        <v>8</v>
      </c>
      <c r="B4" s="1">
        <v>19116.45</v>
      </c>
      <c r="C4" s="1">
        <v>18963.18</v>
      </c>
      <c r="D4" s="1">
        <v>19230.939999999999</v>
      </c>
      <c r="E4" s="1">
        <v>20969.689999999999</v>
      </c>
      <c r="F4" s="1">
        <v>22202.19</v>
      </c>
      <c r="G4" s="1">
        <v>24595.66</v>
      </c>
    </row>
    <row r="5" spans="1:7" x14ac:dyDescent="0.25">
      <c r="A5" s="1" t="s">
        <v>9</v>
      </c>
      <c r="B5" s="1">
        <v>1200.71</v>
      </c>
      <c r="C5" s="1">
        <v>1662.63</v>
      </c>
      <c r="D5" s="1">
        <v>2561.6999999999998</v>
      </c>
      <c r="E5" s="1">
        <v>1136.96</v>
      </c>
      <c r="F5" s="1">
        <v>3187.66</v>
      </c>
      <c r="G5" s="1">
        <v>2812.92</v>
      </c>
    </row>
    <row r="6" spans="1:7" x14ac:dyDescent="0.25">
      <c r="A6" s="3" t="s">
        <v>10</v>
      </c>
      <c r="B6" s="3">
        <v>120.07</v>
      </c>
      <c r="C6" s="3">
        <v>167.94</v>
      </c>
      <c r="D6" s="3">
        <v>258.76</v>
      </c>
      <c r="E6" s="3">
        <v>114.84</v>
      </c>
      <c r="F6" s="3">
        <v>321.99</v>
      </c>
      <c r="G6" s="3">
        <v>287.02999999999997</v>
      </c>
    </row>
    <row r="7" spans="1:7" x14ac:dyDescent="0.25">
      <c r="A7" s="1" t="s">
        <v>11</v>
      </c>
      <c r="B7" s="1">
        <v>1046.1099999999999</v>
      </c>
      <c r="C7" s="1">
        <v>1449.1</v>
      </c>
      <c r="D7" s="1">
        <v>2343.9</v>
      </c>
      <c r="E7" s="1">
        <v>1013.3</v>
      </c>
      <c r="F7" s="1">
        <v>3000.29</v>
      </c>
      <c r="G7" s="1">
        <v>2634.14</v>
      </c>
    </row>
    <row r="8" spans="1:7" x14ac:dyDescent="0.25">
      <c r="A8" s="1" t="s">
        <v>12</v>
      </c>
      <c r="B8" s="1">
        <v>104.61</v>
      </c>
      <c r="C8" s="1">
        <v>146.37</v>
      </c>
      <c r="D8" s="1">
        <v>236.76</v>
      </c>
      <c r="E8" s="1">
        <v>102.35</v>
      </c>
      <c r="F8" s="1">
        <v>303.06</v>
      </c>
      <c r="G8" s="1">
        <v>268.79000000000002</v>
      </c>
    </row>
    <row r="9" spans="1:7" x14ac:dyDescent="0.25">
      <c r="A9" s="1" t="s">
        <v>13</v>
      </c>
      <c r="B9" s="1">
        <v>751.62</v>
      </c>
      <c r="C9" s="1">
        <v>1439.38</v>
      </c>
      <c r="D9" s="1">
        <v>2343.9</v>
      </c>
      <c r="E9" s="1">
        <v>794.97</v>
      </c>
      <c r="F9" s="1">
        <v>3000.29</v>
      </c>
      <c r="G9" s="1">
        <v>2634.14</v>
      </c>
    </row>
    <row r="10" spans="1:7" x14ac:dyDescent="0.25">
      <c r="A10" s="1" t="s">
        <v>14</v>
      </c>
      <c r="B10" s="1">
        <v>75.16</v>
      </c>
      <c r="C10" s="1">
        <v>145.38999999999999</v>
      </c>
      <c r="D10" s="1">
        <v>236.76</v>
      </c>
      <c r="E10" s="1">
        <v>80.3</v>
      </c>
      <c r="F10" s="1">
        <v>303.06</v>
      </c>
      <c r="G10" s="1">
        <v>268.79000000000002</v>
      </c>
    </row>
    <row r="11" spans="1:7" x14ac:dyDescent="0.25">
      <c r="A11" s="1" t="s">
        <v>15</v>
      </c>
      <c r="B11" s="1">
        <v>509</v>
      </c>
      <c r="C11" s="1">
        <v>1062.26</v>
      </c>
      <c r="D11" s="1">
        <v>2199.7199999999998</v>
      </c>
      <c r="E11" s="1">
        <v>146.87</v>
      </c>
      <c r="F11" s="1">
        <v>2297.4</v>
      </c>
      <c r="G11" s="1">
        <v>2627.44</v>
      </c>
    </row>
    <row r="12" spans="1:7" x14ac:dyDescent="0.25">
      <c r="A12" s="1" t="s">
        <v>16</v>
      </c>
      <c r="B12" s="1">
        <v>218.59</v>
      </c>
      <c r="C12" s="1">
        <v>244.92</v>
      </c>
      <c r="D12" s="1">
        <v>276.26</v>
      </c>
      <c r="E12" s="1">
        <v>250.64</v>
      </c>
      <c r="F12" s="1">
        <v>279.41000000000003</v>
      </c>
      <c r="G12" s="1">
        <v>285.20999999999998</v>
      </c>
    </row>
    <row r="13" spans="1:7" x14ac:dyDescent="0.25">
      <c r="A13" s="1" t="s">
        <v>17</v>
      </c>
      <c r="B13" s="1">
        <v>40.380000000000003</v>
      </c>
      <c r="C13" s="1">
        <v>45.16</v>
      </c>
      <c r="D13" s="1">
        <v>33.950000000000003</v>
      </c>
      <c r="E13" s="1">
        <v>52.62</v>
      </c>
      <c r="F13" s="1">
        <v>28.86</v>
      </c>
      <c r="G13" s="1">
        <v>27.13</v>
      </c>
    </row>
    <row r="14" spans="1:7" x14ac:dyDescent="0.25">
      <c r="A14" s="1" t="s">
        <v>18</v>
      </c>
      <c r="B14" s="1">
        <v>84.68</v>
      </c>
      <c r="C14" s="1">
        <v>94.35</v>
      </c>
      <c r="D14" s="1">
        <v>74.87</v>
      </c>
      <c r="E14" s="1">
        <v>94.45</v>
      </c>
      <c r="F14" s="1">
        <v>75.930000000000007</v>
      </c>
      <c r="G14" s="1">
        <v>67.56</v>
      </c>
    </row>
    <row r="15" spans="1:7" x14ac:dyDescent="0.25">
      <c r="A15" s="1" t="s">
        <v>19</v>
      </c>
      <c r="B15" s="1">
        <v>5</v>
      </c>
      <c r="C15" s="1">
        <v>7</v>
      </c>
      <c r="D15" s="1">
        <v>9</v>
      </c>
      <c r="E15" s="1">
        <v>2</v>
      </c>
      <c r="F15" s="1">
        <v>7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898.86</v>
      </c>
      <c r="C17" s="1">
        <v>1444.24</v>
      </c>
      <c r="D17" s="1">
        <v>2343.9</v>
      </c>
      <c r="E17" s="1">
        <v>904.14</v>
      </c>
      <c r="F17" s="1">
        <v>3000.29</v>
      </c>
      <c r="G17" s="1">
        <v>2634.14</v>
      </c>
    </row>
    <row r="18" spans="1:7" x14ac:dyDescent="0.25">
      <c r="A18" s="1" t="s">
        <v>22</v>
      </c>
      <c r="B18" s="1">
        <v>147.25</v>
      </c>
      <c r="C18" s="1">
        <v>4.8600000000000003</v>
      </c>
      <c r="D18" s="1">
        <v>0</v>
      </c>
      <c r="E18" s="1">
        <v>109.16</v>
      </c>
      <c r="F18" s="1">
        <v>0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1.5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25">
      <c r="A21" s="1" t="s">
        <v>25</v>
      </c>
      <c r="B21" s="1">
        <v>8.6</v>
      </c>
      <c r="C21" s="1">
        <v>10</v>
      </c>
      <c r="D21" s="1">
        <v>10</v>
      </c>
      <c r="E21" s="1">
        <v>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2.7</v>
      </c>
      <c r="F23" s="1">
        <v>0</v>
      </c>
      <c r="G23" s="1">
        <v>0</v>
      </c>
    </row>
    <row r="24" spans="1:7" x14ac:dyDescent="0.25">
      <c r="A24" s="1" t="s">
        <v>28</v>
      </c>
      <c r="B24" s="1">
        <v>1.4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3.5</v>
      </c>
      <c r="F25" s="1">
        <v>0</v>
      </c>
      <c r="G25" s="1">
        <v>0</v>
      </c>
    </row>
    <row r="26" spans="1:7" x14ac:dyDescent="0.25">
      <c r="A26" s="1" t="s">
        <v>30</v>
      </c>
      <c r="B26" s="1">
        <v>8.6999999999999993</v>
      </c>
      <c r="C26" s="1">
        <v>10</v>
      </c>
      <c r="D26" s="1">
        <v>10</v>
      </c>
      <c r="E26" s="1">
        <v>6.5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13.861386138613859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35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86.138613861386133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65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60.06</v>
      </c>
      <c r="C33" s="3">
        <v>168.51</v>
      </c>
      <c r="D33" s="3">
        <v>255.32</v>
      </c>
      <c r="E33" s="3">
        <v>91.21</v>
      </c>
      <c r="F33" s="3">
        <v>314.35000000000002</v>
      </c>
      <c r="G33" s="3">
        <v>282.01</v>
      </c>
    </row>
    <row r="35" spans="1:7" x14ac:dyDescent="0.25">
      <c r="A35" s="3" t="s">
        <v>36</v>
      </c>
      <c r="B35" s="3"/>
      <c r="C35" s="3"/>
      <c r="D35" s="3">
        <f>D33-C33</f>
        <v>86.81</v>
      </c>
      <c r="E35" s="3"/>
      <c r="F35" s="3">
        <f>F33-E33</f>
        <v>223.14000000000004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-164.11</v>
      </c>
      <c r="F37" s="3"/>
      <c r="G37" s="3">
        <f>G33-F33</f>
        <v>-32.340000000000032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5B09-BE29-4D1D-AB4B-5CF1DCCAFD46}">
  <dimension ref="A1:G37"/>
  <sheetViews>
    <sheetView zoomScale="80" zoomScaleNormal="80" workbookViewId="0">
      <selection activeCell="L31" sqref="L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422.04</v>
      </c>
      <c r="C2" s="1">
        <v>392.68</v>
      </c>
      <c r="D2" s="1">
        <v>475.93</v>
      </c>
      <c r="E2" s="1">
        <v>425.68</v>
      </c>
      <c r="F2" s="1">
        <v>474.18</v>
      </c>
      <c r="G2" s="1">
        <v>405.74</v>
      </c>
    </row>
    <row r="3" spans="1:7" x14ac:dyDescent="0.25">
      <c r="A3" s="1" t="s">
        <v>7</v>
      </c>
      <c r="B3" s="1">
        <v>45.04</v>
      </c>
      <c r="C3" s="1">
        <v>44.93</v>
      </c>
      <c r="D3" s="1">
        <v>48.5</v>
      </c>
      <c r="E3" s="1">
        <v>47.39</v>
      </c>
      <c r="F3" s="1">
        <v>50.17</v>
      </c>
      <c r="G3" s="1">
        <v>43.72</v>
      </c>
    </row>
    <row r="4" spans="1:7" x14ac:dyDescent="0.25">
      <c r="A4" s="1" t="s">
        <v>8</v>
      </c>
      <c r="B4" s="1">
        <v>19439.25</v>
      </c>
      <c r="C4" s="1">
        <v>17935.740000000002</v>
      </c>
      <c r="D4" s="1">
        <v>23655.42</v>
      </c>
      <c r="E4" s="1">
        <v>20642.71</v>
      </c>
      <c r="F4" s="1">
        <v>24148.080000000002</v>
      </c>
      <c r="G4" s="1">
        <v>18213.93</v>
      </c>
    </row>
    <row r="5" spans="1:7" x14ac:dyDescent="0.25">
      <c r="A5" s="1" t="s">
        <v>9</v>
      </c>
      <c r="B5" s="1">
        <v>3307.2</v>
      </c>
      <c r="C5" s="1">
        <v>3418.36</v>
      </c>
      <c r="D5" s="1">
        <v>3378.94</v>
      </c>
      <c r="E5" s="1">
        <v>2989.53</v>
      </c>
      <c r="F5" s="1">
        <v>2684.15</v>
      </c>
      <c r="G5" s="1">
        <v>4425.22</v>
      </c>
    </row>
    <row r="6" spans="1:7" x14ac:dyDescent="0.25">
      <c r="A6" s="3" t="s">
        <v>10</v>
      </c>
      <c r="B6" s="3">
        <v>330.72</v>
      </c>
      <c r="C6" s="3">
        <v>345.29</v>
      </c>
      <c r="D6" s="3">
        <v>341.31</v>
      </c>
      <c r="E6" s="3">
        <v>301.97000000000003</v>
      </c>
      <c r="F6" s="3">
        <v>271.13</v>
      </c>
      <c r="G6" s="3">
        <v>451.55</v>
      </c>
    </row>
    <row r="7" spans="1:7" x14ac:dyDescent="0.25">
      <c r="A7" s="1" t="s">
        <v>11</v>
      </c>
      <c r="B7" s="1">
        <v>3012.1</v>
      </c>
      <c r="C7" s="1">
        <v>3083.1</v>
      </c>
      <c r="D7" s="1">
        <v>3085.88</v>
      </c>
      <c r="E7" s="1">
        <v>2645.21</v>
      </c>
      <c r="F7" s="1">
        <v>2462.67</v>
      </c>
      <c r="G7" s="1">
        <v>4057.06</v>
      </c>
    </row>
    <row r="8" spans="1:7" x14ac:dyDescent="0.25">
      <c r="A8" s="1" t="s">
        <v>12</v>
      </c>
      <c r="B8" s="1">
        <v>301.20999999999998</v>
      </c>
      <c r="C8" s="1">
        <v>311.42</v>
      </c>
      <c r="D8" s="1">
        <v>311.70999999999998</v>
      </c>
      <c r="E8" s="1">
        <v>267.19</v>
      </c>
      <c r="F8" s="1">
        <v>248.75</v>
      </c>
      <c r="G8" s="1">
        <v>413.99</v>
      </c>
    </row>
    <row r="9" spans="1:7" x14ac:dyDescent="0.25">
      <c r="A9" s="1" t="s">
        <v>13</v>
      </c>
      <c r="B9" s="1">
        <v>3011.7</v>
      </c>
      <c r="C9" s="1">
        <v>3083.1</v>
      </c>
      <c r="D9" s="1">
        <v>3085.88</v>
      </c>
      <c r="E9" s="1">
        <v>2594.27</v>
      </c>
      <c r="F9" s="1">
        <v>1549.48</v>
      </c>
      <c r="G9" s="1">
        <v>4057.06</v>
      </c>
    </row>
    <row r="10" spans="1:7" x14ac:dyDescent="0.25">
      <c r="A10" s="1" t="s">
        <v>14</v>
      </c>
      <c r="B10" s="1">
        <v>301.17</v>
      </c>
      <c r="C10" s="1">
        <v>311.42</v>
      </c>
      <c r="D10" s="1">
        <v>311.70999999999998</v>
      </c>
      <c r="E10" s="1">
        <v>262.05</v>
      </c>
      <c r="F10" s="1">
        <v>156.51</v>
      </c>
      <c r="G10" s="1">
        <v>413.99</v>
      </c>
    </row>
    <row r="11" spans="1:7" x14ac:dyDescent="0.25">
      <c r="A11" s="1" t="s">
        <v>15</v>
      </c>
      <c r="B11" s="1">
        <v>2402.8000000000002</v>
      </c>
      <c r="C11" s="1">
        <v>2476.59</v>
      </c>
      <c r="D11" s="1">
        <v>2949.39</v>
      </c>
      <c r="E11" s="1">
        <v>1961.49</v>
      </c>
      <c r="F11" s="1">
        <v>1866.48</v>
      </c>
      <c r="G11" s="1">
        <v>2918.81</v>
      </c>
    </row>
    <row r="12" spans="1:7" x14ac:dyDescent="0.25">
      <c r="A12" s="1" t="s">
        <v>16</v>
      </c>
      <c r="B12" s="1">
        <v>230.08</v>
      </c>
      <c r="C12" s="1">
        <v>216.23</v>
      </c>
      <c r="D12" s="1">
        <v>258.51</v>
      </c>
      <c r="E12" s="1">
        <v>222.92</v>
      </c>
      <c r="F12" s="1">
        <v>256.16000000000003</v>
      </c>
      <c r="G12" s="1">
        <v>231.09</v>
      </c>
    </row>
    <row r="13" spans="1:7" x14ac:dyDescent="0.25">
      <c r="A13" s="1" t="s">
        <v>17</v>
      </c>
      <c r="B13" s="1">
        <v>35.32</v>
      </c>
      <c r="C13" s="1">
        <v>34.380000000000003</v>
      </c>
      <c r="D13" s="1">
        <v>25.73</v>
      </c>
      <c r="E13" s="1">
        <v>32.549999999999997</v>
      </c>
      <c r="F13" s="1">
        <v>36.74</v>
      </c>
      <c r="G13" s="1">
        <v>28.15</v>
      </c>
    </row>
    <row r="14" spans="1:7" x14ac:dyDescent="0.25">
      <c r="A14" s="1" t="s">
        <v>18</v>
      </c>
      <c r="B14" s="1">
        <v>88.84</v>
      </c>
      <c r="C14" s="1">
        <v>89.52</v>
      </c>
      <c r="D14" s="1">
        <v>83.22</v>
      </c>
      <c r="E14" s="1">
        <v>69.849999999999994</v>
      </c>
      <c r="F14" s="1">
        <v>97.34</v>
      </c>
      <c r="G14" s="1">
        <v>69.09</v>
      </c>
    </row>
    <row r="15" spans="1:7" x14ac:dyDescent="0.25">
      <c r="A15" s="1" t="s">
        <v>19</v>
      </c>
      <c r="B15" s="1">
        <v>5</v>
      </c>
      <c r="C15" s="1">
        <v>7</v>
      </c>
      <c r="D15" s="1">
        <v>5</v>
      </c>
      <c r="E15" s="1">
        <v>7</v>
      </c>
      <c r="F15" s="1">
        <v>7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3011.9</v>
      </c>
      <c r="C17" s="1">
        <v>3083.1</v>
      </c>
      <c r="D17" s="1">
        <v>3085.88</v>
      </c>
      <c r="E17" s="1">
        <v>2619.7399999999998</v>
      </c>
      <c r="F17" s="1">
        <v>2006.07</v>
      </c>
      <c r="G17" s="1">
        <v>4057.06</v>
      </c>
    </row>
    <row r="18" spans="1:7" x14ac:dyDescent="0.25">
      <c r="A18" s="1" t="s">
        <v>22</v>
      </c>
      <c r="B18" s="1">
        <v>0.2</v>
      </c>
      <c r="C18" s="1">
        <v>0</v>
      </c>
      <c r="D18" s="1">
        <v>0</v>
      </c>
      <c r="E18" s="1">
        <v>25.47</v>
      </c>
      <c r="F18" s="1">
        <v>456.6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4.0999999999999996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2.2000000000000002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4.9000000000000004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49.000000000000007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319.7</v>
      </c>
      <c r="C33" s="3">
        <v>345.32</v>
      </c>
      <c r="D33" s="3">
        <v>339.71</v>
      </c>
      <c r="E33" s="3">
        <v>295.67</v>
      </c>
      <c r="F33" s="3">
        <v>86.98</v>
      </c>
      <c r="G33" s="3">
        <v>445.02</v>
      </c>
    </row>
    <row r="35" spans="1:7" x14ac:dyDescent="0.25">
      <c r="A35" s="3" t="s">
        <v>36</v>
      </c>
      <c r="B35" s="3"/>
      <c r="C35" s="3"/>
      <c r="D35" s="3">
        <f>D33-C33</f>
        <v>-5.6100000000000136</v>
      </c>
      <c r="E35" s="3"/>
      <c r="F35" s="3">
        <f>F33-E33</f>
        <v>-208.69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-44.039999999999964</v>
      </c>
      <c r="F37" s="3"/>
      <c r="G37" s="3">
        <f>G33-F33</f>
        <v>358.03999999999996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9124-0242-424A-959B-5194410B222F}">
  <dimension ref="A1:G37"/>
  <sheetViews>
    <sheetView zoomScale="80" zoomScaleNormal="80" workbookViewId="0">
      <selection activeCell="O22" sqref="O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492.7</v>
      </c>
      <c r="C2" s="1">
        <v>494.34</v>
      </c>
      <c r="D2" s="1">
        <v>488.34</v>
      </c>
      <c r="E2" s="1">
        <v>491.74</v>
      </c>
      <c r="F2" s="1">
        <v>515.86</v>
      </c>
      <c r="G2" s="1">
        <v>574.32000000000005</v>
      </c>
    </row>
    <row r="3" spans="1:7" x14ac:dyDescent="0.25">
      <c r="A3" s="1" t="s">
        <v>7</v>
      </c>
      <c r="B3" s="1">
        <v>39.630000000000003</v>
      </c>
      <c r="C3" s="1">
        <v>41.51</v>
      </c>
      <c r="D3" s="1">
        <v>40.76</v>
      </c>
      <c r="E3" s="1">
        <v>47.06</v>
      </c>
      <c r="F3" s="1">
        <v>47.86</v>
      </c>
      <c r="G3" s="1">
        <v>63.94</v>
      </c>
    </row>
    <row r="4" spans="1:7" x14ac:dyDescent="0.25">
      <c r="A4" s="1" t="s">
        <v>8</v>
      </c>
      <c r="B4" s="1">
        <v>19787.2</v>
      </c>
      <c r="C4" s="1">
        <v>20881.96</v>
      </c>
      <c r="D4" s="1">
        <v>20229.189999999999</v>
      </c>
      <c r="E4" s="1">
        <v>23538.720000000001</v>
      </c>
      <c r="F4" s="1">
        <v>25081.94</v>
      </c>
      <c r="G4" s="1">
        <v>37403.339999999997</v>
      </c>
    </row>
    <row r="5" spans="1:7" x14ac:dyDescent="0.25">
      <c r="A5" s="1" t="s">
        <v>9</v>
      </c>
      <c r="B5" s="1">
        <v>2039.96</v>
      </c>
      <c r="C5" s="1">
        <v>2258.2800000000002</v>
      </c>
      <c r="D5" s="1">
        <v>2208.36</v>
      </c>
      <c r="E5" s="1">
        <v>1181.58</v>
      </c>
      <c r="F5" s="1">
        <v>1663.42</v>
      </c>
      <c r="G5" s="1">
        <v>2873.16</v>
      </c>
    </row>
    <row r="6" spans="1:7" x14ac:dyDescent="0.25">
      <c r="A6" s="3" t="s">
        <v>10</v>
      </c>
      <c r="B6" s="3">
        <v>204</v>
      </c>
      <c r="C6" s="3">
        <v>228.11</v>
      </c>
      <c r="D6" s="3">
        <v>223.07</v>
      </c>
      <c r="E6" s="3">
        <v>119.35</v>
      </c>
      <c r="F6" s="3">
        <v>168.02</v>
      </c>
      <c r="G6" s="3">
        <v>293.18</v>
      </c>
    </row>
    <row r="7" spans="1:7" x14ac:dyDescent="0.25">
      <c r="A7" s="1" t="s">
        <v>11</v>
      </c>
      <c r="B7" s="1">
        <v>1857.2</v>
      </c>
      <c r="C7" s="1">
        <v>2164.65</v>
      </c>
      <c r="D7" s="1">
        <v>2125.2399999999998</v>
      </c>
      <c r="E7" s="1">
        <v>1130.0899999999999</v>
      </c>
      <c r="F7" s="1">
        <v>1593.58</v>
      </c>
      <c r="G7" s="1">
        <v>2714.64</v>
      </c>
    </row>
    <row r="8" spans="1:7" x14ac:dyDescent="0.25">
      <c r="A8" s="1" t="s">
        <v>12</v>
      </c>
      <c r="B8" s="1">
        <v>185.72</v>
      </c>
      <c r="C8" s="1">
        <v>218.65</v>
      </c>
      <c r="D8" s="1">
        <v>214.67</v>
      </c>
      <c r="E8" s="1">
        <v>114.15</v>
      </c>
      <c r="F8" s="1">
        <v>160.97</v>
      </c>
      <c r="G8" s="1">
        <v>277</v>
      </c>
    </row>
    <row r="9" spans="1:7" x14ac:dyDescent="0.25">
      <c r="A9" s="1" t="s">
        <v>13</v>
      </c>
      <c r="B9" s="1">
        <v>1840.97</v>
      </c>
      <c r="C9" s="1">
        <v>2164.65</v>
      </c>
      <c r="D9" s="1">
        <v>2125.2399999999998</v>
      </c>
      <c r="E9" s="1">
        <v>904.95</v>
      </c>
      <c r="F9" s="1">
        <v>1584.16</v>
      </c>
      <c r="G9" s="1">
        <v>2714.64</v>
      </c>
    </row>
    <row r="10" spans="1:7" x14ac:dyDescent="0.25">
      <c r="A10" s="1" t="s">
        <v>14</v>
      </c>
      <c r="B10" s="1">
        <v>184.1</v>
      </c>
      <c r="C10" s="1">
        <v>218.65</v>
      </c>
      <c r="D10" s="1">
        <v>214.67</v>
      </c>
      <c r="E10" s="1">
        <v>91.41</v>
      </c>
      <c r="F10" s="1">
        <v>160.02000000000001</v>
      </c>
      <c r="G10" s="1">
        <v>277</v>
      </c>
    </row>
    <row r="11" spans="1:7" x14ac:dyDescent="0.25">
      <c r="A11" s="1" t="s">
        <v>15</v>
      </c>
      <c r="B11" s="1">
        <v>873.67</v>
      </c>
      <c r="C11" s="1">
        <v>1975.21</v>
      </c>
      <c r="D11" s="1">
        <v>1969.55</v>
      </c>
      <c r="E11" s="1">
        <v>624.08000000000004</v>
      </c>
      <c r="F11" s="1">
        <v>1434.14</v>
      </c>
      <c r="G11" s="1">
        <v>2679.92</v>
      </c>
    </row>
    <row r="12" spans="1:7" x14ac:dyDescent="0.25">
      <c r="A12" s="1" t="s">
        <v>16</v>
      </c>
      <c r="B12" s="1">
        <v>256.06</v>
      </c>
      <c r="C12" s="1">
        <v>268.02999999999997</v>
      </c>
      <c r="D12" s="1">
        <v>268.33999999999997</v>
      </c>
      <c r="E12" s="1">
        <v>207.57</v>
      </c>
      <c r="F12" s="1">
        <v>249.23</v>
      </c>
      <c r="G12" s="1">
        <v>298.39</v>
      </c>
    </row>
    <row r="13" spans="1:7" x14ac:dyDescent="0.25">
      <c r="A13" s="1" t="s">
        <v>17</v>
      </c>
      <c r="B13" s="1">
        <v>36.22</v>
      </c>
      <c r="C13" s="1">
        <v>29.38</v>
      </c>
      <c r="D13" s="1">
        <v>21.66</v>
      </c>
      <c r="E13" s="1">
        <v>42.02</v>
      </c>
      <c r="F13" s="1">
        <v>31.86</v>
      </c>
      <c r="G13" s="1">
        <v>25.42</v>
      </c>
    </row>
    <row r="14" spans="1:7" x14ac:dyDescent="0.25">
      <c r="A14" s="1" t="s">
        <v>18</v>
      </c>
      <c r="B14" s="1">
        <v>105.42</v>
      </c>
      <c r="C14" s="1">
        <v>66.8</v>
      </c>
      <c r="D14" s="1">
        <v>59.49</v>
      </c>
      <c r="E14" s="1">
        <v>95.55</v>
      </c>
      <c r="F14" s="1">
        <v>86.33</v>
      </c>
      <c r="G14" s="1">
        <v>59.84</v>
      </c>
    </row>
    <row r="15" spans="1:7" x14ac:dyDescent="0.25">
      <c r="A15" s="1" t="s">
        <v>19</v>
      </c>
      <c r="B15" s="1">
        <v>7</v>
      </c>
      <c r="C15" s="1">
        <v>8</v>
      </c>
      <c r="D15" s="1">
        <v>5</v>
      </c>
      <c r="E15" s="1">
        <v>4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1849.09</v>
      </c>
      <c r="C17" s="1">
        <v>2164.65</v>
      </c>
      <c r="D17" s="1">
        <v>2125.2399999999998</v>
      </c>
      <c r="E17" s="1">
        <v>1017.52</v>
      </c>
      <c r="F17" s="1">
        <v>1588.87</v>
      </c>
      <c r="G17" s="1">
        <v>2714.64</v>
      </c>
    </row>
    <row r="18" spans="1:7" x14ac:dyDescent="0.25">
      <c r="A18" s="1" t="s">
        <v>22</v>
      </c>
      <c r="B18" s="1">
        <v>8.11</v>
      </c>
      <c r="C18" s="1">
        <v>0</v>
      </c>
      <c r="D18" s="1">
        <v>0</v>
      </c>
      <c r="E18" s="1">
        <v>112.57</v>
      </c>
      <c r="F18" s="1">
        <v>4.71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191.43</v>
      </c>
      <c r="C33" s="3">
        <v>225.96</v>
      </c>
      <c r="D33" s="3">
        <v>219.61</v>
      </c>
      <c r="E33" s="3">
        <v>91</v>
      </c>
      <c r="F33" s="3">
        <v>158.6</v>
      </c>
      <c r="G33" s="3">
        <v>289.63</v>
      </c>
    </row>
    <row r="35" spans="1:7" x14ac:dyDescent="0.25">
      <c r="A35" s="3" t="s">
        <v>36</v>
      </c>
      <c r="B35" s="3"/>
      <c r="C35" s="3"/>
      <c r="D35" s="3">
        <f>D33-C33</f>
        <v>-6.3499999999999943</v>
      </c>
      <c r="E35" s="3"/>
      <c r="F35" s="3">
        <f>F33-E33</f>
        <v>67.599999999999994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-128.61000000000001</v>
      </c>
      <c r="F37" s="3"/>
      <c r="G37" s="3">
        <f>G33-F33</f>
        <v>131.03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B81A-C885-4740-A04F-8DC6634826A8}">
  <dimension ref="A1:G37"/>
  <sheetViews>
    <sheetView zoomScale="80" zoomScaleNormal="80" workbookViewId="0">
      <selection activeCell="Q19" sqref="Q19:Q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522.78</v>
      </c>
      <c r="C2" s="1">
        <v>552.54</v>
      </c>
      <c r="D2" s="1">
        <v>570.4</v>
      </c>
      <c r="E2" s="1">
        <v>547.15</v>
      </c>
      <c r="F2" s="1">
        <v>549.44000000000005</v>
      </c>
      <c r="G2" s="1">
        <v>522.73</v>
      </c>
    </row>
    <row r="3" spans="1:7" x14ac:dyDescent="0.25">
      <c r="A3" s="1" t="s">
        <v>7</v>
      </c>
      <c r="B3" s="1">
        <v>52.36</v>
      </c>
      <c r="C3" s="1">
        <v>51.97</v>
      </c>
      <c r="D3" s="1">
        <v>53.89</v>
      </c>
      <c r="E3" s="1">
        <v>54.07</v>
      </c>
      <c r="F3" s="1">
        <v>56.45</v>
      </c>
      <c r="G3" s="1">
        <v>56.12</v>
      </c>
    </row>
    <row r="4" spans="1:7" x14ac:dyDescent="0.25">
      <c r="A4" s="1" t="s">
        <v>8</v>
      </c>
      <c r="B4" s="1">
        <v>27829.16</v>
      </c>
      <c r="C4" s="1">
        <v>29182.15</v>
      </c>
      <c r="D4" s="1">
        <v>31293.63</v>
      </c>
      <c r="E4" s="1">
        <v>30052.89</v>
      </c>
      <c r="F4" s="1">
        <v>31566.62</v>
      </c>
      <c r="G4" s="1">
        <v>29807.26</v>
      </c>
    </row>
    <row r="5" spans="1:7" x14ac:dyDescent="0.25">
      <c r="A5" s="1" t="s">
        <v>9</v>
      </c>
      <c r="B5" s="1">
        <v>1984.52</v>
      </c>
      <c r="C5" s="1">
        <v>3350.59</v>
      </c>
      <c r="D5" s="1">
        <v>2650.51</v>
      </c>
      <c r="E5" s="1">
        <v>1993.89</v>
      </c>
      <c r="F5" s="1">
        <v>1388.25</v>
      </c>
      <c r="G5" s="1">
        <v>1576.39</v>
      </c>
    </row>
    <row r="6" spans="1:7" x14ac:dyDescent="0.25">
      <c r="A6" s="3" t="s">
        <v>10</v>
      </c>
      <c r="B6" s="3">
        <v>198.45</v>
      </c>
      <c r="C6" s="3">
        <v>338.44</v>
      </c>
      <c r="D6" s="3">
        <v>267.73</v>
      </c>
      <c r="E6" s="3">
        <v>201.4</v>
      </c>
      <c r="F6" s="3">
        <v>140.22999999999999</v>
      </c>
      <c r="G6" s="3">
        <v>160.86000000000001</v>
      </c>
    </row>
    <row r="7" spans="1:7" x14ac:dyDescent="0.25">
      <c r="A7" s="1" t="s">
        <v>11</v>
      </c>
      <c r="B7" s="1">
        <v>1859.32</v>
      </c>
      <c r="C7" s="1">
        <v>3110.57</v>
      </c>
      <c r="D7" s="1">
        <v>2462.9</v>
      </c>
      <c r="E7" s="1">
        <v>1899.69</v>
      </c>
      <c r="F7" s="1">
        <v>1310.75</v>
      </c>
      <c r="G7" s="1">
        <v>1499.39</v>
      </c>
    </row>
    <row r="8" spans="1:7" x14ac:dyDescent="0.25">
      <c r="A8" s="1" t="s">
        <v>12</v>
      </c>
      <c r="B8" s="1">
        <v>185.93</v>
      </c>
      <c r="C8" s="1">
        <v>314.2</v>
      </c>
      <c r="D8" s="1">
        <v>248.78</v>
      </c>
      <c r="E8" s="1">
        <v>191.89</v>
      </c>
      <c r="F8" s="1">
        <v>132.4</v>
      </c>
      <c r="G8" s="1">
        <v>153</v>
      </c>
    </row>
    <row r="9" spans="1:7" x14ac:dyDescent="0.25">
      <c r="A9" s="1" t="s">
        <v>13</v>
      </c>
      <c r="B9" s="1">
        <v>1859.32</v>
      </c>
      <c r="C9" s="1">
        <v>3110.57</v>
      </c>
      <c r="D9" s="1">
        <v>2462.9</v>
      </c>
      <c r="E9" s="1">
        <v>1899.69</v>
      </c>
      <c r="F9" s="1">
        <v>633.79</v>
      </c>
      <c r="G9" s="1">
        <v>1490.75</v>
      </c>
    </row>
    <row r="10" spans="1:7" x14ac:dyDescent="0.25">
      <c r="A10" s="1" t="s">
        <v>14</v>
      </c>
      <c r="B10" s="1">
        <v>185.93</v>
      </c>
      <c r="C10" s="1">
        <v>314.2</v>
      </c>
      <c r="D10" s="1">
        <v>248.78</v>
      </c>
      <c r="E10" s="1">
        <v>191.89</v>
      </c>
      <c r="F10" s="1">
        <v>64.02</v>
      </c>
      <c r="G10" s="1">
        <v>152.12</v>
      </c>
    </row>
    <row r="11" spans="1:7" x14ac:dyDescent="0.25">
      <c r="A11" s="1" t="s">
        <v>15</v>
      </c>
      <c r="B11" s="1">
        <v>484.21</v>
      </c>
      <c r="C11" s="1">
        <v>1731.97</v>
      </c>
      <c r="D11" s="1">
        <v>2453.86</v>
      </c>
      <c r="E11" s="1">
        <v>1769.13</v>
      </c>
      <c r="F11" s="1">
        <v>138.94</v>
      </c>
      <c r="G11" s="1">
        <v>1246.06</v>
      </c>
    </row>
    <row r="12" spans="1:7" x14ac:dyDescent="0.25">
      <c r="A12" s="1" t="s">
        <v>16</v>
      </c>
      <c r="B12" s="1">
        <v>259.95</v>
      </c>
      <c r="C12" s="1">
        <v>290.51</v>
      </c>
      <c r="D12" s="1">
        <v>291.61</v>
      </c>
      <c r="E12" s="1">
        <v>271.79000000000002</v>
      </c>
      <c r="F12" s="1">
        <v>248.32</v>
      </c>
      <c r="G12" s="1">
        <v>271.31</v>
      </c>
    </row>
    <row r="13" spans="1:7" x14ac:dyDescent="0.25">
      <c r="A13" s="1" t="s">
        <v>17</v>
      </c>
      <c r="B13" s="1">
        <v>44.36</v>
      </c>
      <c r="C13" s="1">
        <v>35.25</v>
      </c>
      <c r="D13" s="1">
        <v>27.82</v>
      </c>
      <c r="E13" s="1">
        <v>30.02</v>
      </c>
      <c r="F13" s="1">
        <v>25.23</v>
      </c>
      <c r="G13" s="1">
        <v>32.28</v>
      </c>
    </row>
    <row r="14" spans="1:7" x14ac:dyDescent="0.25">
      <c r="A14" s="1" t="s">
        <v>18</v>
      </c>
      <c r="B14" s="1">
        <v>106.93</v>
      </c>
      <c r="C14" s="1">
        <v>87.87</v>
      </c>
      <c r="D14" s="1">
        <v>84.48</v>
      </c>
      <c r="E14" s="1">
        <v>71.83</v>
      </c>
      <c r="F14" s="1">
        <v>63.61</v>
      </c>
      <c r="G14" s="1">
        <v>79.489999999999995</v>
      </c>
    </row>
    <row r="15" spans="1:7" x14ac:dyDescent="0.25">
      <c r="A15" s="1" t="s">
        <v>19</v>
      </c>
      <c r="B15" s="1">
        <v>4</v>
      </c>
      <c r="C15" s="1">
        <v>6</v>
      </c>
      <c r="D15" s="1">
        <v>6</v>
      </c>
      <c r="E15" s="1">
        <v>6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1859.32</v>
      </c>
      <c r="C17" s="1">
        <v>3110.57</v>
      </c>
      <c r="D17" s="1">
        <v>2462.9</v>
      </c>
      <c r="E17" s="1">
        <v>1899.69</v>
      </c>
      <c r="F17" s="1">
        <v>972.27</v>
      </c>
      <c r="G17" s="1">
        <v>1495.07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338.48</v>
      </c>
      <c r="G18" s="1">
        <v>4.32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194</v>
      </c>
      <c r="C33" s="3">
        <v>333.79</v>
      </c>
      <c r="D33" s="3">
        <v>265.52999999999997</v>
      </c>
      <c r="E33" s="3">
        <v>199.34</v>
      </c>
      <c r="F33" s="3">
        <v>11.73</v>
      </c>
      <c r="G33" s="3">
        <v>158.99</v>
      </c>
    </row>
    <row r="35" spans="1:7" x14ac:dyDescent="0.25">
      <c r="A35" s="3" t="s">
        <v>36</v>
      </c>
      <c r="B35" s="3"/>
      <c r="C35" s="3"/>
      <c r="D35" s="3">
        <f>D33-C33</f>
        <v>-68.260000000000048</v>
      </c>
      <c r="E35" s="3"/>
      <c r="F35" s="3">
        <f>F33-E33</f>
        <v>-187.61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-66.189999999999969</v>
      </c>
      <c r="F37" s="3"/>
      <c r="G37" s="3">
        <f>G33-F33</f>
        <v>147.26000000000002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98C1-D326-4744-9095-445122E9D23C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501.74</v>
      </c>
      <c r="C2" s="1">
        <v>461.09</v>
      </c>
      <c r="D2" s="1">
        <v>473.32</v>
      </c>
      <c r="E2" s="1">
        <v>500.42</v>
      </c>
      <c r="F2" s="1">
        <v>425.62</v>
      </c>
      <c r="G2" s="1">
        <v>435.81</v>
      </c>
    </row>
    <row r="3" spans="1:7" x14ac:dyDescent="0.25">
      <c r="A3" s="1" t="s">
        <v>7</v>
      </c>
      <c r="B3" s="1">
        <v>43.04</v>
      </c>
      <c r="C3" s="1">
        <v>39.24</v>
      </c>
      <c r="D3" s="1">
        <v>42.18</v>
      </c>
      <c r="E3" s="1">
        <v>43.6</v>
      </c>
      <c r="F3" s="1">
        <v>38.880000000000003</v>
      </c>
      <c r="G3" s="1">
        <v>41.21</v>
      </c>
    </row>
    <row r="4" spans="1:7" x14ac:dyDescent="0.25">
      <c r="A4" s="1" t="s">
        <v>8</v>
      </c>
      <c r="B4" s="1">
        <v>22033.93</v>
      </c>
      <c r="C4" s="1">
        <v>18414.599999999999</v>
      </c>
      <c r="D4" s="1">
        <v>20350.43</v>
      </c>
      <c r="E4" s="1">
        <v>22249.57</v>
      </c>
      <c r="F4" s="1">
        <v>16791.04</v>
      </c>
      <c r="G4" s="1">
        <v>18302.87</v>
      </c>
    </row>
    <row r="5" spans="1:7" x14ac:dyDescent="0.25">
      <c r="A5" s="1" t="s">
        <v>9</v>
      </c>
      <c r="B5" s="1">
        <v>3646.13</v>
      </c>
      <c r="C5" s="1">
        <v>3253.12</v>
      </c>
      <c r="D5" s="1">
        <v>3663.75</v>
      </c>
      <c r="E5" s="1">
        <v>3591.79</v>
      </c>
      <c r="F5" s="1">
        <v>3309.49</v>
      </c>
      <c r="G5" s="1">
        <v>2750.27</v>
      </c>
    </row>
    <row r="6" spans="1:7" x14ac:dyDescent="0.25">
      <c r="A6" s="3" t="s">
        <v>10</v>
      </c>
      <c r="B6" s="3">
        <v>364.61</v>
      </c>
      <c r="C6" s="3">
        <v>328.6</v>
      </c>
      <c r="D6" s="3">
        <v>370.08</v>
      </c>
      <c r="E6" s="3">
        <v>362.81</v>
      </c>
      <c r="F6" s="3">
        <v>334.29</v>
      </c>
      <c r="G6" s="3">
        <v>280.64</v>
      </c>
    </row>
    <row r="7" spans="1:7" x14ac:dyDescent="0.25">
      <c r="A7" s="1" t="s">
        <v>11</v>
      </c>
      <c r="B7" s="1">
        <v>3284.96</v>
      </c>
      <c r="C7" s="1">
        <v>2854.66</v>
      </c>
      <c r="D7" s="1">
        <v>3320.12</v>
      </c>
      <c r="E7" s="1">
        <v>3322.13</v>
      </c>
      <c r="F7" s="1">
        <v>2914.38</v>
      </c>
      <c r="G7" s="1">
        <v>2410.98</v>
      </c>
    </row>
    <row r="8" spans="1:7" x14ac:dyDescent="0.25">
      <c r="A8" s="1" t="s">
        <v>12</v>
      </c>
      <c r="B8" s="1">
        <v>328.5</v>
      </c>
      <c r="C8" s="1">
        <v>288.35000000000002</v>
      </c>
      <c r="D8" s="1">
        <v>335.37</v>
      </c>
      <c r="E8" s="1">
        <v>335.57</v>
      </c>
      <c r="F8" s="1">
        <v>294.38</v>
      </c>
      <c r="G8" s="1">
        <v>246.02</v>
      </c>
    </row>
    <row r="9" spans="1:7" x14ac:dyDescent="0.25">
      <c r="A9" s="1" t="s">
        <v>13</v>
      </c>
      <c r="B9" s="1">
        <v>3284.96</v>
      </c>
      <c r="C9" s="1">
        <v>2854.66</v>
      </c>
      <c r="D9" s="1">
        <v>3320.12</v>
      </c>
      <c r="E9" s="1">
        <v>3322.13</v>
      </c>
      <c r="F9" s="1">
        <v>2914.38</v>
      </c>
      <c r="G9" s="1">
        <v>2410.98</v>
      </c>
    </row>
    <row r="10" spans="1:7" x14ac:dyDescent="0.25">
      <c r="A10" s="1" t="s">
        <v>14</v>
      </c>
      <c r="B10" s="1">
        <v>328.5</v>
      </c>
      <c r="C10" s="1">
        <v>288.35000000000002</v>
      </c>
      <c r="D10" s="1">
        <v>335.37</v>
      </c>
      <c r="E10" s="1">
        <v>335.57</v>
      </c>
      <c r="F10" s="1">
        <v>294.38</v>
      </c>
      <c r="G10" s="1">
        <v>246.02</v>
      </c>
    </row>
    <row r="11" spans="1:7" x14ac:dyDescent="0.25">
      <c r="A11" s="1" t="s">
        <v>15</v>
      </c>
      <c r="B11" s="1">
        <v>2398.5500000000002</v>
      </c>
      <c r="C11" s="1">
        <v>2844.58</v>
      </c>
      <c r="D11" s="1">
        <v>2122.77</v>
      </c>
      <c r="E11" s="1">
        <v>2680.09</v>
      </c>
      <c r="F11" s="1">
        <v>2907.18</v>
      </c>
      <c r="G11" s="1">
        <v>2027.37</v>
      </c>
    </row>
    <row r="12" spans="1:7" x14ac:dyDescent="0.25">
      <c r="A12" s="1" t="s">
        <v>16</v>
      </c>
      <c r="B12" s="1">
        <v>282.94</v>
      </c>
      <c r="C12" s="1">
        <v>247.74</v>
      </c>
      <c r="D12" s="1">
        <v>276.29000000000002</v>
      </c>
      <c r="E12" s="1">
        <v>266.67</v>
      </c>
      <c r="F12" s="1">
        <v>242.73</v>
      </c>
      <c r="G12" s="1">
        <v>253.71</v>
      </c>
    </row>
    <row r="13" spans="1:7" x14ac:dyDescent="0.25">
      <c r="A13" s="1" t="s">
        <v>17</v>
      </c>
      <c r="B13" s="1">
        <v>35.450000000000003</v>
      </c>
      <c r="C13" s="1">
        <v>31.54</v>
      </c>
      <c r="D13" s="1">
        <v>34.049999999999997</v>
      </c>
      <c r="E13" s="1">
        <v>37.11</v>
      </c>
      <c r="F13" s="1">
        <v>27.48</v>
      </c>
      <c r="G13" s="1">
        <v>36.89</v>
      </c>
    </row>
    <row r="14" spans="1:7" x14ac:dyDescent="0.25">
      <c r="A14" s="1" t="s">
        <v>18</v>
      </c>
      <c r="B14" s="1">
        <v>80.87</v>
      </c>
      <c r="C14" s="1">
        <v>68.86</v>
      </c>
      <c r="D14" s="1">
        <v>64.209999999999994</v>
      </c>
      <c r="E14" s="1">
        <v>95.66</v>
      </c>
      <c r="F14" s="1">
        <v>63.24</v>
      </c>
      <c r="G14" s="1">
        <v>70.34</v>
      </c>
    </row>
    <row r="15" spans="1:7" x14ac:dyDescent="0.25">
      <c r="A15" s="1" t="s">
        <v>19</v>
      </c>
      <c r="B15" s="1">
        <v>6</v>
      </c>
      <c r="C15" s="1">
        <v>7</v>
      </c>
      <c r="D15" s="1">
        <v>5</v>
      </c>
      <c r="E15" s="1">
        <v>6</v>
      </c>
      <c r="F15" s="1">
        <v>7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3284.96</v>
      </c>
      <c r="C17" s="1">
        <v>2854.66</v>
      </c>
      <c r="D17" s="1">
        <v>3320.12</v>
      </c>
      <c r="E17" s="1">
        <v>3322.13</v>
      </c>
      <c r="F17" s="1">
        <v>2914.38</v>
      </c>
      <c r="G17" s="1">
        <v>2410.98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355.03</v>
      </c>
      <c r="C33" s="3">
        <v>320.56</v>
      </c>
      <c r="D33" s="3">
        <v>366.24</v>
      </c>
      <c r="E33" s="3">
        <v>349.5</v>
      </c>
      <c r="F33" s="3">
        <v>335.11</v>
      </c>
      <c r="G33" s="3">
        <v>277.33</v>
      </c>
    </row>
    <row r="35" spans="1:7" x14ac:dyDescent="0.25">
      <c r="A35" s="3" t="s">
        <v>36</v>
      </c>
      <c r="B35" s="3"/>
      <c r="C35" s="3"/>
      <c r="D35" s="3">
        <f>D33-C33</f>
        <v>45.680000000000007</v>
      </c>
      <c r="E35" s="3"/>
      <c r="F35" s="3">
        <f>F33-E33</f>
        <v>-14.389999999999986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-16.740000000000009</v>
      </c>
      <c r="F37" s="3"/>
      <c r="G37" s="3">
        <f>G33-F33</f>
        <v>-57.78000000000003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726-D3EF-4E38-9619-FAFA07DC782A}">
  <dimension ref="A1:G37"/>
  <sheetViews>
    <sheetView zoomScale="80" zoomScaleNormal="80" workbookViewId="0">
      <selection activeCell="K31" sqref="K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432.06</v>
      </c>
      <c r="C2" s="1">
        <v>449.76</v>
      </c>
      <c r="D2" s="1">
        <v>455.98</v>
      </c>
      <c r="E2" s="1">
        <v>470.86</v>
      </c>
      <c r="F2" s="1">
        <v>482.14</v>
      </c>
      <c r="G2" s="1">
        <v>451.55</v>
      </c>
    </row>
    <row r="3" spans="1:7" x14ac:dyDescent="0.25">
      <c r="A3" s="1" t="s">
        <v>7</v>
      </c>
      <c r="B3" s="1">
        <v>46.42</v>
      </c>
      <c r="C3" s="1">
        <v>46.1</v>
      </c>
      <c r="D3" s="1">
        <v>45.6</v>
      </c>
      <c r="E3" s="1">
        <v>44.59</v>
      </c>
      <c r="F3" s="1">
        <v>47.4</v>
      </c>
      <c r="G3" s="1">
        <v>43.81</v>
      </c>
    </row>
    <row r="4" spans="1:7" x14ac:dyDescent="0.25">
      <c r="A4" s="1" t="s">
        <v>8</v>
      </c>
      <c r="B4" s="1">
        <v>20436.05</v>
      </c>
      <c r="C4" s="1">
        <v>21043.31</v>
      </c>
      <c r="D4" s="1">
        <v>21234.9</v>
      </c>
      <c r="E4" s="1">
        <v>21440.03</v>
      </c>
      <c r="F4" s="1">
        <v>23289.7</v>
      </c>
      <c r="G4" s="1">
        <v>20217.2</v>
      </c>
    </row>
    <row r="5" spans="1:7" x14ac:dyDescent="0.25">
      <c r="A5" s="1" t="s">
        <v>9</v>
      </c>
      <c r="B5" s="1">
        <v>2998.21</v>
      </c>
      <c r="C5" s="1">
        <v>2641.45</v>
      </c>
      <c r="D5" s="1">
        <v>3454.56</v>
      </c>
      <c r="E5" s="1">
        <v>2852.07</v>
      </c>
      <c r="F5" s="1">
        <v>2826.94</v>
      </c>
      <c r="G5" s="1">
        <v>3554.42</v>
      </c>
    </row>
    <row r="6" spans="1:7" x14ac:dyDescent="0.25">
      <c r="A6" s="3" t="s">
        <v>10</v>
      </c>
      <c r="B6" s="3">
        <v>299.82</v>
      </c>
      <c r="C6" s="3">
        <v>266.81</v>
      </c>
      <c r="D6" s="3">
        <v>348.95</v>
      </c>
      <c r="E6" s="3">
        <v>288.08999999999997</v>
      </c>
      <c r="F6" s="3">
        <v>285.55</v>
      </c>
      <c r="G6" s="3">
        <v>362.7</v>
      </c>
    </row>
    <row r="7" spans="1:7" x14ac:dyDescent="0.25">
      <c r="A7" s="1" t="s">
        <v>11</v>
      </c>
      <c r="B7" s="1">
        <v>2711.61</v>
      </c>
      <c r="C7" s="1">
        <v>2252.25</v>
      </c>
      <c r="D7" s="1">
        <v>3142.89</v>
      </c>
      <c r="E7" s="1">
        <v>2613.77</v>
      </c>
      <c r="F7" s="1">
        <v>2521.88</v>
      </c>
      <c r="G7" s="1">
        <v>3175.99</v>
      </c>
    </row>
    <row r="8" spans="1:7" x14ac:dyDescent="0.25">
      <c r="A8" s="1" t="s">
        <v>12</v>
      </c>
      <c r="B8" s="1">
        <v>271.16000000000003</v>
      </c>
      <c r="C8" s="1">
        <v>227.5</v>
      </c>
      <c r="D8" s="1">
        <v>317.45999999999998</v>
      </c>
      <c r="E8" s="1">
        <v>264.02</v>
      </c>
      <c r="F8" s="1">
        <v>254.74</v>
      </c>
      <c r="G8" s="1">
        <v>324.08</v>
      </c>
    </row>
    <row r="9" spans="1:7" x14ac:dyDescent="0.25">
      <c r="A9" s="1" t="s">
        <v>13</v>
      </c>
      <c r="B9" s="1">
        <v>2704.38</v>
      </c>
      <c r="C9" s="1">
        <v>2034.56</v>
      </c>
      <c r="D9" s="1">
        <v>3142.89</v>
      </c>
      <c r="E9" s="1">
        <v>2570.89</v>
      </c>
      <c r="F9" s="1">
        <v>2521.88</v>
      </c>
      <c r="G9" s="1">
        <v>3175.99</v>
      </c>
    </row>
    <row r="10" spans="1:7" x14ac:dyDescent="0.25">
      <c r="A10" s="1" t="s">
        <v>14</v>
      </c>
      <c r="B10" s="1">
        <v>270.44</v>
      </c>
      <c r="C10" s="1">
        <v>205.51</v>
      </c>
      <c r="D10" s="1">
        <v>317.45999999999998</v>
      </c>
      <c r="E10" s="1">
        <v>259.69</v>
      </c>
      <c r="F10" s="1">
        <v>254.74</v>
      </c>
      <c r="G10" s="1">
        <v>324.08</v>
      </c>
    </row>
    <row r="11" spans="1:7" x14ac:dyDescent="0.25">
      <c r="A11" s="1" t="s">
        <v>15</v>
      </c>
      <c r="B11" s="1">
        <v>1439.5</v>
      </c>
      <c r="C11" s="1">
        <v>1280</v>
      </c>
      <c r="D11" s="1">
        <v>318.62</v>
      </c>
      <c r="E11" s="1">
        <v>1781.56</v>
      </c>
      <c r="F11" s="1">
        <v>1330.15</v>
      </c>
      <c r="G11" s="1">
        <v>752.38</v>
      </c>
    </row>
    <row r="12" spans="1:7" x14ac:dyDescent="0.25">
      <c r="A12" s="1" t="s">
        <v>16</v>
      </c>
      <c r="B12" s="1">
        <v>237.79</v>
      </c>
      <c r="C12" s="1">
        <v>235.25</v>
      </c>
      <c r="D12" s="1">
        <v>257.52</v>
      </c>
      <c r="E12" s="1">
        <v>251.44</v>
      </c>
      <c r="F12" s="1">
        <v>254.66</v>
      </c>
      <c r="G12" s="1">
        <v>263.95999999999998</v>
      </c>
    </row>
    <row r="13" spans="1:7" x14ac:dyDescent="0.25">
      <c r="A13" s="1" t="s">
        <v>17</v>
      </c>
      <c r="B13" s="1">
        <v>29.07</v>
      </c>
      <c r="C13" s="1">
        <v>35.5</v>
      </c>
      <c r="D13" s="1">
        <v>28.76</v>
      </c>
      <c r="E13" s="1">
        <v>25.75</v>
      </c>
      <c r="F13" s="1">
        <v>24.95</v>
      </c>
      <c r="G13" s="1">
        <v>32.950000000000003</v>
      </c>
    </row>
    <row r="14" spans="1:7" x14ac:dyDescent="0.25">
      <c r="A14" s="1" t="s">
        <v>18</v>
      </c>
      <c r="B14" s="1">
        <v>79.489999999999995</v>
      </c>
      <c r="C14" s="1">
        <v>81.64</v>
      </c>
      <c r="D14" s="1">
        <v>69.209999999999994</v>
      </c>
      <c r="E14" s="1">
        <v>54.77</v>
      </c>
      <c r="F14" s="1">
        <v>68.77</v>
      </c>
      <c r="G14" s="1">
        <v>85.56</v>
      </c>
    </row>
    <row r="15" spans="1:7" x14ac:dyDescent="0.25">
      <c r="A15" s="1" t="s">
        <v>19</v>
      </c>
      <c r="B15" s="1">
        <v>7</v>
      </c>
      <c r="C15" s="1">
        <v>8</v>
      </c>
      <c r="D15" s="1">
        <v>8</v>
      </c>
      <c r="E15" s="1">
        <v>5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2707.99</v>
      </c>
      <c r="C17" s="1">
        <v>2143.4</v>
      </c>
      <c r="D17" s="1">
        <v>3142.89</v>
      </c>
      <c r="E17" s="1">
        <v>2592.33</v>
      </c>
      <c r="F17" s="1">
        <v>2521.88</v>
      </c>
      <c r="G17" s="1">
        <v>3175.99</v>
      </c>
    </row>
    <row r="18" spans="1:7" x14ac:dyDescent="0.25">
      <c r="A18" s="1" t="s">
        <v>22</v>
      </c>
      <c r="B18" s="1">
        <v>3.61</v>
      </c>
      <c r="C18" s="1">
        <v>108.85</v>
      </c>
      <c r="D18" s="1">
        <v>0</v>
      </c>
      <c r="E18" s="1">
        <v>21.44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20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293.08999999999997</v>
      </c>
      <c r="C33" s="3">
        <v>226.28</v>
      </c>
      <c r="D33" s="3">
        <v>346.75</v>
      </c>
      <c r="E33" s="3">
        <v>277.08</v>
      </c>
      <c r="F33" s="3">
        <v>286.68</v>
      </c>
      <c r="G33" s="3">
        <v>358.59</v>
      </c>
    </row>
    <row r="35" spans="1:7" x14ac:dyDescent="0.25">
      <c r="A35" s="3" t="s">
        <v>36</v>
      </c>
      <c r="B35" s="3"/>
      <c r="C35" s="3"/>
      <c r="D35" s="3">
        <f>D33-C33</f>
        <v>120.47</v>
      </c>
      <c r="E35" s="3"/>
      <c r="F35" s="3">
        <f>F33-E33</f>
        <v>9.6000000000000227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-69.670000000000016</v>
      </c>
      <c r="F37" s="3"/>
      <c r="G37" s="3">
        <f>G33-F33</f>
        <v>71.909999999999968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1494-02F1-4D72-B585-C58C4CFCEAA8}">
  <dimension ref="A1:G37"/>
  <sheetViews>
    <sheetView zoomScale="80" zoomScaleNormal="80" workbookViewId="0">
      <selection activeCell="J30" sqref="J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503.5</v>
      </c>
      <c r="C2" s="1">
        <v>546.79</v>
      </c>
      <c r="D2" s="1">
        <v>550.45000000000005</v>
      </c>
      <c r="E2" s="1">
        <v>531.03</v>
      </c>
      <c r="F2" s="1">
        <v>483.86</v>
      </c>
      <c r="G2" s="1">
        <v>509.66</v>
      </c>
    </row>
    <row r="3" spans="1:7" x14ac:dyDescent="0.25">
      <c r="A3" s="1" t="s">
        <v>7</v>
      </c>
      <c r="B3" s="1">
        <v>49.78</v>
      </c>
      <c r="C3" s="1">
        <v>64.95</v>
      </c>
      <c r="D3" s="1">
        <v>68.88</v>
      </c>
      <c r="E3" s="1">
        <v>54.85</v>
      </c>
      <c r="F3" s="1">
        <v>50.6</v>
      </c>
      <c r="G3" s="1">
        <v>53.08</v>
      </c>
    </row>
    <row r="4" spans="1:7" x14ac:dyDescent="0.25">
      <c r="A4" s="1" t="s">
        <v>8</v>
      </c>
      <c r="B4" s="1">
        <v>25452.9</v>
      </c>
      <c r="C4" s="1">
        <v>36129.33</v>
      </c>
      <c r="D4" s="1">
        <v>38595.68</v>
      </c>
      <c r="E4" s="1">
        <v>29616.62</v>
      </c>
      <c r="F4" s="1">
        <v>24861.89</v>
      </c>
      <c r="G4" s="1">
        <v>27573.53</v>
      </c>
    </row>
    <row r="5" spans="1:7" x14ac:dyDescent="0.25">
      <c r="A5" s="1" t="s">
        <v>9</v>
      </c>
      <c r="B5" s="1">
        <v>3392.83</v>
      </c>
      <c r="C5" s="1">
        <v>3783.68</v>
      </c>
      <c r="D5" s="1">
        <v>3823.61</v>
      </c>
      <c r="E5" s="1">
        <v>3965.7</v>
      </c>
      <c r="F5" s="1">
        <v>2100.6799999999998</v>
      </c>
      <c r="G5" s="1">
        <v>3134.68</v>
      </c>
    </row>
    <row r="6" spans="1:7" x14ac:dyDescent="0.25">
      <c r="A6" s="3" t="s">
        <v>10</v>
      </c>
      <c r="B6" s="3">
        <v>339.28</v>
      </c>
      <c r="C6" s="3">
        <v>382.19</v>
      </c>
      <c r="D6" s="3">
        <v>386.22</v>
      </c>
      <c r="E6" s="3">
        <v>400.58</v>
      </c>
      <c r="F6" s="3">
        <v>212.19</v>
      </c>
      <c r="G6" s="3">
        <v>319.87</v>
      </c>
    </row>
    <row r="7" spans="1:7" x14ac:dyDescent="0.25">
      <c r="A7" s="1" t="s">
        <v>11</v>
      </c>
      <c r="B7" s="1">
        <v>3031.93</v>
      </c>
      <c r="C7" s="1">
        <v>3399.33</v>
      </c>
      <c r="D7" s="1">
        <v>3438.75</v>
      </c>
      <c r="E7" s="1">
        <v>3682.68</v>
      </c>
      <c r="F7" s="1">
        <v>1952.87</v>
      </c>
      <c r="G7" s="1">
        <v>2752.05</v>
      </c>
    </row>
    <row r="8" spans="1:7" x14ac:dyDescent="0.25">
      <c r="A8" s="1" t="s">
        <v>12</v>
      </c>
      <c r="B8" s="1">
        <v>303.19</v>
      </c>
      <c r="C8" s="1">
        <v>343.37</v>
      </c>
      <c r="D8" s="1">
        <v>347.35</v>
      </c>
      <c r="E8" s="1">
        <v>371.99</v>
      </c>
      <c r="F8" s="1">
        <v>197.26</v>
      </c>
      <c r="G8" s="1">
        <v>280.82</v>
      </c>
    </row>
    <row r="9" spans="1:7" x14ac:dyDescent="0.25">
      <c r="A9" s="1" t="s">
        <v>13</v>
      </c>
      <c r="B9" s="1">
        <v>3021.63</v>
      </c>
      <c r="C9" s="1">
        <v>3399.33</v>
      </c>
      <c r="D9" s="1">
        <v>3438.75</v>
      </c>
      <c r="E9" s="1">
        <v>3682.68</v>
      </c>
      <c r="F9" s="1">
        <v>1782.89</v>
      </c>
      <c r="G9" s="1">
        <v>2752.05</v>
      </c>
    </row>
    <row r="10" spans="1:7" x14ac:dyDescent="0.25">
      <c r="A10" s="1" t="s">
        <v>14</v>
      </c>
      <c r="B10" s="1">
        <v>302.16000000000003</v>
      </c>
      <c r="C10" s="1">
        <v>343.37</v>
      </c>
      <c r="D10" s="1">
        <v>347.35</v>
      </c>
      <c r="E10" s="1">
        <v>371.99</v>
      </c>
      <c r="F10" s="1">
        <v>180.09</v>
      </c>
      <c r="G10" s="1">
        <v>280.82</v>
      </c>
    </row>
    <row r="11" spans="1:7" x14ac:dyDescent="0.25">
      <c r="A11" s="1" t="s">
        <v>15</v>
      </c>
      <c r="B11" s="1">
        <v>1525.58</v>
      </c>
      <c r="C11" s="1">
        <v>3510.73</v>
      </c>
      <c r="D11" s="1">
        <v>3541.29</v>
      </c>
      <c r="E11" s="1">
        <v>3768.84</v>
      </c>
      <c r="F11" s="1">
        <v>1815.86</v>
      </c>
      <c r="G11" s="1">
        <v>1313.1</v>
      </c>
    </row>
    <row r="12" spans="1:7" x14ac:dyDescent="0.25">
      <c r="A12" s="1" t="s">
        <v>16</v>
      </c>
      <c r="B12" s="1">
        <v>253.98</v>
      </c>
      <c r="C12" s="1">
        <v>281.5</v>
      </c>
      <c r="D12" s="1">
        <v>280.79000000000002</v>
      </c>
      <c r="E12" s="1">
        <v>293.89999999999998</v>
      </c>
      <c r="F12" s="1">
        <v>242.18</v>
      </c>
      <c r="G12" s="1">
        <v>285.39</v>
      </c>
    </row>
    <row r="13" spans="1:7" x14ac:dyDescent="0.25">
      <c r="A13" s="1" t="s">
        <v>17</v>
      </c>
      <c r="B13" s="1">
        <v>39.840000000000003</v>
      </c>
      <c r="C13" s="1">
        <v>26.91</v>
      </c>
      <c r="D13" s="1">
        <v>28.07</v>
      </c>
      <c r="E13" s="1">
        <v>26.87</v>
      </c>
      <c r="F13" s="1">
        <v>28.56</v>
      </c>
      <c r="G13" s="1">
        <v>33.21</v>
      </c>
    </row>
    <row r="14" spans="1:7" x14ac:dyDescent="0.25">
      <c r="A14" s="1" t="s">
        <v>18</v>
      </c>
      <c r="B14" s="1">
        <v>100.01</v>
      </c>
      <c r="C14" s="1">
        <v>68.91</v>
      </c>
      <c r="D14" s="1">
        <v>69.180000000000007</v>
      </c>
      <c r="E14" s="1">
        <v>58.1</v>
      </c>
      <c r="F14" s="1">
        <v>82.9</v>
      </c>
      <c r="G14" s="1">
        <v>84.58</v>
      </c>
    </row>
    <row r="15" spans="1:7" x14ac:dyDescent="0.25">
      <c r="A15" s="1" t="s">
        <v>19</v>
      </c>
      <c r="B15" s="1">
        <v>6</v>
      </c>
      <c r="C15" s="1">
        <v>7</v>
      </c>
      <c r="D15" s="1">
        <v>4</v>
      </c>
      <c r="E15" s="1">
        <v>4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3026.78</v>
      </c>
      <c r="C17" s="1">
        <v>3399.33</v>
      </c>
      <c r="D17" s="1">
        <v>3438.75</v>
      </c>
      <c r="E17" s="1">
        <v>3682.68</v>
      </c>
      <c r="F17" s="1">
        <v>1867.88</v>
      </c>
      <c r="G17" s="1">
        <v>2752.05</v>
      </c>
    </row>
    <row r="18" spans="1:7" x14ac:dyDescent="0.25">
      <c r="A18" s="1" t="s">
        <v>22</v>
      </c>
      <c r="B18" s="1">
        <v>5.15</v>
      </c>
      <c r="C18" s="1">
        <v>0</v>
      </c>
      <c r="D18" s="1">
        <v>0</v>
      </c>
      <c r="E18" s="1">
        <v>0</v>
      </c>
      <c r="F18" s="1">
        <v>84.99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322.55</v>
      </c>
      <c r="C33" s="3">
        <v>380.1</v>
      </c>
      <c r="D33" s="3">
        <v>379.51</v>
      </c>
      <c r="E33" s="3">
        <v>398.34</v>
      </c>
      <c r="F33" s="3">
        <v>196.67</v>
      </c>
      <c r="G33" s="3">
        <v>317.25</v>
      </c>
    </row>
    <row r="35" spans="1:7" x14ac:dyDescent="0.25">
      <c r="A35" s="3" t="s">
        <v>36</v>
      </c>
      <c r="B35" s="3"/>
      <c r="C35" s="3"/>
      <c r="D35" s="3">
        <f>D33-C33</f>
        <v>-0.59000000000003183</v>
      </c>
      <c r="E35" s="3"/>
      <c r="F35" s="3">
        <f>F33-E33</f>
        <v>-201.67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18.829999999999984</v>
      </c>
      <c r="F37" s="3"/>
      <c r="G37" s="3">
        <f>G33-F33</f>
        <v>120.58000000000001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3008-FA6C-41B8-8B05-0AA3B38B708F}">
  <dimension ref="A1:G37"/>
  <sheetViews>
    <sheetView tabSelected="1" zoomScale="80" zoomScaleNormal="80" workbookViewId="0">
      <selection activeCell="K22" sqref="K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485.81</v>
      </c>
      <c r="C2" s="1">
        <v>468.45</v>
      </c>
      <c r="D2" s="1">
        <v>498.12</v>
      </c>
      <c r="E2" s="1">
        <v>477.73</v>
      </c>
      <c r="F2" s="1">
        <v>486.23</v>
      </c>
      <c r="G2" s="1">
        <v>485.8</v>
      </c>
    </row>
    <row r="3" spans="1:7" x14ac:dyDescent="0.25">
      <c r="A3" s="1" t="s">
        <v>7</v>
      </c>
      <c r="B3" s="1">
        <v>51.31</v>
      </c>
      <c r="C3" s="1">
        <v>44.71</v>
      </c>
      <c r="D3" s="1">
        <v>46.2</v>
      </c>
      <c r="E3" s="1">
        <v>54.06</v>
      </c>
      <c r="F3" s="1">
        <v>51.68</v>
      </c>
      <c r="G3" s="1">
        <v>44.86</v>
      </c>
    </row>
    <row r="4" spans="1:7" x14ac:dyDescent="0.25">
      <c r="A4" s="1" t="s">
        <v>8</v>
      </c>
      <c r="B4" s="1">
        <v>25297.9</v>
      </c>
      <c r="C4" s="1">
        <v>21276.33</v>
      </c>
      <c r="D4" s="1">
        <v>23389.23</v>
      </c>
      <c r="E4" s="1">
        <v>26275.65</v>
      </c>
      <c r="F4" s="1">
        <v>25484.43</v>
      </c>
      <c r="G4" s="1">
        <v>22096.29</v>
      </c>
    </row>
    <row r="5" spans="1:7" x14ac:dyDescent="0.25">
      <c r="A5" s="1" t="s">
        <v>9</v>
      </c>
      <c r="B5" s="1">
        <v>1397.03</v>
      </c>
      <c r="C5" s="1">
        <v>1684.49</v>
      </c>
      <c r="D5" s="1">
        <v>2629.8</v>
      </c>
      <c r="E5" s="1">
        <v>1213.56</v>
      </c>
      <c r="F5" s="1">
        <v>1297.31</v>
      </c>
      <c r="G5" s="1">
        <v>2097.94</v>
      </c>
    </row>
    <row r="6" spans="1:7" x14ac:dyDescent="0.25">
      <c r="A6" s="3" t="s">
        <v>10</v>
      </c>
      <c r="B6" s="3">
        <v>139.69999999999999</v>
      </c>
      <c r="C6" s="3">
        <v>170.15</v>
      </c>
      <c r="D6" s="3">
        <v>265.64</v>
      </c>
      <c r="E6" s="3">
        <v>122.58</v>
      </c>
      <c r="F6" s="3">
        <v>131.04</v>
      </c>
      <c r="G6" s="3">
        <v>214.08</v>
      </c>
    </row>
    <row r="7" spans="1:7" x14ac:dyDescent="0.25">
      <c r="A7" s="1" t="s">
        <v>11</v>
      </c>
      <c r="B7" s="1">
        <v>1241.8599999999999</v>
      </c>
      <c r="C7" s="1">
        <v>1574.73</v>
      </c>
      <c r="D7" s="1">
        <v>2442.85</v>
      </c>
      <c r="E7" s="1">
        <v>1068.3</v>
      </c>
      <c r="F7" s="1">
        <v>1112.43</v>
      </c>
      <c r="G7" s="1">
        <v>1924.23</v>
      </c>
    </row>
    <row r="8" spans="1:7" x14ac:dyDescent="0.25">
      <c r="A8" s="1" t="s">
        <v>12</v>
      </c>
      <c r="B8" s="1">
        <v>124.19</v>
      </c>
      <c r="C8" s="1">
        <v>159.06</v>
      </c>
      <c r="D8" s="1">
        <v>246.75</v>
      </c>
      <c r="E8" s="1">
        <v>107.91</v>
      </c>
      <c r="F8" s="1">
        <v>112.37</v>
      </c>
      <c r="G8" s="1">
        <v>196.35</v>
      </c>
    </row>
    <row r="9" spans="1:7" x14ac:dyDescent="0.25">
      <c r="A9" s="1" t="s">
        <v>13</v>
      </c>
      <c r="B9" s="1">
        <v>632.28</v>
      </c>
      <c r="C9" s="1">
        <v>1465.65</v>
      </c>
      <c r="D9" s="1">
        <v>2347.2600000000002</v>
      </c>
      <c r="E9" s="1">
        <v>954.39</v>
      </c>
      <c r="F9" s="1">
        <v>395.75</v>
      </c>
      <c r="G9" s="1">
        <v>1897.29</v>
      </c>
    </row>
    <row r="10" spans="1:7" x14ac:dyDescent="0.25">
      <c r="A10" s="1" t="s">
        <v>14</v>
      </c>
      <c r="B10" s="1">
        <v>63.23</v>
      </c>
      <c r="C10" s="1">
        <v>148.05000000000001</v>
      </c>
      <c r="D10" s="1">
        <v>237.1</v>
      </c>
      <c r="E10" s="1">
        <v>96.4</v>
      </c>
      <c r="F10" s="1">
        <v>39.97</v>
      </c>
      <c r="G10" s="1">
        <v>193.6</v>
      </c>
    </row>
    <row r="11" spans="1:7" x14ac:dyDescent="0.25">
      <c r="A11" s="1" t="s">
        <v>15</v>
      </c>
      <c r="B11" s="1">
        <v>574.27</v>
      </c>
      <c r="C11" s="1">
        <v>1124.1300000000001</v>
      </c>
      <c r="D11" s="1">
        <v>2155.0300000000002</v>
      </c>
      <c r="E11" s="1">
        <v>780.37</v>
      </c>
      <c r="F11" s="1">
        <v>92.48</v>
      </c>
      <c r="G11" s="1">
        <v>1632</v>
      </c>
    </row>
    <row r="12" spans="1:7" x14ac:dyDescent="0.25">
      <c r="A12" s="1" t="s">
        <v>16</v>
      </c>
      <c r="B12" s="1">
        <v>224.23</v>
      </c>
      <c r="C12" s="1">
        <v>243.5</v>
      </c>
      <c r="D12" s="1">
        <v>266.91000000000003</v>
      </c>
      <c r="E12" s="1">
        <v>241.03</v>
      </c>
      <c r="F12" s="1">
        <v>218.93</v>
      </c>
      <c r="G12" s="1">
        <v>264.7</v>
      </c>
    </row>
    <row r="13" spans="1:7" x14ac:dyDescent="0.25">
      <c r="A13" s="1" t="s">
        <v>17</v>
      </c>
      <c r="B13" s="1">
        <v>46.45</v>
      </c>
      <c r="C13" s="1">
        <v>35.71</v>
      </c>
      <c r="D13" s="1">
        <v>36.85</v>
      </c>
      <c r="E13" s="1">
        <v>33.17</v>
      </c>
      <c r="F13" s="1">
        <v>37.950000000000003</v>
      </c>
      <c r="G13" s="1">
        <v>34.840000000000003</v>
      </c>
    </row>
    <row r="14" spans="1:7" x14ac:dyDescent="0.25">
      <c r="A14" s="1" t="s">
        <v>18</v>
      </c>
      <c r="B14" s="1">
        <v>84.15</v>
      </c>
      <c r="C14" s="1">
        <v>79.5</v>
      </c>
      <c r="D14" s="1">
        <v>101.28</v>
      </c>
      <c r="E14" s="1">
        <v>86.93</v>
      </c>
      <c r="F14" s="1">
        <v>99.53</v>
      </c>
      <c r="G14" s="1">
        <v>80.45</v>
      </c>
    </row>
    <row r="15" spans="1:7" x14ac:dyDescent="0.25">
      <c r="A15" s="1" t="s">
        <v>19</v>
      </c>
      <c r="B15" s="1">
        <v>6</v>
      </c>
      <c r="C15" s="1">
        <v>7</v>
      </c>
      <c r="D15" s="1">
        <v>6</v>
      </c>
      <c r="E15" s="1">
        <v>5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937.07</v>
      </c>
      <c r="C17" s="1">
        <v>1520.19</v>
      </c>
      <c r="D17" s="1">
        <v>2395.0500000000002</v>
      </c>
      <c r="E17" s="1">
        <v>1011.35</v>
      </c>
      <c r="F17" s="1">
        <v>754.09</v>
      </c>
      <c r="G17" s="1">
        <v>1910.76</v>
      </c>
    </row>
    <row r="18" spans="1:7" x14ac:dyDescent="0.25">
      <c r="A18" s="1" t="s">
        <v>22</v>
      </c>
      <c r="B18" s="1">
        <v>304.79000000000002</v>
      </c>
      <c r="C18" s="1">
        <v>54.54</v>
      </c>
      <c r="D18" s="1">
        <v>47.79</v>
      </c>
      <c r="E18" s="1">
        <v>56.95</v>
      </c>
      <c r="F18" s="1">
        <v>358.34</v>
      </c>
      <c r="G18" s="1">
        <v>13.47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</row>
    <row r="20" spans="1:7" x14ac:dyDescent="0.25">
      <c r="A20" s="1" t="s">
        <v>24</v>
      </c>
      <c r="B20" s="1">
        <v>2.8</v>
      </c>
      <c r="C20" s="1">
        <v>0</v>
      </c>
      <c r="D20" s="1">
        <v>0</v>
      </c>
      <c r="E20" s="1">
        <v>0</v>
      </c>
      <c r="F20" s="1">
        <v>4.3</v>
      </c>
      <c r="G20" s="1">
        <v>0</v>
      </c>
    </row>
    <row r="21" spans="1:7" x14ac:dyDescent="0.25">
      <c r="A21" s="1" t="s">
        <v>25</v>
      </c>
      <c r="B21" s="1">
        <v>7.3</v>
      </c>
      <c r="C21" s="1">
        <v>10</v>
      </c>
      <c r="D21" s="1">
        <v>10</v>
      </c>
      <c r="E21" s="1">
        <v>10</v>
      </c>
      <c r="F21" s="1">
        <v>5.7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2.1</v>
      </c>
      <c r="C23" s="1">
        <v>0</v>
      </c>
      <c r="D23" s="1">
        <v>0</v>
      </c>
      <c r="E23" s="1">
        <v>0</v>
      </c>
      <c r="F23" s="1">
        <v>2.7</v>
      </c>
      <c r="G23" s="1">
        <v>0</v>
      </c>
    </row>
    <row r="24" spans="1:7" x14ac:dyDescent="0.25">
      <c r="A24" s="1" t="s">
        <v>28</v>
      </c>
      <c r="B24" s="1">
        <v>2</v>
      </c>
      <c r="C24" s="1">
        <v>0</v>
      </c>
      <c r="D24" s="1">
        <v>1.1000000000000001</v>
      </c>
      <c r="E24" s="1">
        <v>0</v>
      </c>
      <c r="F24" s="1">
        <v>3.9</v>
      </c>
      <c r="G24" s="1">
        <v>0</v>
      </c>
    </row>
    <row r="25" spans="1:7" x14ac:dyDescent="0.25">
      <c r="A25" s="1" t="s">
        <v>29</v>
      </c>
      <c r="B25" s="1">
        <v>3.8</v>
      </c>
      <c r="C25" s="1">
        <v>0</v>
      </c>
      <c r="D25" s="1">
        <v>0</v>
      </c>
      <c r="E25" s="1">
        <v>2.1</v>
      </c>
      <c r="F25" s="1">
        <v>2.7</v>
      </c>
      <c r="G25" s="1">
        <v>0</v>
      </c>
    </row>
    <row r="26" spans="1:7" x14ac:dyDescent="0.25">
      <c r="A26" s="1" t="s">
        <v>30</v>
      </c>
      <c r="B26" s="1">
        <v>4.3</v>
      </c>
      <c r="C26" s="1">
        <v>10</v>
      </c>
      <c r="D26" s="1">
        <v>8.9</v>
      </c>
      <c r="E26" s="1">
        <v>7.9</v>
      </c>
      <c r="F26" s="1">
        <v>3.4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19.801980198019802</v>
      </c>
      <c r="C29" s="3">
        <f t="shared" ref="C29:G29" si="1">C24/C28*100</f>
        <v>0</v>
      </c>
      <c r="D29" s="3">
        <f t="shared" si="1"/>
        <v>11.000000000000002</v>
      </c>
      <c r="E29" s="3">
        <f t="shared" si="1"/>
        <v>0</v>
      </c>
      <c r="F29" s="3">
        <f t="shared" si="1"/>
        <v>39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37.623762376237622</v>
      </c>
      <c r="C30" s="3">
        <f t="shared" ref="C30:G30" si="2">C25/C28*100</f>
        <v>0</v>
      </c>
      <c r="D30" s="3">
        <f t="shared" si="2"/>
        <v>0</v>
      </c>
      <c r="E30" s="3">
        <f t="shared" si="2"/>
        <v>21.000000000000004</v>
      </c>
      <c r="F30" s="3">
        <f t="shared" si="2"/>
        <v>27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42.574257425742573</v>
      </c>
      <c r="C31" s="3">
        <f t="shared" ref="C31:G31" si="3">C26/C28*100</f>
        <v>100</v>
      </c>
      <c r="D31" s="3">
        <f t="shared" si="3"/>
        <v>89</v>
      </c>
      <c r="E31" s="3">
        <f t="shared" si="3"/>
        <v>79</v>
      </c>
      <c r="F31" s="3">
        <f t="shared" si="3"/>
        <v>34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21.24</v>
      </c>
      <c r="C33" s="3">
        <v>154.51</v>
      </c>
      <c r="D33" s="3">
        <v>234.21</v>
      </c>
      <c r="E33" s="3">
        <v>102.56</v>
      </c>
      <c r="F33" s="3">
        <v>2.59</v>
      </c>
      <c r="G33" s="3">
        <v>203.59</v>
      </c>
    </row>
    <row r="35" spans="1:7" x14ac:dyDescent="0.25">
      <c r="A35" s="3" t="s">
        <v>36</v>
      </c>
      <c r="B35" s="3"/>
      <c r="C35" s="3"/>
      <c r="D35" s="3">
        <f>D33-C33</f>
        <v>79.700000000000017</v>
      </c>
      <c r="E35" s="3"/>
      <c r="F35" s="3">
        <f>F33-E33</f>
        <v>-99.97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-131.65</v>
      </c>
      <c r="F37" s="3"/>
      <c r="G37" s="3">
        <f>G33-F33</f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3BF3-045A-4045-800C-30BD4E0919A5}">
  <dimension ref="A1:G37"/>
  <sheetViews>
    <sheetView zoomScale="80" zoomScaleNormal="80" workbookViewId="0">
      <selection activeCell="I35" sqref="I3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241001Bwt001.3</vt:lpstr>
      <vt:lpstr>241001Bwt001.4</vt:lpstr>
      <vt:lpstr>241001Bwt002.1</vt:lpstr>
      <vt:lpstr>241001Bwt002.3</vt:lpstr>
      <vt:lpstr>241001Bwt002.4</vt:lpstr>
      <vt:lpstr>241001Bwt003.2</vt:lpstr>
      <vt:lpstr>241001Bwt003.4</vt:lpstr>
      <vt:lpstr>241001Bwt004.4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2025-01-07T21:15:37Z</dcterms:created>
  <dcterms:modified xsi:type="dcterms:W3CDTF">2025-01-10T01:05:02Z</dcterms:modified>
</cp:coreProperties>
</file>