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06/"/>
    </mc:Choice>
  </mc:AlternateContent>
  <xr:revisionPtr revIDLastSave="0" documentId="13_ncr:1_{6489E83A-D282-EC41-9B17-2C7419F60E9F}" xr6:coauthVersionLast="47" xr6:coauthVersionMax="47" xr10:uidLastSave="{00000000-0000-0000-0000-000000000000}"/>
  <bookViews>
    <workbookView xWindow="820" yWindow="500" windowWidth="28020" windowHeight="15620" activeTab="4" xr2:uid="{703F31A7-3FB6-4B05-8EA8-379C6E25ED1D}"/>
  </bookViews>
  <sheets>
    <sheet name="240806A010" sheetId="1" r:id="rId1"/>
    <sheet name="240806A011" sheetId="9" r:id="rId2"/>
    <sheet name="240806A012" sheetId="11" r:id="rId3"/>
    <sheet name="240806A013" sheetId="12" r:id="rId4"/>
    <sheet name="240806A014" sheetId="1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2" i="1" l="1"/>
  <c r="K322" i="1" s="1"/>
  <c r="J322" i="1"/>
  <c r="I316" i="11"/>
  <c r="J316" i="11"/>
  <c r="K316" i="11"/>
  <c r="L316" i="11" s="1"/>
  <c r="I317" i="11"/>
  <c r="K317" i="11" s="1"/>
  <c r="J317" i="11"/>
  <c r="I318" i="11"/>
  <c r="K318" i="11" s="1"/>
  <c r="L318" i="11" s="1"/>
  <c r="J318" i="11"/>
  <c r="I319" i="11"/>
  <c r="J319" i="11"/>
  <c r="K319" i="11"/>
  <c r="L319" i="11" s="1"/>
  <c r="I320" i="11"/>
  <c r="J320" i="11"/>
  <c r="K320" i="11"/>
  <c r="L320" i="11"/>
  <c r="I321" i="11"/>
  <c r="K321" i="11" s="1"/>
  <c r="L321" i="11" s="1"/>
  <c r="J321" i="11"/>
  <c r="L317" i="11" l="1"/>
  <c r="L322" i="1"/>
  <c r="I314" i="12" l="1"/>
  <c r="K314" i="12" s="1"/>
  <c r="L314" i="12" s="1"/>
  <c r="J314" i="12"/>
  <c r="I315" i="12"/>
  <c r="K315" i="12" s="1"/>
  <c r="J315" i="12"/>
  <c r="I316" i="12"/>
  <c r="K316" i="12" s="1"/>
  <c r="J316" i="12"/>
  <c r="I317" i="12"/>
  <c r="K317" i="12" s="1"/>
  <c r="J317" i="12"/>
  <c r="I318" i="12"/>
  <c r="K318" i="12" s="1"/>
  <c r="L318" i="12" s="1"/>
  <c r="J318" i="12"/>
  <c r="I319" i="12"/>
  <c r="K319" i="12" s="1"/>
  <c r="J319" i="12"/>
  <c r="I320" i="12"/>
  <c r="K320" i="12" s="1"/>
  <c r="J320" i="12"/>
  <c r="I321" i="12"/>
  <c r="K321" i="12" s="1"/>
  <c r="L321" i="12" s="1"/>
  <c r="J321" i="12"/>
  <c r="I322" i="12"/>
  <c r="J322" i="12"/>
  <c r="K322" i="12"/>
  <c r="L322" i="12" s="1"/>
  <c r="I320" i="13"/>
  <c r="J320" i="13"/>
  <c r="K320" i="13"/>
  <c r="L320" i="13" s="1"/>
  <c r="I321" i="13"/>
  <c r="K321" i="13" s="1"/>
  <c r="J321" i="13"/>
  <c r="I322" i="13"/>
  <c r="K322" i="13" s="1"/>
  <c r="L322" i="13" s="1"/>
  <c r="J322" i="13"/>
  <c r="J319" i="13"/>
  <c r="I319" i="13"/>
  <c r="K319" i="13" s="1"/>
  <c r="J318" i="13"/>
  <c r="I318" i="13"/>
  <c r="K318" i="13" s="1"/>
  <c r="L318" i="13" s="1"/>
  <c r="J317" i="13"/>
  <c r="I317" i="13"/>
  <c r="K317" i="13" s="1"/>
  <c r="J316" i="13"/>
  <c r="I316" i="13"/>
  <c r="K316" i="13" s="1"/>
  <c r="J315" i="13"/>
  <c r="I315" i="13"/>
  <c r="K315" i="13" s="1"/>
  <c r="J314" i="13"/>
  <c r="I314" i="13"/>
  <c r="K314" i="13" s="1"/>
  <c r="J313" i="13"/>
  <c r="I313" i="13"/>
  <c r="K313" i="13" s="1"/>
  <c r="J312" i="13"/>
  <c r="I312" i="13"/>
  <c r="K312" i="13" s="1"/>
  <c r="J311" i="13"/>
  <c r="I311" i="13"/>
  <c r="K311" i="13" s="1"/>
  <c r="J310" i="13"/>
  <c r="I310" i="13"/>
  <c r="K310" i="13" s="1"/>
  <c r="J309" i="13"/>
  <c r="I309" i="13"/>
  <c r="K309" i="13" s="1"/>
  <c r="J308" i="13"/>
  <c r="I308" i="13"/>
  <c r="K308" i="13" s="1"/>
  <c r="J307" i="13"/>
  <c r="I307" i="13"/>
  <c r="K307" i="13" s="1"/>
  <c r="J306" i="13"/>
  <c r="I306" i="13"/>
  <c r="K306" i="13" s="1"/>
  <c r="J305" i="13"/>
  <c r="I305" i="13"/>
  <c r="K305" i="13" s="1"/>
  <c r="J304" i="13"/>
  <c r="I304" i="13"/>
  <c r="K304" i="13" s="1"/>
  <c r="J303" i="13"/>
  <c r="I303" i="13"/>
  <c r="K303" i="13" s="1"/>
  <c r="J302" i="13"/>
  <c r="I302" i="13"/>
  <c r="K302" i="13" s="1"/>
  <c r="L302" i="13" s="1"/>
  <c r="J301" i="13"/>
  <c r="I301" i="13"/>
  <c r="K301" i="13" s="1"/>
  <c r="J300" i="13"/>
  <c r="I300" i="13"/>
  <c r="K300" i="13" s="1"/>
  <c r="J299" i="13"/>
  <c r="I299" i="13"/>
  <c r="K299" i="13" s="1"/>
  <c r="J298" i="13"/>
  <c r="I298" i="13"/>
  <c r="K298" i="13" s="1"/>
  <c r="L298" i="13" s="1"/>
  <c r="J297" i="13"/>
  <c r="I297" i="13"/>
  <c r="K297" i="13" s="1"/>
  <c r="L297" i="13" s="1"/>
  <c r="J296" i="13"/>
  <c r="I296" i="13"/>
  <c r="K296" i="13" s="1"/>
  <c r="J295" i="13"/>
  <c r="I295" i="13"/>
  <c r="K295" i="13" s="1"/>
  <c r="J294" i="13"/>
  <c r="I294" i="13"/>
  <c r="K294" i="13" s="1"/>
  <c r="L294" i="13" s="1"/>
  <c r="J293" i="13"/>
  <c r="I293" i="13"/>
  <c r="K293" i="13" s="1"/>
  <c r="J292" i="13"/>
  <c r="I292" i="13"/>
  <c r="K292" i="13" s="1"/>
  <c r="J291" i="13"/>
  <c r="I291" i="13"/>
  <c r="K291" i="13" s="1"/>
  <c r="J290" i="13"/>
  <c r="I290" i="13"/>
  <c r="K290" i="13" s="1"/>
  <c r="J289" i="13"/>
  <c r="I289" i="13"/>
  <c r="K289" i="13" s="1"/>
  <c r="L289" i="13" s="1"/>
  <c r="J288" i="13"/>
  <c r="I288" i="13"/>
  <c r="K288" i="13" s="1"/>
  <c r="J287" i="13"/>
  <c r="I287" i="13"/>
  <c r="K287" i="13" s="1"/>
  <c r="J286" i="13"/>
  <c r="I286" i="13"/>
  <c r="K286" i="13" s="1"/>
  <c r="J285" i="13"/>
  <c r="I285" i="13"/>
  <c r="K285" i="13" s="1"/>
  <c r="J284" i="13"/>
  <c r="I284" i="13"/>
  <c r="K284" i="13" s="1"/>
  <c r="J283" i="13"/>
  <c r="I283" i="13"/>
  <c r="K283" i="13" s="1"/>
  <c r="J282" i="13"/>
  <c r="I282" i="13"/>
  <c r="K282" i="13" s="1"/>
  <c r="J281" i="13"/>
  <c r="I281" i="13"/>
  <c r="K281" i="13" s="1"/>
  <c r="L281" i="13" s="1"/>
  <c r="J280" i="13"/>
  <c r="I280" i="13"/>
  <c r="K280" i="13" s="1"/>
  <c r="J279" i="13"/>
  <c r="I279" i="13"/>
  <c r="K279" i="13" s="1"/>
  <c r="J278" i="13"/>
  <c r="I278" i="13"/>
  <c r="K278" i="13" s="1"/>
  <c r="J277" i="13"/>
  <c r="I277" i="13"/>
  <c r="K277" i="13" s="1"/>
  <c r="J276" i="13"/>
  <c r="I276" i="13"/>
  <c r="K276" i="13" s="1"/>
  <c r="J275" i="13"/>
  <c r="I275" i="13"/>
  <c r="K275" i="13" s="1"/>
  <c r="J274" i="13"/>
  <c r="I274" i="13"/>
  <c r="K274" i="13" s="1"/>
  <c r="J273" i="13"/>
  <c r="I273" i="13"/>
  <c r="K273" i="13" s="1"/>
  <c r="L273" i="13" s="1"/>
  <c r="J272" i="13"/>
  <c r="I272" i="13"/>
  <c r="K272" i="13" s="1"/>
  <c r="J271" i="13"/>
  <c r="I271" i="13"/>
  <c r="K271" i="13" s="1"/>
  <c r="J270" i="13"/>
  <c r="I270" i="13"/>
  <c r="K270" i="13" s="1"/>
  <c r="J269" i="13"/>
  <c r="I269" i="13"/>
  <c r="K269" i="13" s="1"/>
  <c r="J268" i="13"/>
  <c r="I268" i="13"/>
  <c r="K268" i="13" s="1"/>
  <c r="J267" i="13"/>
  <c r="I267" i="13"/>
  <c r="K267" i="13" s="1"/>
  <c r="J266" i="13"/>
  <c r="I266" i="13"/>
  <c r="K266" i="13" s="1"/>
  <c r="J265" i="13"/>
  <c r="I265" i="13"/>
  <c r="K265" i="13" s="1"/>
  <c r="J264" i="13"/>
  <c r="I264" i="13"/>
  <c r="K264" i="13" s="1"/>
  <c r="J263" i="13"/>
  <c r="I263" i="13"/>
  <c r="K263" i="13" s="1"/>
  <c r="J262" i="13"/>
  <c r="I262" i="13"/>
  <c r="K262" i="13" s="1"/>
  <c r="J261" i="13"/>
  <c r="I261" i="13"/>
  <c r="K261" i="13" s="1"/>
  <c r="J260" i="13"/>
  <c r="I260" i="13"/>
  <c r="K260" i="13" s="1"/>
  <c r="J259" i="13"/>
  <c r="I259" i="13"/>
  <c r="K259" i="13" s="1"/>
  <c r="J258" i="13"/>
  <c r="I258" i="13"/>
  <c r="K258" i="13" s="1"/>
  <c r="J257" i="13"/>
  <c r="I257" i="13"/>
  <c r="K257" i="13" s="1"/>
  <c r="J256" i="13"/>
  <c r="I256" i="13"/>
  <c r="K256" i="13" s="1"/>
  <c r="J255" i="13"/>
  <c r="I255" i="13"/>
  <c r="K255" i="13" s="1"/>
  <c r="J254" i="13"/>
  <c r="I254" i="13"/>
  <c r="K254" i="13" s="1"/>
  <c r="J253" i="13"/>
  <c r="I253" i="13"/>
  <c r="K253" i="13" s="1"/>
  <c r="L253" i="13" s="1"/>
  <c r="J252" i="13"/>
  <c r="I252" i="13"/>
  <c r="K252" i="13" s="1"/>
  <c r="J251" i="13"/>
  <c r="I251" i="13"/>
  <c r="K251" i="13" s="1"/>
  <c r="J250" i="13"/>
  <c r="I250" i="13"/>
  <c r="K250" i="13" s="1"/>
  <c r="J249" i="13"/>
  <c r="I249" i="13"/>
  <c r="K249" i="13" s="1"/>
  <c r="L249" i="13" s="1"/>
  <c r="J248" i="13"/>
  <c r="I248" i="13"/>
  <c r="K248" i="13" s="1"/>
  <c r="J247" i="13"/>
  <c r="I247" i="13"/>
  <c r="K247" i="13" s="1"/>
  <c r="J246" i="13"/>
  <c r="I246" i="13"/>
  <c r="K246" i="13" s="1"/>
  <c r="J245" i="13"/>
  <c r="I245" i="13"/>
  <c r="K245" i="13" s="1"/>
  <c r="J244" i="13"/>
  <c r="I244" i="13"/>
  <c r="K244" i="13" s="1"/>
  <c r="J243" i="13"/>
  <c r="I243" i="13"/>
  <c r="K243" i="13" s="1"/>
  <c r="J242" i="13"/>
  <c r="I242" i="13"/>
  <c r="K242" i="13" s="1"/>
  <c r="J241" i="13"/>
  <c r="I241" i="13"/>
  <c r="K241" i="13" s="1"/>
  <c r="J240" i="13"/>
  <c r="I240" i="13"/>
  <c r="K240" i="13" s="1"/>
  <c r="J239" i="13"/>
  <c r="I239" i="13"/>
  <c r="K239" i="13" s="1"/>
  <c r="J238" i="13"/>
  <c r="I238" i="13"/>
  <c r="K238" i="13" s="1"/>
  <c r="L238" i="13" s="1"/>
  <c r="J237" i="13"/>
  <c r="I237" i="13"/>
  <c r="K237" i="13" s="1"/>
  <c r="J236" i="13"/>
  <c r="I236" i="13"/>
  <c r="K236" i="13" s="1"/>
  <c r="J235" i="13"/>
  <c r="I235" i="13"/>
  <c r="K235" i="13" s="1"/>
  <c r="J234" i="13"/>
  <c r="I234" i="13"/>
  <c r="K234" i="13" s="1"/>
  <c r="J233" i="13"/>
  <c r="I233" i="13"/>
  <c r="K233" i="13" s="1"/>
  <c r="J232" i="13"/>
  <c r="I232" i="13"/>
  <c r="K232" i="13" s="1"/>
  <c r="J231" i="13"/>
  <c r="I231" i="13"/>
  <c r="K231" i="13" s="1"/>
  <c r="J230" i="13"/>
  <c r="I230" i="13"/>
  <c r="K230" i="13" s="1"/>
  <c r="J229" i="13"/>
  <c r="I229" i="13"/>
  <c r="K229" i="13" s="1"/>
  <c r="J228" i="13"/>
  <c r="I228" i="13"/>
  <c r="K228" i="13" s="1"/>
  <c r="J227" i="13"/>
  <c r="I227" i="13"/>
  <c r="K227" i="13" s="1"/>
  <c r="J226" i="13"/>
  <c r="I226" i="13"/>
  <c r="K226" i="13" s="1"/>
  <c r="L226" i="13" s="1"/>
  <c r="J225" i="13"/>
  <c r="I225" i="13"/>
  <c r="K225" i="13" s="1"/>
  <c r="J224" i="13"/>
  <c r="I224" i="13"/>
  <c r="K224" i="13" s="1"/>
  <c r="J223" i="13"/>
  <c r="I223" i="13"/>
  <c r="K223" i="13" s="1"/>
  <c r="J222" i="13"/>
  <c r="I222" i="13"/>
  <c r="K222" i="13" s="1"/>
  <c r="L222" i="13" s="1"/>
  <c r="J221" i="13"/>
  <c r="I221" i="13"/>
  <c r="K221" i="13" s="1"/>
  <c r="J220" i="13"/>
  <c r="I220" i="13"/>
  <c r="K220" i="13" s="1"/>
  <c r="J219" i="13"/>
  <c r="I219" i="13"/>
  <c r="K219" i="13" s="1"/>
  <c r="J218" i="13"/>
  <c r="I218" i="13"/>
  <c r="K218" i="13" s="1"/>
  <c r="J217" i="13"/>
  <c r="I217" i="13"/>
  <c r="K217" i="13" s="1"/>
  <c r="J216" i="13"/>
  <c r="I216" i="13"/>
  <c r="K216" i="13" s="1"/>
  <c r="J215" i="13"/>
  <c r="I215" i="13"/>
  <c r="K215" i="13" s="1"/>
  <c r="J214" i="13"/>
  <c r="I214" i="13"/>
  <c r="K214" i="13" s="1"/>
  <c r="J213" i="13"/>
  <c r="I213" i="13"/>
  <c r="K213" i="13" s="1"/>
  <c r="J212" i="13"/>
  <c r="I212" i="13"/>
  <c r="K212" i="13" s="1"/>
  <c r="J211" i="13"/>
  <c r="I211" i="13"/>
  <c r="K211" i="13" s="1"/>
  <c r="J210" i="13"/>
  <c r="I210" i="13"/>
  <c r="K210" i="13" s="1"/>
  <c r="J209" i="13"/>
  <c r="I209" i="13"/>
  <c r="K209" i="13" s="1"/>
  <c r="J208" i="13"/>
  <c r="I208" i="13"/>
  <c r="K208" i="13" s="1"/>
  <c r="J207" i="13"/>
  <c r="I207" i="13"/>
  <c r="K207" i="13" s="1"/>
  <c r="J206" i="13"/>
  <c r="I206" i="13"/>
  <c r="K206" i="13" s="1"/>
  <c r="L206" i="13" s="1"/>
  <c r="J205" i="13"/>
  <c r="I205" i="13"/>
  <c r="K205" i="13" s="1"/>
  <c r="J204" i="13"/>
  <c r="I204" i="13"/>
  <c r="K204" i="13" s="1"/>
  <c r="J203" i="13"/>
  <c r="I203" i="13"/>
  <c r="K203" i="13" s="1"/>
  <c r="L203" i="13" s="1"/>
  <c r="J202" i="13"/>
  <c r="I202" i="13"/>
  <c r="K202" i="13" s="1"/>
  <c r="L202" i="13" s="1"/>
  <c r="J201" i="13"/>
  <c r="I201" i="13"/>
  <c r="K201" i="13" s="1"/>
  <c r="J200" i="13"/>
  <c r="I200" i="13"/>
  <c r="K200" i="13" s="1"/>
  <c r="J199" i="13"/>
  <c r="I199" i="13"/>
  <c r="K199" i="13" s="1"/>
  <c r="L199" i="13" s="1"/>
  <c r="J198" i="13"/>
  <c r="I198" i="13"/>
  <c r="K198" i="13" s="1"/>
  <c r="J197" i="13"/>
  <c r="I197" i="13"/>
  <c r="K197" i="13" s="1"/>
  <c r="J196" i="13"/>
  <c r="I196" i="13"/>
  <c r="K196" i="13" s="1"/>
  <c r="J195" i="13"/>
  <c r="I195" i="13"/>
  <c r="K195" i="13" s="1"/>
  <c r="L195" i="13" s="1"/>
  <c r="J194" i="13"/>
  <c r="I194" i="13"/>
  <c r="K194" i="13" s="1"/>
  <c r="L194" i="13" s="1"/>
  <c r="J193" i="13"/>
  <c r="I193" i="13"/>
  <c r="K193" i="13" s="1"/>
  <c r="J192" i="13"/>
  <c r="I192" i="13"/>
  <c r="K192" i="13" s="1"/>
  <c r="J191" i="13"/>
  <c r="I191" i="13"/>
  <c r="K191" i="13" s="1"/>
  <c r="J190" i="13"/>
  <c r="I190" i="13"/>
  <c r="K190" i="13" s="1"/>
  <c r="J189" i="13"/>
  <c r="I189" i="13"/>
  <c r="K189" i="13" s="1"/>
  <c r="J188" i="13"/>
  <c r="I188" i="13"/>
  <c r="K188" i="13" s="1"/>
  <c r="J187" i="13"/>
  <c r="I187" i="13"/>
  <c r="K187" i="13" s="1"/>
  <c r="L187" i="13" s="1"/>
  <c r="J186" i="13"/>
  <c r="I186" i="13"/>
  <c r="K186" i="13" s="1"/>
  <c r="L186" i="13" s="1"/>
  <c r="J185" i="13"/>
  <c r="I185" i="13"/>
  <c r="K185" i="13" s="1"/>
  <c r="K184" i="13"/>
  <c r="J184" i="13"/>
  <c r="I184" i="13"/>
  <c r="J183" i="13"/>
  <c r="I183" i="13"/>
  <c r="K183" i="13" s="1"/>
  <c r="J182" i="13"/>
  <c r="I182" i="13"/>
  <c r="K182" i="13" s="1"/>
  <c r="J181" i="13"/>
  <c r="I181" i="13"/>
  <c r="K181" i="13" s="1"/>
  <c r="J180" i="13"/>
  <c r="I180" i="13"/>
  <c r="K180" i="13" s="1"/>
  <c r="J179" i="13"/>
  <c r="I179" i="13"/>
  <c r="K179" i="13" s="1"/>
  <c r="J178" i="13"/>
  <c r="I178" i="13"/>
  <c r="K178" i="13" s="1"/>
  <c r="J177" i="13"/>
  <c r="I177" i="13"/>
  <c r="K177" i="13" s="1"/>
  <c r="J176" i="13"/>
  <c r="I176" i="13"/>
  <c r="K176" i="13" s="1"/>
  <c r="J175" i="13"/>
  <c r="I175" i="13"/>
  <c r="K175" i="13" s="1"/>
  <c r="J174" i="13"/>
  <c r="I174" i="13"/>
  <c r="K174" i="13" s="1"/>
  <c r="J173" i="13"/>
  <c r="I173" i="13"/>
  <c r="K173" i="13" s="1"/>
  <c r="J172" i="13"/>
  <c r="I172" i="13"/>
  <c r="K172" i="13" s="1"/>
  <c r="J171" i="13"/>
  <c r="I171" i="13"/>
  <c r="K171" i="13" s="1"/>
  <c r="J170" i="13"/>
  <c r="I170" i="13"/>
  <c r="K170" i="13" s="1"/>
  <c r="J169" i="13"/>
  <c r="I169" i="13"/>
  <c r="K169" i="13" s="1"/>
  <c r="J168" i="13"/>
  <c r="I168" i="13"/>
  <c r="K168" i="13" s="1"/>
  <c r="L168" i="13" s="1"/>
  <c r="J167" i="13"/>
  <c r="I167" i="13"/>
  <c r="K167" i="13" s="1"/>
  <c r="J166" i="13"/>
  <c r="I166" i="13"/>
  <c r="K166" i="13" s="1"/>
  <c r="J165" i="13"/>
  <c r="I165" i="13"/>
  <c r="K165" i="13" s="1"/>
  <c r="J164" i="13"/>
  <c r="I164" i="13"/>
  <c r="K164" i="13" s="1"/>
  <c r="J163" i="13"/>
  <c r="I163" i="13"/>
  <c r="K163" i="13" s="1"/>
  <c r="J162" i="13"/>
  <c r="I162" i="13"/>
  <c r="K162" i="13" s="1"/>
  <c r="J161" i="13"/>
  <c r="I161" i="13"/>
  <c r="K161" i="13" s="1"/>
  <c r="J160" i="13"/>
  <c r="I160" i="13"/>
  <c r="K160" i="13" s="1"/>
  <c r="L160" i="13" s="1"/>
  <c r="J159" i="13"/>
  <c r="I159" i="13"/>
  <c r="K159" i="13" s="1"/>
  <c r="J158" i="13"/>
  <c r="I158" i="13"/>
  <c r="K158" i="13" s="1"/>
  <c r="J157" i="13"/>
  <c r="I157" i="13"/>
  <c r="K157" i="13" s="1"/>
  <c r="J156" i="13"/>
  <c r="I156" i="13"/>
  <c r="K156" i="13" s="1"/>
  <c r="L156" i="13" s="1"/>
  <c r="J155" i="13"/>
  <c r="I155" i="13"/>
  <c r="K155" i="13" s="1"/>
  <c r="J154" i="13"/>
  <c r="I154" i="13"/>
  <c r="K154" i="13" s="1"/>
  <c r="J153" i="13"/>
  <c r="I153" i="13"/>
  <c r="K153" i="13" s="1"/>
  <c r="J152" i="13"/>
  <c r="I152" i="13"/>
  <c r="K152" i="13" s="1"/>
  <c r="L152" i="13" s="1"/>
  <c r="J151" i="13"/>
  <c r="I151" i="13"/>
  <c r="K151" i="13" s="1"/>
  <c r="J150" i="13"/>
  <c r="I150" i="13"/>
  <c r="K150" i="13" s="1"/>
  <c r="J149" i="13"/>
  <c r="I149" i="13"/>
  <c r="K149" i="13" s="1"/>
  <c r="J148" i="13"/>
  <c r="I148" i="13"/>
  <c r="K148" i="13" s="1"/>
  <c r="L148" i="13" s="1"/>
  <c r="J147" i="13"/>
  <c r="I147" i="13"/>
  <c r="K147" i="13" s="1"/>
  <c r="J146" i="13"/>
  <c r="I146" i="13"/>
  <c r="K146" i="13" s="1"/>
  <c r="J145" i="13"/>
  <c r="I145" i="13"/>
  <c r="K145" i="13" s="1"/>
  <c r="J144" i="13"/>
  <c r="I144" i="13"/>
  <c r="K144" i="13" s="1"/>
  <c r="L144" i="13" s="1"/>
  <c r="J143" i="13"/>
  <c r="I143" i="13"/>
  <c r="K143" i="13" s="1"/>
  <c r="J142" i="13"/>
  <c r="I142" i="13"/>
  <c r="K142" i="13" s="1"/>
  <c r="J141" i="13"/>
  <c r="I141" i="13"/>
  <c r="K141" i="13" s="1"/>
  <c r="J140" i="13"/>
  <c r="I140" i="13"/>
  <c r="K140" i="13" s="1"/>
  <c r="L140" i="13" s="1"/>
  <c r="J139" i="13"/>
  <c r="I139" i="13"/>
  <c r="K139" i="13" s="1"/>
  <c r="J138" i="13"/>
  <c r="I138" i="13"/>
  <c r="K138" i="13" s="1"/>
  <c r="J137" i="13"/>
  <c r="I137" i="13"/>
  <c r="K137" i="13" s="1"/>
  <c r="J136" i="13"/>
  <c r="I136" i="13"/>
  <c r="K136" i="13" s="1"/>
  <c r="L136" i="13" s="1"/>
  <c r="J135" i="13"/>
  <c r="I135" i="13"/>
  <c r="K135" i="13" s="1"/>
  <c r="J134" i="13"/>
  <c r="I134" i="13"/>
  <c r="K134" i="13" s="1"/>
  <c r="J133" i="13"/>
  <c r="I133" i="13"/>
  <c r="K133" i="13" s="1"/>
  <c r="J132" i="13"/>
  <c r="I132" i="13"/>
  <c r="K132" i="13" s="1"/>
  <c r="L132" i="13" s="1"/>
  <c r="J131" i="13"/>
  <c r="I131" i="13"/>
  <c r="K131" i="13" s="1"/>
  <c r="L131" i="13" s="1"/>
  <c r="J130" i="13"/>
  <c r="I130" i="13"/>
  <c r="K130" i="13" s="1"/>
  <c r="J129" i="13"/>
  <c r="I129" i="13"/>
  <c r="K129" i="13" s="1"/>
  <c r="J128" i="13"/>
  <c r="I128" i="13"/>
  <c r="K128" i="13" s="1"/>
  <c r="L128" i="13" s="1"/>
  <c r="J127" i="13"/>
  <c r="I127" i="13"/>
  <c r="K127" i="13" s="1"/>
  <c r="L127" i="13" s="1"/>
  <c r="J126" i="13"/>
  <c r="I126" i="13"/>
  <c r="K126" i="13" s="1"/>
  <c r="J125" i="13"/>
  <c r="I125" i="13"/>
  <c r="K125" i="13" s="1"/>
  <c r="J124" i="13"/>
  <c r="I124" i="13"/>
  <c r="K124" i="13" s="1"/>
  <c r="J123" i="13"/>
  <c r="I123" i="13"/>
  <c r="K123" i="13" s="1"/>
  <c r="J122" i="13"/>
  <c r="I122" i="13"/>
  <c r="K122" i="13" s="1"/>
  <c r="J121" i="13"/>
  <c r="I121" i="13"/>
  <c r="K121" i="13" s="1"/>
  <c r="J120" i="13"/>
  <c r="I120" i="13"/>
  <c r="K120" i="13" s="1"/>
  <c r="L120" i="13" s="1"/>
  <c r="J119" i="13"/>
  <c r="I119" i="13"/>
  <c r="K119" i="13" s="1"/>
  <c r="L119" i="13" s="1"/>
  <c r="J118" i="13"/>
  <c r="I118" i="13"/>
  <c r="K118" i="13" s="1"/>
  <c r="J117" i="13"/>
  <c r="I117" i="13"/>
  <c r="K117" i="13" s="1"/>
  <c r="J116" i="13"/>
  <c r="I116" i="13"/>
  <c r="K116" i="13" s="1"/>
  <c r="J115" i="13"/>
  <c r="I115" i="13"/>
  <c r="K115" i="13" s="1"/>
  <c r="J114" i="13"/>
  <c r="I114" i="13"/>
  <c r="K114" i="13" s="1"/>
  <c r="J113" i="13"/>
  <c r="I113" i="13"/>
  <c r="K113" i="13" s="1"/>
  <c r="J112" i="13"/>
  <c r="I112" i="13"/>
  <c r="K112" i="13" s="1"/>
  <c r="J111" i="13"/>
  <c r="I111" i="13"/>
  <c r="K111" i="13" s="1"/>
  <c r="L111" i="13" s="1"/>
  <c r="J110" i="13"/>
  <c r="I110" i="13"/>
  <c r="K110" i="13" s="1"/>
  <c r="J109" i="13"/>
  <c r="I109" i="13"/>
  <c r="K109" i="13" s="1"/>
  <c r="J108" i="13"/>
  <c r="I108" i="13"/>
  <c r="K108" i="13" s="1"/>
  <c r="J107" i="13"/>
  <c r="I107" i="13"/>
  <c r="K107" i="13" s="1"/>
  <c r="L107" i="13" s="1"/>
  <c r="J106" i="13"/>
  <c r="I106" i="13"/>
  <c r="K106" i="13" s="1"/>
  <c r="J105" i="13"/>
  <c r="I105" i="13"/>
  <c r="K105" i="13" s="1"/>
  <c r="L105" i="13" s="1"/>
  <c r="J104" i="13"/>
  <c r="I104" i="13"/>
  <c r="K104" i="13" s="1"/>
  <c r="J103" i="13"/>
  <c r="I103" i="13"/>
  <c r="K103" i="13" s="1"/>
  <c r="L103" i="13" s="1"/>
  <c r="J102" i="13"/>
  <c r="I102" i="13"/>
  <c r="K102" i="13" s="1"/>
  <c r="J101" i="13"/>
  <c r="I101" i="13"/>
  <c r="K101" i="13" s="1"/>
  <c r="J100" i="13"/>
  <c r="I100" i="13"/>
  <c r="K100" i="13" s="1"/>
  <c r="L100" i="13" s="1"/>
  <c r="J99" i="13"/>
  <c r="I99" i="13"/>
  <c r="K99" i="13" s="1"/>
  <c r="L99" i="13" s="1"/>
  <c r="J98" i="13"/>
  <c r="I98" i="13"/>
  <c r="K98" i="13" s="1"/>
  <c r="J97" i="13"/>
  <c r="I97" i="13"/>
  <c r="K97" i="13" s="1"/>
  <c r="J96" i="13"/>
  <c r="I96" i="13"/>
  <c r="K96" i="13" s="1"/>
  <c r="J95" i="13"/>
  <c r="I95" i="13"/>
  <c r="K95" i="13" s="1"/>
  <c r="L95" i="13" s="1"/>
  <c r="J94" i="13"/>
  <c r="I94" i="13"/>
  <c r="K94" i="13" s="1"/>
  <c r="J93" i="13"/>
  <c r="I93" i="13"/>
  <c r="K93" i="13" s="1"/>
  <c r="L93" i="13" s="1"/>
  <c r="J92" i="13"/>
  <c r="I92" i="13"/>
  <c r="K92" i="13" s="1"/>
  <c r="J91" i="13"/>
  <c r="I91" i="13"/>
  <c r="K91" i="13" s="1"/>
  <c r="J90" i="13"/>
  <c r="I90" i="13"/>
  <c r="K90" i="13" s="1"/>
  <c r="J89" i="13"/>
  <c r="I89" i="13"/>
  <c r="K89" i="13" s="1"/>
  <c r="L89" i="13" s="1"/>
  <c r="J88" i="13"/>
  <c r="I88" i="13"/>
  <c r="K88" i="13" s="1"/>
  <c r="J87" i="13"/>
  <c r="I87" i="13"/>
  <c r="K87" i="13" s="1"/>
  <c r="L87" i="13" s="1"/>
  <c r="J86" i="13"/>
  <c r="I86" i="13"/>
  <c r="K86" i="13" s="1"/>
  <c r="J85" i="13"/>
  <c r="I85" i="13"/>
  <c r="K85" i="13" s="1"/>
  <c r="J84" i="13"/>
  <c r="I84" i="13"/>
  <c r="K84" i="13" s="1"/>
  <c r="J83" i="13"/>
  <c r="I83" i="13"/>
  <c r="K83" i="13" s="1"/>
  <c r="L83" i="13" s="1"/>
  <c r="J82" i="13"/>
  <c r="I82" i="13"/>
  <c r="K82" i="13" s="1"/>
  <c r="J81" i="13"/>
  <c r="I81" i="13"/>
  <c r="K81" i="13" s="1"/>
  <c r="L81" i="13" s="1"/>
  <c r="V83" i="13" s="1"/>
  <c r="J80" i="13"/>
  <c r="I80" i="13"/>
  <c r="K80" i="13" s="1"/>
  <c r="J79" i="13"/>
  <c r="I79" i="13"/>
  <c r="K79" i="13" s="1"/>
  <c r="J78" i="13"/>
  <c r="I78" i="13"/>
  <c r="K78" i="13" s="1"/>
  <c r="J77" i="13"/>
  <c r="I77" i="13"/>
  <c r="K77" i="13" s="1"/>
  <c r="L77" i="13" s="1"/>
  <c r="V79" i="13" s="1"/>
  <c r="J76" i="13"/>
  <c r="I76" i="13"/>
  <c r="K76" i="13" s="1"/>
  <c r="J75" i="13"/>
  <c r="I75" i="13"/>
  <c r="K75" i="13" s="1"/>
  <c r="L75" i="13" s="1"/>
  <c r="J74" i="13"/>
  <c r="I74" i="13"/>
  <c r="K74" i="13" s="1"/>
  <c r="J73" i="13"/>
  <c r="I73" i="13"/>
  <c r="K73" i="13" s="1"/>
  <c r="J72" i="13"/>
  <c r="I72" i="13"/>
  <c r="K72" i="13" s="1"/>
  <c r="J71" i="13"/>
  <c r="I71" i="13"/>
  <c r="K71" i="13" s="1"/>
  <c r="L71" i="13" s="1"/>
  <c r="J70" i="13"/>
  <c r="I70" i="13"/>
  <c r="K70" i="13" s="1"/>
  <c r="J69" i="13"/>
  <c r="I69" i="13"/>
  <c r="K69" i="13" s="1"/>
  <c r="J68" i="13"/>
  <c r="I68" i="13"/>
  <c r="K68" i="13" s="1"/>
  <c r="J67" i="13"/>
  <c r="I67" i="13"/>
  <c r="K67" i="13" s="1"/>
  <c r="L67" i="13" s="1"/>
  <c r="V69" i="13" s="1"/>
  <c r="J66" i="13"/>
  <c r="I66" i="13"/>
  <c r="K66" i="13" s="1"/>
  <c r="J65" i="13"/>
  <c r="I65" i="13"/>
  <c r="K65" i="13" s="1"/>
  <c r="L65" i="13" s="1"/>
  <c r="V67" i="13" s="1"/>
  <c r="J64" i="13"/>
  <c r="I64" i="13"/>
  <c r="K64" i="13" s="1"/>
  <c r="L64" i="13" s="1"/>
  <c r="J63" i="13"/>
  <c r="I63" i="13"/>
  <c r="K63" i="13" s="1"/>
  <c r="L63" i="13" s="1"/>
  <c r="J62" i="13"/>
  <c r="I62" i="13"/>
  <c r="K62" i="13" s="1"/>
  <c r="J61" i="13"/>
  <c r="I61" i="13"/>
  <c r="K61" i="13" s="1"/>
  <c r="L61" i="13" s="1"/>
  <c r="J60" i="13"/>
  <c r="I60" i="13"/>
  <c r="K60" i="13" s="1"/>
  <c r="J59" i="13"/>
  <c r="I59" i="13"/>
  <c r="K59" i="13" s="1"/>
  <c r="L59" i="13" s="1"/>
  <c r="J58" i="13"/>
  <c r="I58" i="13"/>
  <c r="K58" i="13" s="1"/>
  <c r="J57" i="13"/>
  <c r="I57" i="13"/>
  <c r="K57" i="13" s="1"/>
  <c r="J56" i="13"/>
  <c r="I56" i="13"/>
  <c r="K56" i="13" s="1"/>
  <c r="J55" i="13"/>
  <c r="I55" i="13"/>
  <c r="K55" i="13" s="1"/>
  <c r="J54" i="13"/>
  <c r="I54" i="13"/>
  <c r="K54" i="13" s="1"/>
  <c r="J53" i="13"/>
  <c r="I53" i="13"/>
  <c r="K53" i="13" s="1"/>
  <c r="J52" i="13"/>
  <c r="I52" i="13"/>
  <c r="K52" i="13" s="1"/>
  <c r="L52" i="13" s="1"/>
  <c r="J51" i="13"/>
  <c r="I51" i="13"/>
  <c r="K51" i="13" s="1"/>
  <c r="J50" i="13"/>
  <c r="I50" i="13"/>
  <c r="K50" i="13" s="1"/>
  <c r="J49" i="13"/>
  <c r="I49" i="13"/>
  <c r="K49" i="13" s="1"/>
  <c r="J48" i="13"/>
  <c r="I48" i="13"/>
  <c r="K48" i="13" s="1"/>
  <c r="L48" i="13" s="1"/>
  <c r="J47" i="13"/>
  <c r="I47" i="13"/>
  <c r="K47" i="13" s="1"/>
  <c r="J46" i="13"/>
  <c r="I46" i="13"/>
  <c r="K46" i="13" s="1"/>
  <c r="J45" i="13"/>
  <c r="I45" i="13"/>
  <c r="K45" i="13" s="1"/>
  <c r="J44" i="13"/>
  <c r="I44" i="13"/>
  <c r="K44" i="13" s="1"/>
  <c r="L44" i="13" s="1"/>
  <c r="J43" i="13"/>
  <c r="I43" i="13"/>
  <c r="K43" i="13" s="1"/>
  <c r="J42" i="13"/>
  <c r="I42" i="13"/>
  <c r="K42" i="13" s="1"/>
  <c r="J41" i="13"/>
  <c r="I41" i="13"/>
  <c r="K41" i="13" s="1"/>
  <c r="J40" i="13"/>
  <c r="I40" i="13"/>
  <c r="K40" i="13" s="1"/>
  <c r="L40" i="13" s="1"/>
  <c r="J39" i="13"/>
  <c r="I39" i="13"/>
  <c r="K39" i="13" s="1"/>
  <c r="J38" i="13"/>
  <c r="I38" i="13"/>
  <c r="K38" i="13" s="1"/>
  <c r="J37" i="13"/>
  <c r="I37" i="13"/>
  <c r="K37" i="13" s="1"/>
  <c r="J36" i="13"/>
  <c r="I36" i="13"/>
  <c r="K36" i="13" s="1"/>
  <c r="J35" i="13"/>
  <c r="I35" i="13"/>
  <c r="K35" i="13" s="1"/>
  <c r="J34" i="13"/>
  <c r="I34" i="13"/>
  <c r="K34" i="13" s="1"/>
  <c r="J33" i="13"/>
  <c r="I33" i="13"/>
  <c r="K33" i="13" s="1"/>
  <c r="J32" i="13"/>
  <c r="I32" i="13"/>
  <c r="K32" i="13" s="1"/>
  <c r="L32" i="13" s="1"/>
  <c r="J31" i="13"/>
  <c r="I31" i="13"/>
  <c r="K31" i="13" s="1"/>
  <c r="L31" i="13" s="1"/>
  <c r="J30" i="13"/>
  <c r="I30" i="13"/>
  <c r="K30" i="13" s="1"/>
  <c r="J29" i="13"/>
  <c r="I29" i="13"/>
  <c r="K29" i="13" s="1"/>
  <c r="J28" i="13"/>
  <c r="I28" i="13"/>
  <c r="K28" i="13" s="1"/>
  <c r="J27" i="13"/>
  <c r="I27" i="13"/>
  <c r="K27" i="13" s="1"/>
  <c r="L27" i="13" s="1"/>
  <c r="J26" i="13"/>
  <c r="I26" i="13"/>
  <c r="K26" i="13" s="1"/>
  <c r="J25" i="13"/>
  <c r="I25" i="13"/>
  <c r="K25" i="13" s="1"/>
  <c r="J24" i="13"/>
  <c r="I24" i="13"/>
  <c r="K24" i="13" s="1"/>
  <c r="L24" i="13" s="1"/>
  <c r="J23" i="13"/>
  <c r="I23" i="13"/>
  <c r="K23" i="13" s="1"/>
  <c r="L23" i="13" s="1"/>
  <c r="J22" i="13"/>
  <c r="I22" i="13"/>
  <c r="K22" i="13" s="1"/>
  <c r="J21" i="13"/>
  <c r="I21" i="13"/>
  <c r="K21" i="13" s="1"/>
  <c r="J20" i="13"/>
  <c r="I20" i="13"/>
  <c r="K20" i="13" s="1"/>
  <c r="J19" i="13"/>
  <c r="I19" i="13"/>
  <c r="K19" i="13" s="1"/>
  <c r="L19" i="13" s="1"/>
  <c r="J18" i="13"/>
  <c r="I18" i="13"/>
  <c r="K18" i="13" s="1"/>
  <c r="J17" i="13"/>
  <c r="I17" i="13"/>
  <c r="K17" i="13" s="1"/>
  <c r="J16" i="13"/>
  <c r="I16" i="13"/>
  <c r="K16" i="13" s="1"/>
  <c r="L16" i="13" s="1"/>
  <c r="J15" i="13"/>
  <c r="I15" i="13"/>
  <c r="K15" i="13" s="1"/>
  <c r="J14" i="13"/>
  <c r="I14" i="13"/>
  <c r="K14" i="13" s="1"/>
  <c r="J13" i="13"/>
  <c r="I13" i="13"/>
  <c r="K13" i="13" s="1"/>
  <c r="J12" i="13"/>
  <c r="I12" i="13"/>
  <c r="K12" i="13" s="1"/>
  <c r="J11" i="13"/>
  <c r="I11" i="13"/>
  <c r="K11" i="13" s="1"/>
  <c r="J10" i="13"/>
  <c r="I10" i="13"/>
  <c r="K10" i="13" s="1"/>
  <c r="J9" i="13"/>
  <c r="I9" i="13"/>
  <c r="K9" i="13" s="1"/>
  <c r="J8" i="13"/>
  <c r="I8" i="13"/>
  <c r="K8" i="13" s="1"/>
  <c r="J7" i="13"/>
  <c r="I7" i="13"/>
  <c r="K7" i="13" s="1"/>
  <c r="J6" i="13"/>
  <c r="I6" i="13"/>
  <c r="K6" i="13" s="1"/>
  <c r="J5" i="13"/>
  <c r="I5" i="13"/>
  <c r="K5" i="13" s="1"/>
  <c r="J4" i="13"/>
  <c r="I4" i="13"/>
  <c r="K4" i="13" s="1"/>
  <c r="J3" i="13"/>
  <c r="I3" i="13"/>
  <c r="K3" i="13" s="1"/>
  <c r="J2" i="13"/>
  <c r="I2" i="13"/>
  <c r="K2" i="13" s="1"/>
  <c r="J313" i="12"/>
  <c r="I313" i="12"/>
  <c r="K313" i="12" s="1"/>
  <c r="J312" i="12"/>
  <c r="I312" i="12"/>
  <c r="K312" i="12" s="1"/>
  <c r="J311" i="12"/>
  <c r="I311" i="12"/>
  <c r="K311" i="12" s="1"/>
  <c r="L311" i="12" s="1"/>
  <c r="V93" i="12" s="1"/>
  <c r="J310" i="12"/>
  <c r="I310" i="12"/>
  <c r="K310" i="12" s="1"/>
  <c r="J309" i="12"/>
  <c r="I309" i="12"/>
  <c r="K309" i="12" s="1"/>
  <c r="L309" i="12" s="1"/>
  <c r="V91" i="12" s="1"/>
  <c r="J308" i="12"/>
  <c r="I308" i="12"/>
  <c r="K308" i="12" s="1"/>
  <c r="J307" i="12"/>
  <c r="I307" i="12"/>
  <c r="K307" i="12" s="1"/>
  <c r="L307" i="12" s="1"/>
  <c r="V89" i="12" s="1"/>
  <c r="J306" i="12"/>
  <c r="I306" i="12"/>
  <c r="K306" i="12" s="1"/>
  <c r="J305" i="12"/>
  <c r="I305" i="12"/>
  <c r="K305" i="12" s="1"/>
  <c r="J304" i="12"/>
  <c r="I304" i="12"/>
  <c r="K304" i="12" s="1"/>
  <c r="J303" i="12"/>
  <c r="I303" i="12"/>
  <c r="K303" i="12" s="1"/>
  <c r="L303" i="12" s="1"/>
  <c r="V85" i="12" s="1"/>
  <c r="J302" i="12"/>
  <c r="I302" i="12"/>
  <c r="K302" i="12" s="1"/>
  <c r="J301" i="12"/>
  <c r="I301" i="12"/>
  <c r="K301" i="12" s="1"/>
  <c r="L301" i="12" s="1"/>
  <c r="J300" i="12"/>
  <c r="I300" i="12"/>
  <c r="K300" i="12" s="1"/>
  <c r="J299" i="12"/>
  <c r="I299" i="12"/>
  <c r="K299" i="12" s="1"/>
  <c r="J298" i="12"/>
  <c r="I298" i="12"/>
  <c r="K298" i="12" s="1"/>
  <c r="J297" i="12"/>
  <c r="I297" i="12"/>
  <c r="K297" i="12" s="1"/>
  <c r="L297" i="12" s="1"/>
  <c r="J296" i="12"/>
  <c r="I296" i="12"/>
  <c r="K296" i="12" s="1"/>
  <c r="J295" i="12"/>
  <c r="I295" i="12"/>
  <c r="K295" i="12" s="1"/>
  <c r="J294" i="12"/>
  <c r="I294" i="12"/>
  <c r="K294" i="12" s="1"/>
  <c r="J293" i="12"/>
  <c r="I293" i="12"/>
  <c r="K293" i="12" s="1"/>
  <c r="L293" i="12" s="1"/>
  <c r="J292" i="12"/>
  <c r="I292" i="12"/>
  <c r="K292" i="12" s="1"/>
  <c r="J291" i="12"/>
  <c r="I291" i="12"/>
  <c r="K291" i="12" s="1"/>
  <c r="J290" i="12"/>
  <c r="I290" i="12"/>
  <c r="K290" i="12" s="1"/>
  <c r="J289" i="12"/>
  <c r="I289" i="12"/>
  <c r="K289" i="12" s="1"/>
  <c r="J288" i="12"/>
  <c r="I288" i="12"/>
  <c r="K288" i="12" s="1"/>
  <c r="J287" i="12"/>
  <c r="I287" i="12"/>
  <c r="K287" i="12" s="1"/>
  <c r="J286" i="12"/>
  <c r="I286" i="12"/>
  <c r="K286" i="12" s="1"/>
  <c r="J285" i="12"/>
  <c r="I285" i="12"/>
  <c r="K285" i="12" s="1"/>
  <c r="L285" i="12" s="1"/>
  <c r="J284" i="12"/>
  <c r="I284" i="12"/>
  <c r="K284" i="12" s="1"/>
  <c r="J283" i="12"/>
  <c r="I283" i="12"/>
  <c r="K283" i="12" s="1"/>
  <c r="J282" i="12"/>
  <c r="I282" i="12"/>
  <c r="K282" i="12" s="1"/>
  <c r="J281" i="12"/>
  <c r="I281" i="12"/>
  <c r="K281" i="12" s="1"/>
  <c r="L281" i="12" s="1"/>
  <c r="J280" i="12"/>
  <c r="I280" i="12"/>
  <c r="K280" i="12" s="1"/>
  <c r="J279" i="12"/>
  <c r="I279" i="12"/>
  <c r="K279" i="12" s="1"/>
  <c r="J278" i="12"/>
  <c r="I278" i="12"/>
  <c r="K278" i="12" s="1"/>
  <c r="J277" i="12"/>
  <c r="I277" i="12"/>
  <c r="K277" i="12" s="1"/>
  <c r="L277" i="12" s="1"/>
  <c r="J276" i="12"/>
  <c r="I276" i="12"/>
  <c r="K276" i="12" s="1"/>
  <c r="L276" i="12" s="1"/>
  <c r="J275" i="12"/>
  <c r="I275" i="12"/>
  <c r="K275" i="12" s="1"/>
  <c r="L275" i="12" s="1"/>
  <c r="J274" i="12"/>
  <c r="I274" i="12"/>
  <c r="K274" i="12" s="1"/>
  <c r="J273" i="12"/>
  <c r="I273" i="12"/>
  <c r="K273" i="12" s="1"/>
  <c r="J272" i="12"/>
  <c r="I272" i="12"/>
  <c r="K272" i="12" s="1"/>
  <c r="L272" i="12" s="1"/>
  <c r="J271" i="12"/>
  <c r="I271" i="12"/>
  <c r="K271" i="12" s="1"/>
  <c r="L271" i="12" s="1"/>
  <c r="J270" i="12"/>
  <c r="I270" i="12"/>
  <c r="K270" i="12" s="1"/>
  <c r="J269" i="12"/>
  <c r="I269" i="12"/>
  <c r="K269" i="12" s="1"/>
  <c r="J268" i="12"/>
  <c r="I268" i="12"/>
  <c r="K268" i="12" s="1"/>
  <c r="L268" i="12" s="1"/>
  <c r="J267" i="12"/>
  <c r="I267" i="12"/>
  <c r="K267" i="12" s="1"/>
  <c r="J266" i="12"/>
  <c r="I266" i="12"/>
  <c r="K266" i="12" s="1"/>
  <c r="J265" i="12"/>
  <c r="I265" i="12"/>
  <c r="K265" i="12" s="1"/>
  <c r="J264" i="12"/>
  <c r="I264" i="12"/>
  <c r="K264" i="12" s="1"/>
  <c r="J263" i="12"/>
  <c r="I263" i="12"/>
  <c r="K263" i="12" s="1"/>
  <c r="L263" i="12" s="1"/>
  <c r="J262" i="12"/>
  <c r="I262" i="12"/>
  <c r="K262" i="12" s="1"/>
  <c r="J261" i="12"/>
  <c r="I261" i="12"/>
  <c r="K261" i="12" s="1"/>
  <c r="J260" i="12"/>
  <c r="I260" i="12"/>
  <c r="K260" i="12" s="1"/>
  <c r="L260" i="12" s="1"/>
  <c r="J259" i="12"/>
  <c r="I259" i="12"/>
  <c r="K259" i="12" s="1"/>
  <c r="L259" i="12" s="1"/>
  <c r="J258" i="12"/>
  <c r="I258" i="12"/>
  <c r="K258" i="12" s="1"/>
  <c r="J257" i="12"/>
  <c r="I257" i="12"/>
  <c r="K257" i="12" s="1"/>
  <c r="J256" i="12"/>
  <c r="I256" i="12"/>
  <c r="K256" i="12" s="1"/>
  <c r="L256" i="12" s="1"/>
  <c r="J255" i="12"/>
  <c r="I255" i="12"/>
  <c r="K255" i="12" s="1"/>
  <c r="L255" i="12" s="1"/>
  <c r="J254" i="12"/>
  <c r="I254" i="12"/>
  <c r="K254" i="12" s="1"/>
  <c r="J253" i="12"/>
  <c r="I253" i="12"/>
  <c r="K253" i="12" s="1"/>
  <c r="J252" i="12"/>
  <c r="I252" i="12"/>
  <c r="K252" i="12" s="1"/>
  <c r="L252" i="12" s="1"/>
  <c r="J251" i="12"/>
  <c r="I251" i="12"/>
  <c r="K251" i="12" s="1"/>
  <c r="J250" i="12"/>
  <c r="I250" i="12"/>
  <c r="K250" i="12" s="1"/>
  <c r="J249" i="12"/>
  <c r="I249" i="12"/>
  <c r="K249" i="12" s="1"/>
  <c r="J248" i="12"/>
  <c r="I248" i="12"/>
  <c r="K248" i="12" s="1"/>
  <c r="L248" i="12" s="1"/>
  <c r="J247" i="12"/>
  <c r="I247" i="12"/>
  <c r="K247" i="12" s="1"/>
  <c r="L247" i="12" s="1"/>
  <c r="J246" i="12"/>
  <c r="I246" i="12"/>
  <c r="K246" i="12" s="1"/>
  <c r="J245" i="12"/>
  <c r="I245" i="12"/>
  <c r="K245" i="12" s="1"/>
  <c r="J244" i="12"/>
  <c r="I244" i="12"/>
  <c r="K244" i="12" s="1"/>
  <c r="L244" i="12" s="1"/>
  <c r="J243" i="12"/>
  <c r="I243" i="12"/>
  <c r="K243" i="12" s="1"/>
  <c r="J242" i="12"/>
  <c r="I242" i="12"/>
  <c r="K242" i="12" s="1"/>
  <c r="J241" i="12"/>
  <c r="I241" i="12"/>
  <c r="K241" i="12" s="1"/>
  <c r="J240" i="12"/>
  <c r="I240" i="12"/>
  <c r="K240" i="12" s="1"/>
  <c r="L240" i="12" s="1"/>
  <c r="J239" i="12"/>
  <c r="I239" i="12"/>
  <c r="K239" i="12" s="1"/>
  <c r="J238" i="12"/>
  <c r="I238" i="12"/>
  <c r="K238" i="12" s="1"/>
  <c r="J237" i="12"/>
  <c r="I237" i="12"/>
  <c r="K237" i="12" s="1"/>
  <c r="J236" i="12"/>
  <c r="I236" i="12"/>
  <c r="K236" i="12" s="1"/>
  <c r="L236" i="12" s="1"/>
  <c r="J235" i="12"/>
  <c r="I235" i="12"/>
  <c r="K235" i="12" s="1"/>
  <c r="J234" i="12"/>
  <c r="I234" i="12"/>
  <c r="K234" i="12" s="1"/>
  <c r="J233" i="12"/>
  <c r="I233" i="12"/>
  <c r="K233" i="12" s="1"/>
  <c r="J232" i="12"/>
  <c r="I232" i="12"/>
  <c r="K232" i="12" s="1"/>
  <c r="J231" i="12"/>
  <c r="I231" i="12"/>
  <c r="K231" i="12" s="1"/>
  <c r="L231" i="12" s="1"/>
  <c r="J230" i="12"/>
  <c r="I230" i="12"/>
  <c r="K230" i="12" s="1"/>
  <c r="J229" i="12"/>
  <c r="I229" i="12"/>
  <c r="K229" i="12" s="1"/>
  <c r="L229" i="12" s="1"/>
  <c r="J228" i="12"/>
  <c r="I228" i="12"/>
  <c r="K228" i="12" s="1"/>
  <c r="L228" i="12" s="1"/>
  <c r="J227" i="12"/>
  <c r="I227" i="12"/>
  <c r="K227" i="12" s="1"/>
  <c r="L227" i="12" s="1"/>
  <c r="J226" i="12"/>
  <c r="I226" i="12"/>
  <c r="K226" i="12" s="1"/>
  <c r="J225" i="12"/>
  <c r="I225" i="12"/>
  <c r="K225" i="12" s="1"/>
  <c r="J224" i="12"/>
  <c r="I224" i="12"/>
  <c r="K224" i="12" s="1"/>
  <c r="J223" i="12"/>
  <c r="I223" i="12"/>
  <c r="K223" i="12" s="1"/>
  <c r="L223" i="12" s="1"/>
  <c r="J222" i="12"/>
  <c r="I222" i="12"/>
  <c r="K222" i="12" s="1"/>
  <c r="J221" i="12"/>
  <c r="I221" i="12"/>
  <c r="K221" i="12" s="1"/>
  <c r="J220" i="12"/>
  <c r="I220" i="12"/>
  <c r="K220" i="12" s="1"/>
  <c r="L220" i="12" s="1"/>
  <c r="J219" i="12"/>
  <c r="I219" i="12"/>
  <c r="K219" i="12" s="1"/>
  <c r="J218" i="12"/>
  <c r="I218" i="12"/>
  <c r="K218" i="12" s="1"/>
  <c r="J217" i="12"/>
  <c r="I217" i="12"/>
  <c r="K217" i="12" s="1"/>
  <c r="J216" i="12"/>
  <c r="I216" i="12"/>
  <c r="K216" i="12" s="1"/>
  <c r="L216" i="12" s="1"/>
  <c r="J215" i="12"/>
  <c r="I215" i="12"/>
  <c r="K215" i="12" s="1"/>
  <c r="L215" i="12" s="1"/>
  <c r="J214" i="12"/>
  <c r="I214" i="12"/>
  <c r="K214" i="12" s="1"/>
  <c r="J213" i="12"/>
  <c r="I213" i="12"/>
  <c r="K213" i="12" s="1"/>
  <c r="J212" i="12"/>
  <c r="I212" i="12"/>
  <c r="K212" i="12" s="1"/>
  <c r="L212" i="12" s="1"/>
  <c r="J211" i="12"/>
  <c r="I211" i="12"/>
  <c r="K211" i="12" s="1"/>
  <c r="L211" i="12" s="1"/>
  <c r="J210" i="12"/>
  <c r="I210" i="12"/>
  <c r="K210" i="12" s="1"/>
  <c r="J209" i="12"/>
  <c r="I209" i="12"/>
  <c r="K209" i="12" s="1"/>
  <c r="J208" i="12"/>
  <c r="I208" i="12"/>
  <c r="K208" i="12" s="1"/>
  <c r="L208" i="12" s="1"/>
  <c r="J207" i="12"/>
  <c r="I207" i="12"/>
  <c r="K207" i="12" s="1"/>
  <c r="L207" i="12" s="1"/>
  <c r="J206" i="12"/>
  <c r="I206" i="12"/>
  <c r="K206" i="12" s="1"/>
  <c r="J205" i="12"/>
  <c r="I205" i="12"/>
  <c r="K205" i="12" s="1"/>
  <c r="L205" i="12" s="1"/>
  <c r="J204" i="12"/>
  <c r="I204" i="12"/>
  <c r="K204" i="12" s="1"/>
  <c r="L204" i="12" s="1"/>
  <c r="J203" i="12"/>
  <c r="I203" i="12"/>
  <c r="K203" i="12" s="1"/>
  <c r="J202" i="12"/>
  <c r="I202" i="12"/>
  <c r="K202" i="12" s="1"/>
  <c r="J201" i="12"/>
  <c r="I201" i="12"/>
  <c r="K201" i="12" s="1"/>
  <c r="J200" i="12"/>
  <c r="I200" i="12"/>
  <c r="K200" i="12" s="1"/>
  <c r="L200" i="12" s="1"/>
  <c r="J199" i="12"/>
  <c r="I199" i="12"/>
  <c r="K199" i="12" s="1"/>
  <c r="L199" i="12" s="1"/>
  <c r="J198" i="12"/>
  <c r="I198" i="12"/>
  <c r="K198" i="12" s="1"/>
  <c r="J197" i="12"/>
  <c r="I197" i="12"/>
  <c r="K197" i="12" s="1"/>
  <c r="L197" i="12" s="1"/>
  <c r="J196" i="12"/>
  <c r="I196" i="12"/>
  <c r="K196" i="12" s="1"/>
  <c r="L196" i="12" s="1"/>
  <c r="J195" i="12"/>
  <c r="I195" i="12"/>
  <c r="K195" i="12" s="1"/>
  <c r="J194" i="12"/>
  <c r="I194" i="12"/>
  <c r="K194" i="12" s="1"/>
  <c r="J193" i="12"/>
  <c r="I193" i="12"/>
  <c r="K193" i="12" s="1"/>
  <c r="J192" i="12"/>
  <c r="I192" i="12"/>
  <c r="K192" i="12" s="1"/>
  <c r="L192" i="12" s="1"/>
  <c r="J191" i="12"/>
  <c r="I191" i="12"/>
  <c r="K191" i="12" s="1"/>
  <c r="J190" i="12"/>
  <c r="I190" i="12"/>
  <c r="K190" i="12" s="1"/>
  <c r="J189" i="12"/>
  <c r="I189" i="12"/>
  <c r="K189" i="12" s="1"/>
  <c r="L189" i="12" s="1"/>
  <c r="J188" i="12"/>
  <c r="I188" i="12"/>
  <c r="K188" i="12" s="1"/>
  <c r="L188" i="12" s="1"/>
  <c r="J187" i="12"/>
  <c r="I187" i="12"/>
  <c r="K187" i="12" s="1"/>
  <c r="J186" i="12"/>
  <c r="I186" i="12"/>
  <c r="K186" i="12" s="1"/>
  <c r="J185" i="12"/>
  <c r="I185" i="12"/>
  <c r="K185" i="12" s="1"/>
  <c r="J184" i="12"/>
  <c r="I184" i="12"/>
  <c r="K184" i="12" s="1"/>
  <c r="J183" i="12"/>
  <c r="I183" i="12"/>
  <c r="K183" i="12" s="1"/>
  <c r="L183" i="12" s="1"/>
  <c r="J182" i="12"/>
  <c r="I182" i="12"/>
  <c r="K182" i="12" s="1"/>
  <c r="J181" i="12"/>
  <c r="I181" i="12"/>
  <c r="K181" i="12" s="1"/>
  <c r="J180" i="12"/>
  <c r="I180" i="12"/>
  <c r="K180" i="12" s="1"/>
  <c r="J179" i="12"/>
  <c r="I179" i="12"/>
  <c r="K179" i="12" s="1"/>
  <c r="J178" i="12"/>
  <c r="I178" i="12"/>
  <c r="K178" i="12" s="1"/>
  <c r="L178" i="12" s="1"/>
  <c r="J177" i="12"/>
  <c r="I177" i="12"/>
  <c r="K177" i="12" s="1"/>
  <c r="J176" i="12"/>
  <c r="I176" i="12"/>
  <c r="K176" i="12" s="1"/>
  <c r="J175" i="12"/>
  <c r="I175" i="12"/>
  <c r="K175" i="12" s="1"/>
  <c r="J174" i="12"/>
  <c r="I174" i="12"/>
  <c r="K174" i="12" s="1"/>
  <c r="L174" i="12" s="1"/>
  <c r="J173" i="12"/>
  <c r="I173" i="12"/>
  <c r="K173" i="12" s="1"/>
  <c r="L173" i="12" s="1"/>
  <c r="J172" i="12"/>
  <c r="I172" i="12"/>
  <c r="K172" i="12" s="1"/>
  <c r="J171" i="12"/>
  <c r="I171" i="12"/>
  <c r="K171" i="12" s="1"/>
  <c r="J170" i="12"/>
  <c r="I170" i="12"/>
  <c r="K170" i="12" s="1"/>
  <c r="J169" i="12"/>
  <c r="I169" i="12"/>
  <c r="K169" i="12" s="1"/>
  <c r="L169" i="12" s="1"/>
  <c r="J168" i="12"/>
  <c r="I168" i="12"/>
  <c r="K168" i="12" s="1"/>
  <c r="J167" i="12"/>
  <c r="I167" i="12"/>
  <c r="K167" i="12" s="1"/>
  <c r="J166" i="12"/>
  <c r="I166" i="12"/>
  <c r="K166" i="12" s="1"/>
  <c r="J165" i="12"/>
  <c r="I165" i="12"/>
  <c r="K165" i="12" s="1"/>
  <c r="L165" i="12" s="1"/>
  <c r="J164" i="12"/>
  <c r="I164" i="12"/>
  <c r="K164" i="12" s="1"/>
  <c r="J163" i="12"/>
  <c r="I163" i="12"/>
  <c r="K163" i="12" s="1"/>
  <c r="J162" i="12"/>
  <c r="I162" i="12"/>
  <c r="K162" i="12" s="1"/>
  <c r="J161" i="12"/>
  <c r="I161" i="12"/>
  <c r="K161" i="12" s="1"/>
  <c r="L161" i="12" s="1"/>
  <c r="J160" i="12"/>
  <c r="I160" i="12"/>
  <c r="K160" i="12" s="1"/>
  <c r="L160" i="12" s="1"/>
  <c r="J159" i="12"/>
  <c r="I159" i="12"/>
  <c r="K159" i="12" s="1"/>
  <c r="J158" i="12"/>
  <c r="I158" i="12"/>
  <c r="K158" i="12" s="1"/>
  <c r="J157" i="12"/>
  <c r="I157" i="12"/>
  <c r="K157" i="12" s="1"/>
  <c r="J156" i="12"/>
  <c r="I156" i="12"/>
  <c r="K156" i="12" s="1"/>
  <c r="J155" i="12"/>
  <c r="I155" i="12"/>
  <c r="K155" i="12" s="1"/>
  <c r="J154" i="12"/>
  <c r="I154" i="12"/>
  <c r="K154" i="12" s="1"/>
  <c r="J153" i="12"/>
  <c r="I153" i="12"/>
  <c r="K153" i="12" s="1"/>
  <c r="J152" i="12"/>
  <c r="I152" i="12"/>
  <c r="K152" i="12" s="1"/>
  <c r="L152" i="12" s="1"/>
  <c r="J151" i="12"/>
  <c r="I151" i="12"/>
  <c r="K151" i="12" s="1"/>
  <c r="L151" i="12" s="1"/>
  <c r="J150" i="12"/>
  <c r="I150" i="12"/>
  <c r="K150" i="12" s="1"/>
  <c r="J149" i="12"/>
  <c r="I149" i="12"/>
  <c r="K149" i="12" s="1"/>
  <c r="J148" i="12"/>
  <c r="I148" i="12"/>
  <c r="K148" i="12" s="1"/>
  <c r="J147" i="12"/>
  <c r="I147" i="12"/>
  <c r="K147" i="12" s="1"/>
  <c r="L147" i="12" s="1"/>
  <c r="J146" i="12"/>
  <c r="I146" i="12"/>
  <c r="K146" i="12" s="1"/>
  <c r="J145" i="12"/>
  <c r="I145" i="12"/>
  <c r="K145" i="12" s="1"/>
  <c r="J144" i="12"/>
  <c r="I144" i="12"/>
  <c r="K144" i="12" s="1"/>
  <c r="L144" i="12" s="1"/>
  <c r="J143" i="12"/>
  <c r="I143" i="12"/>
  <c r="K143" i="12" s="1"/>
  <c r="L143" i="12" s="1"/>
  <c r="J142" i="12"/>
  <c r="I142" i="12"/>
  <c r="K142" i="12" s="1"/>
  <c r="J141" i="12"/>
  <c r="I141" i="12"/>
  <c r="K141" i="12" s="1"/>
  <c r="J140" i="12"/>
  <c r="I140" i="12"/>
  <c r="K140" i="12" s="1"/>
  <c r="L140" i="12" s="1"/>
  <c r="J139" i="12"/>
  <c r="I139" i="12"/>
  <c r="K139" i="12" s="1"/>
  <c r="J138" i="12"/>
  <c r="I138" i="12"/>
  <c r="K138" i="12" s="1"/>
  <c r="L138" i="12" s="1"/>
  <c r="J137" i="12"/>
  <c r="I137" i="12"/>
  <c r="K137" i="12" s="1"/>
  <c r="J136" i="12"/>
  <c r="I136" i="12"/>
  <c r="K136" i="12" s="1"/>
  <c r="J135" i="12"/>
  <c r="I135" i="12"/>
  <c r="K135" i="12" s="1"/>
  <c r="L135" i="12" s="1"/>
  <c r="J134" i="12"/>
  <c r="I134" i="12"/>
  <c r="K134" i="12" s="1"/>
  <c r="J133" i="12"/>
  <c r="I133" i="12"/>
  <c r="K133" i="12" s="1"/>
  <c r="J132" i="12"/>
  <c r="I132" i="12"/>
  <c r="K132" i="12" s="1"/>
  <c r="J131" i="12"/>
  <c r="I131" i="12"/>
  <c r="K131" i="12" s="1"/>
  <c r="L131" i="12" s="1"/>
  <c r="J130" i="12"/>
  <c r="I130" i="12"/>
  <c r="K130" i="12" s="1"/>
  <c r="J129" i="12"/>
  <c r="I129" i="12"/>
  <c r="K129" i="12" s="1"/>
  <c r="J128" i="12"/>
  <c r="I128" i="12"/>
  <c r="K128" i="12" s="1"/>
  <c r="L128" i="12" s="1"/>
  <c r="J127" i="12"/>
  <c r="I127" i="12"/>
  <c r="K127" i="12" s="1"/>
  <c r="L127" i="12" s="1"/>
  <c r="J126" i="12"/>
  <c r="I126" i="12"/>
  <c r="K126" i="12" s="1"/>
  <c r="J125" i="12"/>
  <c r="I125" i="12"/>
  <c r="K125" i="12" s="1"/>
  <c r="L125" i="12" s="1"/>
  <c r="J124" i="12"/>
  <c r="I124" i="12"/>
  <c r="K124" i="12" s="1"/>
  <c r="L124" i="12" s="1"/>
  <c r="J123" i="12"/>
  <c r="I123" i="12"/>
  <c r="K123" i="12" s="1"/>
  <c r="L123" i="12" s="1"/>
  <c r="J122" i="12"/>
  <c r="I122" i="12"/>
  <c r="K122" i="12" s="1"/>
  <c r="J121" i="12"/>
  <c r="I121" i="12"/>
  <c r="K121" i="12" s="1"/>
  <c r="J120" i="12"/>
  <c r="I120" i="12"/>
  <c r="K120" i="12" s="1"/>
  <c r="J119" i="12"/>
  <c r="I119" i="12"/>
  <c r="K119" i="12" s="1"/>
  <c r="L119" i="12" s="1"/>
  <c r="J118" i="12"/>
  <c r="I118" i="12"/>
  <c r="K118" i="12" s="1"/>
  <c r="J117" i="12"/>
  <c r="I117" i="12"/>
  <c r="K117" i="12" s="1"/>
  <c r="J116" i="12"/>
  <c r="I116" i="12"/>
  <c r="K116" i="12" s="1"/>
  <c r="J115" i="12"/>
  <c r="I115" i="12"/>
  <c r="K115" i="12" s="1"/>
  <c r="L115" i="12" s="1"/>
  <c r="J114" i="12"/>
  <c r="I114" i="12"/>
  <c r="K114" i="12" s="1"/>
  <c r="L114" i="12" s="1"/>
  <c r="J113" i="12"/>
  <c r="I113" i="12"/>
  <c r="K113" i="12" s="1"/>
  <c r="L113" i="12" s="1"/>
  <c r="J112" i="12"/>
  <c r="I112" i="12"/>
  <c r="K112" i="12" s="1"/>
  <c r="L112" i="12" s="1"/>
  <c r="J111" i="12"/>
  <c r="I111" i="12"/>
  <c r="K111" i="12" s="1"/>
  <c r="L111" i="12" s="1"/>
  <c r="J110" i="12"/>
  <c r="I110" i="12"/>
  <c r="K110" i="12" s="1"/>
  <c r="L110" i="12" s="1"/>
  <c r="J109" i="12"/>
  <c r="I109" i="12"/>
  <c r="K109" i="12" s="1"/>
  <c r="L109" i="12" s="1"/>
  <c r="J108" i="12"/>
  <c r="I108" i="12"/>
  <c r="K108" i="12" s="1"/>
  <c r="L108" i="12" s="1"/>
  <c r="J107" i="12"/>
  <c r="I107" i="12"/>
  <c r="K107" i="12" s="1"/>
  <c r="L107" i="12" s="1"/>
  <c r="J106" i="12"/>
  <c r="I106" i="12"/>
  <c r="K106" i="12" s="1"/>
  <c r="J105" i="12"/>
  <c r="I105" i="12"/>
  <c r="K105" i="12" s="1"/>
  <c r="J104" i="12"/>
  <c r="I104" i="12"/>
  <c r="K104" i="12" s="1"/>
  <c r="J103" i="12"/>
  <c r="I103" i="12"/>
  <c r="K103" i="12" s="1"/>
  <c r="J102" i="12"/>
  <c r="I102" i="12"/>
  <c r="K102" i="12" s="1"/>
  <c r="J101" i="12"/>
  <c r="I101" i="12"/>
  <c r="K101" i="12" s="1"/>
  <c r="L101" i="12" s="1"/>
  <c r="J100" i="12"/>
  <c r="I100" i="12"/>
  <c r="K100" i="12" s="1"/>
  <c r="J99" i="12"/>
  <c r="I99" i="12"/>
  <c r="K99" i="12" s="1"/>
  <c r="J98" i="12"/>
  <c r="I98" i="12"/>
  <c r="K98" i="12" s="1"/>
  <c r="L98" i="12" s="1"/>
  <c r="J97" i="12"/>
  <c r="I97" i="12"/>
  <c r="K97" i="12" s="1"/>
  <c r="J96" i="12"/>
  <c r="I96" i="12"/>
  <c r="K96" i="12" s="1"/>
  <c r="J95" i="12"/>
  <c r="I95" i="12"/>
  <c r="K95" i="12" s="1"/>
  <c r="J94" i="12"/>
  <c r="I94" i="12"/>
  <c r="K94" i="12" s="1"/>
  <c r="L94" i="12" s="1"/>
  <c r="J93" i="12"/>
  <c r="I93" i="12"/>
  <c r="K93" i="12" s="1"/>
  <c r="L93" i="12" s="1"/>
  <c r="J92" i="12"/>
  <c r="I92" i="12"/>
  <c r="K92" i="12" s="1"/>
  <c r="J91" i="12"/>
  <c r="I91" i="12"/>
  <c r="K91" i="12" s="1"/>
  <c r="J90" i="12"/>
  <c r="I90" i="12"/>
  <c r="K90" i="12" s="1"/>
  <c r="J89" i="12"/>
  <c r="I89" i="12"/>
  <c r="K89" i="12" s="1"/>
  <c r="L89" i="12" s="1"/>
  <c r="J88" i="12"/>
  <c r="I88" i="12"/>
  <c r="K88" i="12" s="1"/>
  <c r="L88" i="12" s="1"/>
  <c r="J87" i="12"/>
  <c r="I87" i="12"/>
  <c r="K87" i="12" s="1"/>
  <c r="J86" i="12"/>
  <c r="I86" i="12"/>
  <c r="K86" i="12" s="1"/>
  <c r="L86" i="12" s="1"/>
  <c r="J85" i="12"/>
  <c r="I85" i="12"/>
  <c r="K85" i="12" s="1"/>
  <c r="L85" i="12" s="1"/>
  <c r="J84" i="12"/>
  <c r="I84" i="12"/>
  <c r="K84" i="12" s="1"/>
  <c r="L84" i="12" s="1"/>
  <c r="J83" i="12"/>
  <c r="I83" i="12"/>
  <c r="K83" i="12" s="1"/>
  <c r="J82" i="12"/>
  <c r="I82" i="12"/>
  <c r="K82" i="12" s="1"/>
  <c r="L82" i="12" s="1"/>
  <c r="J81" i="12"/>
  <c r="I81" i="12"/>
  <c r="K81" i="12" s="1"/>
  <c r="J80" i="12"/>
  <c r="I80" i="12"/>
  <c r="K80" i="12" s="1"/>
  <c r="J79" i="12"/>
  <c r="I79" i="12"/>
  <c r="K79" i="12" s="1"/>
  <c r="J78" i="12"/>
  <c r="I78" i="12"/>
  <c r="K78" i="12" s="1"/>
  <c r="L78" i="12" s="1"/>
  <c r="V80" i="12" s="1"/>
  <c r="J77" i="12"/>
  <c r="I77" i="12"/>
  <c r="K77" i="12" s="1"/>
  <c r="L77" i="12" s="1"/>
  <c r="J76" i="12"/>
  <c r="I76" i="12"/>
  <c r="K76" i="12" s="1"/>
  <c r="J75" i="12"/>
  <c r="I75" i="12"/>
  <c r="K75" i="12" s="1"/>
  <c r="J74" i="12"/>
  <c r="I74" i="12"/>
  <c r="K74" i="12" s="1"/>
  <c r="L74" i="12" s="1"/>
  <c r="J73" i="12"/>
  <c r="I73" i="12"/>
  <c r="K73" i="12" s="1"/>
  <c r="L73" i="12" s="1"/>
  <c r="J72" i="12"/>
  <c r="I72" i="12"/>
  <c r="K72" i="12" s="1"/>
  <c r="J71" i="12"/>
  <c r="I71" i="12"/>
  <c r="K71" i="12" s="1"/>
  <c r="J70" i="12"/>
  <c r="I70" i="12"/>
  <c r="K70" i="12" s="1"/>
  <c r="L70" i="12" s="1"/>
  <c r="V72" i="12" s="1"/>
  <c r="J69" i="12"/>
  <c r="I69" i="12"/>
  <c r="K69" i="12" s="1"/>
  <c r="J68" i="12"/>
  <c r="I68" i="12"/>
  <c r="K68" i="12" s="1"/>
  <c r="J67" i="12"/>
  <c r="I67" i="12"/>
  <c r="K67" i="12" s="1"/>
  <c r="J66" i="12"/>
  <c r="I66" i="12"/>
  <c r="K66" i="12" s="1"/>
  <c r="L66" i="12" s="1"/>
  <c r="J65" i="12"/>
  <c r="I65" i="12"/>
  <c r="K65" i="12" s="1"/>
  <c r="J64" i="12"/>
  <c r="I64" i="12"/>
  <c r="K64" i="12" s="1"/>
  <c r="L64" i="12" s="1"/>
  <c r="J63" i="12"/>
  <c r="I63" i="12"/>
  <c r="K63" i="12" s="1"/>
  <c r="L63" i="12" s="1"/>
  <c r="V65" i="12" s="1"/>
  <c r="J62" i="12"/>
  <c r="I62" i="12"/>
  <c r="K62" i="12" s="1"/>
  <c r="L62" i="12" s="1"/>
  <c r="J61" i="12"/>
  <c r="I61" i="12"/>
  <c r="K61" i="12" s="1"/>
  <c r="J60" i="12"/>
  <c r="I60" i="12"/>
  <c r="K60" i="12" s="1"/>
  <c r="L60" i="12" s="1"/>
  <c r="J59" i="12"/>
  <c r="I59" i="12"/>
  <c r="K59" i="12" s="1"/>
  <c r="L59" i="12" s="1"/>
  <c r="J58" i="12"/>
  <c r="I58" i="12"/>
  <c r="K58" i="12" s="1"/>
  <c r="L58" i="12" s="1"/>
  <c r="J57" i="12"/>
  <c r="I57" i="12"/>
  <c r="K57" i="12" s="1"/>
  <c r="J56" i="12"/>
  <c r="I56" i="12"/>
  <c r="K56" i="12" s="1"/>
  <c r="L56" i="12" s="1"/>
  <c r="J55" i="12"/>
  <c r="I55" i="12"/>
  <c r="K55" i="12" s="1"/>
  <c r="L55" i="12" s="1"/>
  <c r="J54" i="12"/>
  <c r="I54" i="12"/>
  <c r="K54" i="12" s="1"/>
  <c r="L54" i="12" s="1"/>
  <c r="K53" i="12"/>
  <c r="J53" i="12"/>
  <c r="I53" i="12"/>
  <c r="J52" i="12"/>
  <c r="I52" i="12"/>
  <c r="K52" i="12" s="1"/>
  <c r="L52" i="12" s="1"/>
  <c r="J51" i="12"/>
  <c r="I51" i="12"/>
  <c r="K51" i="12" s="1"/>
  <c r="J50" i="12"/>
  <c r="I50" i="12"/>
  <c r="K50" i="12" s="1"/>
  <c r="L50" i="12" s="1"/>
  <c r="J49" i="12"/>
  <c r="I49" i="12"/>
  <c r="K49" i="12" s="1"/>
  <c r="J48" i="12"/>
  <c r="I48" i="12"/>
  <c r="K48" i="12" s="1"/>
  <c r="L48" i="12" s="1"/>
  <c r="J47" i="12"/>
  <c r="I47" i="12"/>
  <c r="K47" i="12" s="1"/>
  <c r="L47" i="12" s="1"/>
  <c r="J46" i="12"/>
  <c r="I46" i="12"/>
  <c r="K46" i="12" s="1"/>
  <c r="L46" i="12" s="1"/>
  <c r="J45" i="12"/>
  <c r="I45" i="12"/>
  <c r="K45" i="12" s="1"/>
  <c r="J44" i="12"/>
  <c r="I44" i="12"/>
  <c r="K44" i="12" s="1"/>
  <c r="L44" i="12" s="1"/>
  <c r="J43" i="12"/>
  <c r="I43" i="12"/>
  <c r="K43" i="12" s="1"/>
  <c r="J42" i="12"/>
  <c r="I42" i="12"/>
  <c r="K42" i="12" s="1"/>
  <c r="J41" i="12"/>
  <c r="I41" i="12"/>
  <c r="K41" i="12" s="1"/>
  <c r="J40" i="12"/>
  <c r="I40" i="12"/>
  <c r="K40" i="12" s="1"/>
  <c r="L40" i="12" s="1"/>
  <c r="J39" i="12"/>
  <c r="I39" i="12"/>
  <c r="K39" i="12" s="1"/>
  <c r="L39" i="12" s="1"/>
  <c r="J38" i="12"/>
  <c r="I38" i="12"/>
  <c r="K38" i="12" s="1"/>
  <c r="J37" i="12"/>
  <c r="I37" i="12"/>
  <c r="K37" i="12" s="1"/>
  <c r="J36" i="12"/>
  <c r="I36" i="12"/>
  <c r="K36" i="12" s="1"/>
  <c r="L36" i="12" s="1"/>
  <c r="J35" i="12"/>
  <c r="I35" i="12"/>
  <c r="K35" i="12" s="1"/>
  <c r="J34" i="12"/>
  <c r="I34" i="12"/>
  <c r="K34" i="12" s="1"/>
  <c r="L34" i="12" s="1"/>
  <c r="J33" i="12"/>
  <c r="I33" i="12"/>
  <c r="K33" i="12" s="1"/>
  <c r="J32" i="12"/>
  <c r="I32" i="12"/>
  <c r="K32" i="12" s="1"/>
  <c r="L32" i="12" s="1"/>
  <c r="J31" i="12"/>
  <c r="I31" i="12"/>
  <c r="K31" i="12" s="1"/>
  <c r="J30" i="12"/>
  <c r="I30" i="12"/>
  <c r="K30" i="12" s="1"/>
  <c r="L30" i="12" s="1"/>
  <c r="J29" i="12"/>
  <c r="I29" i="12"/>
  <c r="K29" i="12" s="1"/>
  <c r="J28" i="12"/>
  <c r="I28" i="12"/>
  <c r="K28" i="12" s="1"/>
  <c r="J27" i="12"/>
  <c r="I27" i="12"/>
  <c r="K27" i="12" s="1"/>
  <c r="J26" i="12"/>
  <c r="I26" i="12"/>
  <c r="K26" i="12" s="1"/>
  <c r="J25" i="12"/>
  <c r="I25" i="12"/>
  <c r="K25" i="12" s="1"/>
  <c r="J24" i="12"/>
  <c r="I24" i="12"/>
  <c r="K24" i="12" s="1"/>
  <c r="L24" i="12" s="1"/>
  <c r="J23" i="12"/>
  <c r="I23" i="12"/>
  <c r="K23" i="12" s="1"/>
  <c r="J22" i="12"/>
  <c r="I22" i="12"/>
  <c r="K22" i="12" s="1"/>
  <c r="L22" i="12" s="1"/>
  <c r="J21" i="12"/>
  <c r="I21" i="12"/>
  <c r="K21" i="12" s="1"/>
  <c r="J20" i="12"/>
  <c r="I20" i="12"/>
  <c r="K20" i="12" s="1"/>
  <c r="J19" i="12"/>
  <c r="I19" i="12"/>
  <c r="K19" i="12" s="1"/>
  <c r="J18" i="12"/>
  <c r="I18" i="12"/>
  <c r="K18" i="12" s="1"/>
  <c r="J17" i="12"/>
  <c r="I17" i="12"/>
  <c r="K17" i="12" s="1"/>
  <c r="J16" i="12"/>
  <c r="I16" i="12"/>
  <c r="K16" i="12" s="1"/>
  <c r="L16" i="12" s="1"/>
  <c r="J15" i="12"/>
  <c r="I15" i="12"/>
  <c r="K15" i="12" s="1"/>
  <c r="J14" i="12"/>
  <c r="I14" i="12"/>
  <c r="K14" i="12" s="1"/>
  <c r="L14" i="12" s="1"/>
  <c r="J13" i="12"/>
  <c r="I13" i="12"/>
  <c r="K13" i="12" s="1"/>
  <c r="J12" i="12"/>
  <c r="I12" i="12"/>
  <c r="K12" i="12" s="1"/>
  <c r="J11" i="12"/>
  <c r="I11" i="12"/>
  <c r="K11" i="12" s="1"/>
  <c r="J10" i="12"/>
  <c r="I10" i="12"/>
  <c r="K10" i="12" s="1"/>
  <c r="J9" i="12"/>
  <c r="I9" i="12"/>
  <c r="K9" i="12" s="1"/>
  <c r="J8" i="12"/>
  <c r="I8" i="12"/>
  <c r="K8" i="12" s="1"/>
  <c r="L8" i="12" s="1"/>
  <c r="J7" i="12"/>
  <c r="I7" i="12"/>
  <c r="K7" i="12" s="1"/>
  <c r="J6" i="12"/>
  <c r="I6" i="12"/>
  <c r="K6" i="12" s="1"/>
  <c r="L6" i="12" s="1"/>
  <c r="J5" i="12"/>
  <c r="I5" i="12"/>
  <c r="K5" i="12" s="1"/>
  <c r="J4" i="12"/>
  <c r="I4" i="12"/>
  <c r="K4" i="12" s="1"/>
  <c r="L4" i="12" s="1"/>
  <c r="J3" i="12"/>
  <c r="I3" i="12"/>
  <c r="K3" i="12" s="1"/>
  <c r="L3" i="12" s="1"/>
  <c r="J2" i="12"/>
  <c r="I2" i="12"/>
  <c r="K2" i="12" s="1"/>
  <c r="L2" i="12" s="1"/>
  <c r="V98" i="11"/>
  <c r="J315" i="11"/>
  <c r="I315" i="11"/>
  <c r="K315" i="11" s="1"/>
  <c r="J314" i="11"/>
  <c r="I314" i="11"/>
  <c r="K314" i="11" s="1"/>
  <c r="L314" i="11" s="1"/>
  <c r="J313" i="11"/>
  <c r="I313" i="11"/>
  <c r="K313" i="11" s="1"/>
  <c r="J312" i="11"/>
  <c r="I312" i="11"/>
  <c r="K312" i="11" s="1"/>
  <c r="J311" i="11"/>
  <c r="I311" i="11"/>
  <c r="K311" i="11" s="1"/>
  <c r="J310" i="11"/>
  <c r="I310" i="11"/>
  <c r="K310" i="11" s="1"/>
  <c r="J309" i="11"/>
  <c r="I309" i="11"/>
  <c r="K309" i="11" s="1"/>
  <c r="J308" i="11"/>
  <c r="I308" i="11"/>
  <c r="K308" i="11" s="1"/>
  <c r="J307" i="11"/>
  <c r="I307" i="11"/>
  <c r="K307" i="11" s="1"/>
  <c r="L307" i="11" s="1"/>
  <c r="V89" i="11" s="1"/>
  <c r="J306" i="11"/>
  <c r="I306" i="11"/>
  <c r="K306" i="11" s="1"/>
  <c r="J305" i="11"/>
  <c r="I305" i="11"/>
  <c r="K305" i="11" s="1"/>
  <c r="L305" i="11" s="1"/>
  <c r="V87" i="11" s="1"/>
  <c r="J304" i="11"/>
  <c r="I304" i="11"/>
  <c r="K304" i="11" s="1"/>
  <c r="J303" i="11"/>
  <c r="I303" i="11"/>
  <c r="K303" i="11" s="1"/>
  <c r="L303" i="11" s="1"/>
  <c r="J302" i="11"/>
  <c r="I302" i="11"/>
  <c r="K302" i="11" s="1"/>
  <c r="J301" i="11"/>
  <c r="I301" i="11"/>
  <c r="K301" i="11" s="1"/>
  <c r="L301" i="11" s="1"/>
  <c r="J300" i="11"/>
  <c r="I300" i="11"/>
  <c r="K300" i="11" s="1"/>
  <c r="J299" i="11"/>
  <c r="I299" i="11"/>
  <c r="K299" i="11" s="1"/>
  <c r="L299" i="11" s="1"/>
  <c r="J298" i="11"/>
  <c r="I298" i="11"/>
  <c r="K298" i="11" s="1"/>
  <c r="J297" i="11"/>
  <c r="I297" i="11"/>
  <c r="K297" i="11" s="1"/>
  <c r="L297" i="11" s="1"/>
  <c r="J296" i="11"/>
  <c r="I296" i="11"/>
  <c r="K296" i="11" s="1"/>
  <c r="J295" i="11"/>
  <c r="I295" i="11"/>
  <c r="K295" i="11" s="1"/>
  <c r="L295" i="11" s="1"/>
  <c r="J294" i="11"/>
  <c r="I294" i="11"/>
  <c r="K294" i="11" s="1"/>
  <c r="J293" i="11"/>
  <c r="I293" i="11"/>
  <c r="K293" i="11" s="1"/>
  <c r="J292" i="11"/>
  <c r="I292" i="11"/>
  <c r="K292" i="11" s="1"/>
  <c r="J291" i="11"/>
  <c r="I291" i="11"/>
  <c r="K291" i="11" s="1"/>
  <c r="L291" i="11" s="1"/>
  <c r="J290" i="11"/>
  <c r="I290" i="11"/>
  <c r="K290" i="11" s="1"/>
  <c r="J289" i="11"/>
  <c r="I289" i="11"/>
  <c r="K289" i="11" s="1"/>
  <c r="L289" i="11" s="1"/>
  <c r="J288" i="11"/>
  <c r="I288" i="11"/>
  <c r="K288" i="11" s="1"/>
  <c r="J287" i="11"/>
  <c r="I287" i="11"/>
  <c r="K287" i="11" s="1"/>
  <c r="L287" i="11" s="1"/>
  <c r="J286" i="11"/>
  <c r="I286" i="11"/>
  <c r="K286" i="11" s="1"/>
  <c r="J285" i="11"/>
  <c r="I285" i="11"/>
  <c r="K285" i="11" s="1"/>
  <c r="L285" i="11" s="1"/>
  <c r="J284" i="11"/>
  <c r="I284" i="11"/>
  <c r="K284" i="11" s="1"/>
  <c r="J283" i="11"/>
  <c r="I283" i="11"/>
  <c r="K283" i="11" s="1"/>
  <c r="L283" i="11" s="1"/>
  <c r="J282" i="11"/>
  <c r="I282" i="11"/>
  <c r="K282" i="11" s="1"/>
  <c r="J281" i="11"/>
  <c r="I281" i="11"/>
  <c r="K281" i="11" s="1"/>
  <c r="J280" i="11"/>
  <c r="I280" i="11"/>
  <c r="K280" i="11" s="1"/>
  <c r="J279" i="11"/>
  <c r="I279" i="11"/>
  <c r="K279" i="11" s="1"/>
  <c r="J278" i="11"/>
  <c r="I278" i="11"/>
  <c r="K278" i="11" s="1"/>
  <c r="J277" i="11"/>
  <c r="I277" i="11"/>
  <c r="K277" i="11" s="1"/>
  <c r="J276" i="11"/>
  <c r="I276" i="11"/>
  <c r="K276" i="11" s="1"/>
  <c r="J275" i="11"/>
  <c r="I275" i="11"/>
  <c r="K275" i="11" s="1"/>
  <c r="L275" i="11" s="1"/>
  <c r="J274" i="11"/>
  <c r="I274" i="11"/>
  <c r="K274" i="11" s="1"/>
  <c r="L274" i="11" s="1"/>
  <c r="J273" i="11"/>
  <c r="I273" i="11"/>
  <c r="K273" i="11" s="1"/>
  <c r="J272" i="11"/>
  <c r="I272" i="11"/>
  <c r="K272" i="11" s="1"/>
  <c r="J271" i="11"/>
  <c r="I271" i="11"/>
  <c r="K271" i="11" s="1"/>
  <c r="J270" i="11"/>
  <c r="I270" i="11"/>
  <c r="K270" i="11" s="1"/>
  <c r="L270" i="11" s="1"/>
  <c r="J269" i="11"/>
  <c r="I269" i="11"/>
  <c r="K269" i="11" s="1"/>
  <c r="J268" i="11"/>
  <c r="I268" i="11"/>
  <c r="K268" i="11" s="1"/>
  <c r="J267" i="11"/>
  <c r="I267" i="11"/>
  <c r="K267" i="11" s="1"/>
  <c r="L267" i="11" s="1"/>
  <c r="J266" i="11"/>
  <c r="I266" i="11"/>
  <c r="K266" i="11" s="1"/>
  <c r="L266" i="11" s="1"/>
  <c r="J265" i="11"/>
  <c r="I265" i="11"/>
  <c r="K265" i="11" s="1"/>
  <c r="J264" i="11"/>
  <c r="I264" i="11"/>
  <c r="K264" i="11" s="1"/>
  <c r="J263" i="11"/>
  <c r="I263" i="11"/>
  <c r="K263" i="11" s="1"/>
  <c r="L263" i="11" s="1"/>
  <c r="J262" i="11"/>
  <c r="I262" i="11"/>
  <c r="K262" i="11" s="1"/>
  <c r="L262" i="11" s="1"/>
  <c r="J261" i="11"/>
  <c r="I261" i="11"/>
  <c r="K261" i="11" s="1"/>
  <c r="J260" i="11"/>
  <c r="I260" i="11"/>
  <c r="K260" i="11" s="1"/>
  <c r="J259" i="11"/>
  <c r="I259" i="11"/>
  <c r="K259" i="11" s="1"/>
  <c r="L259" i="11" s="1"/>
  <c r="J258" i="11"/>
  <c r="I258" i="11"/>
  <c r="K258" i="11" s="1"/>
  <c r="J257" i="11"/>
  <c r="I257" i="11"/>
  <c r="K257" i="11" s="1"/>
  <c r="J256" i="11"/>
  <c r="I256" i="11"/>
  <c r="K256" i="11" s="1"/>
  <c r="J255" i="11"/>
  <c r="I255" i="11"/>
  <c r="K255" i="11" s="1"/>
  <c r="L255" i="11" s="1"/>
  <c r="J254" i="11"/>
  <c r="I254" i="11"/>
  <c r="K254" i="11" s="1"/>
  <c r="L254" i="11" s="1"/>
  <c r="J253" i="11"/>
  <c r="I253" i="11"/>
  <c r="K253" i="11" s="1"/>
  <c r="J252" i="11"/>
  <c r="I252" i="11"/>
  <c r="K252" i="11" s="1"/>
  <c r="J251" i="11"/>
  <c r="I251" i="11"/>
  <c r="K251" i="11" s="1"/>
  <c r="J250" i="11"/>
  <c r="I250" i="11"/>
  <c r="K250" i="11" s="1"/>
  <c r="J249" i="11"/>
  <c r="I249" i="11"/>
  <c r="K249" i="11" s="1"/>
  <c r="J248" i="11"/>
  <c r="I248" i="11"/>
  <c r="K248" i="11" s="1"/>
  <c r="J247" i="11"/>
  <c r="I247" i="11"/>
  <c r="K247" i="11" s="1"/>
  <c r="L247" i="11" s="1"/>
  <c r="J246" i="11"/>
  <c r="I246" i="11"/>
  <c r="K246" i="11" s="1"/>
  <c r="L246" i="11" s="1"/>
  <c r="J245" i="11"/>
  <c r="I245" i="11"/>
  <c r="K245" i="11" s="1"/>
  <c r="L245" i="11" s="1"/>
  <c r="J244" i="11"/>
  <c r="I244" i="11"/>
  <c r="K244" i="11" s="1"/>
  <c r="J243" i="11"/>
  <c r="I243" i="11"/>
  <c r="K243" i="11" s="1"/>
  <c r="L243" i="11" s="1"/>
  <c r="J242" i="11"/>
  <c r="I242" i="11"/>
  <c r="K242" i="11" s="1"/>
  <c r="L242" i="11" s="1"/>
  <c r="J241" i="11"/>
  <c r="I241" i="11"/>
  <c r="K241" i="11" s="1"/>
  <c r="L241" i="11" s="1"/>
  <c r="J240" i="11"/>
  <c r="I240" i="11"/>
  <c r="K240" i="11" s="1"/>
  <c r="J239" i="11"/>
  <c r="I239" i="11"/>
  <c r="K239" i="11" s="1"/>
  <c r="L239" i="11" s="1"/>
  <c r="J238" i="11"/>
  <c r="I238" i="11"/>
  <c r="K238" i="11" s="1"/>
  <c r="L238" i="11" s="1"/>
  <c r="J237" i="11"/>
  <c r="I237" i="11"/>
  <c r="K237" i="11" s="1"/>
  <c r="L237" i="11" s="1"/>
  <c r="J236" i="11"/>
  <c r="I236" i="11"/>
  <c r="K236" i="11" s="1"/>
  <c r="J235" i="11"/>
  <c r="I235" i="11"/>
  <c r="K235" i="11" s="1"/>
  <c r="L235" i="11" s="1"/>
  <c r="J234" i="11"/>
  <c r="I234" i="11"/>
  <c r="K234" i="11" s="1"/>
  <c r="L234" i="11" s="1"/>
  <c r="J233" i="11"/>
  <c r="I233" i="11"/>
  <c r="K233" i="11" s="1"/>
  <c r="J232" i="11"/>
  <c r="I232" i="11"/>
  <c r="K232" i="11" s="1"/>
  <c r="J231" i="11"/>
  <c r="I231" i="11"/>
  <c r="K231" i="11" s="1"/>
  <c r="L231" i="11" s="1"/>
  <c r="J230" i="11"/>
  <c r="I230" i="11"/>
  <c r="K230" i="11" s="1"/>
  <c r="L230" i="11" s="1"/>
  <c r="J229" i="11"/>
  <c r="I229" i="11"/>
  <c r="K229" i="11" s="1"/>
  <c r="J228" i="11"/>
  <c r="I228" i="11"/>
  <c r="K228" i="11" s="1"/>
  <c r="J227" i="11"/>
  <c r="I227" i="11"/>
  <c r="K227" i="11" s="1"/>
  <c r="L227" i="11" s="1"/>
  <c r="J226" i="11"/>
  <c r="I226" i="11"/>
  <c r="K226" i="11" s="1"/>
  <c r="J225" i="11"/>
  <c r="I225" i="11"/>
  <c r="K225" i="11" s="1"/>
  <c r="L225" i="11" s="1"/>
  <c r="J224" i="11"/>
  <c r="I224" i="11"/>
  <c r="K224" i="11" s="1"/>
  <c r="J223" i="11"/>
  <c r="I223" i="11"/>
  <c r="K223" i="11" s="1"/>
  <c r="L223" i="11" s="1"/>
  <c r="J222" i="11"/>
  <c r="I222" i="11"/>
  <c r="K222" i="11" s="1"/>
  <c r="L222" i="11" s="1"/>
  <c r="J221" i="11"/>
  <c r="I221" i="11"/>
  <c r="K221" i="11" s="1"/>
  <c r="L221" i="11" s="1"/>
  <c r="J220" i="11"/>
  <c r="I220" i="11"/>
  <c r="K220" i="11" s="1"/>
  <c r="J219" i="11"/>
  <c r="I219" i="11"/>
  <c r="K219" i="11" s="1"/>
  <c r="J218" i="11"/>
  <c r="I218" i="11"/>
  <c r="K218" i="11" s="1"/>
  <c r="J217" i="11"/>
  <c r="I217" i="11"/>
  <c r="K217" i="11" s="1"/>
  <c r="J216" i="11"/>
  <c r="I216" i="11"/>
  <c r="K216" i="11" s="1"/>
  <c r="J215" i="11"/>
  <c r="I215" i="11"/>
  <c r="K215" i="11" s="1"/>
  <c r="L215" i="11" s="1"/>
  <c r="J214" i="11"/>
  <c r="I214" i="11"/>
  <c r="K214" i="11" s="1"/>
  <c r="J213" i="11"/>
  <c r="I213" i="11"/>
  <c r="K213" i="11" s="1"/>
  <c r="J212" i="11"/>
  <c r="I212" i="11"/>
  <c r="K212" i="11" s="1"/>
  <c r="J211" i="11"/>
  <c r="I211" i="11"/>
  <c r="K211" i="11" s="1"/>
  <c r="L211" i="11" s="1"/>
  <c r="J210" i="11"/>
  <c r="I210" i="11"/>
  <c r="K210" i="11" s="1"/>
  <c r="J209" i="11"/>
  <c r="I209" i="11"/>
  <c r="K209" i="11" s="1"/>
  <c r="J208" i="11"/>
  <c r="I208" i="11"/>
  <c r="K208" i="11" s="1"/>
  <c r="J207" i="11"/>
  <c r="I207" i="11"/>
  <c r="K207" i="11" s="1"/>
  <c r="L207" i="11" s="1"/>
  <c r="J206" i="11"/>
  <c r="I206" i="11"/>
  <c r="K206" i="11" s="1"/>
  <c r="J205" i="11"/>
  <c r="I205" i="11"/>
  <c r="K205" i="11" s="1"/>
  <c r="L205" i="11" s="1"/>
  <c r="J204" i="11"/>
  <c r="I204" i="11"/>
  <c r="K204" i="11" s="1"/>
  <c r="J203" i="11"/>
  <c r="I203" i="11"/>
  <c r="K203" i="11" s="1"/>
  <c r="L203" i="11" s="1"/>
  <c r="J202" i="11"/>
  <c r="I202" i="11"/>
  <c r="K202" i="11" s="1"/>
  <c r="J201" i="11"/>
  <c r="I201" i="11"/>
  <c r="K201" i="11" s="1"/>
  <c r="J200" i="11"/>
  <c r="I200" i="11"/>
  <c r="K200" i="11" s="1"/>
  <c r="J199" i="11"/>
  <c r="I199" i="11"/>
  <c r="K199" i="11" s="1"/>
  <c r="L199" i="11" s="1"/>
  <c r="J198" i="11"/>
  <c r="I198" i="11"/>
  <c r="K198" i="11" s="1"/>
  <c r="J197" i="11"/>
  <c r="I197" i="11"/>
  <c r="K197" i="11" s="1"/>
  <c r="L197" i="11" s="1"/>
  <c r="J196" i="11"/>
  <c r="I196" i="11"/>
  <c r="K196" i="11" s="1"/>
  <c r="J195" i="11"/>
  <c r="I195" i="11"/>
  <c r="K195" i="11" s="1"/>
  <c r="L195" i="11" s="1"/>
  <c r="J194" i="11"/>
  <c r="I194" i="11"/>
  <c r="K194" i="11" s="1"/>
  <c r="J193" i="11"/>
  <c r="I193" i="11"/>
  <c r="K193" i="11" s="1"/>
  <c r="L193" i="11" s="1"/>
  <c r="J192" i="11"/>
  <c r="I192" i="11"/>
  <c r="K192" i="11" s="1"/>
  <c r="J191" i="11"/>
  <c r="I191" i="11"/>
  <c r="K191" i="11" s="1"/>
  <c r="J190" i="11"/>
  <c r="I190" i="11"/>
  <c r="K190" i="11" s="1"/>
  <c r="J189" i="11"/>
  <c r="I189" i="11"/>
  <c r="K189" i="11" s="1"/>
  <c r="J188" i="11"/>
  <c r="I188" i="11"/>
  <c r="K188" i="11" s="1"/>
  <c r="J187" i="11"/>
  <c r="I187" i="11"/>
  <c r="K187" i="11" s="1"/>
  <c r="L187" i="11" s="1"/>
  <c r="J186" i="11"/>
  <c r="I186" i="11"/>
  <c r="K186" i="11" s="1"/>
  <c r="J185" i="11"/>
  <c r="I185" i="11"/>
  <c r="K185" i="11" s="1"/>
  <c r="L185" i="11" s="1"/>
  <c r="J184" i="11"/>
  <c r="I184" i="11"/>
  <c r="K184" i="11" s="1"/>
  <c r="J183" i="11"/>
  <c r="I183" i="11"/>
  <c r="K183" i="11" s="1"/>
  <c r="L183" i="11" s="1"/>
  <c r="J182" i="11"/>
  <c r="I182" i="11"/>
  <c r="K182" i="11" s="1"/>
  <c r="J181" i="11"/>
  <c r="I181" i="11"/>
  <c r="K181" i="11" s="1"/>
  <c r="L181" i="11" s="1"/>
  <c r="J180" i="11"/>
  <c r="I180" i="11"/>
  <c r="K180" i="11" s="1"/>
  <c r="J179" i="11"/>
  <c r="I179" i="11"/>
  <c r="K179" i="11" s="1"/>
  <c r="L179" i="11" s="1"/>
  <c r="J178" i="11"/>
  <c r="I178" i="11"/>
  <c r="K178" i="11" s="1"/>
  <c r="J177" i="11"/>
  <c r="I177" i="11"/>
  <c r="K177" i="11" s="1"/>
  <c r="L177" i="11" s="1"/>
  <c r="J176" i="11"/>
  <c r="I176" i="11"/>
  <c r="K176" i="11" s="1"/>
  <c r="J175" i="11"/>
  <c r="I175" i="11"/>
  <c r="K175" i="11" s="1"/>
  <c r="L175" i="11" s="1"/>
  <c r="J174" i="11"/>
  <c r="I174" i="11"/>
  <c r="K174" i="11" s="1"/>
  <c r="J173" i="11"/>
  <c r="I173" i="11"/>
  <c r="K173" i="11" s="1"/>
  <c r="J172" i="11"/>
  <c r="I172" i="11"/>
  <c r="K172" i="11" s="1"/>
  <c r="J171" i="11"/>
  <c r="I171" i="11"/>
  <c r="K171" i="11" s="1"/>
  <c r="L171" i="11" s="1"/>
  <c r="J170" i="11"/>
  <c r="I170" i="11"/>
  <c r="K170" i="11" s="1"/>
  <c r="J169" i="11"/>
  <c r="I169" i="11"/>
  <c r="K169" i="11" s="1"/>
  <c r="L169" i="11" s="1"/>
  <c r="J168" i="11"/>
  <c r="I168" i="11"/>
  <c r="K168" i="11" s="1"/>
  <c r="J167" i="11"/>
  <c r="I167" i="11"/>
  <c r="K167" i="11" s="1"/>
  <c r="L167" i="11" s="1"/>
  <c r="J166" i="11"/>
  <c r="I166" i="11"/>
  <c r="K166" i="11" s="1"/>
  <c r="J165" i="11"/>
  <c r="I165" i="11"/>
  <c r="K165" i="11" s="1"/>
  <c r="L165" i="11" s="1"/>
  <c r="J164" i="11"/>
  <c r="I164" i="11"/>
  <c r="K164" i="11" s="1"/>
  <c r="J163" i="11"/>
  <c r="I163" i="11"/>
  <c r="K163" i="11" s="1"/>
  <c r="L163" i="11" s="1"/>
  <c r="J162" i="11"/>
  <c r="I162" i="11"/>
  <c r="K162" i="11" s="1"/>
  <c r="J161" i="11"/>
  <c r="I161" i="11"/>
  <c r="K161" i="11" s="1"/>
  <c r="L161" i="11" s="1"/>
  <c r="J160" i="11"/>
  <c r="I160" i="11"/>
  <c r="K160" i="11" s="1"/>
  <c r="J159" i="11"/>
  <c r="I159" i="11"/>
  <c r="K159" i="11" s="1"/>
  <c r="J158" i="11"/>
  <c r="I158" i="11"/>
  <c r="K158" i="11" s="1"/>
  <c r="J157" i="11"/>
  <c r="I157" i="11"/>
  <c r="K157" i="11" s="1"/>
  <c r="J156" i="11"/>
  <c r="I156" i="11"/>
  <c r="K156" i="11" s="1"/>
  <c r="J155" i="11"/>
  <c r="I155" i="11"/>
  <c r="K155" i="11" s="1"/>
  <c r="L155" i="11" s="1"/>
  <c r="J154" i="11"/>
  <c r="I154" i="11"/>
  <c r="K154" i="11" s="1"/>
  <c r="J153" i="11"/>
  <c r="I153" i="11"/>
  <c r="K153" i="11" s="1"/>
  <c r="L153" i="11" s="1"/>
  <c r="J152" i="11"/>
  <c r="I152" i="11"/>
  <c r="K152" i="11" s="1"/>
  <c r="J151" i="11"/>
  <c r="I151" i="11"/>
  <c r="K151" i="11" s="1"/>
  <c r="L151" i="11" s="1"/>
  <c r="J150" i="11"/>
  <c r="I150" i="11"/>
  <c r="K150" i="11" s="1"/>
  <c r="J149" i="11"/>
  <c r="I149" i="11"/>
  <c r="K149" i="11" s="1"/>
  <c r="J148" i="11"/>
  <c r="I148" i="11"/>
  <c r="K148" i="11" s="1"/>
  <c r="J147" i="11"/>
  <c r="I147" i="11"/>
  <c r="K147" i="11" s="1"/>
  <c r="L147" i="11" s="1"/>
  <c r="J146" i="11"/>
  <c r="I146" i="11"/>
  <c r="K146" i="11" s="1"/>
  <c r="J145" i="11"/>
  <c r="I145" i="11"/>
  <c r="K145" i="11" s="1"/>
  <c r="L145" i="11" s="1"/>
  <c r="J144" i="11"/>
  <c r="I144" i="11"/>
  <c r="K144" i="11" s="1"/>
  <c r="J143" i="11"/>
  <c r="I143" i="11"/>
  <c r="K143" i="11" s="1"/>
  <c r="J142" i="11"/>
  <c r="I142" i="11"/>
  <c r="K142" i="11" s="1"/>
  <c r="J141" i="11"/>
  <c r="I141" i="11"/>
  <c r="K141" i="11" s="1"/>
  <c r="J140" i="11"/>
  <c r="I140" i="11"/>
  <c r="K140" i="11" s="1"/>
  <c r="J139" i="11"/>
  <c r="I139" i="11"/>
  <c r="K139" i="11" s="1"/>
  <c r="J138" i="11"/>
  <c r="I138" i="11"/>
  <c r="K138" i="11" s="1"/>
  <c r="J137" i="11"/>
  <c r="I137" i="11"/>
  <c r="K137" i="11" s="1"/>
  <c r="L137" i="11" s="1"/>
  <c r="J136" i="11"/>
  <c r="I136" i="11"/>
  <c r="K136" i="11" s="1"/>
  <c r="J135" i="11"/>
  <c r="I135" i="11"/>
  <c r="K135" i="11" s="1"/>
  <c r="J134" i="11"/>
  <c r="I134" i="11"/>
  <c r="K134" i="11" s="1"/>
  <c r="L134" i="11" s="1"/>
  <c r="J133" i="11"/>
  <c r="I133" i="11"/>
  <c r="K133" i="11" s="1"/>
  <c r="L133" i="11" s="1"/>
  <c r="J132" i="11"/>
  <c r="I132" i="11"/>
  <c r="K132" i="11" s="1"/>
  <c r="J131" i="11"/>
  <c r="I131" i="11"/>
  <c r="K131" i="11" s="1"/>
  <c r="J130" i="11"/>
  <c r="I130" i="11"/>
  <c r="K130" i="11" s="1"/>
  <c r="J129" i="11"/>
  <c r="I129" i="11"/>
  <c r="K129" i="11" s="1"/>
  <c r="J128" i="11"/>
  <c r="I128" i="11"/>
  <c r="K128" i="11" s="1"/>
  <c r="J127" i="11"/>
  <c r="I127" i="11"/>
  <c r="K127" i="11" s="1"/>
  <c r="J126" i="11"/>
  <c r="I126" i="11"/>
  <c r="K126" i="11" s="1"/>
  <c r="J125" i="11"/>
  <c r="I125" i="11"/>
  <c r="K125" i="11" s="1"/>
  <c r="J124" i="11"/>
  <c r="I124" i="11"/>
  <c r="K124" i="11" s="1"/>
  <c r="J123" i="11"/>
  <c r="I123" i="11"/>
  <c r="K123" i="11" s="1"/>
  <c r="J122" i="11"/>
  <c r="I122" i="11"/>
  <c r="K122" i="11" s="1"/>
  <c r="J121" i="11"/>
  <c r="I121" i="11"/>
  <c r="K121" i="11" s="1"/>
  <c r="L121" i="11" s="1"/>
  <c r="J120" i="11"/>
  <c r="I120" i="11"/>
  <c r="K120" i="11" s="1"/>
  <c r="J119" i="11"/>
  <c r="I119" i="11"/>
  <c r="K119" i="11" s="1"/>
  <c r="J118" i="11"/>
  <c r="I118" i="11"/>
  <c r="K118" i="11" s="1"/>
  <c r="J117" i="11"/>
  <c r="I117" i="11"/>
  <c r="K117" i="11" s="1"/>
  <c r="L117" i="11" s="1"/>
  <c r="J116" i="11"/>
  <c r="I116" i="11"/>
  <c r="K116" i="11" s="1"/>
  <c r="J115" i="11"/>
  <c r="I115" i="11"/>
  <c r="K115" i="11" s="1"/>
  <c r="J114" i="11"/>
  <c r="I114" i="11"/>
  <c r="K114" i="11" s="1"/>
  <c r="J113" i="11"/>
  <c r="I113" i="11"/>
  <c r="K113" i="11" s="1"/>
  <c r="J112" i="11"/>
  <c r="I112" i="11"/>
  <c r="K112" i="11" s="1"/>
  <c r="J111" i="11"/>
  <c r="I111" i="11"/>
  <c r="K111" i="11" s="1"/>
  <c r="J110" i="11"/>
  <c r="I110" i="11"/>
  <c r="K110" i="11" s="1"/>
  <c r="J109" i="11"/>
  <c r="I109" i="11"/>
  <c r="K109" i="11" s="1"/>
  <c r="L109" i="11" s="1"/>
  <c r="J108" i="11"/>
  <c r="I108" i="11"/>
  <c r="K108" i="11" s="1"/>
  <c r="J107" i="11"/>
  <c r="I107" i="11"/>
  <c r="K107" i="11" s="1"/>
  <c r="J106" i="11"/>
  <c r="I106" i="11"/>
  <c r="K106" i="11" s="1"/>
  <c r="J105" i="11"/>
  <c r="I105" i="11"/>
  <c r="K105" i="11" s="1"/>
  <c r="L105" i="11" s="1"/>
  <c r="J104" i="11"/>
  <c r="I104" i="11"/>
  <c r="K104" i="11" s="1"/>
  <c r="J103" i="11"/>
  <c r="I103" i="11"/>
  <c r="K103" i="11" s="1"/>
  <c r="V102" i="11"/>
  <c r="J102" i="11"/>
  <c r="I102" i="11"/>
  <c r="K102" i="11" s="1"/>
  <c r="J101" i="11"/>
  <c r="I101" i="11"/>
  <c r="K101" i="11" s="1"/>
  <c r="J100" i="11"/>
  <c r="I100" i="11"/>
  <c r="K100" i="11" s="1"/>
  <c r="J99" i="11"/>
  <c r="I99" i="11"/>
  <c r="K99" i="11" s="1"/>
  <c r="J98" i="11"/>
  <c r="I98" i="11"/>
  <c r="K98" i="11" s="1"/>
  <c r="J97" i="11"/>
  <c r="I97" i="11"/>
  <c r="K97" i="11" s="1"/>
  <c r="J96" i="11"/>
  <c r="I96" i="11"/>
  <c r="K96" i="11" s="1"/>
  <c r="J95" i="11"/>
  <c r="I95" i="11"/>
  <c r="K95" i="11" s="1"/>
  <c r="J94" i="11"/>
  <c r="I94" i="11"/>
  <c r="K94" i="11" s="1"/>
  <c r="J93" i="11"/>
  <c r="I93" i="11"/>
  <c r="K93" i="11" s="1"/>
  <c r="J92" i="11"/>
  <c r="I92" i="11"/>
  <c r="K92" i="11" s="1"/>
  <c r="J91" i="11"/>
  <c r="I91" i="11"/>
  <c r="K91" i="11" s="1"/>
  <c r="J90" i="11"/>
  <c r="I90" i="11"/>
  <c r="K90" i="11" s="1"/>
  <c r="J89" i="11"/>
  <c r="I89" i="11"/>
  <c r="K89" i="11" s="1"/>
  <c r="J88" i="11"/>
  <c r="I88" i="11"/>
  <c r="K88" i="11" s="1"/>
  <c r="J87" i="11"/>
  <c r="I87" i="11"/>
  <c r="K87" i="11" s="1"/>
  <c r="J86" i="11"/>
  <c r="I86" i="11"/>
  <c r="K86" i="11" s="1"/>
  <c r="J85" i="11"/>
  <c r="I85" i="11"/>
  <c r="K85" i="11" s="1"/>
  <c r="J84" i="11"/>
  <c r="I84" i="11"/>
  <c r="K84" i="11" s="1"/>
  <c r="J83" i="11"/>
  <c r="I83" i="11"/>
  <c r="K83" i="11" s="1"/>
  <c r="J82" i="11"/>
  <c r="I82" i="11"/>
  <c r="K82" i="11" s="1"/>
  <c r="J81" i="11"/>
  <c r="I81" i="11"/>
  <c r="K81" i="11" s="1"/>
  <c r="J80" i="11"/>
  <c r="I80" i="11"/>
  <c r="K80" i="11" s="1"/>
  <c r="J79" i="11"/>
  <c r="I79" i="11"/>
  <c r="K79" i="11" s="1"/>
  <c r="J78" i="11"/>
  <c r="I78" i="11"/>
  <c r="K78" i="11" s="1"/>
  <c r="K77" i="11"/>
  <c r="J77" i="11"/>
  <c r="I77" i="11"/>
  <c r="J76" i="11"/>
  <c r="I76" i="11"/>
  <c r="K76" i="11" s="1"/>
  <c r="J75" i="11"/>
  <c r="I75" i="11"/>
  <c r="K75" i="11" s="1"/>
  <c r="J74" i="11"/>
  <c r="I74" i="11"/>
  <c r="K74" i="11" s="1"/>
  <c r="J73" i="11"/>
  <c r="I73" i="11"/>
  <c r="K73" i="11" s="1"/>
  <c r="J72" i="11"/>
  <c r="I72" i="11"/>
  <c r="K72" i="11" s="1"/>
  <c r="L72" i="11" s="1"/>
  <c r="J71" i="11"/>
  <c r="I71" i="11"/>
  <c r="K71" i="11" s="1"/>
  <c r="J70" i="11"/>
  <c r="I70" i="11"/>
  <c r="K70" i="11" s="1"/>
  <c r="L70" i="11" s="1"/>
  <c r="J69" i="11"/>
  <c r="I69" i="11"/>
  <c r="K69" i="11" s="1"/>
  <c r="J68" i="11"/>
  <c r="I68" i="11"/>
  <c r="K68" i="11" s="1"/>
  <c r="J67" i="11"/>
  <c r="I67" i="11"/>
  <c r="K67" i="11" s="1"/>
  <c r="L67" i="11" s="1"/>
  <c r="J66" i="11"/>
  <c r="I66" i="11"/>
  <c r="K66" i="11" s="1"/>
  <c r="J65" i="11"/>
  <c r="I65" i="11"/>
  <c r="K65" i="11" s="1"/>
  <c r="J64" i="11"/>
  <c r="I64" i="11"/>
  <c r="K64" i="11" s="1"/>
  <c r="L64" i="11" s="1"/>
  <c r="J63" i="11"/>
  <c r="I63" i="11"/>
  <c r="K63" i="11" s="1"/>
  <c r="L63" i="11" s="1"/>
  <c r="J62" i="11"/>
  <c r="I62" i="11"/>
  <c r="K62" i="11" s="1"/>
  <c r="J61" i="11"/>
  <c r="I61" i="11"/>
  <c r="K61" i="11" s="1"/>
  <c r="J60" i="11"/>
  <c r="I60" i="11"/>
  <c r="K60" i="11" s="1"/>
  <c r="L60" i="11" s="1"/>
  <c r="J59" i="11"/>
  <c r="I59" i="11"/>
  <c r="K59" i="11" s="1"/>
  <c r="L59" i="11" s="1"/>
  <c r="J58" i="11"/>
  <c r="I58" i="11"/>
  <c r="K58" i="11" s="1"/>
  <c r="J57" i="11"/>
  <c r="I57" i="11"/>
  <c r="K57" i="11" s="1"/>
  <c r="J56" i="11"/>
  <c r="I56" i="11"/>
  <c r="K56" i="11" s="1"/>
  <c r="L56" i="11" s="1"/>
  <c r="J55" i="11"/>
  <c r="I55" i="11"/>
  <c r="K55" i="11" s="1"/>
  <c r="J54" i="11"/>
  <c r="I54" i="11"/>
  <c r="K54" i="11" s="1"/>
  <c r="L54" i="11" s="1"/>
  <c r="J53" i="11"/>
  <c r="I53" i="11"/>
  <c r="K53" i="11" s="1"/>
  <c r="J52" i="11"/>
  <c r="I52" i="11"/>
  <c r="K52" i="11" s="1"/>
  <c r="J51" i="11"/>
  <c r="I51" i="11"/>
  <c r="K51" i="11" s="1"/>
  <c r="L51" i="11" s="1"/>
  <c r="J50" i="11"/>
  <c r="I50" i="11"/>
  <c r="K50" i="11" s="1"/>
  <c r="J49" i="11"/>
  <c r="I49" i="11"/>
  <c r="K49" i="11" s="1"/>
  <c r="J48" i="11"/>
  <c r="I48" i="11"/>
  <c r="K48" i="11" s="1"/>
  <c r="L48" i="11" s="1"/>
  <c r="J47" i="11"/>
  <c r="I47" i="11"/>
  <c r="K47" i="11" s="1"/>
  <c r="L47" i="11" s="1"/>
  <c r="J46" i="11"/>
  <c r="I46" i="11"/>
  <c r="K46" i="11" s="1"/>
  <c r="J45" i="11"/>
  <c r="I45" i="11"/>
  <c r="K45" i="11" s="1"/>
  <c r="J44" i="11"/>
  <c r="I44" i="11"/>
  <c r="K44" i="11" s="1"/>
  <c r="J43" i="11"/>
  <c r="I43" i="11"/>
  <c r="K43" i="11" s="1"/>
  <c r="J42" i="11"/>
  <c r="I42" i="11"/>
  <c r="K42" i="11" s="1"/>
  <c r="J41" i="11"/>
  <c r="I41" i="11"/>
  <c r="K41" i="11" s="1"/>
  <c r="J40" i="11"/>
  <c r="I40" i="11"/>
  <c r="K40" i="11" s="1"/>
  <c r="J39" i="11"/>
  <c r="I39" i="11"/>
  <c r="K39" i="11" s="1"/>
  <c r="L39" i="11" s="1"/>
  <c r="J38" i="11"/>
  <c r="I38" i="11"/>
  <c r="K38" i="11" s="1"/>
  <c r="L38" i="11" s="1"/>
  <c r="J37" i="11"/>
  <c r="I37" i="11"/>
  <c r="K37" i="11" s="1"/>
  <c r="J36" i="11"/>
  <c r="I36" i="11"/>
  <c r="K36" i="11" s="1"/>
  <c r="L36" i="11" s="1"/>
  <c r="J35" i="11"/>
  <c r="I35" i="11"/>
  <c r="K35" i="11" s="1"/>
  <c r="J34" i="11"/>
  <c r="I34" i="11"/>
  <c r="K34" i="11" s="1"/>
  <c r="J33" i="11"/>
  <c r="I33" i="11"/>
  <c r="K33" i="11" s="1"/>
  <c r="J32" i="11"/>
  <c r="I32" i="11"/>
  <c r="K32" i="11" s="1"/>
  <c r="J31" i="11"/>
  <c r="I31" i="11"/>
  <c r="K31" i="11" s="1"/>
  <c r="L31" i="11" s="1"/>
  <c r="J30" i="11"/>
  <c r="I30" i="11"/>
  <c r="K30" i="11" s="1"/>
  <c r="J29" i="11"/>
  <c r="I29" i="11"/>
  <c r="K29" i="11" s="1"/>
  <c r="J28" i="11"/>
  <c r="I28" i="11"/>
  <c r="K28" i="11" s="1"/>
  <c r="J27" i="11"/>
  <c r="I27" i="11"/>
  <c r="K27" i="11" s="1"/>
  <c r="J26" i="11"/>
  <c r="I26" i="11"/>
  <c r="K26" i="11" s="1"/>
  <c r="L26" i="11" s="1"/>
  <c r="J25" i="11"/>
  <c r="I25" i="11"/>
  <c r="K25" i="11" s="1"/>
  <c r="J24" i="11"/>
  <c r="I24" i="11"/>
  <c r="K24" i="11" s="1"/>
  <c r="J23" i="11"/>
  <c r="I23" i="11"/>
  <c r="K23" i="11" s="1"/>
  <c r="L23" i="11" s="1"/>
  <c r="J22" i="11"/>
  <c r="I22" i="11"/>
  <c r="K22" i="11" s="1"/>
  <c r="L22" i="11" s="1"/>
  <c r="J21" i="11"/>
  <c r="I21" i="11"/>
  <c r="K21" i="11" s="1"/>
  <c r="J20" i="11"/>
  <c r="I20" i="11"/>
  <c r="K20" i="11" s="1"/>
  <c r="J19" i="11"/>
  <c r="I19" i="11"/>
  <c r="K19" i="11" s="1"/>
  <c r="L19" i="11" s="1"/>
  <c r="J18" i="11"/>
  <c r="I18" i="11"/>
  <c r="K18" i="11" s="1"/>
  <c r="L18" i="11" s="1"/>
  <c r="J17" i="11"/>
  <c r="I17" i="11"/>
  <c r="K17" i="11" s="1"/>
  <c r="J16" i="11"/>
  <c r="I16" i="11"/>
  <c r="K16" i="11" s="1"/>
  <c r="L16" i="11" s="1"/>
  <c r="J15" i="11"/>
  <c r="I15" i="11"/>
  <c r="K15" i="11" s="1"/>
  <c r="L15" i="11" s="1"/>
  <c r="J14" i="11"/>
  <c r="I14" i="11"/>
  <c r="K14" i="11" s="1"/>
  <c r="J13" i="11"/>
  <c r="I13" i="11"/>
  <c r="K13" i="11" s="1"/>
  <c r="J12" i="11"/>
  <c r="I12" i="11"/>
  <c r="K12" i="11" s="1"/>
  <c r="J11" i="11"/>
  <c r="I11" i="11"/>
  <c r="K11" i="11" s="1"/>
  <c r="J10" i="11"/>
  <c r="I10" i="11"/>
  <c r="K10" i="11" s="1"/>
  <c r="J9" i="11"/>
  <c r="I9" i="11"/>
  <c r="K9" i="11" s="1"/>
  <c r="J8" i="11"/>
  <c r="I8" i="11"/>
  <c r="K8" i="11" s="1"/>
  <c r="J7" i="11"/>
  <c r="I7" i="11"/>
  <c r="K7" i="11" s="1"/>
  <c r="J6" i="11"/>
  <c r="I6" i="11"/>
  <c r="K6" i="11" s="1"/>
  <c r="J5" i="11"/>
  <c r="I5" i="11"/>
  <c r="K5" i="11" s="1"/>
  <c r="J4" i="11"/>
  <c r="I4" i="11"/>
  <c r="K4" i="11" s="1"/>
  <c r="J3" i="11"/>
  <c r="I3" i="11"/>
  <c r="K3" i="11" s="1"/>
  <c r="J2" i="11"/>
  <c r="I2" i="11"/>
  <c r="K2" i="11" s="1"/>
  <c r="L2" i="11" s="1"/>
  <c r="L320" i="12" l="1"/>
  <c r="L317" i="12"/>
  <c r="L142" i="12"/>
  <c r="L146" i="12"/>
  <c r="L158" i="12"/>
  <c r="L181" i="12"/>
  <c r="L185" i="12"/>
  <c r="L51" i="12"/>
  <c r="L155" i="12"/>
  <c r="L182" i="12"/>
  <c r="L92" i="12"/>
  <c r="L100" i="12"/>
  <c r="L104" i="12"/>
  <c r="L163" i="12"/>
  <c r="L167" i="12"/>
  <c r="L171" i="12"/>
  <c r="L175" i="12"/>
  <c r="L179" i="12"/>
  <c r="L194" i="12"/>
  <c r="L234" i="12"/>
  <c r="L242" i="12"/>
  <c r="L246" i="12"/>
  <c r="L258" i="12"/>
  <c r="L262" i="12"/>
  <c r="L266" i="12"/>
  <c r="L274" i="12"/>
  <c r="L278" i="12"/>
  <c r="L282" i="12"/>
  <c r="L290" i="12"/>
  <c r="L294" i="12"/>
  <c r="L298" i="12"/>
  <c r="L319" i="12"/>
  <c r="V101" i="12" s="1"/>
  <c r="L316" i="12"/>
  <c r="L53" i="12"/>
  <c r="L187" i="12"/>
  <c r="L90" i="12"/>
  <c r="L221" i="12"/>
  <c r="L232" i="12"/>
  <c r="L279" i="12"/>
  <c r="L287" i="12"/>
  <c r="L315" i="12"/>
  <c r="L102" i="12"/>
  <c r="L180" i="12"/>
  <c r="L68" i="12"/>
  <c r="V70" i="12" s="1"/>
  <c r="L75" i="12"/>
  <c r="L79" i="12"/>
  <c r="V81" i="12" s="1"/>
  <c r="L83" i="12"/>
  <c r="L87" i="12"/>
  <c r="L118" i="12"/>
  <c r="L122" i="12"/>
  <c r="L126" i="12"/>
  <c r="L130" i="12"/>
  <c r="L137" i="12"/>
  <c r="L198" i="12"/>
  <c r="L210" i="12"/>
  <c r="L214" i="12"/>
  <c r="L218" i="12"/>
  <c r="L226" i="12"/>
  <c r="L233" i="12"/>
  <c r="L284" i="12"/>
  <c r="L288" i="12"/>
  <c r="L292" i="12"/>
  <c r="L296" i="12"/>
  <c r="L5" i="12"/>
  <c r="L9" i="12"/>
  <c r="L13" i="12"/>
  <c r="L17" i="12"/>
  <c r="L21" i="12"/>
  <c r="L25" i="12"/>
  <c r="L29" i="12"/>
  <c r="L33" i="12"/>
  <c r="L45" i="12"/>
  <c r="L95" i="12"/>
  <c r="L103" i="12"/>
  <c r="L134" i="12"/>
  <c r="L164" i="12"/>
  <c r="L168" i="12"/>
  <c r="L176" i="12"/>
  <c r="L230" i="12"/>
  <c r="L237" i="12"/>
  <c r="L245" i="12"/>
  <c r="L253" i="12"/>
  <c r="L269" i="12"/>
  <c r="L300" i="12"/>
  <c r="L304" i="12"/>
  <c r="V86" i="12" s="1"/>
  <c r="L308" i="12"/>
  <c r="V90" i="12" s="1"/>
  <c r="L312" i="12"/>
  <c r="V94" i="12" s="1"/>
  <c r="L7" i="11"/>
  <c r="L90" i="11"/>
  <c r="L102" i="11"/>
  <c r="L4" i="11"/>
  <c r="L79" i="11"/>
  <c r="V81" i="11" s="1"/>
  <c r="L87" i="11"/>
  <c r="L91" i="11"/>
  <c r="L95" i="11"/>
  <c r="L5" i="11"/>
  <c r="L9" i="11"/>
  <c r="L80" i="11"/>
  <c r="L88" i="11"/>
  <c r="L104" i="11"/>
  <c r="L108" i="11"/>
  <c r="L120" i="11"/>
  <c r="L136" i="11"/>
  <c r="L144" i="11"/>
  <c r="L152" i="11"/>
  <c r="L156" i="11"/>
  <c r="L160" i="11"/>
  <c r="L164" i="11"/>
  <c r="L168" i="11"/>
  <c r="L172" i="11"/>
  <c r="L176" i="11"/>
  <c r="L184" i="11"/>
  <c r="L192" i="11"/>
  <c r="L196" i="11"/>
  <c r="L200" i="11"/>
  <c r="L204" i="11"/>
  <c r="L212" i="11"/>
  <c r="L220" i="11"/>
  <c r="L224" i="11"/>
  <c r="L228" i="11"/>
  <c r="L232" i="11"/>
  <c r="L244" i="11"/>
  <c r="L252" i="11"/>
  <c r="L256" i="11"/>
  <c r="L260" i="11"/>
  <c r="L264" i="11"/>
  <c r="L272" i="11"/>
  <c r="L276" i="11"/>
  <c r="L77" i="11"/>
  <c r="L75" i="11"/>
  <c r="L32" i="11"/>
  <c r="L76" i="11"/>
  <c r="L209" i="11"/>
  <c r="L213" i="11"/>
  <c r="L249" i="11"/>
  <c r="L37" i="11"/>
  <c r="L41" i="11"/>
  <c r="L45" i="11"/>
  <c r="L49" i="11"/>
  <c r="L53" i="11"/>
  <c r="L57" i="11"/>
  <c r="L65" i="11"/>
  <c r="V67" i="11" s="1"/>
  <c r="L69" i="11"/>
  <c r="V71" i="11" s="1"/>
  <c r="L73" i="11"/>
  <c r="V75" i="11" s="1"/>
  <c r="L96" i="11"/>
  <c r="L103" i="11"/>
  <c r="L162" i="11"/>
  <c r="L170" i="11"/>
  <c r="L174" i="11"/>
  <c r="L178" i="11"/>
  <c r="L182" i="11"/>
  <c r="L186" i="11"/>
  <c r="L202" i="11"/>
  <c r="L206" i="11"/>
  <c r="L210" i="11"/>
  <c r="L214" i="11"/>
  <c r="L253" i="11"/>
  <c r="L257" i="11"/>
  <c r="L261" i="11"/>
  <c r="L265" i="11"/>
  <c r="L269" i="11"/>
  <c r="L273" i="11"/>
  <c r="L280" i="11"/>
  <c r="L312" i="11"/>
  <c r="V94" i="11" s="1"/>
  <c r="L18" i="13"/>
  <c r="L22" i="13"/>
  <c r="L26" i="13"/>
  <c r="L30" i="13"/>
  <c r="L34" i="13"/>
  <c r="L38" i="13"/>
  <c r="L189" i="13"/>
  <c r="L193" i="13"/>
  <c r="L197" i="13"/>
  <c r="L205" i="13"/>
  <c r="L209" i="13"/>
  <c r="L288" i="13"/>
  <c r="L292" i="13"/>
  <c r="L296" i="13"/>
  <c r="L304" i="13"/>
  <c r="L312" i="13"/>
  <c r="V94" i="13" s="1"/>
  <c r="L316" i="13"/>
  <c r="V98" i="13" s="1"/>
  <c r="L58" i="13"/>
  <c r="L62" i="13"/>
  <c r="V64" i="13" s="1"/>
  <c r="L70" i="13"/>
  <c r="V72" i="13" s="1"/>
  <c r="L102" i="13"/>
  <c r="L106" i="13"/>
  <c r="L134" i="13"/>
  <c r="L138" i="13"/>
  <c r="L154" i="13"/>
  <c r="L158" i="13"/>
  <c r="L162" i="13"/>
  <c r="L174" i="13"/>
  <c r="L182" i="13"/>
  <c r="L237" i="13"/>
  <c r="L241" i="13"/>
  <c r="L176" i="13"/>
  <c r="L239" i="13"/>
  <c r="L243" i="13"/>
  <c r="L29" i="13"/>
  <c r="L33" i="13"/>
  <c r="L37" i="13"/>
  <c r="L192" i="13"/>
  <c r="L196" i="13"/>
  <c r="L204" i="13"/>
  <c r="L208" i="13"/>
  <c r="L212" i="13"/>
  <c r="L216" i="13"/>
  <c r="L228" i="13"/>
  <c r="L232" i="13"/>
  <c r="L255" i="13"/>
  <c r="L259" i="13"/>
  <c r="L263" i="13"/>
  <c r="L267" i="13"/>
  <c r="L271" i="13"/>
  <c r="L275" i="13"/>
  <c r="L279" i="13"/>
  <c r="L283" i="13"/>
  <c r="L287" i="13"/>
  <c r="L121" i="13"/>
  <c r="L125" i="13"/>
  <c r="L240" i="13"/>
  <c r="L244" i="13"/>
  <c r="L321" i="13"/>
  <c r="V103" i="13" s="1"/>
  <c r="L2" i="13"/>
  <c r="L6" i="13"/>
  <c r="L10" i="13"/>
  <c r="L53" i="13"/>
  <c r="L80" i="13"/>
  <c r="V82" i="13" s="1"/>
  <c r="L84" i="13"/>
  <c r="L88" i="13"/>
  <c r="L155" i="13"/>
  <c r="L159" i="13"/>
  <c r="L163" i="13"/>
  <c r="L167" i="13"/>
  <c r="L171" i="13"/>
  <c r="L175" i="13"/>
  <c r="L179" i="13"/>
  <c r="L183" i="13"/>
  <c r="L217" i="13"/>
  <c r="L221" i="13"/>
  <c r="L225" i="13"/>
  <c r="L233" i="13"/>
  <c r="L248" i="13"/>
  <c r="L252" i="13"/>
  <c r="L256" i="13"/>
  <c r="L260" i="13"/>
  <c r="L268" i="13"/>
  <c r="L272" i="13"/>
  <c r="L284" i="13"/>
  <c r="L303" i="13"/>
  <c r="V85" i="13" s="1"/>
  <c r="L307" i="13"/>
  <c r="V89" i="13" s="1"/>
  <c r="L311" i="13"/>
  <c r="V93" i="13" s="1"/>
  <c r="L315" i="13"/>
  <c r="L319" i="13"/>
  <c r="V101" i="13" s="1"/>
  <c r="L3" i="13"/>
  <c r="L46" i="13"/>
  <c r="L54" i="13"/>
  <c r="L116" i="13"/>
  <c r="L234" i="13"/>
  <c r="L74" i="13"/>
  <c r="V76" i="13" s="1"/>
  <c r="L133" i="13"/>
  <c r="L207" i="13"/>
  <c r="L242" i="13"/>
  <c r="L8" i="13"/>
  <c r="L43" i="13"/>
  <c r="L51" i="13"/>
  <c r="L55" i="13"/>
  <c r="L78" i="13"/>
  <c r="V80" i="13" s="1"/>
  <c r="L82" i="13"/>
  <c r="L90" i="13"/>
  <c r="L141" i="13"/>
  <c r="L145" i="13"/>
  <c r="L149" i="13"/>
  <c r="L153" i="13"/>
  <c r="L157" i="13"/>
  <c r="L161" i="13"/>
  <c r="L165" i="13"/>
  <c r="L169" i="13"/>
  <c r="L211" i="13"/>
  <c r="L215" i="13"/>
  <c r="L223" i="13"/>
  <c r="L227" i="13"/>
  <c r="L250" i="13"/>
  <c r="L254" i="13"/>
  <c r="L258" i="13"/>
  <c r="L262" i="13"/>
  <c r="L266" i="13"/>
  <c r="L270" i="13"/>
  <c r="L274" i="13"/>
  <c r="L278" i="13"/>
  <c r="L286" i="13"/>
  <c r="L301" i="13"/>
  <c r="L317" i="13"/>
  <c r="V99" i="13" s="1"/>
  <c r="V102" i="12"/>
  <c r="V98" i="12"/>
  <c r="V103" i="12"/>
  <c r="L11" i="13"/>
  <c r="L235" i="13"/>
  <c r="L137" i="13"/>
  <c r="L181" i="13"/>
  <c r="L218" i="13"/>
  <c r="L247" i="13"/>
  <c r="L251" i="13"/>
  <c r="L285" i="13"/>
  <c r="L300" i="13"/>
  <c r="L184" i="13"/>
  <c r="L210" i="13"/>
  <c r="L191" i="13"/>
  <c r="L118" i="13"/>
  <c r="L49" i="13"/>
  <c r="L56" i="13"/>
  <c r="L115" i="13"/>
  <c r="L150" i="13"/>
  <c r="L172" i="13"/>
  <c r="L313" i="13"/>
  <c r="V95" i="13" s="1"/>
  <c r="L97" i="13"/>
  <c r="L135" i="13"/>
  <c r="L166" i="13"/>
  <c r="L299" i="13"/>
  <c r="L7" i="13"/>
  <c r="L21" i="13"/>
  <c r="L36" i="13"/>
  <c r="L68" i="13"/>
  <c r="V70" i="13" s="1"/>
  <c r="L101" i="13"/>
  <c r="L104" i="13"/>
  <c r="L108" i="13"/>
  <c r="L112" i="13"/>
  <c r="L139" i="13"/>
  <c r="L143" i="13"/>
  <c r="L147" i="13"/>
  <c r="L151" i="13"/>
  <c r="L170" i="13"/>
  <c r="L173" i="13"/>
  <c r="L180" i="13"/>
  <c r="L224" i="13"/>
  <c r="L231" i="13"/>
  <c r="L257" i="13"/>
  <c r="L261" i="13"/>
  <c r="L265" i="13"/>
  <c r="L269" i="13"/>
  <c r="L276" i="13"/>
  <c r="L280" i="13"/>
  <c r="L291" i="13"/>
  <c r="L295" i="13"/>
  <c r="L310" i="13"/>
  <c r="V92" i="13" s="1"/>
  <c r="L314" i="13"/>
  <c r="V96" i="13" s="1"/>
  <c r="L39" i="13"/>
  <c r="L94" i="13"/>
  <c r="L28" i="13"/>
  <c r="L66" i="13"/>
  <c r="V68" i="13" s="1"/>
  <c r="L98" i="13"/>
  <c r="L124" i="13"/>
  <c r="L190" i="13"/>
  <c r="L282" i="13"/>
  <c r="L246" i="13"/>
  <c r="L92" i="13"/>
  <c r="L13" i="13"/>
  <c r="L72" i="13"/>
  <c r="V74" i="13" s="1"/>
  <c r="L85" i="13"/>
  <c r="L177" i="13"/>
  <c r="L200" i="13"/>
  <c r="L213" i="13"/>
  <c r="L229" i="13"/>
  <c r="L245" i="13"/>
  <c r="L305" i="13"/>
  <c r="V87" i="13" s="1"/>
  <c r="L308" i="13"/>
  <c r="V90" i="13" s="1"/>
  <c r="L17" i="13"/>
  <c r="L123" i="13"/>
  <c r="L4" i="13"/>
  <c r="L41" i="13"/>
  <c r="L219" i="13"/>
  <c r="L214" i="13"/>
  <c r="L230" i="13"/>
  <c r="L114" i="13"/>
  <c r="L14" i="13"/>
  <c r="L20" i="13"/>
  <c r="L35" i="13"/>
  <c r="L42" i="13"/>
  <c r="L45" i="13"/>
  <c r="L60" i="13"/>
  <c r="L73" i="13"/>
  <c r="V75" i="13" s="1"/>
  <c r="L76" i="13"/>
  <c r="V78" i="13" s="1"/>
  <c r="L79" i="13"/>
  <c r="V81" i="13" s="1"/>
  <c r="L91" i="13"/>
  <c r="L96" i="13"/>
  <c r="L110" i="13"/>
  <c r="L122" i="13"/>
  <c r="L129" i="13"/>
  <c r="L178" i="13"/>
  <c r="L185" i="13"/>
  <c r="L188" i="13"/>
  <c r="L198" i="13"/>
  <c r="L201" i="13"/>
  <c r="L220" i="13"/>
  <c r="L236" i="13"/>
  <c r="L264" i="13"/>
  <c r="L277" i="13"/>
  <c r="L290" i="13"/>
  <c r="L293" i="13"/>
  <c r="L306" i="13"/>
  <c r="V88" i="13" s="1"/>
  <c r="L309" i="13"/>
  <c r="V91" i="13" s="1"/>
  <c r="V65" i="13"/>
  <c r="V97" i="13"/>
  <c r="L5" i="13"/>
  <c r="L12" i="13"/>
  <c r="L47" i="13"/>
  <c r="L50" i="13"/>
  <c r="L57" i="13"/>
  <c r="L15" i="13"/>
  <c r="L25" i="13"/>
  <c r="L86" i="13"/>
  <c r="L9" i="13"/>
  <c r="V66" i="13"/>
  <c r="L69" i="13"/>
  <c r="V73" i="13"/>
  <c r="V77" i="13"/>
  <c r="L130" i="13"/>
  <c r="L146" i="13"/>
  <c r="L164" i="13"/>
  <c r="L109" i="13"/>
  <c r="L113" i="13"/>
  <c r="L117" i="13"/>
  <c r="L126" i="13"/>
  <c r="L142" i="13"/>
  <c r="V102" i="13"/>
  <c r="V100" i="13"/>
  <c r="V86" i="13"/>
  <c r="V84" i="13"/>
  <c r="L69" i="12"/>
  <c r="V71" i="12" s="1"/>
  <c r="L105" i="12"/>
  <c r="L120" i="12"/>
  <c r="L149" i="12"/>
  <c r="L201" i="12"/>
  <c r="L249" i="12"/>
  <c r="L264" i="12"/>
  <c r="L313" i="12"/>
  <c r="V95" i="12" s="1"/>
  <c r="L106" i="12"/>
  <c r="L136" i="12"/>
  <c r="L150" i="12"/>
  <c r="L49" i="12"/>
  <c r="L72" i="12"/>
  <c r="L153" i="12"/>
  <c r="L224" i="12"/>
  <c r="L291" i="12"/>
  <c r="L306" i="12"/>
  <c r="V88" i="12" s="1"/>
  <c r="L7" i="12"/>
  <c r="L15" i="12"/>
  <c r="L23" i="12"/>
  <c r="L31" i="12"/>
  <c r="L38" i="12"/>
  <c r="L57" i="12"/>
  <c r="L61" i="12"/>
  <c r="L65" i="12"/>
  <c r="V67" i="12" s="1"/>
  <c r="L76" i="12"/>
  <c r="V78" i="12" s="1"/>
  <c r="L80" i="12"/>
  <c r="V82" i="12" s="1"/>
  <c r="L96" i="12"/>
  <c r="L157" i="12"/>
  <c r="L170" i="12"/>
  <c r="L177" i="12"/>
  <c r="L191" i="12"/>
  <c r="L195" i="12"/>
  <c r="L202" i="12"/>
  <c r="L213" i="12"/>
  <c r="L217" i="12"/>
  <c r="L239" i="12"/>
  <c r="L243" i="12"/>
  <c r="L250" i="12"/>
  <c r="L261" i="12"/>
  <c r="L265" i="12"/>
  <c r="L280" i="12"/>
  <c r="L295" i="12"/>
  <c r="L310" i="12"/>
  <c r="V92" i="12" s="1"/>
  <c r="V96" i="12"/>
  <c r="L20" i="12"/>
  <c r="L27" i="12"/>
  <c r="L37" i="12"/>
  <c r="L41" i="12"/>
  <c r="L116" i="12"/>
  <c r="L148" i="12"/>
  <c r="L166" i="12"/>
  <c r="L172" i="12"/>
  <c r="L184" i="12"/>
  <c r="L203" i="12"/>
  <c r="L219" i="12"/>
  <c r="L235" i="12"/>
  <c r="L251" i="12"/>
  <c r="L267" i="12"/>
  <c r="L283" i="12"/>
  <c r="L299" i="12"/>
  <c r="V97" i="12"/>
  <c r="L10" i="12"/>
  <c r="L28" i="12"/>
  <c r="L35" i="12"/>
  <c r="L42" i="12"/>
  <c r="L129" i="12"/>
  <c r="L71" i="12"/>
  <c r="V73" i="12" s="1"/>
  <c r="L141" i="12"/>
  <c r="L186" i="12"/>
  <c r="L11" i="12"/>
  <c r="L18" i="12"/>
  <c r="L43" i="12"/>
  <c r="L121" i="12"/>
  <c r="L132" i="12"/>
  <c r="L156" i="12"/>
  <c r="L159" i="12"/>
  <c r="L162" i="12"/>
  <c r="V99" i="12"/>
  <c r="L133" i="12"/>
  <c r="L12" i="12"/>
  <c r="L19" i="12"/>
  <c r="L26" i="12"/>
  <c r="L81" i="12"/>
  <c r="V83" i="12" s="1"/>
  <c r="L97" i="12"/>
  <c r="L139" i="12"/>
  <c r="L145" i="12"/>
  <c r="L154" i="12"/>
  <c r="L190" i="12"/>
  <c r="L193" i="12"/>
  <c r="L206" i="12"/>
  <c r="L209" i="12"/>
  <c r="L222" i="12"/>
  <c r="L225" i="12"/>
  <c r="L238" i="12"/>
  <c r="L241" i="12"/>
  <c r="L254" i="12"/>
  <c r="L257" i="12"/>
  <c r="L270" i="12"/>
  <c r="L273" i="12"/>
  <c r="L286" i="12"/>
  <c r="L289" i="12"/>
  <c r="L302" i="12"/>
  <c r="V84" i="12" s="1"/>
  <c r="L305" i="12"/>
  <c r="V87" i="12" s="1"/>
  <c r="V100" i="12"/>
  <c r="V66" i="12"/>
  <c r="V64" i="12"/>
  <c r="V75" i="12"/>
  <c r="V77" i="12"/>
  <c r="V79" i="12"/>
  <c r="V76" i="12"/>
  <c r="L67" i="12"/>
  <c r="L91" i="12"/>
  <c r="V68" i="12"/>
  <c r="V74" i="12"/>
  <c r="L99" i="12"/>
  <c r="L117" i="12"/>
  <c r="L14" i="11"/>
  <c r="L78" i="11"/>
  <c r="L82" i="11"/>
  <c r="L85" i="11"/>
  <c r="L101" i="11"/>
  <c r="L112" i="11"/>
  <c r="L123" i="11"/>
  <c r="L127" i="11"/>
  <c r="L131" i="11"/>
  <c r="L142" i="11"/>
  <c r="L149" i="11"/>
  <c r="L159" i="11"/>
  <c r="L284" i="11"/>
  <c r="L292" i="11"/>
  <c r="L296" i="11"/>
  <c r="L304" i="11"/>
  <c r="V86" i="11" s="1"/>
  <c r="L315" i="11"/>
  <c r="V97" i="11" s="1"/>
  <c r="L27" i="11"/>
  <c r="L86" i="11"/>
  <c r="L93" i="11"/>
  <c r="L124" i="11"/>
  <c r="L128" i="11"/>
  <c r="L135" i="11"/>
  <c r="L139" i="11"/>
  <c r="L143" i="11"/>
  <c r="L157" i="11"/>
  <c r="L188" i="11"/>
  <c r="L250" i="11"/>
  <c r="L277" i="11"/>
  <c r="L308" i="11"/>
  <c r="V90" i="11" s="1"/>
  <c r="L13" i="11"/>
  <c r="L43" i="11"/>
  <c r="L94" i="11"/>
  <c r="L125" i="11"/>
  <c r="L129" i="11"/>
  <c r="L140" i="11"/>
  <c r="L158" i="11"/>
  <c r="L189" i="11"/>
  <c r="L216" i="11"/>
  <c r="L278" i="11"/>
  <c r="L309" i="11"/>
  <c r="V91" i="11" s="1"/>
  <c r="L6" i="11"/>
  <c r="L17" i="11"/>
  <c r="L97" i="11"/>
  <c r="L107" i="11"/>
  <c r="L271" i="11"/>
  <c r="L290" i="11"/>
  <c r="L294" i="11"/>
  <c r="L298" i="11"/>
  <c r="L302" i="11"/>
  <c r="V84" i="11" s="1"/>
  <c r="L306" i="11"/>
  <c r="V88" i="11" s="1"/>
  <c r="L313" i="11"/>
  <c r="V95" i="11" s="1"/>
  <c r="V99" i="11"/>
  <c r="V103" i="11"/>
  <c r="L3" i="11"/>
  <c r="L10" i="11"/>
  <c r="L21" i="11"/>
  <c r="L25" i="11"/>
  <c r="L29" i="11"/>
  <c r="L40" i="11"/>
  <c r="L44" i="11"/>
  <c r="L66" i="11"/>
  <c r="V68" i="11" s="1"/>
  <c r="L81" i="11"/>
  <c r="V83" i="11" s="1"/>
  <c r="L111" i="11"/>
  <c r="L115" i="11"/>
  <c r="L126" i="11"/>
  <c r="L148" i="11"/>
  <c r="L190" i="11"/>
  <c r="L217" i="11"/>
  <c r="L248" i="11"/>
  <c r="L310" i="11"/>
  <c r="V92" i="11" s="1"/>
  <c r="L191" i="11"/>
  <c r="L35" i="11"/>
  <c r="L98" i="11"/>
  <c r="L281" i="11"/>
  <c r="L288" i="11"/>
  <c r="L116" i="11"/>
  <c r="L279" i="11"/>
  <c r="L46" i="11"/>
  <c r="L110" i="11"/>
  <c r="L219" i="11"/>
  <c r="L251" i="11"/>
  <c r="L194" i="11"/>
  <c r="L229" i="11"/>
  <c r="L236" i="11"/>
  <c r="L52" i="11"/>
  <c r="L132" i="11"/>
  <c r="L311" i="11"/>
  <c r="L11" i="11"/>
  <c r="L33" i="11"/>
  <c r="L55" i="11"/>
  <c r="L61" i="11"/>
  <c r="L71" i="11"/>
  <c r="V73" i="11" s="1"/>
  <c r="L74" i="11"/>
  <c r="V76" i="11" s="1"/>
  <c r="L89" i="11"/>
  <c r="L99" i="11"/>
  <c r="L113" i="11"/>
  <c r="L119" i="11"/>
  <c r="L141" i="11"/>
  <c r="L166" i="11"/>
  <c r="L173" i="11"/>
  <c r="L180" i="11"/>
  <c r="L198" i="11"/>
  <c r="L201" i="11"/>
  <c r="L208" i="11"/>
  <c r="L226" i="11"/>
  <c r="L233" i="11"/>
  <c r="L240" i="11"/>
  <c r="L258" i="11"/>
  <c r="L268" i="11"/>
  <c r="L286" i="11"/>
  <c r="L293" i="11"/>
  <c r="L300" i="11"/>
  <c r="V100" i="11"/>
  <c r="V79" i="11"/>
  <c r="V80" i="11"/>
  <c r="V101" i="11"/>
  <c r="V65" i="11"/>
  <c r="V72" i="11"/>
  <c r="V93" i="11"/>
  <c r="V85" i="11"/>
  <c r="V69" i="11"/>
  <c r="L28" i="11"/>
  <c r="L50" i="11"/>
  <c r="L84" i="11"/>
  <c r="L92" i="11"/>
  <c r="L100" i="11"/>
  <c r="L106" i="11"/>
  <c r="L138" i="11"/>
  <c r="L20" i="11"/>
  <c r="L30" i="11"/>
  <c r="V74" i="11"/>
  <c r="V77" i="11"/>
  <c r="L42" i="11"/>
  <c r="V66" i="11"/>
  <c r="L58" i="11"/>
  <c r="L68" i="11"/>
  <c r="L114" i="11"/>
  <c r="L146" i="11"/>
  <c r="L24" i="11"/>
  <c r="L118" i="11"/>
  <c r="L8" i="11"/>
  <c r="V78" i="11"/>
  <c r="L130" i="11"/>
  <c r="L62" i="11"/>
  <c r="L150" i="11"/>
  <c r="L12" i="11"/>
  <c r="L34" i="11"/>
  <c r="V82" i="11"/>
  <c r="L83" i="11"/>
  <c r="V96" i="11"/>
  <c r="L122" i="11"/>
  <c r="L218" i="11"/>
  <c r="L282" i="11"/>
  <c r="L154" i="11"/>
  <c r="V71" i="13" l="1"/>
  <c r="N5" i="13" s="1"/>
  <c r="V69" i="12"/>
  <c r="N2" i="12" s="1"/>
  <c r="V70" i="11"/>
  <c r="V64" i="11"/>
  <c r="M318" i="12" l="1"/>
  <c r="M322" i="12"/>
  <c r="M315" i="12"/>
  <c r="M316" i="12"/>
  <c r="M314" i="12"/>
  <c r="M319" i="12"/>
  <c r="M321" i="12"/>
  <c r="M320" i="12"/>
  <c r="M317" i="12"/>
  <c r="N2" i="13"/>
  <c r="M180" i="13" s="1"/>
  <c r="M268" i="12"/>
  <c r="M187" i="12"/>
  <c r="M288" i="12"/>
  <c r="M256" i="12"/>
  <c r="M224" i="12"/>
  <c r="M192" i="12"/>
  <c r="M176" i="12"/>
  <c r="M296" i="12"/>
  <c r="M264" i="12"/>
  <c r="M232" i="12"/>
  <c r="M200" i="12"/>
  <c r="M184" i="12"/>
  <c r="M164" i="12"/>
  <c r="M312" i="12"/>
  <c r="M280" i="12"/>
  <c r="M248" i="12"/>
  <c r="M216" i="12"/>
  <c r="M168" i="12"/>
  <c r="M70" i="12"/>
  <c r="M51" i="12"/>
  <c r="M47" i="12"/>
  <c r="M93" i="12"/>
  <c r="M59" i="12"/>
  <c r="M78" i="12"/>
  <c r="M55" i="12"/>
  <c r="M63" i="12"/>
  <c r="M107" i="12"/>
  <c r="M23" i="12"/>
  <c r="M31" i="12"/>
  <c r="M40" i="12"/>
  <c r="M54" i="12"/>
  <c r="M17" i="12"/>
  <c r="M106" i="12"/>
  <c r="M58" i="12"/>
  <c r="M101" i="12"/>
  <c r="M92" i="12"/>
  <c r="M62" i="12"/>
  <c r="M170" i="12"/>
  <c r="M75" i="12"/>
  <c r="M76" i="12"/>
  <c r="M135" i="12"/>
  <c r="M188" i="12"/>
  <c r="M159" i="12"/>
  <c r="M144" i="12"/>
  <c r="M151" i="12"/>
  <c r="M139" i="12"/>
  <c r="M205" i="12"/>
  <c r="M295" i="12"/>
  <c r="M226" i="12"/>
  <c r="M313" i="12"/>
  <c r="M255" i="12"/>
  <c r="M203" i="12"/>
  <c r="M282" i="12"/>
  <c r="M215" i="12"/>
  <c r="M294" i="12"/>
  <c r="M242" i="12"/>
  <c r="M190" i="12"/>
  <c r="M277" i="12"/>
  <c r="M193" i="12"/>
  <c r="M283" i="12"/>
  <c r="M13" i="12"/>
  <c r="M252" i="12"/>
  <c r="M208" i="12"/>
  <c r="M173" i="12"/>
  <c r="M293" i="12"/>
  <c r="M161" i="12"/>
  <c r="M291" i="12"/>
  <c r="M234" i="12"/>
  <c r="M28" i="12"/>
  <c r="M302" i="12"/>
  <c r="M245" i="12"/>
  <c r="M35" i="12"/>
  <c r="M290" i="12"/>
  <c r="M254" i="12"/>
  <c r="M16" i="12"/>
  <c r="M198" i="12"/>
  <c r="M53" i="12"/>
  <c r="M38" i="12"/>
  <c r="M2" i="12"/>
  <c r="M102" i="12"/>
  <c r="M32" i="12"/>
  <c r="M20" i="12"/>
  <c r="M8" i="12"/>
  <c r="M50" i="12"/>
  <c r="M77" i="12"/>
  <c r="M73" i="12"/>
  <c r="M182" i="12"/>
  <c r="M71" i="12"/>
  <c r="M141" i="12"/>
  <c r="M204" i="12"/>
  <c r="M136" i="12"/>
  <c r="M96" i="12"/>
  <c r="M82" i="12"/>
  <c r="M79" i="12"/>
  <c r="M157" i="12"/>
  <c r="M196" i="12"/>
  <c r="M72" i="12"/>
  <c r="M145" i="12"/>
  <c r="M214" i="12"/>
  <c r="M301" i="12"/>
  <c r="M243" i="12"/>
  <c r="M169" i="12"/>
  <c r="M261" i="12"/>
  <c r="M209" i="12"/>
  <c r="M299" i="12"/>
  <c r="M221" i="12"/>
  <c r="M311" i="12"/>
  <c r="M259" i="12"/>
  <c r="M207" i="12"/>
  <c r="M286" i="12"/>
  <c r="M202" i="12"/>
  <c r="M289" i="12"/>
  <c r="M34" i="12"/>
  <c r="M100" i="12"/>
  <c r="M201" i="12"/>
  <c r="M3" i="12"/>
  <c r="M178" i="12"/>
  <c r="M7" i="12"/>
  <c r="M267" i="12"/>
  <c r="M257" i="12"/>
  <c r="M42" i="12"/>
  <c r="M273" i="12"/>
  <c r="M266" i="12"/>
  <c r="M86" i="12"/>
  <c r="M48" i="12"/>
  <c r="M37" i="12"/>
  <c r="M111" i="12"/>
  <c r="M39" i="12"/>
  <c r="M4" i="12"/>
  <c r="M68" i="12"/>
  <c r="M15" i="12"/>
  <c r="M12" i="12"/>
  <c r="M90" i="12"/>
  <c r="M98" i="12"/>
  <c r="M84" i="12"/>
  <c r="M88" i="12"/>
  <c r="M103" i="12"/>
  <c r="M80" i="12"/>
  <c r="M146" i="12"/>
  <c r="M220" i="12"/>
  <c r="M160" i="12"/>
  <c r="M109" i="12"/>
  <c r="M125" i="12"/>
  <c r="M171" i="12"/>
  <c r="M228" i="12"/>
  <c r="M95" i="12"/>
  <c r="M150" i="12"/>
  <c r="M231" i="12"/>
  <c r="M310" i="12"/>
  <c r="M249" i="12"/>
  <c r="M191" i="12"/>
  <c r="M270" i="12"/>
  <c r="M218" i="12"/>
  <c r="M305" i="12"/>
  <c r="M230" i="12"/>
  <c r="M265" i="12"/>
  <c r="M213" i="12"/>
  <c r="M303" i="12"/>
  <c r="M219" i="12"/>
  <c r="M298" i="12"/>
  <c r="M137" i="12"/>
  <c r="M180" i="12"/>
  <c r="M206" i="12"/>
  <c r="M253" i="12"/>
  <c r="M64" i="12"/>
  <c r="M281" i="12"/>
  <c r="M110" i="12"/>
  <c r="M166" i="12"/>
  <c r="M14" i="12"/>
  <c r="M217" i="12"/>
  <c r="M185" i="12"/>
  <c r="M5" i="12"/>
  <c r="M57" i="12"/>
  <c r="M10" i="12"/>
  <c r="M60" i="12"/>
  <c r="M45" i="12"/>
  <c r="M11" i="12"/>
  <c r="M94" i="12"/>
  <c r="M22" i="12"/>
  <c r="M19" i="12"/>
  <c r="M175" i="12"/>
  <c r="M113" i="12"/>
  <c r="M105" i="12"/>
  <c r="M120" i="12"/>
  <c r="M142" i="12"/>
  <c r="M83" i="12"/>
  <c r="M152" i="12"/>
  <c r="M236" i="12"/>
  <c r="M244" i="12"/>
  <c r="M126" i="12"/>
  <c r="M260" i="12"/>
  <c r="M81" i="12"/>
  <c r="M183" i="12"/>
  <c r="M112" i="12"/>
  <c r="M97" i="12"/>
  <c r="M154" i="12"/>
  <c r="M237" i="12"/>
  <c r="M158" i="12"/>
  <c r="M258" i="12"/>
  <c r="M197" i="12"/>
  <c r="M287" i="12"/>
  <c r="M235" i="12"/>
  <c r="M247" i="12"/>
  <c r="M195" i="12"/>
  <c r="M274" i="12"/>
  <c r="M222" i="12"/>
  <c r="M309" i="12"/>
  <c r="M225" i="12"/>
  <c r="M41" i="12"/>
  <c r="M52" i="12"/>
  <c r="M18" i="12"/>
  <c r="M115" i="12"/>
  <c r="M25" i="12"/>
  <c r="M26" i="12"/>
  <c r="M276" i="12"/>
  <c r="M123" i="12"/>
  <c r="M130" i="12"/>
  <c r="M129" i="12"/>
  <c r="M44" i="12"/>
  <c r="M167" i="12"/>
  <c r="M132" i="12"/>
  <c r="M116" i="12"/>
  <c r="M131" i="12"/>
  <c r="M246" i="12"/>
  <c r="M275" i="12"/>
  <c r="M241" i="12"/>
  <c r="M239" i="12"/>
  <c r="M6" i="12"/>
  <c r="M61" i="12"/>
  <c r="M21" i="12"/>
  <c r="M33" i="12"/>
  <c r="M49" i="12"/>
  <c r="M29" i="12"/>
  <c r="M308" i="12"/>
  <c r="M128" i="12"/>
  <c r="M212" i="12"/>
  <c r="M134" i="12"/>
  <c r="M108" i="12"/>
  <c r="M174" i="12"/>
  <c r="M284" i="12"/>
  <c r="M147" i="12"/>
  <c r="M66" i="12"/>
  <c r="M127" i="12"/>
  <c r="M240" i="12"/>
  <c r="M163" i="12"/>
  <c r="M104" i="12"/>
  <c r="M162" i="12"/>
  <c r="M263" i="12"/>
  <c r="M194" i="12"/>
  <c r="M223" i="12"/>
  <c r="M250" i="12"/>
  <c r="M262" i="12"/>
  <c r="M210" i="12"/>
  <c r="M297" i="12"/>
  <c r="M251" i="12"/>
  <c r="M9" i="12"/>
  <c r="M114" i="12"/>
  <c r="M36" i="12"/>
  <c r="M119" i="12"/>
  <c r="M56" i="12"/>
  <c r="M46" i="12"/>
  <c r="M155" i="12"/>
  <c r="M143" i="12"/>
  <c r="M292" i="12"/>
  <c r="M140" i="12"/>
  <c r="M74" i="12"/>
  <c r="M118" i="12"/>
  <c r="M179" i="12"/>
  <c r="M300" i="12"/>
  <c r="M87" i="12"/>
  <c r="M153" i="12"/>
  <c r="M148" i="12"/>
  <c r="M133" i="12"/>
  <c r="M272" i="12"/>
  <c r="M177" i="12"/>
  <c r="M269" i="12"/>
  <c r="M211" i="12"/>
  <c r="M229" i="12"/>
  <c r="M189" i="12"/>
  <c r="M279" i="12"/>
  <c r="M227" i="12"/>
  <c r="M306" i="12"/>
  <c r="M24" i="12"/>
  <c r="M30" i="12"/>
  <c r="M43" i="12"/>
  <c r="M27" i="12"/>
  <c r="M85" i="12"/>
  <c r="M172" i="12"/>
  <c r="M149" i="12"/>
  <c r="M122" i="12"/>
  <c r="M121" i="12"/>
  <c r="M186" i="12"/>
  <c r="M89" i="12"/>
  <c r="M156" i="12"/>
  <c r="M69" i="12"/>
  <c r="M138" i="12"/>
  <c r="M304" i="12"/>
  <c r="M65" i="12"/>
  <c r="M124" i="12"/>
  <c r="M199" i="12"/>
  <c r="M278" i="12"/>
  <c r="M307" i="12"/>
  <c r="M238" i="12"/>
  <c r="M165" i="12"/>
  <c r="M285" i="12"/>
  <c r="M233" i="12"/>
  <c r="M271" i="12"/>
  <c r="M181" i="12"/>
  <c r="M117" i="12"/>
  <c r="M67" i="12"/>
  <c r="M99" i="12"/>
  <c r="M91" i="12"/>
  <c r="N5" i="12"/>
  <c r="N5" i="11"/>
  <c r="N2" i="11"/>
  <c r="M320" i="11" l="1"/>
  <c r="M321" i="11"/>
  <c r="M318" i="11"/>
  <c r="M317" i="11"/>
  <c r="M316" i="11"/>
  <c r="M319" i="11"/>
  <c r="P319" i="12"/>
  <c r="P317" i="12"/>
  <c r="M146" i="13"/>
  <c r="M229" i="13"/>
  <c r="M266" i="13"/>
  <c r="M221" i="13"/>
  <c r="M78" i="13"/>
  <c r="M142" i="13"/>
  <c r="M238" i="13"/>
  <c r="M183" i="13"/>
  <c r="M100" i="13"/>
  <c r="M47" i="13"/>
  <c r="M137" i="13"/>
  <c r="M268" i="13"/>
  <c r="M110" i="13"/>
  <c r="M282" i="13"/>
  <c r="M272" i="13"/>
  <c r="M135" i="13"/>
  <c r="M263" i="13"/>
  <c r="M230" i="13"/>
  <c r="M107" i="13"/>
  <c r="M200" i="13"/>
  <c r="M320" i="13"/>
  <c r="M321" i="13"/>
  <c r="M322" i="13"/>
  <c r="M218" i="13"/>
  <c r="M236" i="13"/>
  <c r="M21" i="13"/>
  <c r="M66" i="13"/>
  <c r="M68" i="13"/>
  <c r="M209" i="13"/>
  <c r="M295" i="13"/>
  <c r="M259" i="13"/>
  <c r="M19" i="13"/>
  <c r="M284" i="13"/>
  <c r="M121" i="13"/>
  <c r="M303" i="13"/>
  <c r="M99" i="13"/>
  <c r="M287" i="13"/>
  <c r="M34" i="13"/>
  <c r="M134" i="13"/>
  <c r="M242" i="13"/>
  <c r="M215" i="13"/>
  <c r="M203" i="13"/>
  <c r="M136" i="13"/>
  <c r="M158" i="13"/>
  <c r="M77" i="13"/>
  <c r="M155" i="13"/>
  <c r="M167" i="13"/>
  <c r="M20" i="13"/>
  <c r="M58" i="13"/>
  <c r="M17" i="13"/>
  <c r="M177" i="13"/>
  <c r="M75" i="13"/>
  <c r="M22" i="13"/>
  <c r="M62" i="13"/>
  <c r="M106" i="13"/>
  <c r="M211" i="13"/>
  <c r="M195" i="13"/>
  <c r="M226" i="13"/>
  <c r="M7" i="13"/>
  <c r="M32" i="13"/>
  <c r="M84" i="13"/>
  <c r="M151" i="13"/>
  <c r="M280" i="13"/>
  <c r="M13" i="13"/>
  <c r="M228" i="13"/>
  <c r="M102" i="13"/>
  <c r="M5" i="13"/>
  <c r="M25" i="13"/>
  <c r="M149" i="13"/>
  <c r="M63" i="13"/>
  <c r="M85" i="13"/>
  <c r="M122" i="13"/>
  <c r="M172" i="13"/>
  <c r="M43" i="13"/>
  <c r="M174" i="13"/>
  <c r="M306" i="13"/>
  <c r="M297" i="13"/>
  <c r="M257" i="13"/>
  <c r="M288" i="13"/>
  <c r="M194" i="13"/>
  <c r="M283" i="13"/>
  <c r="M175" i="13"/>
  <c r="M55" i="13"/>
  <c r="M262" i="13"/>
  <c r="M274" i="13"/>
  <c r="M292" i="13"/>
  <c r="M3" i="13"/>
  <c r="M273" i="13"/>
  <c r="M291" i="13"/>
  <c r="M275" i="13"/>
  <c r="M207" i="13"/>
  <c r="M315" i="13"/>
  <c r="M214" i="13"/>
  <c r="M193" i="13"/>
  <c r="M256" i="13"/>
  <c r="M198" i="13"/>
  <c r="M132" i="13"/>
  <c r="M70" i="13"/>
  <c r="M239" i="13"/>
  <c r="M15" i="13"/>
  <c r="M300" i="13"/>
  <c r="M129" i="13"/>
  <c r="M59" i="13"/>
  <c r="M281" i="13"/>
  <c r="M299" i="13"/>
  <c r="M76" i="13"/>
  <c r="M105" i="13"/>
  <c r="M61" i="13"/>
  <c r="M197" i="13"/>
  <c r="M244" i="13"/>
  <c r="M254" i="13"/>
  <c r="M83" i="13"/>
  <c r="M150" i="13"/>
  <c r="M310" i="13"/>
  <c r="M141" i="13"/>
  <c r="M144" i="13"/>
  <c r="M60" i="13"/>
  <c r="M289" i="13"/>
  <c r="M298" i="13"/>
  <c r="M45" i="13"/>
  <c r="M233" i="13"/>
  <c r="M108" i="13"/>
  <c r="M10" i="13"/>
  <c r="M205" i="13"/>
  <c r="M305" i="13"/>
  <c r="M269" i="13"/>
  <c r="M103" i="13"/>
  <c r="M31" i="13"/>
  <c r="M87" i="13"/>
  <c r="M264" i="13"/>
  <c r="M86" i="13"/>
  <c r="M286" i="13"/>
  <c r="M294" i="13"/>
  <c r="M52" i="13"/>
  <c r="M185" i="13"/>
  <c r="M79" i="13"/>
  <c r="M14" i="13"/>
  <c r="M243" i="13"/>
  <c r="M161" i="13"/>
  <c r="M82" i="13"/>
  <c r="M179" i="13"/>
  <c r="M41" i="13"/>
  <c r="M115" i="13"/>
  <c r="M112" i="13"/>
  <c r="M97" i="13"/>
  <c r="M245" i="13"/>
  <c r="M237" i="13"/>
  <c r="M71" i="13"/>
  <c r="M72" i="13"/>
  <c r="M277" i="13"/>
  <c r="M249" i="13"/>
  <c r="M313" i="13"/>
  <c r="M276" i="13"/>
  <c r="M39" i="13"/>
  <c r="M36" i="13"/>
  <c r="M293" i="13"/>
  <c r="M208" i="13"/>
  <c r="M27" i="13"/>
  <c r="M29" i="13"/>
  <c r="M26" i="13"/>
  <c r="M159" i="13"/>
  <c r="M12" i="13"/>
  <c r="M64" i="13"/>
  <c r="M56" i="13"/>
  <c r="M138" i="13"/>
  <c r="M192" i="13"/>
  <c r="M33" i="13"/>
  <c r="M181" i="13"/>
  <c r="M42" i="13"/>
  <c r="M30" i="13"/>
  <c r="M44" i="13"/>
  <c r="M46" i="13"/>
  <c r="M48" i="13"/>
  <c r="M311" i="13"/>
  <c r="M251" i="13"/>
  <c r="M319" i="13"/>
  <c r="M190" i="13"/>
  <c r="M163" i="13"/>
  <c r="M89" i="13"/>
  <c r="M24" i="13"/>
  <c r="M301" i="13"/>
  <c r="M169" i="13"/>
  <c r="M309" i="13"/>
  <c r="M227" i="13"/>
  <c r="M53" i="13"/>
  <c r="M145" i="13"/>
  <c r="M92" i="13"/>
  <c r="M240" i="13"/>
  <c r="M316" i="13"/>
  <c r="M235" i="13"/>
  <c r="M67" i="13"/>
  <c r="M232" i="13"/>
  <c r="M248" i="13"/>
  <c r="M9" i="13"/>
  <c r="M124" i="13"/>
  <c r="M290" i="13"/>
  <c r="M279" i="13"/>
  <c r="M222" i="13"/>
  <c r="M148" i="13"/>
  <c r="M152" i="13"/>
  <c r="M2" i="13"/>
  <c r="M128" i="13"/>
  <c r="M120" i="13"/>
  <c r="M162" i="13"/>
  <c r="M225" i="13"/>
  <c r="M189" i="13"/>
  <c r="M96" i="13"/>
  <c r="M139" i="13"/>
  <c r="M153" i="13"/>
  <c r="M111" i="13"/>
  <c r="M88" i="13"/>
  <c r="M307" i="13"/>
  <c r="M217" i="13"/>
  <c r="M16" i="13"/>
  <c r="M302" i="13"/>
  <c r="M246" i="13"/>
  <c r="M49" i="13"/>
  <c r="M199" i="13"/>
  <c r="M304" i="13"/>
  <c r="M318" i="13"/>
  <c r="M224" i="13"/>
  <c r="M165" i="13"/>
  <c r="M104" i="13"/>
  <c r="M184" i="13"/>
  <c r="M312" i="13"/>
  <c r="M164" i="13"/>
  <c r="M109" i="13"/>
  <c r="M219" i="13"/>
  <c r="M18" i="13"/>
  <c r="M241" i="13"/>
  <c r="M253" i="13"/>
  <c r="M267" i="13"/>
  <c r="M73" i="13"/>
  <c r="M231" i="13"/>
  <c r="M65" i="13"/>
  <c r="M91" i="13"/>
  <c r="M188" i="13"/>
  <c r="M213" i="13"/>
  <c r="M250" i="13"/>
  <c r="M8" i="13"/>
  <c r="M11" i="13"/>
  <c r="M37" i="13"/>
  <c r="M317" i="13"/>
  <c r="M258" i="13"/>
  <c r="M116" i="13"/>
  <c r="M94" i="13"/>
  <c r="M265" i="13"/>
  <c r="M204" i="13"/>
  <c r="M176" i="13"/>
  <c r="M271" i="13"/>
  <c r="M191" i="13"/>
  <c r="M125" i="13"/>
  <c r="M220" i="13"/>
  <c r="M118" i="13"/>
  <c r="M4" i="13"/>
  <c r="M196" i="13"/>
  <c r="M216" i="13"/>
  <c r="M126" i="13"/>
  <c r="M74" i="13"/>
  <c r="M171" i="13"/>
  <c r="M90" i="13"/>
  <c r="M247" i="13"/>
  <c r="M160" i="13"/>
  <c r="M157" i="13"/>
  <c r="M234" i="13"/>
  <c r="M127" i="13"/>
  <c r="M168" i="13"/>
  <c r="M51" i="13"/>
  <c r="M261" i="13"/>
  <c r="M133" i="13"/>
  <c r="M285" i="13"/>
  <c r="M314" i="13"/>
  <c r="M143" i="13"/>
  <c r="M98" i="13"/>
  <c r="M23" i="13"/>
  <c r="M101" i="13"/>
  <c r="M260" i="13"/>
  <c r="M130" i="13"/>
  <c r="M117" i="13"/>
  <c r="M113" i="13"/>
  <c r="M93" i="13"/>
  <c r="M186" i="13"/>
  <c r="M270" i="13"/>
  <c r="M119" i="13"/>
  <c r="M154" i="13"/>
  <c r="M140" i="13"/>
  <c r="M6" i="13"/>
  <c r="M182" i="13"/>
  <c r="M80" i="13"/>
  <c r="M210" i="13"/>
  <c r="M28" i="13"/>
  <c r="M187" i="13"/>
  <c r="M173" i="13"/>
  <c r="M147" i="13"/>
  <c r="M308" i="13"/>
  <c r="M35" i="13"/>
  <c r="M255" i="13"/>
  <c r="M278" i="13"/>
  <c r="M223" i="13"/>
  <c r="M123" i="13"/>
  <c r="M95" i="13"/>
  <c r="M202" i="13"/>
  <c r="M170" i="13"/>
  <c r="M131" i="13"/>
  <c r="M156" i="13"/>
  <c r="M212" i="13"/>
  <c r="M114" i="13"/>
  <c r="M38" i="13"/>
  <c r="M166" i="13"/>
  <c r="M252" i="13"/>
  <c r="M201" i="13"/>
  <c r="M206" i="13"/>
  <c r="M81" i="13"/>
  <c r="M40" i="13"/>
  <c r="M54" i="13"/>
  <c r="M178" i="13"/>
  <c r="M296" i="13"/>
  <c r="M50" i="13"/>
  <c r="M57" i="13"/>
  <c r="M69" i="13"/>
  <c r="O2" i="12"/>
  <c r="P140" i="12" s="1"/>
  <c r="P291" i="12"/>
  <c r="P98" i="12"/>
  <c r="P277" i="12"/>
  <c r="P65" i="12"/>
  <c r="P121" i="12"/>
  <c r="P119" i="12"/>
  <c r="P232" i="12"/>
  <c r="P66" i="12"/>
  <c r="P19" i="12"/>
  <c r="P281" i="12"/>
  <c r="M296" i="11"/>
  <c r="M288" i="11"/>
  <c r="M280" i="11"/>
  <c r="M272" i="11"/>
  <c r="M264" i="11"/>
  <c r="M256" i="11"/>
  <c r="M248" i="11"/>
  <c r="M240" i="11"/>
  <c r="M232" i="11"/>
  <c r="M224" i="11"/>
  <c r="M216" i="11"/>
  <c r="M208" i="11"/>
  <c r="M200" i="11"/>
  <c r="M192" i="11"/>
  <c r="M184" i="11"/>
  <c r="M176" i="11"/>
  <c r="M168" i="11"/>
  <c r="M160" i="11"/>
  <c r="M260" i="11"/>
  <c r="M196" i="11"/>
  <c r="M188" i="11"/>
  <c r="M276" i="11"/>
  <c r="M212" i="11"/>
  <c r="M236" i="11"/>
  <c r="M172" i="11"/>
  <c r="M284" i="11"/>
  <c r="M220" i="11"/>
  <c r="M252" i="11"/>
  <c r="M3" i="11"/>
  <c r="M300" i="11"/>
  <c r="M308" i="11"/>
  <c r="M244" i="11"/>
  <c r="M180" i="11"/>
  <c r="M268" i="11"/>
  <c r="M204" i="11"/>
  <c r="M103" i="11"/>
  <c r="M292" i="11"/>
  <c r="M228" i="11"/>
  <c r="M164" i="11"/>
  <c r="M95" i="11"/>
  <c r="M87" i="11"/>
  <c r="M71" i="11"/>
  <c r="M5" i="11"/>
  <c r="M111" i="11"/>
  <c r="M19" i="11"/>
  <c r="M231" i="11"/>
  <c r="M51" i="11"/>
  <c r="M15" i="11"/>
  <c r="M239" i="11"/>
  <c r="M255" i="11"/>
  <c r="M183" i="11"/>
  <c r="M227" i="11"/>
  <c r="M33" i="11"/>
  <c r="M283" i="11"/>
  <c r="M145" i="11"/>
  <c r="M179" i="11"/>
  <c r="M195" i="11"/>
  <c r="M194" i="11"/>
  <c r="M274" i="11"/>
  <c r="M96" i="11"/>
  <c r="M202" i="11"/>
  <c r="M263" i="11"/>
  <c r="M117" i="11"/>
  <c r="M275" i="11"/>
  <c r="M66" i="11"/>
  <c r="M105" i="11"/>
  <c r="M205" i="11"/>
  <c r="M269" i="11"/>
  <c r="M166" i="11"/>
  <c r="M230" i="11"/>
  <c r="M294" i="11"/>
  <c r="M185" i="11"/>
  <c r="M249" i="11"/>
  <c r="M313" i="11"/>
  <c r="M207" i="11"/>
  <c r="M72" i="11"/>
  <c r="M242" i="11"/>
  <c r="M261" i="11"/>
  <c r="M305" i="11"/>
  <c r="M6" i="11"/>
  <c r="M2" i="11"/>
  <c r="M35" i="11"/>
  <c r="M27" i="11"/>
  <c r="M123" i="11"/>
  <c r="M14" i="11"/>
  <c r="M7" i="11"/>
  <c r="M271" i="11"/>
  <c r="M40" i="11"/>
  <c r="M314" i="11"/>
  <c r="M170" i="11"/>
  <c r="M38" i="11"/>
  <c r="M75" i="11"/>
  <c r="M226" i="11"/>
  <c r="M304" i="11"/>
  <c r="M104" i="11"/>
  <c r="M235" i="11"/>
  <c r="M291" i="11"/>
  <c r="M210" i="11"/>
  <c r="M124" i="11"/>
  <c r="M306" i="11"/>
  <c r="M112" i="11"/>
  <c r="M312" i="11"/>
  <c r="M213" i="11"/>
  <c r="M277" i="11"/>
  <c r="M174" i="11"/>
  <c r="M238" i="11"/>
  <c r="M302" i="11"/>
  <c r="M193" i="11"/>
  <c r="M257" i="11"/>
  <c r="M43" i="11"/>
  <c r="M52" i="11"/>
  <c r="M177" i="11"/>
  <c r="M77" i="11"/>
  <c r="M25" i="11"/>
  <c r="M94" i="11"/>
  <c r="M47" i="11"/>
  <c r="M215" i="11"/>
  <c r="M70" i="11"/>
  <c r="M139" i="11"/>
  <c r="M147" i="11"/>
  <c r="M10" i="11"/>
  <c r="M303" i="11"/>
  <c r="M67" i="11"/>
  <c r="M121" i="11"/>
  <c r="M16" i="11"/>
  <c r="M53" i="11"/>
  <c r="M109" i="11"/>
  <c r="M259" i="11"/>
  <c r="M41" i="11"/>
  <c r="M266" i="11"/>
  <c r="M120" i="11"/>
  <c r="M134" i="11"/>
  <c r="M243" i="11"/>
  <c r="M73" i="11"/>
  <c r="M315" i="11"/>
  <c r="M221" i="11"/>
  <c r="M285" i="11"/>
  <c r="M182" i="11"/>
  <c r="M246" i="11"/>
  <c r="M310" i="11"/>
  <c r="M201" i="11"/>
  <c r="M265" i="11"/>
  <c r="M279" i="11"/>
  <c r="M99" i="11"/>
  <c r="M222" i="11"/>
  <c r="M107" i="11"/>
  <c r="M59" i="11"/>
  <c r="M159" i="11"/>
  <c r="M135" i="11"/>
  <c r="M131" i="11"/>
  <c r="M17" i="11"/>
  <c r="M247" i="11"/>
  <c r="M23" i="11"/>
  <c r="M234" i="11"/>
  <c r="M79" i="11"/>
  <c r="M128" i="11"/>
  <c r="M93" i="11"/>
  <c r="M60" i="11"/>
  <c r="M116" i="11"/>
  <c r="M290" i="11"/>
  <c r="M64" i="11"/>
  <c r="M48" i="11"/>
  <c r="M129" i="11"/>
  <c r="M299" i="11"/>
  <c r="M152" i="11"/>
  <c r="M36" i="11"/>
  <c r="M149" i="11"/>
  <c r="M76" i="11"/>
  <c r="M137" i="11"/>
  <c r="M165" i="11"/>
  <c r="M229" i="11"/>
  <c r="M293" i="11"/>
  <c r="M190" i="11"/>
  <c r="M254" i="11"/>
  <c r="M209" i="11"/>
  <c r="M273" i="11"/>
  <c r="M29" i="11"/>
  <c r="M171" i="11"/>
  <c r="M251" i="11"/>
  <c r="M241" i="11"/>
  <c r="M21" i="11"/>
  <c r="M127" i="11"/>
  <c r="M31" i="11"/>
  <c r="M63" i="11"/>
  <c r="M191" i="11"/>
  <c r="M155" i="11"/>
  <c r="M39" i="11"/>
  <c r="M151" i="11"/>
  <c r="M11" i="11"/>
  <c r="M18" i="11"/>
  <c r="M45" i="11"/>
  <c r="M199" i="11"/>
  <c r="M81" i="11"/>
  <c r="M126" i="11"/>
  <c r="M113" i="11"/>
  <c r="M136" i="11"/>
  <c r="M54" i="11"/>
  <c r="M267" i="11"/>
  <c r="M46" i="11"/>
  <c r="M157" i="11"/>
  <c r="M97" i="11"/>
  <c r="M80" i="11"/>
  <c r="M144" i="11"/>
  <c r="M173" i="11"/>
  <c r="M237" i="11"/>
  <c r="M301" i="11"/>
  <c r="M198" i="11"/>
  <c r="M262" i="11"/>
  <c r="M217" i="11"/>
  <c r="M281" i="11"/>
  <c r="M13" i="11"/>
  <c r="M119" i="11"/>
  <c r="M57" i="11"/>
  <c r="M162" i="11"/>
  <c r="M142" i="11"/>
  <c r="M286" i="11"/>
  <c r="M167" i="11"/>
  <c r="M223" i="11"/>
  <c r="M102" i="11"/>
  <c r="M175" i="11"/>
  <c r="M86" i="11"/>
  <c r="M311" i="11"/>
  <c r="M26" i="11"/>
  <c r="M44" i="11"/>
  <c r="M153" i="11"/>
  <c r="M90" i="11"/>
  <c r="M186" i="11"/>
  <c r="M258" i="11"/>
  <c r="M108" i="11"/>
  <c r="M65" i="11"/>
  <c r="M141" i="11"/>
  <c r="M37" i="11"/>
  <c r="M203" i="11"/>
  <c r="M85" i="11"/>
  <c r="M61" i="11"/>
  <c r="M178" i="11"/>
  <c r="M163" i="11"/>
  <c r="M49" i="11"/>
  <c r="M187" i="11"/>
  <c r="M181" i="11"/>
  <c r="M245" i="11"/>
  <c r="M309" i="11"/>
  <c r="M206" i="11"/>
  <c r="M270" i="11"/>
  <c r="M161" i="11"/>
  <c r="M225" i="11"/>
  <c r="M289" i="11"/>
  <c r="M143" i="11"/>
  <c r="M88" i="11"/>
  <c r="M197" i="11"/>
  <c r="M78" i="11"/>
  <c r="M287" i="11"/>
  <c r="M4" i="11"/>
  <c r="M69" i="11"/>
  <c r="M22" i="11"/>
  <c r="M295" i="11"/>
  <c r="M115" i="11"/>
  <c r="M55" i="11"/>
  <c r="M125" i="11"/>
  <c r="M307" i="11"/>
  <c r="M219" i="11"/>
  <c r="M133" i="11"/>
  <c r="M148" i="11"/>
  <c r="M89" i="11"/>
  <c r="M298" i="11"/>
  <c r="M82" i="11"/>
  <c r="M156" i="11"/>
  <c r="M110" i="11"/>
  <c r="M91" i="11"/>
  <c r="M211" i="11"/>
  <c r="M32" i="11"/>
  <c r="M56" i="11"/>
  <c r="M189" i="11"/>
  <c r="M253" i="11"/>
  <c r="M214" i="11"/>
  <c r="M278" i="11"/>
  <c r="M169" i="11"/>
  <c r="M233" i="11"/>
  <c r="M297" i="11"/>
  <c r="M9" i="11"/>
  <c r="M132" i="11"/>
  <c r="M98" i="11"/>
  <c r="M250" i="11"/>
  <c r="M140" i="11"/>
  <c r="M101" i="11"/>
  <c r="M74" i="11"/>
  <c r="M158" i="11"/>
  <c r="M218" i="11"/>
  <c r="M130" i="11"/>
  <c r="M122" i="11"/>
  <c r="M282" i="11"/>
  <c r="M58" i="11"/>
  <c r="M20" i="11"/>
  <c r="M28" i="11"/>
  <c r="M8" i="11"/>
  <c r="M62" i="11"/>
  <c r="M50" i="11"/>
  <c r="M92" i="11"/>
  <c r="M154" i="11"/>
  <c r="M114" i="11"/>
  <c r="M100" i="11"/>
  <c r="M138" i="11"/>
  <c r="M83" i="11"/>
  <c r="M34" i="11"/>
  <c r="M30" i="11"/>
  <c r="M118" i="11"/>
  <c r="M150" i="11"/>
  <c r="M84" i="11"/>
  <c r="M42" i="11"/>
  <c r="M68" i="11"/>
  <c r="M12" i="11"/>
  <c r="M106" i="11"/>
  <c r="M24" i="11"/>
  <c r="M146" i="11"/>
  <c r="P36" i="12" l="1"/>
  <c r="P16" i="12"/>
  <c r="P141" i="12"/>
  <c r="P300" i="12"/>
  <c r="P322" i="12"/>
  <c r="P315" i="12"/>
  <c r="P267" i="12"/>
  <c r="P101" i="12"/>
  <c r="P164" i="12"/>
  <c r="P316" i="12"/>
  <c r="P321" i="12"/>
  <c r="P295" i="12"/>
  <c r="P290" i="12"/>
  <c r="P113" i="12"/>
  <c r="P97" i="12"/>
  <c r="P320" i="12"/>
  <c r="P219" i="12"/>
  <c r="P32" i="12"/>
  <c r="P56" i="12"/>
  <c r="P318" i="12"/>
  <c r="P314" i="12"/>
  <c r="P47" i="12"/>
  <c r="P31" i="12"/>
  <c r="P71" i="12"/>
  <c r="P74" i="12"/>
  <c r="P72" i="12"/>
  <c r="P68" i="12"/>
  <c r="P8" i="12"/>
  <c r="P104" i="12"/>
  <c r="P196" i="12"/>
  <c r="P272" i="12"/>
  <c r="P175" i="12"/>
  <c r="P137" i="12"/>
  <c r="P136" i="12"/>
  <c r="P207" i="12"/>
  <c r="P209" i="12"/>
  <c r="P304" i="12"/>
  <c r="P127" i="12"/>
  <c r="P10" i="12"/>
  <c r="P222" i="12"/>
  <c r="P265" i="12"/>
  <c r="P59" i="12"/>
  <c r="P216" i="12"/>
  <c r="P5" i="12"/>
  <c r="P172" i="12"/>
  <c r="P298" i="12"/>
  <c r="P107" i="12"/>
  <c r="P262" i="12"/>
  <c r="P258" i="12"/>
  <c r="P309" i="12"/>
  <c r="P54" i="12"/>
  <c r="P242" i="12"/>
  <c r="P154" i="12"/>
  <c r="P149" i="12"/>
  <c r="P57" i="12"/>
  <c r="P313" i="12"/>
  <c r="P179" i="12"/>
  <c r="P46" i="12"/>
  <c r="P297" i="12"/>
  <c r="P310" i="12"/>
  <c r="O2" i="13"/>
  <c r="P77" i="13" s="1"/>
  <c r="P208" i="13"/>
  <c r="P205" i="13"/>
  <c r="P243" i="13"/>
  <c r="P30" i="13"/>
  <c r="P91" i="13"/>
  <c r="P32" i="13"/>
  <c r="P277" i="13"/>
  <c r="P21" i="13"/>
  <c r="P235" i="13"/>
  <c r="P125" i="13"/>
  <c r="P172" i="13"/>
  <c r="P102" i="13"/>
  <c r="P239" i="13"/>
  <c r="P214" i="13"/>
  <c r="P115" i="13"/>
  <c r="P307" i="13"/>
  <c r="P196" i="13"/>
  <c r="P3" i="13"/>
  <c r="P311" i="13"/>
  <c r="P282" i="13"/>
  <c r="P305" i="13"/>
  <c r="P284" i="13"/>
  <c r="P226" i="13"/>
  <c r="P228" i="13"/>
  <c r="P230" i="13"/>
  <c r="P278" i="13"/>
  <c r="P210" i="13"/>
  <c r="P186" i="13"/>
  <c r="P165" i="13"/>
  <c r="P246" i="13"/>
  <c r="P180" i="13"/>
  <c r="P176" i="13"/>
  <c r="P317" i="13"/>
  <c r="P183" i="13"/>
  <c r="P59" i="13"/>
  <c r="P82" i="13"/>
  <c r="P267" i="13"/>
  <c r="P198" i="13"/>
  <c r="P275" i="13"/>
  <c r="P236" i="13"/>
  <c r="P301" i="13"/>
  <c r="P41" i="13"/>
  <c r="P185" i="13"/>
  <c r="P121" i="13"/>
  <c r="P12" i="13"/>
  <c r="P155" i="12"/>
  <c r="P253" i="12"/>
  <c r="P75" i="12"/>
  <c r="P168" i="12"/>
  <c r="P299" i="12"/>
  <c r="P18" i="12"/>
  <c r="P233" i="12"/>
  <c r="P204" i="12"/>
  <c r="P126" i="12"/>
  <c r="P263" i="12"/>
  <c r="P266" i="12"/>
  <c r="P211" i="12"/>
  <c r="P50" i="12"/>
  <c r="P152" i="12"/>
  <c r="P33" i="12"/>
  <c r="P235" i="12"/>
  <c r="P55" i="12"/>
  <c r="P289" i="12"/>
  <c r="P247" i="12"/>
  <c r="P285" i="12"/>
  <c r="P63" i="12"/>
  <c r="P34" i="12"/>
  <c r="P44" i="12"/>
  <c r="P249" i="12"/>
  <c r="P145" i="12"/>
  <c r="P158" i="12"/>
  <c r="P227" i="12"/>
  <c r="P230" i="12"/>
  <c r="P181" i="12"/>
  <c r="P86" i="12"/>
  <c r="P93" i="12"/>
  <c r="P153" i="12"/>
  <c r="P284" i="12"/>
  <c r="P106" i="12"/>
  <c r="P257" i="12"/>
  <c r="P241" i="12"/>
  <c r="P109" i="12"/>
  <c r="P58" i="12"/>
  <c r="P228" i="12"/>
  <c r="P239" i="12"/>
  <c r="P125" i="12"/>
  <c r="P100" i="12"/>
  <c r="P212" i="12"/>
  <c r="P256" i="12"/>
  <c r="P105" i="12"/>
  <c r="P117" i="12"/>
  <c r="P12" i="12"/>
  <c r="P40" i="12"/>
  <c r="P189" i="12"/>
  <c r="P296" i="12"/>
  <c r="P135" i="12"/>
  <c r="P88" i="12"/>
  <c r="P308" i="12"/>
  <c r="P49" i="12"/>
  <c r="P188" i="12"/>
  <c r="P218" i="12"/>
  <c r="P128" i="12"/>
  <c r="P70" i="12"/>
  <c r="P273" i="12"/>
  <c r="P240" i="12"/>
  <c r="P184" i="12"/>
  <c r="P260" i="12"/>
  <c r="P224" i="12"/>
  <c r="P220" i="12"/>
  <c r="P170" i="12"/>
  <c r="P85" i="12"/>
  <c r="P248" i="12"/>
  <c r="P231" i="12"/>
  <c r="P87" i="12"/>
  <c r="P151" i="12"/>
  <c r="P14" i="12"/>
  <c r="P156" i="12"/>
  <c r="P73" i="12"/>
  <c r="P78" i="12"/>
  <c r="P194" i="12"/>
  <c r="P161" i="12"/>
  <c r="P80" i="12"/>
  <c r="P274" i="12"/>
  <c r="P124" i="12"/>
  <c r="P51" i="12"/>
  <c r="P15" i="12"/>
  <c r="P25" i="12"/>
  <c r="P213" i="12"/>
  <c r="P283" i="12"/>
  <c r="P120" i="12"/>
  <c r="P246" i="12"/>
  <c r="P77" i="12"/>
  <c r="P225" i="12"/>
  <c r="P9" i="12"/>
  <c r="P79" i="12"/>
  <c r="P245" i="12"/>
  <c r="P35" i="12"/>
  <c r="P171" i="12"/>
  <c r="P52" i="12"/>
  <c r="P306" i="12"/>
  <c r="P185" i="12"/>
  <c r="P226" i="12"/>
  <c r="P42" i="12"/>
  <c r="P237" i="12"/>
  <c r="P118" i="12"/>
  <c r="P288" i="12"/>
  <c r="P254" i="12"/>
  <c r="P95" i="12"/>
  <c r="P115" i="12"/>
  <c r="P271" i="12"/>
  <c r="P23" i="12"/>
  <c r="P146" i="12"/>
  <c r="P163" i="12"/>
  <c r="P234" i="12"/>
  <c r="P81" i="12"/>
  <c r="P292" i="12"/>
  <c r="P82" i="12"/>
  <c r="P276" i="12"/>
  <c r="P99" i="12"/>
  <c r="P169" i="12"/>
  <c r="P2" i="12"/>
  <c r="P264" i="12"/>
  <c r="P102" i="12"/>
  <c r="P270" i="12"/>
  <c r="P129" i="12"/>
  <c r="P122" i="12"/>
  <c r="P29" i="12"/>
  <c r="P190" i="12"/>
  <c r="P103" i="12"/>
  <c r="P195" i="12"/>
  <c r="P177" i="12"/>
  <c r="P200" i="12"/>
  <c r="P20" i="12"/>
  <c r="P305" i="12"/>
  <c r="P167" i="12"/>
  <c r="P278" i="12"/>
  <c r="P193" i="12"/>
  <c r="P150" i="12"/>
  <c r="P210" i="12"/>
  <c r="P148" i="12"/>
  <c r="P198" i="12"/>
  <c r="P197" i="12"/>
  <c r="P111" i="12"/>
  <c r="P243" i="12"/>
  <c r="P131" i="12"/>
  <c r="P261" i="12"/>
  <c r="P112" i="12"/>
  <c r="P202" i="12"/>
  <c r="P139" i="12"/>
  <c r="P286" i="12"/>
  <c r="P279" i="12"/>
  <c r="P17" i="12"/>
  <c r="P191" i="12"/>
  <c r="P96" i="12"/>
  <c r="P26" i="12"/>
  <c r="P229" i="12"/>
  <c r="P147" i="12"/>
  <c r="P282" i="12"/>
  <c r="P178" i="12"/>
  <c r="P11" i="12"/>
  <c r="P174" i="12"/>
  <c r="P307" i="12"/>
  <c r="P114" i="12"/>
  <c r="P215" i="12"/>
  <c r="P7" i="12"/>
  <c r="P84" i="12"/>
  <c r="P76" i="12"/>
  <c r="P303" i="12"/>
  <c r="P269" i="12"/>
  <c r="P238" i="12"/>
  <c r="P92" i="12"/>
  <c r="P214" i="12"/>
  <c r="P180" i="12"/>
  <c r="P132" i="12"/>
  <c r="P43" i="12"/>
  <c r="P182" i="12"/>
  <c r="P62" i="12"/>
  <c r="P301" i="12"/>
  <c r="P206" i="12"/>
  <c r="P116" i="12"/>
  <c r="P27" i="12"/>
  <c r="P165" i="12"/>
  <c r="P13" i="12"/>
  <c r="P48" i="12"/>
  <c r="P142" i="12"/>
  <c r="P162" i="12"/>
  <c r="P67" i="12"/>
  <c r="P91" i="12"/>
  <c r="P252" i="12"/>
  <c r="P37" i="12"/>
  <c r="P22" i="12"/>
  <c r="P205" i="12"/>
  <c r="P64" i="12"/>
  <c r="P30" i="12"/>
  <c r="P157" i="12"/>
  <c r="P159" i="12"/>
  <c r="P311" i="12"/>
  <c r="P61" i="12"/>
  <c r="P41" i="12"/>
  <c r="P144" i="12"/>
  <c r="P259" i="12"/>
  <c r="P166" i="12"/>
  <c r="P21" i="12"/>
  <c r="P89" i="12"/>
  <c r="P192" i="12"/>
  <c r="P28" i="12"/>
  <c r="P90" i="12"/>
  <c r="P183" i="12"/>
  <c r="P251" i="12"/>
  <c r="P217" i="12"/>
  <c r="P176" i="12"/>
  <c r="P302" i="12"/>
  <c r="P275" i="12"/>
  <c r="P294" i="12"/>
  <c r="P268" i="12"/>
  <c r="P173" i="12"/>
  <c r="P39" i="12"/>
  <c r="P236" i="12"/>
  <c r="P223" i="12"/>
  <c r="P24" i="12"/>
  <c r="P187" i="12"/>
  <c r="P293" i="12"/>
  <c r="P4" i="12"/>
  <c r="P244" i="12"/>
  <c r="P250" i="12"/>
  <c r="P69" i="12"/>
  <c r="P221" i="12"/>
  <c r="P110" i="12"/>
  <c r="P6" i="12"/>
  <c r="P186" i="12"/>
  <c r="P130" i="12"/>
  <c r="P255" i="12"/>
  <c r="P201" i="12"/>
  <c r="P60" i="12"/>
  <c r="P134" i="12"/>
  <c r="P199" i="12"/>
  <c r="P133" i="12"/>
  <c r="P203" i="12"/>
  <c r="P3" i="12"/>
  <c r="P45" i="12"/>
  <c r="P108" i="12"/>
  <c r="P94" i="12"/>
  <c r="P312" i="12"/>
  <c r="P53" i="12"/>
  <c r="P160" i="12"/>
  <c r="P287" i="12"/>
  <c r="P143" i="12"/>
  <c r="P123" i="12"/>
  <c r="P280" i="12"/>
  <c r="P38" i="12"/>
  <c r="P83" i="12"/>
  <c r="P138" i="12"/>
  <c r="P208" i="12"/>
  <c r="O2" i="11"/>
  <c r="P118" i="11" s="1"/>
  <c r="P22" i="11" l="1"/>
  <c r="P131" i="13"/>
  <c r="P124" i="13"/>
  <c r="P302" i="13"/>
  <c r="P67" i="13"/>
  <c r="P177" i="13"/>
  <c r="P266" i="13"/>
  <c r="P96" i="13"/>
  <c r="P169" i="13"/>
  <c r="P308" i="13"/>
  <c r="P254" i="13"/>
  <c r="P92" i="13"/>
  <c r="P313" i="13"/>
  <c r="P223" i="13"/>
  <c r="P167" i="13"/>
  <c r="P191" i="13"/>
  <c r="P240" i="13"/>
  <c r="P189" i="13"/>
  <c r="P174" i="13"/>
  <c r="P260" i="13"/>
  <c r="P56" i="13"/>
  <c r="P225" i="13"/>
  <c r="P114" i="13"/>
  <c r="P279" i="13"/>
  <c r="P94" i="13"/>
  <c r="P288" i="13"/>
  <c r="P85" i="13"/>
  <c r="P320" i="11"/>
  <c r="P316" i="11"/>
  <c r="P321" i="11"/>
  <c r="P319" i="11"/>
  <c r="P318" i="11"/>
  <c r="P279" i="11"/>
  <c r="P317" i="11"/>
  <c r="P131" i="11"/>
  <c r="P302" i="11"/>
  <c r="P195" i="11"/>
  <c r="P191" i="11"/>
  <c r="P69" i="11"/>
  <c r="P75" i="11"/>
  <c r="P140" i="11"/>
  <c r="P120" i="11"/>
  <c r="P244" i="11"/>
  <c r="P58" i="11"/>
  <c r="P246" i="11"/>
  <c r="P277" i="11"/>
  <c r="P222" i="11"/>
  <c r="P257" i="11"/>
  <c r="P315" i="11"/>
  <c r="P289" i="11"/>
  <c r="P85" i="11"/>
  <c r="P119" i="11"/>
  <c r="P124" i="11"/>
  <c r="P253" i="11"/>
  <c r="P122" i="13"/>
  <c r="P101" i="13"/>
  <c r="P209" i="13"/>
  <c r="P274" i="13"/>
  <c r="P259" i="13"/>
  <c r="P93" i="13"/>
  <c r="P4" i="13"/>
  <c r="P262" i="13"/>
  <c r="P141" i="13"/>
  <c r="P212" i="13"/>
  <c r="P72" i="13"/>
  <c r="P245" i="13"/>
  <c r="P136" i="13"/>
  <c r="P48" i="13"/>
  <c r="P26" i="13"/>
  <c r="P281" i="13"/>
  <c r="P298" i="13"/>
  <c r="P195" i="13"/>
  <c r="P15" i="13"/>
  <c r="P280" i="13"/>
  <c r="P173" i="13"/>
  <c r="P64" i="13"/>
  <c r="P312" i="13"/>
  <c r="P147" i="13"/>
  <c r="P73" i="13"/>
  <c r="P201" i="13"/>
  <c r="P25" i="13"/>
  <c r="P148" i="13"/>
  <c r="P161" i="13"/>
  <c r="P58" i="13"/>
  <c r="P304" i="13"/>
  <c r="P129" i="13"/>
  <c r="P109" i="13"/>
  <c r="P159" i="13"/>
  <c r="P107" i="13"/>
  <c r="P211" i="13"/>
  <c r="P100" i="13"/>
  <c r="P80" i="13"/>
  <c r="P134" i="13"/>
  <c r="P233" i="13"/>
  <c r="P204" i="13"/>
  <c r="P216" i="13"/>
  <c r="P49" i="13"/>
  <c r="P116" i="13"/>
  <c r="P286" i="13"/>
  <c r="P60" i="13"/>
  <c r="P27" i="13"/>
  <c r="P315" i="13"/>
  <c r="P119" i="13"/>
  <c r="P200" i="13"/>
  <c r="P24" i="13"/>
  <c r="P7" i="13"/>
  <c r="P95" i="13"/>
  <c r="P150" i="13"/>
  <c r="P272" i="13"/>
  <c r="P202" i="13"/>
  <c r="P55" i="13"/>
  <c r="P264" i="13"/>
  <c r="P164" i="13"/>
  <c r="P146" i="13"/>
  <c r="P227" i="13"/>
  <c r="P9" i="13"/>
  <c r="P126" i="13"/>
  <c r="P19" i="13"/>
  <c r="P291" i="13"/>
  <c r="P110" i="13"/>
  <c r="P310" i="13"/>
  <c r="P257" i="13"/>
  <c r="P255" i="13"/>
  <c r="P188" i="13"/>
  <c r="P103" i="13"/>
  <c r="P43" i="13"/>
  <c r="P268" i="13"/>
  <c r="P104" i="13"/>
  <c r="P52" i="13"/>
  <c r="P190" i="13"/>
  <c r="P47" i="13"/>
  <c r="P70" i="13"/>
  <c r="P187" i="13"/>
  <c r="P224" i="13"/>
  <c r="P145" i="13"/>
  <c r="P219" i="13"/>
  <c r="P166" i="13"/>
  <c r="P69" i="13"/>
  <c r="P290" i="13"/>
  <c r="P252" i="13"/>
  <c r="P16" i="13"/>
  <c r="P142" i="13"/>
  <c r="P170" i="13"/>
  <c r="P97" i="13"/>
  <c r="P322" i="13"/>
  <c r="P39" i="13"/>
  <c r="P13" i="13"/>
  <c r="P154" i="13"/>
  <c r="P140" i="13"/>
  <c r="P135" i="13"/>
  <c r="P57" i="13"/>
  <c r="P113" i="13"/>
  <c r="P10" i="13"/>
  <c r="P256" i="13"/>
  <c r="P182" i="13"/>
  <c r="P250" i="13"/>
  <c r="P309" i="13"/>
  <c r="P66" i="13"/>
  <c r="P156" i="13"/>
  <c r="P88" i="13"/>
  <c r="P75" i="13"/>
  <c r="P283" i="13"/>
  <c r="P89" i="13"/>
  <c r="P193" i="13"/>
  <c r="P276" i="13"/>
  <c r="P270" i="13"/>
  <c r="P87" i="13"/>
  <c r="P258" i="13"/>
  <c r="P207" i="13"/>
  <c r="P123" i="13"/>
  <c r="P112" i="13"/>
  <c r="P232" i="13"/>
  <c r="P65" i="13"/>
  <c r="P192" i="13"/>
  <c r="P120" i="13"/>
  <c r="P79" i="13"/>
  <c r="P318" i="13"/>
  <c r="P78" i="13"/>
  <c r="P237" i="13"/>
  <c r="P238" i="13"/>
  <c r="P321" i="13"/>
  <c r="P137" i="13"/>
  <c r="P35" i="13"/>
  <c r="P287" i="13"/>
  <c r="P316" i="13"/>
  <c r="P299" i="13"/>
  <c r="P68" i="13"/>
  <c r="P84" i="13"/>
  <c r="P139" i="13"/>
  <c r="P130" i="13"/>
  <c r="P53" i="13"/>
  <c r="P31" i="13"/>
  <c r="P29" i="13"/>
  <c r="P28" i="13"/>
  <c r="P151" i="13"/>
  <c r="P271" i="13"/>
  <c r="P118" i="13"/>
  <c r="P38" i="13"/>
  <c r="P62" i="13"/>
  <c r="P242" i="13"/>
  <c r="P37" i="13"/>
  <c r="P83" i="13"/>
  <c r="P50" i="13"/>
  <c r="P111" i="13"/>
  <c r="P175" i="13"/>
  <c r="P152" i="13"/>
  <c r="P6" i="13"/>
  <c r="P293" i="13"/>
  <c r="P106" i="13"/>
  <c r="P320" i="13"/>
  <c r="P46" i="13"/>
  <c r="P269" i="13"/>
  <c r="P289" i="13"/>
  <c r="P221" i="13"/>
  <c r="P295" i="13"/>
  <c r="P220" i="13"/>
  <c r="P138" i="13"/>
  <c r="P265" i="13"/>
  <c r="P99" i="13"/>
  <c r="P215" i="13"/>
  <c r="P74" i="13"/>
  <c r="P231" i="13"/>
  <c r="P171" i="13"/>
  <c r="P206" i="13"/>
  <c r="P144" i="13"/>
  <c r="P300" i="13"/>
  <c r="P128" i="13"/>
  <c r="P90" i="13"/>
  <c r="P81" i="13"/>
  <c r="P108" i="13"/>
  <c r="P63" i="13"/>
  <c r="P44" i="13"/>
  <c r="P247" i="13"/>
  <c r="P248" i="13"/>
  <c r="P17" i="13"/>
  <c r="P179" i="13"/>
  <c r="P160" i="13"/>
  <c r="P54" i="13"/>
  <c r="P117" i="13"/>
  <c r="P229" i="13"/>
  <c r="P244" i="13"/>
  <c r="P157" i="13"/>
  <c r="P178" i="13"/>
  <c r="P18" i="13"/>
  <c r="P253" i="13"/>
  <c r="P194" i="13"/>
  <c r="P234" i="13"/>
  <c r="P296" i="13"/>
  <c r="P162" i="13"/>
  <c r="P263" i="13"/>
  <c r="P127" i="13"/>
  <c r="P5" i="13"/>
  <c r="P149" i="13"/>
  <c r="P181" i="13"/>
  <c r="P86" i="13"/>
  <c r="P303" i="13"/>
  <c r="P218" i="13"/>
  <c r="P8" i="13"/>
  <c r="P34" i="13"/>
  <c r="P40" i="13"/>
  <c r="P11" i="13"/>
  <c r="P51" i="13"/>
  <c r="P197" i="13"/>
  <c r="P158" i="13"/>
  <c r="P61" i="13"/>
  <c r="P153" i="13"/>
  <c r="P261" i="13"/>
  <c r="P319" i="13"/>
  <c r="P241" i="13"/>
  <c r="P297" i="13"/>
  <c r="P163" i="13"/>
  <c r="P133" i="13"/>
  <c r="P273" i="13"/>
  <c r="P222" i="13"/>
  <c r="P203" i="13"/>
  <c r="P71" i="13"/>
  <c r="P285" i="13"/>
  <c r="P36" i="13"/>
  <c r="P33" i="13"/>
  <c r="P155" i="13"/>
  <c r="P292" i="13"/>
  <c r="P314" i="13"/>
  <c r="P184" i="13"/>
  <c r="P14" i="13"/>
  <c r="P213" i="13"/>
  <c r="P20" i="13"/>
  <c r="P143" i="13"/>
  <c r="P294" i="13"/>
  <c r="P105" i="13"/>
  <c r="P217" i="13"/>
  <c r="P98" i="13"/>
  <c r="P2" i="13"/>
  <c r="P306" i="13"/>
  <c r="P251" i="13"/>
  <c r="P45" i="13"/>
  <c r="P22" i="13"/>
  <c r="P76" i="13"/>
  <c r="P249" i="13"/>
  <c r="P42" i="13"/>
  <c r="P199" i="13"/>
  <c r="P23" i="13"/>
  <c r="P168" i="13"/>
  <c r="P132" i="13"/>
  <c r="P66" i="11"/>
  <c r="P216" i="11"/>
  <c r="P148" i="11"/>
  <c r="P44" i="11"/>
  <c r="P298" i="11"/>
  <c r="P9" i="11"/>
  <c r="P291" i="11"/>
  <c r="P260" i="11"/>
  <c r="P86" i="11"/>
  <c r="P76" i="11"/>
  <c r="P220" i="11"/>
  <c r="P175" i="11"/>
  <c r="P236" i="11"/>
  <c r="P164" i="11"/>
  <c r="P57" i="11"/>
  <c r="P117" i="11"/>
  <c r="P168" i="11"/>
  <c r="P108" i="11"/>
  <c r="P209" i="11"/>
  <c r="P41" i="11"/>
  <c r="P178" i="11"/>
  <c r="P264" i="11"/>
  <c r="P14" i="11"/>
  <c r="P215" i="11"/>
  <c r="P37" i="11"/>
  <c r="P172" i="11"/>
  <c r="P305" i="11"/>
  <c r="P31" i="11"/>
  <c r="P285" i="11"/>
  <c r="P274" i="11"/>
  <c r="P200" i="11"/>
  <c r="P226" i="11"/>
  <c r="P190" i="11"/>
  <c r="P95" i="11"/>
  <c r="P91" i="11"/>
  <c r="P177" i="11"/>
  <c r="P311" i="11"/>
  <c r="P84" i="11"/>
  <c r="P105" i="11"/>
  <c r="P233" i="11"/>
  <c r="P92" i="11"/>
  <c r="P303" i="11"/>
  <c r="P295" i="11"/>
  <c r="P252" i="11"/>
  <c r="P126" i="11"/>
  <c r="P173" i="11"/>
  <c r="P128" i="11"/>
  <c r="P53" i="11"/>
  <c r="P61" i="11"/>
  <c r="P219" i="11"/>
  <c r="P114" i="11"/>
  <c r="P159" i="11"/>
  <c r="P6" i="11"/>
  <c r="P149" i="11"/>
  <c r="P278" i="11"/>
  <c r="P180" i="11"/>
  <c r="P147" i="11"/>
  <c r="P65" i="11"/>
  <c r="P176" i="11"/>
  <c r="P313" i="11"/>
  <c r="P46" i="11"/>
  <c r="P42" i="11"/>
  <c r="P204" i="11"/>
  <c r="P48" i="11"/>
  <c r="P28" i="11"/>
  <c r="P269" i="11"/>
  <c r="P97" i="11"/>
  <c r="P276" i="11"/>
  <c r="P293" i="11"/>
  <c r="P21" i="11"/>
  <c r="P206" i="11"/>
  <c r="P54" i="11"/>
  <c r="P250" i="11"/>
  <c r="P87" i="11"/>
  <c r="P259" i="11"/>
  <c r="P49" i="11"/>
  <c r="P35" i="11"/>
  <c r="P198" i="11"/>
  <c r="P143" i="11"/>
  <c r="P5" i="11"/>
  <c r="P165" i="11"/>
  <c r="P138" i="11"/>
  <c r="P72" i="11"/>
  <c r="P167" i="11"/>
  <c r="P3" i="11"/>
  <c r="P281" i="11"/>
  <c r="P231" i="11"/>
  <c r="P50" i="11"/>
  <c r="P17" i="11"/>
  <c r="P214" i="11"/>
  <c r="P174" i="11"/>
  <c r="P45" i="11"/>
  <c r="P194" i="11"/>
  <c r="P63" i="11"/>
  <c r="P32" i="11"/>
  <c r="P98" i="11"/>
  <c r="P25" i="11"/>
  <c r="P181" i="11"/>
  <c r="P188" i="11"/>
  <c r="P79" i="11"/>
  <c r="P294" i="11"/>
  <c r="P241" i="11"/>
  <c r="P185" i="11"/>
  <c r="P116" i="11"/>
  <c r="P288" i="11"/>
  <c r="P199" i="11"/>
  <c r="P40" i="11"/>
  <c r="P122" i="11"/>
  <c r="P232" i="11"/>
  <c r="P235" i="11"/>
  <c r="P237" i="11"/>
  <c r="P282" i="11"/>
  <c r="P239" i="11"/>
  <c r="P290" i="11"/>
  <c r="P225" i="11"/>
  <c r="P280" i="11"/>
  <c r="P10" i="11"/>
  <c r="P142" i="11"/>
  <c r="P308" i="11"/>
  <c r="P183" i="11"/>
  <c r="P29" i="11"/>
  <c r="P68" i="11"/>
  <c r="P123" i="11"/>
  <c r="P115" i="11"/>
  <c r="P19" i="11"/>
  <c r="P223" i="11"/>
  <c r="P283" i="11"/>
  <c r="P30" i="11"/>
  <c r="P59" i="11"/>
  <c r="P217" i="11"/>
  <c r="P189" i="11"/>
  <c r="P73" i="11"/>
  <c r="P292" i="11"/>
  <c r="P112" i="11"/>
  <c r="P299" i="11"/>
  <c r="P90" i="11"/>
  <c r="P218" i="11"/>
  <c r="P287" i="11"/>
  <c r="P263" i="11"/>
  <c r="P16" i="11"/>
  <c r="P151" i="11"/>
  <c r="P78" i="11"/>
  <c r="P24" i="11"/>
  <c r="P248" i="11"/>
  <c r="P230" i="11"/>
  <c r="P243" i="11"/>
  <c r="P113" i="11"/>
  <c r="P125" i="11"/>
  <c r="P51" i="11"/>
  <c r="P213" i="11"/>
  <c r="P205" i="11"/>
  <c r="P266" i="11"/>
  <c r="P89" i="11"/>
  <c r="P271" i="11"/>
  <c r="P103" i="11"/>
  <c r="P306" i="11"/>
  <c r="P129" i="11"/>
  <c r="P153" i="11"/>
  <c r="P158" i="11"/>
  <c r="P307" i="11"/>
  <c r="P33" i="11"/>
  <c r="P47" i="11"/>
  <c r="P251" i="11"/>
  <c r="P62" i="11"/>
  <c r="P184" i="11"/>
  <c r="P261" i="11"/>
  <c r="P201" i="11"/>
  <c r="P144" i="11"/>
  <c r="P156" i="11"/>
  <c r="P70" i="11"/>
  <c r="P15" i="11"/>
  <c r="P52" i="11"/>
  <c r="P163" i="11"/>
  <c r="P154" i="11"/>
  <c r="P224" i="11"/>
  <c r="P249" i="11"/>
  <c r="P221" i="11"/>
  <c r="P267" i="11"/>
  <c r="P133" i="11"/>
  <c r="P104" i="11"/>
  <c r="P268" i="11"/>
  <c r="P210" i="11"/>
  <c r="P64" i="11"/>
  <c r="P26" i="11"/>
  <c r="P101" i="11"/>
  <c r="P43" i="11"/>
  <c r="P208" i="11"/>
  <c r="P207" i="11"/>
  <c r="P182" i="11"/>
  <c r="P157" i="11"/>
  <c r="P56" i="11"/>
  <c r="P265" i="11"/>
  <c r="P111" i="11"/>
  <c r="P193" i="11"/>
  <c r="P229" i="11"/>
  <c r="P203" i="11"/>
  <c r="P8" i="11"/>
  <c r="P146" i="11"/>
  <c r="P202" i="11"/>
  <c r="P121" i="11"/>
  <c r="P39" i="11"/>
  <c r="P197" i="11"/>
  <c r="P34" i="11"/>
  <c r="P212" i="11"/>
  <c r="P7" i="11"/>
  <c r="P135" i="11"/>
  <c r="P13" i="11"/>
  <c r="P11" i="11"/>
  <c r="P161" i="11"/>
  <c r="P211" i="11"/>
  <c r="P137" i="11"/>
  <c r="P20" i="11"/>
  <c r="P60" i="11"/>
  <c r="P196" i="11"/>
  <c r="P27" i="11"/>
  <c r="P107" i="11"/>
  <c r="P262" i="11"/>
  <c r="P297" i="11"/>
  <c r="P136" i="11"/>
  <c r="P227" i="11"/>
  <c r="P171" i="11"/>
  <c r="P245" i="11"/>
  <c r="P83" i="11"/>
  <c r="P256" i="11"/>
  <c r="P166" i="11"/>
  <c r="P134" i="11"/>
  <c r="P55" i="11"/>
  <c r="P106" i="11"/>
  <c r="P300" i="11"/>
  <c r="P304" i="11"/>
  <c r="P93" i="11"/>
  <c r="P102" i="11"/>
  <c r="P132" i="11"/>
  <c r="P270" i="11"/>
  <c r="P170" i="11"/>
  <c r="P23" i="11"/>
  <c r="P272" i="11"/>
  <c r="P81" i="11"/>
  <c r="P309" i="11"/>
  <c r="P179" i="11"/>
  <c r="P139" i="11"/>
  <c r="P127" i="11"/>
  <c r="P150" i="11"/>
  <c r="P160" i="11"/>
  <c r="P2" i="11"/>
  <c r="P99" i="11"/>
  <c r="P301" i="11"/>
  <c r="P36" i="11"/>
  <c r="P71" i="11"/>
  <c r="P238" i="11"/>
  <c r="P141" i="11"/>
  <c r="P94" i="11"/>
  <c r="P296" i="11"/>
  <c r="P275" i="11"/>
  <c r="P109" i="11"/>
  <c r="P18" i="11"/>
  <c r="P4" i="11"/>
  <c r="P240" i="11"/>
  <c r="P284" i="11"/>
  <c r="P314" i="11"/>
  <c r="P247" i="11"/>
  <c r="P162" i="11"/>
  <c r="P169" i="11"/>
  <c r="P258" i="11"/>
  <c r="P255" i="11"/>
  <c r="P77" i="11"/>
  <c r="P273" i="11"/>
  <c r="P187" i="11"/>
  <c r="P100" i="11"/>
  <c r="P254" i="11"/>
  <c r="P38" i="11"/>
  <c r="P234" i="11"/>
  <c r="P286" i="11"/>
  <c r="P74" i="11"/>
  <c r="P110" i="11"/>
  <c r="P96" i="11"/>
  <c r="P67" i="11"/>
  <c r="P155" i="11"/>
  <c r="P88" i="11"/>
  <c r="P12" i="11"/>
  <c r="P192" i="11"/>
  <c r="P242" i="11"/>
  <c r="P310" i="11"/>
  <c r="P80" i="11"/>
  <c r="P82" i="11"/>
  <c r="P145" i="11"/>
  <c r="P228" i="11"/>
  <c r="P312" i="11"/>
  <c r="P152" i="11"/>
  <c r="P186" i="11"/>
  <c r="P130" i="11"/>
  <c r="J321" i="9"/>
  <c r="I321" i="9"/>
  <c r="K321" i="9" s="1"/>
  <c r="J320" i="9"/>
  <c r="I320" i="9"/>
  <c r="K320" i="9" s="1"/>
  <c r="J319" i="9"/>
  <c r="I319" i="9"/>
  <c r="K319" i="9" s="1"/>
  <c r="L319" i="9" s="1"/>
  <c r="V101" i="9" s="1"/>
  <c r="J318" i="9"/>
  <c r="I318" i="9"/>
  <c r="K318" i="9" s="1"/>
  <c r="J317" i="9"/>
  <c r="I317" i="9"/>
  <c r="K317" i="9" s="1"/>
  <c r="J316" i="9"/>
  <c r="I316" i="9"/>
  <c r="K316" i="9" s="1"/>
  <c r="L316" i="9" s="1"/>
  <c r="V98" i="9" s="1"/>
  <c r="J315" i="9"/>
  <c r="I315" i="9"/>
  <c r="K315" i="9" s="1"/>
  <c r="L315" i="9" s="1"/>
  <c r="V97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L308" i="9" s="1"/>
  <c r="J307" i="9"/>
  <c r="I307" i="9"/>
  <c r="K307" i="9" s="1"/>
  <c r="L307" i="9" s="1"/>
  <c r="V89" i="9" s="1"/>
  <c r="J306" i="9"/>
  <c r="I306" i="9"/>
  <c r="K306" i="9" s="1"/>
  <c r="J305" i="9"/>
  <c r="I305" i="9"/>
  <c r="K305" i="9" s="1"/>
  <c r="J304" i="9"/>
  <c r="I304" i="9"/>
  <c r="K304" i="9" s="1"/>
  <c r="L304" i="9" s="1"/>
  <c r="V86" i="9" s="1"/>
  <c r="J303" i="9"/>
  <c r="I303" i="9"/>
  <c r="K303" i="9" s="1"/>
  <c r="L303" i="9" s="1"/>
  <c r="V85" i="9" s="1"/>
  <c r="J302" i="9"/>
  <c r="I302" i="9"/>
  <c r="K302" i="9" s="1"/>
  <c r="L302" i="9" s="1"/>
  <c r="V84" i="9" s="1"/>
  <c r="J301" i="9"/>
  <c r="I301" i="9"/>
  <c r="K301" i="9" s="1"/>
  <c r="J300" i="9"/>
  <c r="I300" i="9"/>
  <c r="K300" i="9" s="1"/>
  <c r="J299" i="9"/>
  <c r="I299" i="9"/>
  <c r="K299" i="9" s="1"/>
  <c r="L299" i="9" s="1"/>
  <c r="J298" i="9"/>
  <c r="I298" i="9"/>
  <c r="K298" i="9" s="1"/>
  <c r="J297" i="9"/>
  <c r="I297" i="9"/>
  <c r="K297" i="9" s="1"/>
  <c r="J296" i="9"/>
  <c r="I296" i="9"/>
  <c r="K296" i="9" s="1"/>
  <c r="L296" i="9" s="1"/>
  <c r="J295" i="9"/>
  <c r="I295" i="9"/>
  <c r="K295" i="9" s="1"/>
  <c r="L295" i="9" s="1"/>
  <c r="J294" i="9"/>
  <c r="I294" i="9"/>
  <c r="K294" i="9" s="1"/>
  <c r="L294" i="9" s="1"/>
  <c r="J293" i="9"/>
  <c r="I293" i="9"/>
  <c r="K293" i="9" s="1"/>
  <c r="J292" i="9"/>
  <c r="I292" i="9"/>
  <c r="K292" i="9" s="1"/>
  <c r="L292" i="9" s="1"/>
  <c r="J291" i="9"/>
  <c r="I291" i="9"/>
  <c r="K291" i="9" s="1"/>
  <c r="L291" i="9" s="1"/>
  <c r="J290" i="9"/>
  <c r="I290" i="9"/>
  <c r="K290" i="9" s="1"/>
  <c r="L290" i="9" s="1"/>
  <c r="J289" i="9"/>
  <c r="I289" i="9"/>
  <c r="K289" i="9" s="1"/>
  <c r="J288" i="9"/>
  <c r="I288" i="9"/>
  <c r="K288" i="9" s="1"/>
  <c r="J287" i="9"/>
  <c r="I287" i="9"/>
  <c r="K287" i="9" s="1"/>
  <c r="L287" i="9" s="1"/>
  <c r="J286" i="9"/>
  <c r="I286" i="9"/>
  <c r="K286" i="9" s="1"/>
  <c r="J285" i="9"/>
  <c r="I285" i="9"/>
  <c r="K285" i="9" s="1"/>
  <c r="J284" i="9"/>
  <c r="I284" i="9"/>
  <c r="K284" i="9" s="1"/>
  <c r="L284" i="9" s="1"/>
  <c r="J283" i="9"/>
  <c r="I283" i="9"/>
  <c r="K283" i="9" s="1"/>
  <c r="L283" i="9" s="1"/>
  <c r="J282" i="9"/>
  <c r="I282" i="9"/>
  <c r="K282" i="9" s="1"/>
  <c r="L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L278" i="9" s="1"/>
  <c r="J277" i="9"/>
  <c r="I277" i="9"/>
  <c r="K277" i="9" s="1"/>
  <c r="J276" i="9"/>
  <c r="I276" i="9"/>
  <c r="K276" i="9" s="1"/>
  <c r="J275" i="9"/>
  <c r="I275" i="9"/>
  <c r="K275" i="9" s="1"/>
  <c r="L275" i="9" s="1"/>
  <c r="J274" i="9"/>
  <c r="I274" i="9"/>
  <c r="K274" i="9" s="1"/>
  <c r="J273" i="9"/>
  <c r="I273" i="9"/>
  <c r="K273" i="9" s="1"/>
  <c r="J272" i="9"/>
  <c r="I272" i="9"/>
  <c r="K272" i="9" s="1"/>
  <c r="L272" i="9" s="1"/>
  <c r="J271" i="9"/>
  <c r="I271" i="9"/>
  <c r="K271" i="9" s="1"/>
  <c r="L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L267" i="9" s="1"/>
  <c r="J266" i="9"/>
  <c r="I266" i="9"/>
  <c r="K266" i="9" s="1"/>
  <c r="J265" i="9"/>
  <c r="I265" i="9"/>
  <c r="K265" i="9" s="1"/>
  <c r="J264" i="9"/>
  <c r="I264" i="9"/>
  <c r="K264" i="9" s="1"/>
  <c r="L264" i="9" s="1"/>
  <c r="J263" i="9"/>
  <c r="I263" i="9"/>
  <c r="K263" i="9" s="1"/>
  <c r="L263" i="9" s="1"/>
  <c r="J262" i="9"/>
  <c r="I262" i="9"/>
  <c r="K262" i="9" s="1"/>
  <c r="J261" i="9"/>
  <c r="I261" i="9"/>
  <c r="K261" i="9" s="1"/>
  <c r="J260" i="9"/>
  <c r="I260" i="9"/>
  <c r="K260" i="9" s="1"/>
  <c r="L260" i="9" s="1"/>
  <c r="J259" i="9"/>
  <c r="I259" i="9"/>
  <c r="K259" i="9" s="1"/>
  <c r="L259" i="9" s="1"/>
  <c r="J258" i="9"/>
  <c r="I258" i="9"/>
  <c r="K258" i="9" s="1"/>
  <c r="J257" i="9"/>
  <c r="I257" i="9"/>
  <c r="K257" i="9" s="1"/>
  <c r="J256" i="9"/>
  <c r="I256" i="9"/>
  <c r="K256" i="9" s="1"/>
  <c r="L256" i="9" s="1"/>
  <c r="J255" i="9"/>
  <c r="I255" i="9"/>
  <c r="K255" i="9" s="1"/>
  <c r="L255" i="9" s="1"/>
  <c r="J254" i="9"/>
  <c r="I254" i="9"/>
  <c r="K254" i="9" s="1"/>
  <c r="J253" i="9"/>
  <c r="I253" i="9"/>
  <c r="K253" i="9" s="1"/>
  <c r="J252" i="9"/>
  <c r="I252" i="9"/>
  <c r="K252" i="9" s="1"/>
  <c r="L252" i="9" s="1"/>
  <c r="J251" i="9"/>
  <c r="I251" i="9"/>
  <c r="K251" i="9" s="1"/>
  <c r="L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L243" i="9" s="1"/>
  <c r="J242" i="9"/>
  <c r="I242" i="9"/>
  <c r="K242" i="9" s="1"/>
  <c r="J241" i="9"/>
  <c r="I241" i="9"/>
  <c r="K241" i="9" s="1"/>
  <c r="J240" i="9"/>
  <c r="I240" i="9"/>
  <c r="K240" i="9" s="1"/>
  <c r="L240" i="9" s="1"/>
  <c r="J239" i="9"/>
  <c r="I239" i="9"/>
  <c r="K239" i="9" s="1"/>
  <c r="L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L235" i="9" s="1"/>
  <c r="J234" i="9"/>
  <c r="I234" i="9"/>
  <c r="K234" i="9" s="1"/>
  <c r="J233" i="9"/>
  <c r="I233" i="9"/>
  <c r="K233" i="9" s="1"/>
  <c r="J232" i="9"/>
  <c r="I232" i="9"/>
  <c r="K232" i="9" s="1"/>
  <c r="L232" i="9" s="1"/>
  <c r="J231" i="9"/>
  <c r="I231" i="9"/>
  <c r="K231" i="9" s="1"/>
  <c r="L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L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L223" i="9" s="1"/>
  <c r="J222" i="9"/>
  <c r="I222" i="9"/>
  <c r="K222" i="9" s="1"/>
  <c r="J221" i="9"/>
  <c r="I221" i="9"/>
  <c r="K221" i="9" s="1"/>
  <c r="J220" i="9"/>
  <c r="I220" i="9"/>
  <c r="K220" i="9" s="1"/>
  <c r="L220" i="9" s="1"/>
  <c r="J219" i="9"/>
  <c r="I219" i="9"/>
  <c r="K219" i="9" s="1"/>
  <c r="L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L211" i="9" s="1"/>
  <c r="J210" i="9"/>
  <c r="I210" i="9"/>
  <c r="K210" i="9" s="1"/>
  <c r="J209" i="9"/>
  <c r="I209" i="9"/>
  <c r="K209" i="9" s="1"/>
  <c r="J208" i="9"/>
  <c r="I208" i="9"/>
  <c r="K208" i="9" s="1"/>
  <c r="L208" i="9" s="1"/>
  <c r="J207" i="9"/>
  <c r="I207" i="9"/>
  <c r="K207" i="9" s="1"/>
  <c r="L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L203" i="9" s="1"/>
  <c r="J202" i="9"/>
  <c r="I202" i="9"/>
  <c r="K202" i="9" s="1"/>
  <c r="J201" i="9"/>
  <c r="I201" i="9"/>
  <c r="K201" i="9" s="1"/>
  <c r="J200" i="9"/>
  <c r="I200" i="9"/>
  <c r="K200" i="9" s="1"/>
  <c r="L200" i="9" s="1"/>
  <c r="J199" i="9"/>
  <c r="I199" i="9"/>
  <c r="K199" i="9" s="1"/>
  <c r="L199" i="9" s="1"/>
  <c r="J198" i="9"/>
  <c r="I198" i="9"/>
  <c r="K198" i="9" s="1"/>
  <c r="J197" i="9"/>
  <c r="I197" i="9"/>
  <c r="K197" i="9" s="1"/>
  <c r="J196" i="9"/>
  <c r="I196" i="9"/>
  <c r="K196" i="9" s="1"/>
  <c r="L196" i="9" s="1"/>
  <c r="J195" i="9"/>
  <c r="I195" i="9"/>
  <c r="K195" i="9" s="1"/>
  <c r="L195" i="9" s="1"/>
  <c r="J194" i="9"/>
  <c r="I194" i="9"/>
  <c r="K194" i="9" s="1"/>
  <c r="J193" i="9"/>
  <c r="I193" i="9"/>
  <c r="K193" i="9" s="1"/>
  <c r="J192" i="9"/>
  <c r="I192" i="9"/>
  <c r="K192" i="9" s="1"/>
  <c r="L192" i="9" s="1"/>
  <c r="J191" i="9"/>
  <c r="I191" i="9"/>
  <c r="K191" i="9" s="1"/>
  <c r="L191" i="9" s="1"/>
  <c r="J190" i="9"/>
  <c r="I190" i="9"/>
  <c r="K190" i="9" s="1"/>
  <c r="J189" i="9"/>
  <c r="I189" i="9"/>
  <c r="K189" i="9" s="1"/>
  <c r="J188" i="9"/>
  <c r="I188" i="9"/>
  <c r="K188" i="9" s="1"/>
  <c r="L188" i="9" s="1"/>
  <c r="J187" i="9"/>
  <c r="I187" i="9"/>
  <c r="K187" i="9" s="1"/>
  <c r="L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L183" i="9" s="1"/>
  <c r="J182" i="9"/>
  <c r="I182" i="9"/>
  <c r="K182" i="9" s="1"/>
  <c r="J181" i="9"/>
  <c r="I181" i="9"/>
  <c r="K181" i="9" s="1"/>
  <c r="J180" i="9"/>
  <c r="I180" i="9"/>
  <c r="K180" i="9" s="1"/>
  <c r="L180" i="9" s="1"/>
  <c r="J179" i="9"/>
  <c r="I179" i="9"/>
  <c r="K179" i="9" s="1"/>
  <c r="L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L173" i="9" s="1"/>
  <c r="J172" i="9"/>
  <c r="I172" i="9"/>
  <c r="K172" i="9" s="1"/>
  <c r="L172" i="9" s="1"/>
  <c r="J171" i="9"/>
  <c r="I171" i="9"/>
  <c r="K171" i="9" s="1"/>
  <c r="J170" i="9"/>
  <c r="I170" i="9"/>
  <c r="K170" i="9" s="1"/>
  <c r="J169" i="9"/>
  <c r="I169" i="9"/>
  <c r="K169" i="9" s="1"/>
  <c r="L169" i="9" s="1"/>
  <c r="J168" i="9"/>
  <c r="I168" i="9"/>
  <c r="K168" i="9" s="1"/>
  <c r="L168" i="9" s="1"/>
  <c r="J167" i="9"/>
  <c r="I167" i="9"/>
  <c r="K167" i="9" s="1"/>
  <c r="J166" i="9"/>
  <c r="I166" i="9"/>
  <c r="K166" i="9" s="1"/>
  <c r="J165" i="9"/>
  <c r="I165" i="9"/>
  <c r="K165" i="9" s="1"/>
  <c r="L165" i="9" s="1"/>
  <c r="J164" i="9"/>
  <c r="I164" i="9"/>
  <c r="K164" i="9" s="1"/>
  <c r="L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L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L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L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L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L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L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L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L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L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L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L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L83" i="9" s="1"/>
  <c r="K82" i="9"/>
  <c r="J82" i="9"/>
  <c r="I82" i="9"/>
  <c r="J81" i="9"/>
  <c r="I81" i="9"/>
  <c r="K81" i="9" s="1"/>
  <c r="J80" i="9"/>
  <c r="I80" i="9"/>
  <c r="K80" i="9" s="1"/>
  <c r="J79" i="9"/>
  <c r="I79" i="9"/>
  <c r="K79" i="9" s="1"/>
  <c r="L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L75" i="9" s="1"/>
  <c r="V77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L67" i="9" s="1"/>
  <c r="V69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L63" i="9" s="1"/>
  <c r="J62" i="9"/>
  <c r="I62" i="9"/>
  <c r="K62" i="9" s="1"/>
  <c r="J61" i="9"/>
  <c r="I61" i="9"/>
  <c r="K61" i="9" s="1"/>
  <c r="L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L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L53" i="9" s="1"/>
  <c r="J52" i="9"/>
  <c r="I52" i="9"/>
  <c r="K52" i="9" s="1"/>
  <c r="L52" i="9" s="1"/>
  <c r="J51" i="9"/>
  <c r="I51" i="9"/>
  <c r="K51" i="9" s="1"/>
  <c r="L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L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L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L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L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L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L17" i="9" s="1"/>
  <c r="J16" i="9"/>
  <c r="I16" i="9"/>
  <c r="K16" i="9" s="1"/>
  <c r="L16" i="9" s="1"/>
  <c r="J15" i="9"/>
  <c r="I15" i="9"/>
  <c r="K15" i="9" s="1"/>
  <c r="J14" i="9"/>
  <c r="I14" i="9"/>
  <c r="K14" i="9" s="1"/>
  <c r="L14" i="9" s="1"/>
  <c r="J13" i="9"/>
  <c r="I13" i="9"/>
  <c r="K13" i="9" s="1"/>
  <c r="L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L9" i="9" s="1"/>
  <c r="J8" i="9"/>
  <c r="I8" i="9"/>
  <c r="K8" i="9" s="1"/>
  <c r="L8" i="9" s="1"/>
  <c r="J7" i="9"/>
  <c r="I7" i="9"/>
  <c r="K7" i="9" s="1"/>
  <c r="J6" i="9"/>
  <c r="I6" i="9"/>
  <c r="K6" i="9" s="1"/>
  <c r="J5" i="9"/>
  <c r="I5" i="9"/>
  <c r="K5" i="9" s="1"/>
  <c r="L5" i="9" s="1"/>
  <c r="J4" i="9"/>
  <c r="I4" i="9"/>
  <c r="K4" i="9" s="1"/>
  <c r="J3" i="9"/>
  <c r="I3" i="9"/>
  <c r="K3" i="9" s="1"/>
  <c r="J2" i="9"/>
  <c r="I2" i="9"/>
  <c r="K2" i="9" s="1"/>
  <c r="L56" i="9" l="1"/>
  <c r="L60" i="9"/>
  <c r="L64" i="9"/>
  <c r="L72" i="9"/>
  <c r="L76" i="9"/>
  <c r="V78" i="9" s="1"/>
  <c r="L80" i="9"/>
  <c r="L73" i="9"/>
  <c r="L77" i="9"/>
  <c r="V79" i="9" s="1"/>
  <c r="L81" i="9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L35" i="9"/>
  <c r="L91" i="9"/>
  <c r="L107" i="9"/>
  <c r="L142" i="9"/>
  <c r="L177" i="9"/>
  <c r="L210" i="9"/>
  <c r="L217" i="9"/>
  <c r="L224" i="9"/>
  <c r="L274" i="9"/>
  <c r="L281" i="9"/>
  <c r="L288" i="9"/>
  <c r="L306" i="9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L314" i="9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65" i="9"/>
  <c r="V74" i="9"/>
  <c r="V82" i="9"/>
  <c r="V68" i="9"/>
  <c r="V75" i="9"/>
  <c r="V80" i="9"/>
  <c r="L126" i="9"/>
  <c r="L27" i="9"/>
  <c r="V90" i="9"/>
  <c r="V66" i="9"/>
  <c r="L93" i="9"/>
  <c r="L161" i="9"/>
  <c r="V88" i="9"/>
  <c r="L11" i="9"/>
  <c r="V72" i="9"/>
  <c r="L117" i="9"/>
  <c r="L156" i="9"/>
  <c r="V96" i="9"/>
  <c r="V81" i="9"/>
  <c r="V83" i="9"/>
  <c r="L133" i="9"/>
  <c r="V100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L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L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L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N2" i="9" l="1"/>
  <c r="M154" i="9" s="1"/>
  <c r="N5" i="9"/>
  <c r="L14" i="1"/>
  <c r="L70" i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V72" i="1"/>
  <c r="M153" i="9" l="1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P227" i="9"/>
  <c r="P142" i="9"/>
  <c r="P225" i="9"/>
  <c r="P33" i="9"/>
  <c r="P304" i="9"/>
  <c r="P45" i="9"/>
  <c r="P217" i="9"/>
  <c r="P285" i="9"/>
  <c r="P9" i="9"/>
  <c r="P276" i="9"/>
  <c r="P209" i="9"/>
  <c r="P155" i="9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8" i="9" l="1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<sst xmlns="http://schemas.openxmlformats.org/spreadsheetml/2006/main" count="105" uniqueCount="19">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</sst>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'240806A010'!$J$2:$J$321</c:f>
              <c:numCache>
                <c:formatCode>0.0</c:formatCode>
                <c:ptCount val="320"/>
                <c:pt idx="0">
                  <c:v>659.60947303411001</c:v>
                </c:pt>
                <c:pt idx="1">
                  <c:v>665.90256340074995</c:v>
                </c:pt>
                <c:pt idx="2">
                  <c:v>665.33428935478003</c:v>
                </c:pt>
                <c:pt idx="3">
                  <c:v>642.80898759290005</c:v>
                </c:pt>
                <c:pt idx="4">
                  <c:v>644.02454015032993</c:v>
                </c:pt>
                <c:pt idx="5">
                  <c:v>654.08532129456</c:v>
                </c:pt>
                <c:pt idx="6">
                  <c:v>658.08983818011006</c:v>
                </c:pt>
                <c:pt idx="7">
                  <c:v>640.93764071295004</c:v>
                </c:pt>
                <c:pt idx="8">
                  <c:v>646.22496214123998</c:v>
                </c:pt>
                <c:pt idx="9">
                  <c:v>647.15784998105005</c:v>
                </c:pt>
                <c:pt idx="10">
                  <c:v>641.42938307764007</c:v>
                </c:pt>
                <c:pt idx="11">
                  <c:v>664.14603580362996</c:v>
                </c:pt>
                <c:pt idx="12">
                  <c:v>658.12812184653001</c:v>
                </c:pt>
                <c:pt idx="13">
                  <c:v>660.57360959566006</c:v>
                </c:pt>
                <c:pt idx="14">
                  <c:v>654.40998654981991</c:v>
                </c:pt>
                <c:pt idx="15">
                  <c:v>636.39928113128997</c:v>
                </c:pt>
                <c:pt idx="16">
                  <c:v>590.18515015842002</c:v>
                </c:pt>
                <c:pt idx="17">
                  <c:v>559.71730889197988</c:v>
                </c:pt>
                <c:pt idx="18">
                  <c:v>603.82712241290994</c:v>
                </c:pt>
                <c:pt idx="19">
                  <c:v>676.79299562225992</c:v>
                </c:pt>
                <c:pt idx="20">
                  <c:v>660.14355732743002</c:v>
                </c:pt>
                <c:pt idx="21">
                  <c:v>659.7946999584999</c:v>
                </c:pt>
                <c:pt idx="22">
                  <c:v>665.4354988222799</c:v>
                </c:pt>
                <c:pt idx="23">
                  <c:v>643.23927220867995</c:v>
                </c:pt>
                <c:pt idx="24">
                  <c:v>635.22833897353996</c:v>
                </c:pt>
                <c:pt idx="25">
                  <c:v>629.53977950772992</c:v>
                </c:pt>
                <c:pt idx="26">
                  <c:v>633.39286382532998</c:v>
                </c:pt>
                <c:pt idx="27">
                  <c:v>629.99188045899996</c:v>
                </c:pt>
                <c:pt idx="28">
                  <c:v>596.01525319719997</c:v>
                </c:pt>
                <c:pt idx="29">
                  <c:v>624.67526657285998</c:v>
                </c:pt>
                <c:pt idx="30">
                  <c:v>621.30980505137995</c:v>
                </c:pt>
                <c:pt idx="31">
                  <c:v>600.12025154957996</c:v>
                </c:pt>
                <c:pt idx="32">
                  <c:v>608.72986636672999</c:v>
                </c:pt>
                <c:pt idx="33">
                  <c:v>603.61181977023989</c:v>
                </c:pt>
                <c:pt idx="34">
                  <c:v>608.20775437803002</c:v>
                </c:pt>
                <c:pt idx="35">
                  <c:v>611.03692345191996</c:v>
                </c:pt>
                <c:pt idx="36">
                  <c:v>621.04235608890008</c:v>
                </c:pt>
                <c:pt idx="37">
                  <c:v>598.43848248886002</c:v>
                </c:pt>
                <c:pt idx="38">
                  <c:v>609.10354903462996</c:v>
                </c:pt>
                <c:pt idx="39">
                  <c:v>624.24881421674991</c:v>
                </c:pt>
                <c:pt idx="40">
                  <c:v>628.01222791398004</c:v>
                </c:pt>
                <c:pt idx="41">
                  <c:v>630.16392267639003</c:v>
                </c:pt>
                <c:pt idx="42">
                  <c:v>647.44500849191002</c:v>
                </c:pt>
                <c:pt idx="43">
                  <c:v>650.19927120908994</c:v>
                </c:pt>
                <c:pt idx="44">
                  <c:v>641.85478993615993</c:v>
                </c:pt>
                <c:pt idx="45">
                  <c:v>637.25828642902002</c:v>
                </c:pt>
                <c:pt idx="46">
                  <c:v>645.43277048155994</c:v>
                </c:pt>
                <c:pt idx="47">
                  <c:v>643.98436522827001</c:v>
                </c:pt>
                <c:pt idx="48">
                  <c:v>506.26391494684003</c:v>
                </c:pt>
                <c:pt idx="49">
                  <c:v>507.84052532832999</c:v>
                </c:pt>
                <c:pt idx="50">
                  <c:v>509.23327079424996</c:v>
                </c:pt>
                <c:pt idx="51">
                  <c:v>351.94934333959003</c:v>
                </c:pt>
                <c:pt idx="52">
                  <c:v>350.85553470919001</c:v>
                </c:pt>
                <c:pt idx="53">
                  <c:v>600.64165103189998</c:v>
                </c:pt>
                <c:pt idx="54">
                  <c:v>611.82624948863997</c:v>
                </c:pt>
                <c:pt idx="55">
                  <c:v>618.52035325816996</c:v>
                </c:pt>
                <c:pt idx="56">
                  <c:v>630.62467196202999</c:v>
                </c:pt>
                <c:pt idx="57">
                  <c:v>641.74416357194002</c:v>
                </c:pt>
                <c:pt idx="58">
                  <c:v>612.46456346271998</c:v>
                </c:pt>
                <c:pt idx="59">
                  <c:v>633.27737958883995</c:v>
                </c:pt>
                <c:pt idx="60">
                  <c:v>649.96420984088991</c:v>
                </c:pt>
                <c:pt idx="61">
                  <c:v>647.41976727026997</c:v>
                </c:pt>
                <c:pt idx="62">
                  <c:v>655.05552089831997</c:v>
                </c:pt>
                <c:pt idx="63">
                  <c:v>632.05293795555008</c:v>
                </c:pt>
                <c:pt idx="64">
                  <c:v>631.32074870672</c:v>
                </c:pt>
                <c:pt idx="65">
                  <c:v>652.85675144274001</c:v>
                </c:pt>
                <c:pt idx="66">
                  <c:v>641.61382523976999</c:v>
                </c:pt>
                <c:pt idx="67">
                  <c:v>632.54933658489995</c:v>
                </c:pt>
                <c:pt idx="68">
                  <c:v>645.78200178649001</c:v>
                </c:pt>
                <c:pt idx="69">
                  <c:v>634.93759629088004</c:v>
                </c:pt>
                <c:pt idx="70">
                  <c:v>598.32702519549002</c:v>
                </c:pt>
                <c:pt idx="71">
                  <c:v>632.07062924966999</c:v>
                </c:pt>
                <c:pt idx="72">
                  <c:v>640.3764418625301</c:v>
                </c:pt>
                <c:pt idx="73">
                  <c:v>570.96915802762999</c:v>
                </c:pt>
                <c:pt idx="74">
                  <c:v>604.08250145464001</c:v>
                </c:pt>
                <c:pt idx="75">
                  <c:v>585.10714317641998</c:v>
                </c:pt>
                <c:pt idx="76">
                  <c:v>644.50502110694003</c:v>
                </c:pt>
                <c:pt idx="77">
                  <c:v>662.14607215446995</c:v>
                </c:pt>
                <c:pt idx="78">
                  <c:v>621.16183669480995</c:v>
                </c:pt>
                <c:pt idx="79">
                  <c:v>620.02417957363002</c:v>
                </c:pt>
                <c:pt idx="80">
                  <c:v>624.02877382112001</c:v>
                </c:pt>
                <c:pt idx="81">
                  <c:v>642.94992628488001</c:v>
                </c:pt>
                <c:pt idx="82">
                  <c:v>617.52514496543995</c:v>
                </c:pt>
                <c:pt idx="83">
                  <c:v>624.83353477008995</c:v>
                </c:pt>
                <c:pt idx="84">
                  <c:v>620.91364921427999</c:v>
                </c:pt>
                <c:pt idx="85">
                  <c:v>607.19303316130004</c:v>
                </c:pt>
                <c:pt idx="86">
                  <c:v>618.13427588113007</c:v>
                </c:pt>
                <c:pt idx="87">
                  <c:v>562.36102102178995</c:v>
                </c:pt>
                <c:pt idx="88">
                  <c:v>545.84677923702998</c:v>
                </c:pt>
                <c:pt idx="89">
                  <c:v>508.80050031269002</c:v>
                </c:pt>
                <c:pt idx="90">
                  <c:v>529.83364602876998</c:v>
                </c:pt>
                <c:pt idx="91">
                  <c:v>634.46739802545994</c:v>
                </c:pt>
                <c:pt idx="92">
                  <c:v>602.46822437340006</c:v>
                </c:pt>
                <c:pt idx="93">
                  <c:v>581.18201913579003</c:v>
                </c:pt>
                <c:pt idx="94">
                  <c:v>577.83908283798996</c:v>
                </c:pt>
                <c:pt idx="95">
                  <c:v>574.91394145670006</c:v>
                </c:pt>
                <c:pt idx="96">
                  <c:v>551.96101743252007</c:v>
                </c:pt>
                <c:pt idx="97">
                  <c:v>586.80818685713996</c:v>
                </c:pt>
                <c:pt idx="98">
                  <c:v>580.74323888607</c:v>
                </c:pt>
                <c:pt idx="99">
                  <c:v>585.03518706406999</c:v>
                </c:pt>
                <c:pt idx="100">
                  <c:v>608.02327705593007</c:v>
                </c:pt>
                <c:pt idx="101">
                  <c:v>610.97062450856004</c:v>
                </c:pt>
                <c:pt idx="102">
                  <c:v>612.63744332395004</c:v>
                </c:pt>
                <c:pt idx="103">
                  <c:v>601.67927650922002</c:v>
                </c:pt>
                <c:pt idx="104">
                  <c:v>595.79438620183998</c:v>
                </c:pt>
                <c:pt idx="105">
                  <c:v>592.22846676175993</c:v>
                </c:pt>
                <c:pt idx="106">
                  <c:v>590.46276464924995</c:v>
                </c:pt>
                <c:pt idx="107">
                  <c:v>590.03981043986005</c:v>
                </c:pt>
                <c:pt idx="108">
                  <c:v>579.80173236782002</c:v>
                </c:pt>
                <c:pt idx="109">
                  <c:v>589.63946313919996</c:v>
                </c:pt>
                <c:pt idx="110">
                  <c:v>584.13400441984993</c:v>
                </c:pt>
                <c:pt idx="111">
                  <c:v>599.69402829698993</c:v>
                </c:pt>
                <c:pt idx="112">
                  <c:v>601.72420418622005</c:v>
                </c:pt>
                <c:pt idx="113">
                  <c:v>605.78955636238004</c:v>
                </c:pt>
                <c:pt idx="114">
                  <c:v>620.23206563016993</c:v>
                </c:pt>
                <c:pt idx="115">
                  <c:v>616.41746906967001</c:v>
                </c:pt>
                <c:pt idx="116">
                  <c:v>616.35761440675992</c:v>
                </c:pt>
                <c:pt idx="117">
                  <c:v>622.35449641999003</c:v>
                </c:pt>
                <c:pt idx="118">
                  <c:v>613.01339131844998</c:v>
                </c:pt>
                <c:pt idx="119">
                  <c:v>615.41300087805007</c:v>
                </c:pt>
                <c:pt idx="120">
                  <c:v>618.76836598310001</c:v>
                </c:pt>
                <c:pt idx="121">
                  <c:v>610.63978304707996</c:v>
                </c:pt>
                <c:pt idx="122">
                  <c:v>615.81933728843001</c:v>
                </c:pt>
                <c:pt idx="123">
                  <c:v>610.04800849658</c:v>
                </c:pt>
                <c:pt idx="124">
                  <c:v>601.92229869354003</c:v>
                </c:pt>
                <c:pt idx="125">
                  <c:v>597.55712813027003</c:v>
                </c:pt>
                <c:pt idx="126">
                  <c:v>605.50396327816998</c:v>
                </c:pt>
                <c:pt idx="127">
                  <c:v>569.08618440867008</c:v>
                </c:pt>
                <c:pt idx="128">
                  <c:v>554.17633288137995</c:v>
                </c:pt>
                <c:pt idx="129">
                  <c:v>552.85062845727998</c:v>
                </c:pt>
                <c:pt idx="130">
                  <c:v>563.88717729966993</c:v>
                </c:pt>
                <c:pt idx="131">
                  <c:v>578.40501641650997</c:v>
                </c:pt>
                <c:pt idx="132">
                  <c:v>604.93707870801006</c:v>
                </c:pt>
                <c:pt idx="133">
                  <c:v>613.36540372021</c:v>
                </c:pt>
                <c:pt idx="134">
                  <c:v>617.65963764758999</c:v>
                </c:pt>
                <c:pt idx="135">
                  <c:v>610.07773288791998</c:v>
                </c:pt>
                <c:pt idx="136">
                  <c:v>586.48511031676003</c:v>
                </c:pt>
                <c:pt idx="137">
                  <c:v>622.05802254837999</c:v>
                </c:pt>
                <c:pt idx="138">
                  <c:v>603.67777203333003</c:v>
                </c:pt>
                <c:pt idx="139">
                  <c:v>611.11261126990007</c:v>
                </c:pt>
                <c:pt idx="140">
                  <c:v>620.55046044403002</c:v>
                </c:pt>
                <c:pt idx="141">
                  <c:v>612.92620856784993</c:v>
                </c:pt>
                <c:pt idx="142">
                  <c:v>615.86930151657009</c:v>
                </c:pt>
                <c:pt idx="143">
                  <c:v>615.48701932132997</c:v>
                </c:pt>
                <c:pt idx="144">
                  <c:v>608.15727503453002</c:v>
                </c:pt>
                <c:pt idx="145">
                  <c:v>616.39611325644</c:v>
                </c:pt>
                <c:pt idx="146">
                  <c:v>621.53928226649998</c:v>
                </c:pt>
                <c:pt idx="147">
                  <c:v>610.02784938842001</c:v>
                </c:pt>
                <c:pt idx="148">
                  <c:v>612.03692340444002</c:v>
                </c:pt>
                <c:pt idx="149">
                  <c:v>622.22235701824991</c:v>
                </c:pt>
                <c:pt idx="150">
                  <c:v>607.69937978152996</c:v>
                </c:pt>
                <c:pt idx="151">
                  <c:v>625.37276822450008</c:v>
                </c:pt>
                <c:pt idx="152">
                  <c:v>614.06593457068993</c:v>
                </c:pt>
                <c:pt idx="153">
                  <c:v>616.15874446011003</c:v>
                </c:pt>
                <c:pt idx="154">
                  <c:v>604.91135584975996</c:v>
                </c:pt>
                <c:pt idx="155">
                  <c:v>617.02732875656</c:v>
                </c:pt>
                <c:pt idx="156">
                  <c:v>608.40401812657001</c:v>
                </c:pt>
                <c:pt idx="157">
                  <c:v>604.19156547874002</c:v>
                </c:pt>
                <c:pt idx="158">
                  <c:v>607.23785777325998</c:v>
                </c:pt>
                <c:pt idx="159">
                  <c:v>590.10070078846002</c:v>
                </c:pt>
                <c:pt idx="160">
                  <c:v>584.65297119110994</c:v>
                </c:pt>
                <c:pt idx="161">
                  <c:v>601.19206409437004</c:v>
                </c:pt>
                <c:pt idx="162">
                  <c:v>592.39222430685993</c:v>
                </c:pt>
                <c:pt idx="163">
                  <c:v>602.32904142756001</c:v>
                </c:pt>
                <c:pt idx="164">
                  <c:v>641.26161157335991</c:v>
                </c:pt>
                <c:pt idx="165">
                  <c:v>637.47776333563002</c:v>
                </c:pt>
                <c:pt idx="166">
                  <c:v>598.73906621326</c:v>
                </c:pt>
                <c:pt idx="167">
                  <c:v>551.33474036512996</c:v>
                </c:pt>
                <c:pt idx="168">
                  <c:v>557.83136438726001</c:v>
                </c:pt>
                <c:pt idx="169">
                  <c:v>564.86025814853997</c:v>
                </c:pt>
                <c:pt idx="170">
                  <c:v>563.73650458457007</c:v>
                </c:pt>
                <c:pt idx="171">
                  <c:v>557.29207902035</c:v>
                </c:pt>
                <c:pt idx="172">
                  <c:v>554.60731586223005</c:v>
                </c:pt>
                <c:pt idx="173">
                  <c:v>570.32701848711997</c:v>
                </c:pt>
                <c:pt idx="174">
                  <c:v>619.75039998876991</c:v>
                </c:pt>
                <c:pt idx="175">
                  <c:v>597.16551413835998</c:v>
                </c:pt>
                <c:pt idx="176">
                  <c:v>582.41692231367995</c:v>
                </c:pt>
                <c:pt idx="177">
                  <c:v>589.99027178413007</c:v>
                </c:pt>
                <c:pt idx="178">
                  <c:v>596.83483878856998</c:v>
                </c:pt>
                <c:pt idx="179">
                  <c:v>591.11311425938004</c:v>
                </c:pt>
                <c:pt idx="180">
                  <c:v>586.94489035386005</c:v>
                </c:pt>
                <c:pt idx="181">
                  <c:v>581.96418545567997</c:v>
                </c:pt>
                <c:pt idx="182">
                  <c:v>576.38676448341005</c:v>
                </c:pt>
                <c:pt idx="183">
                  <c:v>578.21558829629998</c:v>
                </c:pt>
                <c:pt idx="184">
                  <c:v>579.34695157041995</c:v>
                </c:pt>
                <c:pt idx="185">
                  <c:v>569.26762674302995</c:v>
                </c:pt>
                <c:pt idx="186">
                  <c:v>560.65942749443002</c:v>
                </c:pt>
                <c:pt idx="187">
                  <c:v>547.57703809582006</c:v>
                </c:pt>
                <c:pt idx="188">
                  <c:v>562.73841233376993</c:v>
                </c:pt>
                <c:pt idx="189">
                  <c:v>568.34930497395999</c:v>
                </c:pt>
                <c:pt idx="190">
                  <c:v>590.53697292104005</c:v>
                </c:pt>
                <c:pt idx="191">
                  <c:v>624.93055118276004</c:v>
                </c:pt>
                <c:pt idx="192">
                  <c:v>634.35669214900997</c:v>
                </c:pt>
                <c:pt idx="193">
                  <c:v>602.4388167044699</c:v>
                </c:pt>
                <c:pt idx="194">
                  <c:v>623.45880354325993</c:v>
                </c:pt>
                <c:pt idx="195">
                  <c:v>605.88089454229998</c:v>
                </c:pt>
                <c:pt idx="196">
                  <c:v>580.82339941941996</c:v>
                </c:pt>
                <c:pt idx="197">
                  <c:v>598.34981751655005</c:v>
                </c:pt>
                <c:pt idx="198">
                  <c:v>610.28743096751009</c:v>
                </c:pt>
                <c:pt idx="199">
                  <c:v>562.50419588208001</c:v>
                </c:pt>
                <c:pt idx="200">
                  <c:v>597.30186261792005</c:v>
                </c:pt>
                <c:pt idx="201">
                  <c:v>609.14592583825004</c:v>
                </c:pt>
                <c:pt idx="202">
                  <c:v>604.99027382431996</c:v>
                </c:pt>
                <c:pt idx="203">
                  <c:v>564.64202001250999</c:v>
                </c:pt>
                <c:pt idx="204">
                  <c:v>549.24244840525012</c:v>
                </c:pt>
                <c:pt idx="205">
                  <c:v>548.75419050969003</c:v>
                </c:pt>
                <c:pt idx="206">
                  <c:v>542.87688533512994</c:v>
                </c:pt>
                <c:pt idx="207">
                  <c:v>541.50759280660009</c:v>
                </c:pt>
                <c:pt idx="208">
                  <c:v>532.97863884692003</c:v>
                </c:pt>
                <c:pt idx="209">
                  <c:v>530.71775794056998</c:v>
                </c:pt>
                <c:pt idx="210">
                  <c:v>513.05377347117997</c:v>
                </c:pt>
                <c:pt idx="211">
                  <c:v>505.94884825473002</c:v>
                </c:pt>
                <c:pt idx="212">
                  <c:v>506.88108600314001</c:v>
                </c:pt>
                <c:pt idx="213">
                  <c:v>508.49032789911001</c:v>
                </c:pt>
                <c:pt idx="214">
                  <c:v>522.89900074009006</c:v>
                </c:pt>
                <c:pt idx="215">
                  <c:v>532.36301033435996</c:v>
                </c:pt>
                <c:pt idx="216">
                  <c:v>529.80154354113006</c:v>
                </c:pt>
                <c:pt idx="217">
                  <c:v>521.75071482996009</c:v>
                </c:pt>
                <c:pt idx="218">
                  <c:v>522.97300285541996</c:v>
                </c:pt>
                <c:pt idx="219">
                  <c:v>527.56875339662997</c:v>
                </c:pt>
                <c:pt idx="220">
                  <c:v>524.22118783691008</c:v>
                </c:pt>
                <c:pt idx="221">
                  <c:v>512.05376254732005</c:v>
                </c:pt>
                <c:pt idx="222">
                  <c:v>530.00403051345995</c:v>
                </c:pt>
                <c:pt idx="223">
                  <c:v>527.17362975532001</c:v>
                </c:pt>
                <c:pt idx="224">
                  <c:v>532.22205828987001</c:v>
                </c:pt>
                <c:pt idx="225">
                  <c:v>563.91651149008999</c:v>
                </c:pt>
                <c:pt idx="226">
                  <c:v>556.76922608465009</c:v>
                </c:pt>
                <c:pt idx="227">
                  <c:v>592.87228613894001</c:v>
                </c:pt>
                <c:pt idx="228">
                  <c:v>583.52657911195001</c:v>
                </c:pt>
                <c:pt idx="229">
                  <c:v>575.28392745465999</c:v>
                </c:pt>
                <c:pt idx="230">
                  <c:v>560.55472170106009</c:v>
                </c:pt>
                <c:pt idx="231">
                  <c:v>567.72528599008001</c:v>
                </c:pt>
                <c:pt idx="232">
                  <c:v>565.26820295292998</c:v>
                </c:pt>
                <c:pt idx="233">
                  <c:v>573.96911423678</c:v>
                </c:pt>
                <c:pt idx="234">
                  <c:v>562.26540225711994</c:v>
                </c:pt>
                <c:pt idx="235">
                  <c:v>555.66530271149998</c:v>
                </c:pt>
                <c:pt idx="236">
                  <c:v>547.01033206805994</c:v>
                </c:pt>
                <c:pt idx="237">
                  <c:v>563.35537914321003</c:v>
                </c:pt>
                <c:pt idx="238">
                  <c:v>556.84136413382998</c:v>
                </c:pt>
                <c:pt idx="239">
                  <c:v>567.24069486482995</c:v>
                </c:pt>
                <c:pt idx="240">
                  <c:v>570.56177163292</c:v>
                </c:pt>
                <c:pt idx="241">
                  <c:v>562.66306773398003</c:v>
                </c:pt>
                <c:pt idx="242">
                  <c:v>517.43785579379005</c:v>
                </c:pt>
                <c:pt idx="243">
                  <c:v>519.8419119114601</c:v>
                </c:pt>
                <c:pt idx="244">
                  <c:v>542.49839386475003</c:v>
                </c:pt>
                <c:pt idx="245">
                  <c:v>540.84193813247998</c:v>
                </c:pt>
                <c:pt idx="246">
                  <c:v>557.92063288929</c:v>
                </c:pt>
                <c:pt idx="247">
                  <c:v>565.61481753692999</c:v>
                </c:pt>
                <c:pt idx="248">
                  <c:v>577.43360838007993</c:v>
                </c:pt>
                <c:pt idx="249">
                  <c:v>575.44689024390004</c:v>
                </c:pt>
                <c:pt idx="250">
                  <c:v>579.97501641651002</c:v>
                </c:pt>
                <c:pt idx="251">
                  <c:v>578.7089993746099</c:v>
                </c:pt>
                <c:pt idx="252">
                  <c:v>572.61686601000997</c:v>
                </c:pt>
                <c:pt idx="253">
                  <c:v>593.16111373480999</c:v>
                </c:pt>
                <c:pt idx="254">
                  <c:v>583.08423524964996</c:v>
                </c:pt>
                <c:pt idx="255">
                  <c:v>582.25659495128002</c:v>
                </c:pt>
                <c:pt idx="256">
                  <c:v>601.28455907219995</c:v>
                </c:pt>
                <c:pt idx="257">
                  <c:v>623.73458114632001</c:v>
                </c:pt>
                <c:pt idx="258">
                  <c:v>598.51439789192</c:v>
                </c:pt>
                <c:pt idx="259">
                  <c:v>577.33262648893003</c:v>
                </c:pt>
                <c:pt idx="260">
                  <c:v>604.23314438960006</c:v>
                </c:pt>
                <c:pt idx="261">
                  <c:v>586.36768409944</c:v>
                </c:pt>
                <c:pt idx="262">
                  <c:v>578.13332473420996</c:v>
                </c:pt>
                <c:pt idx="263">
                  <c:v>566.80098381800997</c:v>
                </c:pt>
                <c:pt idx="264">
                  <c:v>555.87304799875005</c:v>
                </c:pt>
                <c:pt idx="265">
                  <c:v>535.67254924952999</c:v>
                </c:pt>
                <c:pt idx="266">
                  <c:v>525.15143644465002</c:v>
                </c:pt>
                <c:pt idx="267">
                  <c:v>519.27389892120004</c:v>
                </c:pt>
                <c:pt idx="268">
                  <c:v>524.24033966541992</c:v>
                </c:pt>
                <c:pt idx="269">
                  <c:v>514.91606707316998</c:v>
                </c:pt>
                <c:pt idx="270">
                  <c:v>495.61915572232999</c:v>
                </c:pt>
                <c:pt idx="271">
                  <c:v>492.52775250155997</c:v>
                </c:pt>
                <c:pt idx="272">
                  <c:v>501.01009693558001</c:v>
                </c:pt>
                <c:pt idx="273">
                  <c:v>502.48460092245</c:v>
                </c:pt>
                <c:pt idx="274">
                  <c:v>509.07070747342004</c:v>
                </c:pt>
                <c:pt idx="275">
                  <c:v>515.29461290489007</c:v>
                </c:pt>
                <c:pt idx="276">
                  <c:v>526.23343182070005</c:v>
                </c:pt>
                <c:pt idx="277">
                  <c:v>524.37416971953996</c:v>
                </c:pt>
                <c:pt idx="278">
                  <c:v>510.61161745417002</c:v>
                </c:pt>
                <c:pt idx="279">
                  <c:v>518.17150057939011</c:v>
                </c:pt>
                <c:pt idx="280">
                  <c:v>518.4082047851</c:v>
                </c:pt>
                <c:pt idx="281">
                  <c:v>526.70792656755998</c:v>
                </c:pt>
                <c:pt idx="282">
                  <c:v>538.63537773725</c:v>
                </c:pt>
                <c:pt idx="283">
                  <c:v>544.49487609854998</c:v>
                </c:pt>
                <c:pt idx="284">
                  <c:v>559.46993236121011</c:v>
                </c:pt>
                <c:pt idx="285">
                  <c:v>550.43429568150998</c:v>
                </c:pt>
                <c:pt idx="286">
                  <c:v>560.88477850446009</c:v>
                </c:pt>
                <c:pt idx="287">
                  <c:v>616.59648862459994</c:v>
                </c:pt>
                <c:pt idx="288">
                  <c:v>635.65672165630997</c:v>
                </c:pt>
                <c:pt idx="289">
                  <c:v>631.09699944781005</c:v>
                </c:pt>
                <c:pt idx="290">
                  <c:v>638.71414146606003</c:v>
                </c:pt>
                <c:pt idx="291">
                  <c:v>630.60283668886996</c:v>
                </c:pt>
                <c:pt idx="292">
                  <c:v>621.70595453105011</c:v>
                </c:pt>
                <c:pt idx="293">
                  <c:v>616.98061288305007</c:v>
                </c:pt>
                <c:pt idx="294">
                  <c:v>612.78424015009</c:v>
                </c:pt>
                <c:pt idx="295">
                  <c:v>612.27554283104996</c:v>
                </c:pt>
                <c:pt idx="296">
                  <c:v>605.43769881221999</c:v>
                </c:pt>
                <c:pt idx="297">
                  <c:v>585.76640221679008</c:v>
                </c:pt>
                <c:pt idx="298">
                  <c:v>588.49245619831004</c:v>
                </c:pt>
                <c:pt idx="299">
                  <c:v>588.02471656865009</c:v>
                </c:pt>
                <c:pt idx="300">
                  <c:v>591.63905562084994</c:v>
                </c:pt>
                <c:pt idx="301">
                  <c:v>580.10690333511002</c:v>
                </c:pt>
                <c:pt idx="302">
                  <c:v>574.63163194346998</c:v>
                </c:pt>
                <c:pt idx="303">
                  <c:v>565.56535334584009</c:v>
                </c:pt>
                <c:pt idx="304">
                  <c:v>546.22951844903002</c:v>
                </c:pt>
                <c:pt idx="305">
                  <c:v>533.94461543146008</c:v>
                </c:pt>
                <c:pt idx="306">
                  <c:v>530.96735670468001</c:v>
                </c:pt>
                <c:pt idx="307">
                  <c:v>528.45051565468998</c:v>
                </c:pt>
                <c:pt idx="308">
                  <c:v>523.2510698399999</c:v>
                </c:pt>
                <c:pt idx="309">
                  <c:v>513.92571785269001</c:v>
                </c:pt>
                <c:pt idx="310">
                  <c:v>505.00279200718001</c:v>
                </c:pt>
                <c:pt idx="311">
                  <c:v>500.16613613846005</c:v>
                </c:pt>
                <c:pt idx="312">
                  <c:v>514.04497426997</c:v>
                </c:pt>
                <c:pt idx="313">
                  <c:v>506.91012641328007</c:v>
                </c:pt>
                <c:pt idx="314">
                  <c:v>499.74105914691006</c:v>
                </c:pt>
                <c:pt idx="315">
                  <c:v>515.55247964557998</c:v>
                </c:pt>
                <c:pt idx="316">
                  <c:v>518.56940845038002</c:v>
                </c:pt>
                <c:pt idx="317">
                  <c:v>499.45951733851996</c:v>
                </c:pt>
                <c:pt idx="318">
                  <c:v>491.07997498435998</c:v>
                </c:pt>
                <c:pt idx="319">
                  <c:v>490.89274624764994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'240806A010'!$P$2:$P$321</c:f>
              <c:numCache>
                <c:formatCode>General</c:formatCode>
                <c:ptCount val="320"/>
                <c:pt idx="0">
                  <c:v>29.192633695074967</c:v>
                </c:pt>
                <c:pt idx="1">
                  <c:v>28.288102358775717</c:v>
                </c:pt>
                <c:pt idx="2">
                  <c:v>27.400887041558438</c:v>
                </c:pt>
                <c:pt idx="3">
                  <c:v>31.198292199308092</c:v>
                </c:pt>
                <c:pt idx="4">
                  <c:v>30.044025122136809</c:v>
                </c:pt>
                <c:pt idx="5">
                  <c:v>27.756724577642629</c:v>
                </c:pt>
                <c:pt idx="6">
                  <c:v>26.927680607259358</c:v>
                </c:pt>
                <c:pt idx="7">
                  <c:v>21.837051300081907</c:v>
                </c:pt>
                <c:pt idx="8">
                  <c:v>22.888180932436118</c:v>
                </c:pt>
                <c:pt idx="9">
                  <c:v>21.852391631747867</c:v>
                </c:pt>
                <c:pt idx="10">
                  <c:v>22.638337387759769</c:v>
                </c:pt>
                <c:pt idx="11">
                  <c:v>22.322896289008064</c:v>
                </c:pt>
                <c:pt idx="12">
                  <c:v>23.96150665615847</c:v>
                </c:pt>
                <c:pt idx="13">
                  <c:v>23.049309635457259</c:v>
                </c:pt>
                <c:pt idx="14">
                  <c:v>24.22551531021788</c:v>
                </c:pt>
                <c:pt idx="15">
                  <c:v>26.755722583430973</c:v>
                </c:pt>
                <c:pt idx="16">
                  <c:v>26.344996872334853</c:v>
                </c:pt>
                <c:pt idx="17">
                  <c:v>26.021041439420468</c:v>
                </c:pt>
                <c:pt idx="18">
                  <c:v>22.137874611326104</c:v>
                </c:pt>
                <c:pt idx="19">
                  <c:v>20.454341064931523</c:v>
                </c:pt>
                <c:pt idx="20">
                  <c:v>18.248854735084862</c:v>
                </c:pt>
                <c:pt idx="21">
                  <c:v>16.429019583834908</c:v>
                </c:pt>
                <c:pt idx="22">
                  <c:v>14.499730615907829</c:v>
                </c:pt>
                <c:pt idx="23">
                  <c:v>14.392721832839831</c:v>
                </c:pt>
                <c:pt idx="24">
                  <c:v>13.461683641751277</c:v>
                </c:pt>
                <c:pt idx="25">
                  <c:v>14.278724627827859</c:v>
                </c:pt>
                <c:pt idx="26">
                  <c:v>12.147937166715295</c:v>
                </c:pt>
                <c:pt idx="27">
                  <c:v>9.15330150378586</c:v>
                </c:pt>
                <c:pt idx="28">
                  <c:v>10.131768092454809</c:v>
                </c:pt>
                <c:pt idx="29">
                  <c:v>7.4335817323796478</c:v>
                </c:pt>
                <c:pt idx="30">
                  <c:v>7.5081430992477172</c:v>
                </c:pt>
                <c:pt idx="31">
                  <c:v>9.3274775480464847</c:v>
                </c:pt>
                <c:pt idx="32">
                  <c:v>6.9790553984894714</c:v>
                </c:pt>
                <c:pt idx="33">
                  <c:v>7.7546565434921195</c:v>
                </c:pt>
                <c:pt idx="34">
                  <c:v>7.5846715137832543</c:v>
                </c:pt>
                <c:pt idx="35">
                  <c:v>6.5901170625482006</c:v>
                </c:pt>
                <c:pt idx="36">
                  <c:v>5.7158020977698589</c:v>
                </c:pt>
                <c:pt idx="37">
                  <c:v>5.3566030752344753</c:v>
                </c:pt>
                <c:pt idx="38">
                  <c:v>3.8431544726024329</c:v>
                </c:pt>
                <c:pt idx="39">
                  <c:v>2.9932583603226521</c:v>
                </c:pt>
                <c:pt idx="40">
                  <c:v>2.1076496070055897</c:v>
                </c:pt>
                <c:pt idx="41">
                  <c:v>0.39418110779856613</c:v>
                </c:pt>
                <c:pt idx="42">
                  <c:v>-0.33293756991981532</c:v>
                </c:pt>
                <c:pt idx="43">
                  <c:v>8.3639453837299996E-2</c:v>
                </c:pt>
                <c:pt idx="44">
                  <c:v>1.7746381237746935</c:v>
                </c:pt>
                <c:pt idx="45">
                  <c:v>1.4610121915249497</c:v>
                </c:pt>
                <c:pt idx="46">
                  <c:v>0.76623684995160835</c:v>
                </c:pt>
                <c:pt idx="47">
                  <c:v>0.30839608823964709</c:v>
                </c:pt>
                <c:pt idx="48">
                  <c:v>-5.5704129243009586</c:v>
                </c:pt>
                <c:pt idx="49">
                  <c:v>-1.6450566672913034</c:v>
                </c:pt>
                <c:pt idx="50">
                  <c:v>-1.9578652331182678</c:v>
                </c:pt>
                <c:pt idx="51">
                  <c:v>1.5930606852253444</c:v>
                </c:pt>
                <c:pt idx="52">
                  <c:v>1.4716531070914494</c:v>
                </c:pt>
                <c:pt idx="53">
                  <c:v>0.67748975601699224</c:v>
                </c:pt>
                <c:pt idx="54">
                  <c:v>0.2349614234079071</c:v>
                </c:pt>
                <c:pt idx="55">
                  <c:v>4.628981250147076</c:v>
                </c:pt>
                <c:pt idx="56">
                  <c:v>2.3259529420743283</c:v>
                </c:pt>
                <c:pt idx="57">
                  <c:v>2.7070106815374717</c:v>
                </c:pt>
                <c:pt idx="58">
                  <c:v>4.1485657861827212</c:v>
                </c:pt>
                <c:pt idx="59">
                  <c:v>2.2771802819842044</c:v>
                </c:pt>
                <c:pt idx="60">
                  <c:v>1.0466805486653934</c:v>
                </c:pt>
                <c:pt idx="61">
                  <c:v>1.0155130175136167</c:v>
                </c:pt>
                <c:pt idx="62">
                  <c:v>1.7899767898850369</c:v>
                </c:pt>
                <c:pt idx="63">
                  <c:v>2.8873569688427319</c:v>
                </c:pt>
                <c:pt idx="64">
                  <c:v>2.7904434393100157</c:v>
                </c:pt>
                <c:pt idx="65">
                  <c:v>2.6413187894682633</c:v>
                </c:pt>
                <c:pt idx="66">
                  <c:v>3.0744333162644044</c:v>
                </c:pt>
                <c:pt idx="67">
                  <c:v>3.1061499978075049</c:v>
                </c:pt>
                <c:pt idx="68">
                  <c:v>1.4085156321011594</c:v>
                </c:pt>
                <c:pt idx="69">
                  <c:v>1.5900683426452979</c:v>
                </c:pt>
                <c:pt idx="70">
                  <c:v>3.0893181820326543</c:v>
                </c:pt>
                <c:pt idx="71">
                  <c:v>0.36472948675373768</c:v>
                </c:pt>
                <c:pt idx="72">
                  <c:v>-2.2486187290642627</c:v>
                </c:pt>
                <c:pt idx="73">
                  <c:v>0.85129940292009276</c:v>
                </c:pt>
                <c:pt idx="74">
                  <c:v>-3.8800099921663223</c:v>
                </c:pt>
                <c:pt idx="75">
                  <c:v>-0.21168924645690557</c:v>
                </c:pt>
                <c:pt idx="76">
                  <c:v>-6.4597842990205674</c:v>
                </c:pt>
                <c:pt idx="77">
                  <c:v>-5.1050397010696722</c:v>
                </c:pt>
                <c:pt idx="78">
                  <c:v>-2.8283134404124821</c:v>
                </c:pt>
                <c:pt idx="79">
                  <c:v>-4.9223485060196976</c:v>
                </c:pt>
                <c:pt idx="80">
                  <c:v>-4.7894236796382428</c:v>
                </c:pt>
                <c:pt idx="81">
                  <c:v>-5.8670325906375815</c:v>
                </c:pt>
                <c:pt idx="82">
                  <c:v>-5.4327270068346341</c:v>
                </c:pt>
                <c:pt idx="83">
                  <c:v>-4.5830924709263821</c:v>
                </c:pt>
                <c:pt idx="84">
                  <c:v>-4.608245256184226</c:v>
                </c:pt>
                <c:pt idx="85">
                  <c:v>-4.7866766781167014</c:v>
                </c:pt>
                <c:pt idx="86">
                  <c:v>-5.3585410332506571</c:v>
                </c:pt>
                <c:pt idx="87">
                  <c:v>-2.8107707199635352</c:v>
                </c:pt>
                <c:pt idx="88">
                  <c:v>-3.3039475974554073</c:v>
                </c:pt>
                <c:pt idx="89">
                  <c:v>-2.3205229767843401</c:v>
                </c:pt>
                <c:pt idx="90">
                  <c:v>-3.7702553231132696</c:v>
                </c:pt>
                <c:pt idx="91">
                  <c:v>-5.0313774795699828</c:v>
                </c:pt>
                <c:pt idx="92">
                  <c:v>-6.7109381237730483</c:v>
                </c:pt>
                <c:pt idx="93">
                  <c:v>-7.5833403865906783</c:v>
                </c:pt>
                <c:pt idx="94">
                  <c:v>-8.0712949581619</c:v>
                </c:pt>
                <c:pt idx="95">
                  <c:v>-8.3145858597042182</c:v>
                </c:pt>
                <c:pt idx="96">
                  <c:v>-10.695687425124145</c:v>
                </c:pt>
                <c:pt idx="97">
                  <c:v>-10.326563498173693</c:v>
                </c:pt>
                <c:pt idx="98">
                  <c:v>-9.344946309088888</c:v>
                </c:pt>
                <c:pt idx="99">
                  <c:v>-9.5939350047108025</c:v>
                </c:pt>
                <c:pt idx="100">
                  <c:v>-9.4767266212033441</c:v>
                </c:pt>
                <c:pt idx="101">
                  <c:v>-8.9219042354440905</c:v>
                </c:pt>
                <c:pt idx="102">
                  <c:v>-9.4161167190661867</c:v>
                </c:pt>
                <c:pt idx="103">
                  <c:v>-8.3615360393210327</c:v>
                </c:pt>
                <c:pt idx="104">
                  <c:v>-7.4448975210907831</c:v>
                </c:pt>
                <c:pt idx="105">
                  <c:v>-7.0081703519938436</c:v>
                </c:pt>
                <c:pt idx="106">
                  <c:v>-8.4009896877642376</c:v>
                </c:pt>
                <c:pt idx="107">
                  <c:v>-8.0942717976062379</c:v>
                </c:pt>
                <c:pt idx="108">
                  <c:v>-8.4141138457347235</c:v>
                </c:pt>
                <c:pt idx="109">
                  <c:v>-8.5582297991906877</c:v>
                </c:pt>
                <c:pt idx="110">
                  <c:v>-9.2017897993930156</c:v>
                </c:pt>
                <c:pt idx="111">
                  <c:v>-9.3599849470901617</c:v>
                </c:pt>
                <c:pt idx="112">
                  <c:v>-8.6994670250516943</c:v>
                </c:pt>
                <c:pt idx="113">
                  <c:v>-9.4642725416912317</c:v>
                </c:pt>
                <c:pt idx="114">
                  <c:v>-9.7272213595519332</c:v>
                </c:pt>
                <c:pt idx="115">
                  <c:v>-9.4925978250454701</c:v>
                </c:pt>
                <c:pt idx="116">
                  <c:v>-10.163938354025413</c:v>
                </c:pt>
                <c:pt idx="117">
                  <c:v>-10.244694491371057</c:v>
                </c:pt>
                <c:pt idx="118">
                  <c:v>-9.9850999976460457</c:v>
                </c:pt>
                <c:pt idx="119">
                  <c:v>-9.9526527226095389</c:v>
                </c:pt>
                <c:pt idx="120">
                  <c:v>-10.690857194505133</c:v>
                </c:pt>
                <c:pt idx="121">
                  <c:v>-10.448636575668552</c:v>
                </c:pt>
                <c:pt idx="122">
                  <c:v>-10.245203625469349</c:v>
                </c:pt>
                <c:pt idx="123">
                  <c:v>-9.9210031696367516</c:v>
                </c:pt>
                <c:pt idx="124">
                  <c:v>-11.18298763770642</c:v>
                </c:pt>
                <c:pt idx="125">
                  <c:v>-10.617867104462384</c:v>
                </c:pt>
                <c:pt idx="126">
                  <c:v>-9.4028086753160345</c:v>
                </c:pt>
                <c:pt idx="127">
                  <c:v>-8.9617070024718384</c:v>
                </c:pt>
                <c:pt idx="128">
                  <c:v>-8.4368430107578192</c:v>
                </c:pt>
                <c:pt idx="129">
                  <c:v>-8.4262814869542897</c:v>
                </c:pt>
                <c:pt idx="130">
                  <c:v>-7.6545491391326212</c:v>
                </c:pt>
                <c:pt idx="131">
                  <c:v>-9.7509261121497506</c:v>
                </c:pt>
                <c:pt idx="132">
                  <c:v>-9.6986161639245818</c:v>
                </c:pt>
                <c:pt idx="133">
                  <c:v>-7.8035131450713902</c:v>
                </c:pt>
                <c:pt idx="134">
                  <c:v>-7.1341794671677841</c:v>
                </c:pt>
                <c:pt idx="135">
                  <c:v>-7.9509616871725575</c:v>
                </c:pt>
                <c:pt idx="136">
                  <c:v>-6.1238910820179182</c:v>
                </c:pt>
                <c:pt idx="137">
                  <c:v>-7.678107283110708</c:v>
                </c:pt>
                <c:pt idx="138">
                  <c:v>-5.5263007566071112</c:v>
                </c:pt>
                <c:pt idx="139">
                  <c:v>-5.7128799657430722</c:v>
                </c:pt>
                <c:pt idx="140">
                  <c:v>-5.5258234897500538</c:v>
                </c:pt>
                <c:pt idx="141">
                  <c:v>-6.0032855558493194</c:v>
                </c:pt>
                <c:pt idx="142">
                  <c:v>-7.7098100086434611</c:v>
                </c:pt>
                <c:pt idx="143">
                  <c:v>-7.345616336926823</c:v>
                </c:pt>
                <c:pt idx="144">
                  <c:v>-6.6236978481463025</c:v>
                </c:pt>
                <c:pt idx="145">
                  <c:v>-5.6238437054184827</c:v>
                </c:pt>
                <c:pt idx="146">
                  <c:v>-6.6026337098302026</c:v>
                </c:pt>
                <c:pt idx="147">
                  <c:v>-5.4142997721195201</c:v>
                </c:pt>
                <c:pt idx="148">
                  <c:v>-4.9336981094740091</c:v>
                </c:pt>
                <c:pt idx="149">
                  <c:v>-6.3609609712726263</c:v>
                </c:pt>
                <c:pt idx="150">
                  <c:v>-6.0918962018020935</c:v>
                </c:pt>
                <c:pt idx="151">
                  <c:v>-6.9012688565891125</c:v>
                </c:pt>
                <c:pt idx="152">
                  <c:v>-6.5257931467202619</c:v>
                </c:pt>
                <c:pt idx="153">
                  <c:v>-7.3309220490863813</c:v>
                </c:pt>
                <c:pt idx="154">
                  <c:v>-5.8965631292369496</c:v>
                </c:pt>
                <c:pt idx="155">
                  <c:v>-6.1147692863034226</c:v>
                </c:pt>
                <c:pt idx="156">
                  <c:v>-5.5648045689475119</c:v>
                </c:pt>
                <c:pt idx="157">
                  <c:v>-4.4875992891547156</c:v>
                </c:pt>
                <c:pt idx="158">
                  <c:v>-5.9944442968265168</c:v>
                </c:pt>
                <c:pt idx="159">
                  <c:v>-5.1074663689283604</c:v>
                </c:pt>
                <c:pt idx="160">
                  <c:v>-5.3870188752846717</c:v>
                </c:pt>
                <c:pt idx="161">
                  <c:v>-4.5087516807268155</c:v>
                </c:pt>
                <c:pt idx="162">
                  <c:v>-4.5463506088628662</c:v>
                </c:pt>
                <c:pt idx="163">
                  <c:v>-4.6453097204811051</c:v>
                </c:pt>
                <c:pt idx="164">
                  <c:v>-4.9936299019821995</c:v>
                </c:pt>
                <c:pt idx="165">
                  <c:v>-6.2027708397915058</c:v>
                </c:pt>
                <c:pt idx="166">
                  <c:v>-5.4015623501378993</c:v>
                </c:pt>
                <c:pt idx="167">
                  <c:v>-6.1974762857509136</c:v>
                </c:pt>
                <c:pt idx="168">
                  <c:v>-6.396433554270768</c:v>
                </c:pt>
                <c:pt idx="169">
                  <c:v>-6.1880517570048736</c:v>
                </c:pt>
                <c:pt idx="170">
                  <c:v>-6.4804575663046222</c:v>
                </c:pt>
                <c:pt idx="171">
                  <c:v>-5.5919412162657869</c:v>
                </c:pt>
                <c:pt idx="172">
                  <c:v>-6.0823283307636187</c:v>
                </c:pt>
                <c:pt idx="173">
                  <c:v>-5.0753440068814015</c:v>
                </c:pt>
                <c:pt idx="174">
                  <c:v>-7.0445716945832242</c:v>
                </c:pt>
                <c:pt idx="175">
                  <c:v>-7.3647012458859091</c:v>
                </c:pt>
                <c:pt idx="176">
                  <c:v>-7.1121739135555471</c:v>
                </c:pt>
                <c:pt idx="177">
                  <c:v>-7.889151970260194</c:v>
                </c:pt>
                <c:pt idx="178">
                  <c:v>-9.4015131305779445</c:v>
                </c:pt>
                <c:pt idx="179">
                  <c:v>-8.4941610240182062</c:v>
                </c:pt>
                <c:pt idx="180">
                  <c:v>-8.6653859616718183</c:v>
                </c:pt>
                <c:pt idx="181">
                  <c:v>-7.9004698138633866</c:v>
                </c:pt>
                <c:pt idx="182">
                  <c:v>-7.2250744974647478</c:v>
                </c:pt>
                <c:pt idx="183">
                  <c:v>-8.0614218771320303</c:v>
                </c:pt>
                <c:pt idx="184">
                  <c:v>-8.0166447737704836</c:v>
                </c:pt>
                <c:pt idx="185">
                  <c:v>-8.522405789788067</c:v>
                </c:pt>
                <c:pt idx="186">
                  <c:v>-8.4139743609297106</c:v>
                </c:pt>
                <c:pt idx="187">
                  <c:v>-8.6441325250437817</c:v>
                </c:pt>
                <c:pt idx="188">
                  <c:v>-9.9093149566490784</c:v>
                </c:pt>
                <c:pt idx="189">
                  <c:v>-8.8166262326606066</c:v>
                </c:pt>
                <c:pt idx="190">
                  <c:v>-9.0050252491403118</c:v>
                </c:pt>
                <c:pt idx="191">
                  <c:v>-7.2222947949758867</c:v>
                </c:pt>
                <c:pt idx="192">
                  <c:v>-6.644179536721281</c:v>
                </c:pt>
                <c:pt idx="193">
                  <c:v>-4.9203072523987119</c:v>
                </c:pt>
                <c:pt idx="194">
                  <c:v>-6.4034402396614274</c:v>
                </c:pt>
                <c:pt idx="195">
                  <c:v>-8.3078664182803408</c:v>
                </c:pt>
                <c:pt idx="196">
                  <c:v>-6.0617899498911649</c:v>
                </c:pt>
                <c:pt idx="197">
                  <c:v>-8.0122348658012363</c:v>
                </c:pt>
                <c:pt idx="198">
                  <c:v>-6.6777139427937584</c:v>
                </c:pt>
                <c:pt idx="199">
                  <c:v>-3.0800941164043105</c:v>
                </c:pt>
                <c:pt idx="200">
                  <c:v>-5.1309027931362348</c:v>
                </c:pt>
                <c:pt idx="201">
                  <c:v>-4.7678304609384696</c:v>
                </c:pt>
                <c:pt idx="202">
                  <c:v>-7.8607153272656785</c:v>
                </c:pt>
                <c:pt idx="203">
                  <c:v>-6.06945977371279</c:v>
                </c:pt>
                <c:pt idx="204">
                  <c:v>-5.7382292148239262</c:v>
                </c:pt>
                <c:pt idx="205">
                  <c:v>-6.5688177903546601</c:v>
                </c:pt>
                <c:pt idx="206">
                  <c:v>-6.4317204410286086</c:v>
                </c:pt>
                <c:pt idx="207">
                  <c:v>-5.8876057238596315</c:v>
                </c:pt>
                <c:pt idx="208">
                  <c:v>-6.0606839989176082</c:v>
                </c:pt>
                <c:pt idx="209">
                  <c:v>-5.7588743235299305</c:v>
                </c:pt>
                <c:pt idx="210">
                  <c:v>-3.660881618727613</c:v>
                </c:pt>
                <c:pt idx="211">
                  <c:v>-3.3856917567281322</c:v>
                </c:pt>
                <c:pt idx="212">
                  <c:v>-3.3351743241295737</c:v>
                </c:pt>
                <c:pt idx="213">
                  <c:v>-3.1592910898711475</c:v>
                </c:pt>
                <c:pt idx="214">
                  <c:v>-4.1146215024147201</c:v>
                </c:pt>
                <c:pt idx="215">
                  <c:v>-3.7435035526486922</c:v>
                </c:pt>
                <c:pt idx="216">
                  <c:v>-4.9271505114932355</c:v>
                </c:pt>
                <c:pt idx="217">
                  <c:v>-4.3241692643584653</c:v>
                </c:pt>
                <c:pt idx="218">
                  <c:v>-4.1475117636885273</c:v>
                </c:pt>
                <c:pt idx="219">
                  <c:v>-4.4412472665442948</c:v>
                </c:pt>
                <c:pt idx="220">
                  <c:v>-5.1168968157721935</c:v>
                </c:pt>
                <c:pt idx="221">
                  <c:v>-2.4508091995780821</c:v>
                </c:pt>
                <c:pt idx="222">
                  <c:v>-3.4252805855002575</c:v>
                </c:pt>
                <c:pt idx="223">
                  <c:v>-1.425337524446042</c:v>
                </c:pt>
                <c:pt idx="224">
                  <c:v>-0.89098768044776688</c:v>
                </c:pt>
                <c:pt idx="225">
                  <c:v>-2.5311614999492842</c:v>
                </c:pt>
                <c:pt idx="226">
                  <c:v>0.63973643792740875</c:v>
                </c:pt>
                <c:pt idx="227">
                  <c:v>-1.0948317051552963</c:v>
                </c:pt>
                <c:pt idx="228">
                  <c:v>-1.5196522772634637</c:v>
                </c:pt>
                <c:pt idx="229">
                  <c:v>-1.5730831405364034</c:v>
                </c:pt>
                <c:pt idx="230">
                  <c:v>-2.5748707353902152</c:v>
                </c:pt>
                <c:pt idx="231">
                  <c:v>-0.96063310156998594</c:v>
                </c:pt>
                <c:pt idx="232">
                  <c:v>0.17354771586874893</c:v>
                </c:pt>
                <c:pt idx="233">
                  <c:v>-0.29123022336747845</c:v>
                </c:pt>
                <c:pt idx="234">
                  <c:v>0.33346111456775013</c:v>
                </c:pt>
                <c:pt idx="235">
                  <c:v>-0.33820336462804973</c:v>
                </c:pt>
                <c:pt idx="236">
                  <c:v>-0.18007493972007929</c:v>
                </c:pt>
                <c:pt idx="237">
                  <c:v>-0.97031355624553772</c:v>
                </c:pt>
                <c:pt idx="238">
                  <c:v>-1.9661881585753154</c:v>
                </c:pt>
                <c:pt idx="239">
                  <c:v>-0.76508402446562451</c:v>
                </c:pt>
                <c:pt idx="240">
                  <c:v>-1.4956960986049266</c:v>
                </c:pt>
                <c:pt idx="241">
                  <c:v>-1.6386722686971456</c:v>
                </c:pt>
                <c:pt idx="242">
                  <c:v>-3.9866407768153209</c:v>
                </c:pt>
                <c:pt idx="243">
                  <c:v>-4.1659486273274524</c:v>
                </c:pt>
                <c:pt idx="244">
                  <c:v>-3.930478452899461</c:v>
                </c:pt>
                <c:pt idx="245">
                  <c:v>-3.3188439876552067</c:v>
                </c:pt>
                <c:pt idx="246">
                  <c:v>-1.8091795339606209</c:v>
                </c:pt>
                <c:pt idx="247">
                  <c:v>-1.8787222395248901</c:v>
                </c:pt>
                <c:pt idx="248">
                  <c:v>-1.0780684876526119</c:v>
                </c:pt>
                <c:pt idx="249">
                  <c:v>-1.6735093777835215</c:v>
                </c:pt>
                <c:pt idx="250">
                  <c:v>-1.1109637050482064</c:v>
                </c:pt>
                <c:pt idx="251">
                  <c:v>-1.8492052715757694</c:v>
                </c:pt>
                <c:pt idx="252">
                  <c:v>-1.4490807016991494</c:v>
                </c:pt>
                <c:pt idx="253">
                  <c:v>-1.9438904546889055</c:v>
                </c:pt>
                <c:pt idx="254">
                  <c:v>-1.9193725556894341</c:v>
                </c:pt>
                <c:pt idx="255">
                  <c:v>-0.80609064513661111</c:v>
                </c:pt>
                <c:pt idx="256">
                  <c:v>-2.5605088956452042</c:v>
                </c:pt>
                <c:pt idx="257">
                  <c:v>-1.2540419300706147</c:v>
                </c:pt>
                <c:pt idx="258">
                  <c:v>-1.0732989594787667</c:v>
                </c:pt>
                <c:pt idx="259">
                  <c:v>-1.3356680463900537</c:v>
                </c:pt>
                <c:pt idx="260">
                  <c:v>-2.8636891068483759</c:v>
                </c:pt>
                <c:pt idx="261">
                  <c:v>-3.1258722227781837</c:v>
                </c:pt>
                <c:pt idx="262">
                  <c:v>-2.9634135593313222</c:v>
                </c:pt>
                <c:pt idx="263">
                  <c:v>-3.337633473605897</c:v>
                </c:pt>
                <c:pt idx="264">
                  <c:v>-3.3152255935912742</c:v>
                </c:pt>
                <c:pt idx="265">
                  <c:v>-3.0209454899438102</c:v>
                </c:pt>
                <c:pt idx="266">
                  <c:v>-2.011362860500383</c:v>
                </c:pt>
                <c:pt idx="267">
                  <c:v>-1.4092662405497398</c:v>
                </c:pt>
                <c:pt idx="268">
                  <c:v>-2.3966395093287876</c:v>
                </c:pt>
                <c:pt idx="269">
                  <c:v>-2.3657710994041197</c:v>
                </c:pt>
                <c:pt idx="270">
                  <c:v>-1.5214585313790738</c:v>
                </c:pt>
                <c:pt idx="271">
                  <c:v>-2.2369039076554924</c:v>
                </c:pt>
                <c:pt idx="272">
                  <c:v>-2.8652650829845143</c:v>
                </c:pt>
                <c:pt idx="273">
                  <c:v>-2.5815519591752221</c:v>
                </c:pt>
                <c:pt idx="274">
                  <c:v>-3.7367361542053517</c:v>
                </c:pt>
                <c:pt idx="275">
                  <c:v>-3.3243452987741202</c:v>
                </c:pt>
                <c:pt idx="276">
                  <c:v>-3.4956570370252864</c:v>
                </c:pt>
                <c:pt idx="277">
                  <c:v>-3.7815164297155266</c:v>
                </c:pt>
                <c:pt idx="278">
                  <c:v>-2.7357717524842911</c:v>
                </c:pt>
                <c:pt idx="279">
                  <c:v>-3.3241752104192979</c:v>
                </c:pt>
                <c:pt idx="280">
                  <c:v>-2.9896007160181659</c:v>
                </c:pt>
                <c:pt idx="281">
                  <c:v>-2.6175858026525036</c:v>
                </c:pt>
                <c:pt idx="282">
                  <c:v>-2.0825401396204315</c:v>
                </c:pt>
                <c:pt idx="283">
                  <c:v>-0.75616694939862672</c:v>
                </c:pt>
                <c:pt idx="284">
                  <c:v>-1.3698289244310069</c:v>
                </c:pt>
                <c:pt idx="285">
                  <c:v>-1.932085429106688</c:v>
                </c:pt>
                <c:pt idx="286">
                  <c:v>-1.9356289573246903</c:v>
                </c:pt>
                <c:pt idx="287">
                  <c:v>-2.9736851256529278</c:v>
                </c:pt>
                <c:pt idx="288">
                  <c:v>-1.586907606978168</c:v>
                </c:pt>
                <c:pt idx="289">
                  <c:v>-1.6500550559640144</c:v>
                </c:pt>
                <c:pt idx="290">
                  <c:v>-3.06148549901439</c:v>
                </c:pt>
                <c:pt idx="291">
                  <c:v>-2.1345316471637528</c:v>
                </c:pt>
                <c:pt idx="292">
                  <c:v>-3.8107228974228011</c:v>
                </c:pt>
                <c:pt idx="293">
                  <c:v>-2.2600343034797858</c:v>
                </c:pt>
                <c:pt idx="294">
                  <c:v>-3.4272611314580175</c:v>
                </c:pt>
                <c:pt idx="295">
                  <c:v>-2.4938121683915231</c:v>
                </c:pt>
                <c:pt idx="296">
                  <c:v>-2.4655706789770204</c:v>
                </c:pt>
                <c:pt idx="297">
                  <c:v>-2.8977158989659308</c:v>
                </c:pt>
                <c:pt idx="298">
                  <c:v>-1.9910584945696734</c:v>
                </c:pt>
                <c:pt idx="299">
                  <c:v>-1.181526977733812</c:v>
                </c:pt>
                <c:pt idx="300">
                  <c:v>-0.99338545015697433</c:v>
                </c:pt>
                <c:pt idx="301">
                  <c:v>-0.55680835074274093</c:v>
                </c:pt>
                <c:pt idx="302">
                  <c:v>-3.0390128814862232</c:v>
                </c:pt>
                <c:pt idx="303">
                  <c:v>-2.1630480435032586</c:v>
                </c:pt>
                <c:pt idx="304">
                  <c:v>-1.5669423556831559</c:v>
                </c:pt>
                <c:pt idx="305">
                  <c:v>-1.9418940217833656</c:v>
                </c:pt>
                <c:pt idx="306">
                  <c:v>-1.5006362742222732</c:v>
                </c:pt>
                <c:pt idx="307">
                  <c:v>-1.2208444276059816</c:v>
                </c:pt>
                <c:pt idx="308">
                  <c:v>0.25141695133642533</c:v>
                </c:pt>
                <c:pt idx="309">
                  <c:v>-0.6169602739938439</c:v>
                </c:pt>
                <c:pt idx="310">
                  <c:v>0.86962181025082885</c:v>
                </c:pt>
                <c:pt idx="311">
                  <c:v>0.67042574550057854</c:v>
                </c:pt>
                <c:pt idx="312">
                  <c:v>0.37026034085907739</c:v>
                </c:pt>
                <c:pt idx="313">
                  <c:v>1.2392042117662319</c:v>
                </c:pt>
                <c:pt idx="314">
                  <c:v>3.2876949008727361</c:v>
                </c:pt>
                <c:pt idx="315">
                  <c:v>1.2377830096409166</c:v>
                </c:pt>
                <c:pt idx="316">
                  <c:v>1.9272891102647898</c:v>
                </c:pt>
                <c:pt idx="317">
                  <c:v>1.3140344879141861</c:v>
                </c:pt>
                <c:pt idx="318">
                  <c:v>1.8982836598267252</c:v>
                </c:pt>
                <c:pt idx="319">
                  <c:v>1.4692857212108663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'240806A011'!$J$2:$J$321</c:f>
              <c:numCache>
                <c:formatCode>0.0</c:formatCode>
                <c:ptCount val="320"/>
                <c:pt idx="0">
                  <c:v>1022.5686021897001</c:v>
                </c:pt>
                <c:pt idx="1">
                  <c:v>897.46016259268004</c:v>
                </c:pt>
                <c:pt idx="2">
                  <c:v>1020.54668925509</c:v>
                </c:pt>
                <c:pt idx="3">
                  <c:v>892.35169166548008</c:v>
                </c:pt>
                <c:pt idx="4">
                  <c:v>829.12450148458993</c:v>
                </c:pt>
                <c:pt idx="5">
                  <c:v>969.19812426731994</c:v>
                </c:pt>
                <c:pt idx="6">
                  <c:v>955.05041031657004</c:v>
                </c:pt>
                <c:pt idx="7">
                  <c:v>754.19864970173001</c:v>
                </c:pt>
                <c:pt idx="8">
                  <c:v>706.67183622576999</c:v>
                </c:pt>
                <c:pt idx="9">
                  <c:v>785.42451858428001</c:v>
                </c:pt>
                <c:pt idx="10">
                  <c:v>734.38007645891003</c:v>
                </c:pt>
                <c:pt idx="11">
                  <c:v>805.18613392965005</c:v>
                </c:pt>
                <c:pt idx="12">
                  <c:v>777.27950792041008</c:v>
                </c:pt>
                <c:pt idx="13">
                  <c:v>855.80220989591999</c:v>
                </c:pt>
                <c:pt idx="14">
                  <c:v>814.46396491561995</c:v>
                </c:pt>
                <c:pt idx="15">
                  <c:v>782.56791485643998</c:v>
                </c:pt>
                <c:pt idx="16">
                  <c:v>721.79414807092996</c:v>
                </c:pt>
                <c:pt idx="17">
                  <c:v>687.83632167294991</c:v>
                </c:pt>
                <c:pt idx="18">
                  <c:v>759.55604715956997</c:v>
                </c:pt>
                <c:pt idx="19">
                  <c:v>679.47233742541005</c:v>
                </c:pt>
                <c:pt idx="20">
                  <c:v>685.53288332490001</c:v>
                </c:pt>
                <c:pt idx="21">
                  <c:v>701.7005610548</c:v>
                </c:pt>
                <c:pt idx="22">
                  <c:v>579.54678643252009</c:v>
                </c:pt>
                <c:pt idx="23">
                  <c:v>588.62133645955998</c:v>
                </c:pt>
                <c:pt idx="24">
                  <c:v>779.17936694021</c:v>
                </c:pt>
                <c:pt idx="25">
                  <c:v>804.42263765335997</c:v>
                </c:pt>
                <c:pt idx="26">
                  <c:v>863.55848053618001</c:v>
                </c:pt>
                <c:pt idx="27">
                  <c:v>853.40726463398005</c:v>
                </c:pt>
                <c:pt idx="28">
                  <c:v>807.09959956572004</c:v>
                </c:pt>
                <c:pt idx="29">
                  <c:v>711.31129429959992</c:v>
                </c:pt>
                <c:pt idx="30">
                  <c:v>617.06108521812007</c:v>
                </c:pt>
                <c:pt idx="31">
                  <c:v>662.11276317920999</c:v>
                </c:pt>
                <c:pt idx="32">
                  <c:v>759.62194829249006</c:v>
                </c:pt>
                <c:pt idx="33">
                  <c:v>805.93667321045996</c:v>
                </c:pt>
                <c:pt idx="34">
                  <c:v>703.93034801225997</c:v>
                </c:pt>
                <c:pt idx="35">
                  <c:v>711.54967554447001</c:v>
                </c:pt>
                <c:pt idx="36">
                  <c:v>580.01756863601008</c:v>
                </c:pt>
                <c:pt idx="37">
                  <c:v>611.71730417949993</c:v>
                </c:pt>
                <c:pt idx="38">
                  <c:v>670.09422199537005</c:v>
                </c:pt>
                <c:pt idx="39">
                  <c:v>669.66693411218</c:v>
                </c:pt>
                <c:pt idx="40">
                  <c:v>666.33418129823997</c:v>
                </c:pt>
                <c:pt idx="41">
                  <c:v>649.13673061415011</c:v>
                </c:pt>
                <c:pt idx="42">
                  <c:v>746.19555537716997</c:v>
                </c:pt>
                <c:pt idx="43">
                  <c:v>712.02075043150001</c:v>
                </c:pt>
                <c:pt idx="44">
                  <c:v>774.62198975489002</c:v>
                </c:pt>
                <c:pt idx="45">
                  <c:v>761.32239155920001</c:v>
                </c:pt>
                <c:pt idx="46">
                  <c:v>784.77608440797007</c:v>
                </c:pt>
                <c:pt idx="47">
                  <c:v>643.28875754418004</c:v>
                </c:pt>
                <c:pt idx="48">
                  <c:v>592.90168142937</c:v>
                </c:pt>
                <c:pt idx="49">
                  <c:v>735.7452415672999</c:v>
                </c:pt>
                <c:pt idx="50">
                  <c:v>804.2402431424</c:v>
                </c:pt>
                <c:pt idx="51">
                  <c:v>747.45218007252993</c:v>
                </c:pt>
                <c:pt idx="52">
                  <c:v>774.34849965750004</c:v>
                </c:pt>
                <c:pt idx="53">
                  <c:v>776.46492341930991</c:v>
                </c:pt>
                <c:pt idx="54">
                  <c:v>768.13371093464002</c:v>
                </c:pt>
                <c:pt idx="55">
                  <c:v>718.41732209914994</c:v>
                </c:pt>
                <c:pt idx="56">
                  <c:v>765.95754151222991</c:v>
                </c:pt>
                <c:pt idx="57">
                  <c:v>759.93533216551998</c:v>
                </c:pt>
                <c:pt idx="58">
                  <c:v>746.78195554881995</c:v>
                </c:pt>
                <c:pt idx="59">
                  <c:v>779.05432802038001</c:v>
                </c:pt>
                <c:pt idx="60">
                  <c:v>875.64940070236003</c:v>
                </c:pt>
                <c:pt idx="61">
                  <c:v>846.25713755824995</c:v>
                </c:pt>
                <c:pt idx="62">
                  <c:v>797.83958532445001</c:v>
                </c:pt>
                <c:pt idx="63">
                  <c:v>809.42865826087996</c:v>
                </c:pt>
                <c:pt idx="64">
                  <c:v>776.01906511577999</c:v>
                </c:pt>
                <c:pt idx="65">
                  <c:v>879.79765697569997</c:v>
                </c:pt>
                <c:pt idx="66">
                  <c:v>754.94999056348001</c:v>
                </c:pt>
                <c:pt idx="67">
                  <c:v>779.44902004813002</c:v>
                </c:pt>
                <c:pt idx="68">
                  <c:v>720.52835296174999</c:v>
                </c:pt>
                <c:pt idx="69">
                  <c:v>791.53695630103994</c:v>
                </c:pt>
                <c:pt idx="70">
                  <c:v>767.12168621250009</c:v>
                </c:pt>
                <c:pt idx="71">
                  <c:v>727.66779583497998</c:v>
                </c:pt>
                <c:pt idx="72">
                  <c:v>807.58089579461989</c:v>
                </c:pt>
                <c:pt idx="73">
                  <c:v>766.15111276539005</c:v>
                </c:pt>
                <c:pt idx="74">
                  <c:v>735.75658809002994</c:v>
                </c:pt>
                <c:pt idx="75">
                  <c:v>802.55516553259997</c:v>
                </c:pt>
                <c:pt idx="76">
                  <c:v>808.80978864045994</c:v>
                </c:pt>
                <c:pt idx="77">
                  <c:v>819.95318275489001</c:v>
                </c:pt>
                <c:pt idx="78">
                  <c:v>859.54663418500991</c:v>
                </c:pt>
                <c:pt idx="79">
                  <c:v>701.05564082989997</c:v>
                </c:pt>
                <c:pt idx="80">
                  <c:v>883.83988113092005</c:v>
                </c:pt>
                <c:pt idx="81">
                  <c:v>769.37097748407007</c:v>
                </c:pt>
                <c:pt idx="82">
                  <c:v>858.53546375789006</c:v>
                </c:pt>
                <c:pt idx="83">
                  <c:v>879.55464389357007</c:v>
                </c:pt>
                <c:pt idx="84">
                  <c:v>847.80922499102996</c:v>
                </c:pt>
                <c:pt idx="85">
                  <c:v>865.44366728677005</c:v>
                </c:pt>
                <c:pt idx="86">
                  <c:v>751.80599868708998</c:v>
                </c:pt>
                <c:pt idx="87">
                  <c:v>840.70907718700005</c:v>
                </c:pt>
                <c:pt idx="88">
                  <c:v>803.94225885818992</c:v>
                </c:pt>
                <c:pt idx="89">
                  <c:v>735.97438704416004</c:v>
                </c:pt>
                <c:pt idx="90">
                  <c:v>831.51600483311006</c:v>
                </c:pt>
                <c:pt idx="91">
                  <c:v>778.26802392447996</c:v>
                </c:pt>
                <c:pt idx="92">
                  <c:v>821.03220315728004</c:v>
                </c:pt>
                <c:pt idx="93">
                  <c:v>689.93382907304999</c:v>
                </c:pt>
                <c:pt idx="94">
                  <c:v>924.30404040539997</c:v>
                </c:pt>
                <c:pt idx="95">
                  <c:v>831.98519708914</c:v>
                </c:pt>
                <c:pt idx="96">
                  <c:v>826.67256727330005</c:v>
                </c:pt>
                <c:pt idx="97">
                  <c:v>757.29640167226989</c:v>
                </c:pt>
                <c:pt idx="98">
                  <c:v>854.75832941195995</c:v>
                </c:pt>
                <c:pt idx="99">
                  <c:v>788.83710056697998</c:v>
                </c:pt>
                <c:pt idx="100">
                  <c:v>830.39566578001995</c:v>
                </c:pt>
                <c:pt idx="101">
                  <c:v>824.65927009649999</c:v>
                </c:pt>
                <c:pt idx="102">
                  <c:v>796.65171202917008</c:v>
                </c:pt>
                <c:pt idx="103">
                  <c:v>864.05660225435997</c:v>
                </c:pt>
                <c:pt idx="104">
                  <c:v>818.46768578202</c:v>
                </c:pt>
                <c:pt idx="105">
                  <c:v>863.11647039074001</c:v>
                </c:pt>
                <c:pt idx="106">
                  <c:v>820.48392648285005</c:v>
                </c:pt>
                <c:pt idx="107">
                  <c:v>916.53266242103996</c:v>
                </c:pt>
                <c:pt idx="108">
                  <c:v>833.7347450346</c:v>
                </c:pt>
                <c:pt idx="109">
                  <c:v>720.97303634232003</c:v>
                </c:pt>
                <c:pt idx="110">
                  <c:v>638.11371629542998</c:v>
                </c:pt>
                <c:pt idx="111">
                  <c:v>704.07435322241997</c:v>
                </c:pt>
                <c:pt idx="112">
                  <c:v>724.10471218347004</c:v>
                </c:pt>
                <c:pt idx="113">
                  <c:v>684.64450051450001</c:v>
                </c:pt>
                <c:pt idx="114">
                  <c:v>713.86563333698996</c:v>
                </c:pt>
                <c:pt idx="115">
                  <c:v>704.9535420422601</c:v>
                </c:pt>
                <c:pt idx="116">
                  <c:v>767.22591194627989</c:v>
                </c:pt>
                <c:pt idx="117">
                  <c:v>707.42115016721993</c:v>
                </c:pt>
                <c:pt idx="118">
                  <c:v>712.06750103727995</c:v>
                </c:pt>
                <c:pt idx="119">
                  <c:v>672.76161681699</c:v>
                </c:pt>
                <c:pt idx="120">
                  <c:v>829.04086596697994</c:v>
                </c:pt>
                <c:pt idx="121">
                  <c:v>766.44364486491008</c:v>
                </c:pt>
                <c:pt idx="122">
                  <c:v>754.99644210584006</c:v>
                </c:pt>
                <c:pt idx="123">
                  <c:v>776.37788425976009</c:v>
                </c:pt>
                <c:pt idx="124">
                  <c:v>773.37873041391993</c:v>
                </c:pt>
                <c:pt idx="125">
                  <c:v>762.91976198914995</c:v>
                </c:pt>
                <c:pt idx="126">
                  <c:v>835.26021565473002</c:v>
                </c:pt>
                <c:pt idx="127">
                  <c:v>837.25363504623999</c:v>
                </c:pt>
                <c:pt idx="128">
                  <c:v>844.86817983170999</c:v>
                </c:pt>
                <c:pt idx="129">
                  <c:v>766.94749197056012</c:v>
                </c:pt>
                <c:pt idx="130">
                  <c:v>756.71613637453993</c:v>
                </c:pt>
                <c:pt idx="131">
                  <c:v>734.01124616934999</c:v>
                </c:pt>
                <c:pt idx="132">
                  <c:v>782.93179353227993</c:v>
                </c:pt>
                <c:pt idx="133">
                  <c:v>855.76225882262997</c:v>
                </c:pt>
                <c:pt idx="134">
                  <c:v>728.19928157031995</c:v>
                </c:pt>
                <c:pt idx="135">
                  <c:v>737.87577233239995</c:v>
                </c:pt>
                <c:pt idx="136">
                  <c:v>792.2203711702</c:v>
                </c:pt>
                <c:pt idx="137">
                  <c:v>817.80089583159997</c:v>
                </c:pt>
                <c:pt idx="138">
                  <c:v>808.61450171754996</c:v>
                </c:pt>
                <c:pt idx="139">
                  <c:v>776.51184411111012</c:v>
                </c:pt>
                <c:pt idx="140">
                  <c:v>829.17808679084999</c:v>
                </c:pt>
                <c:pt idx="141">
                  <c:v>794.88361285990004</c:v>
                </c:pt>
                <c:pt idx="142">
                  <c:v>857.77520822898998</c:v>
                </c:pt>
                <c:pt idx="143">
                  <c:v>796.34384975577996</c:v>
                </c:pt>
                <c:pt idx="144">
                  <c:v>791.57849301928991</c:v>
                </c:pt>
                <c:pt idx="145">
                  <c:v>834.26726185107998</c:v>
                </c:pt>
                <c:pt idx="146">
                  <c:v>873.87452754438993</c:v>
                </c:pt>
                <c:pt idx="147">
                  <c:v>791.64491991337991</c:v>
                </c:pt>
                <c:pt idx="148">
                  <c:v>771.07279898278</c:v>
                </c:pt>
                <c:pt idx="149">
                  <c:v>800.45728010492007</c:v>
                </c:pt>
                <c:pt idx="150">
                  <c:v>760.23406984129008</c:v>
                </c:pt>
                <c:pt idx="151">
                  <c:v>712.03807257994004</c:v>
                </c:pt>
                <c:pt idx="152">
                  <c:v>696.57874812474995</c:v>
                </c:pt>
                <c:pt idx="153">
                  <c:v>750.95360812669992</c:v>
                </c:pt>
                <c:pt idx="154">
                  <c:v>695.28645682816</c:v>
                </c:pt>
                <c:pt idx="155">
                  <c:v>759.02018048473997</c:v>
                </c:pt>
                <c:pt idx="156">
                  <c:v>717.12061497079003</c:v>
                </c:pt>
                <c:pt idx="157">
                  <c:v>671.03238483450991</c:v>
                </c:pt>
                <c:pt idx="158">
                  <c:v>714.93045782246998</c:v>
                </c:pt>
                <c:pt idx="159">
                  <c:v>812.52505602756992</c:v>
                </c:pt>
                <c:pt idx="160">
                  <c:v>657.01027690938008</c:v>
                </c:pt>
                <c:pt idx="161">
                  <c:v>698.38592413487004</c:v>
                </c:pt>
                <c:pt idx="162">
                  <c:v>758.76196349485008</c:v>
                </c:pt>
                <c:pt idx="163">
                  <c:v>780.88628098138997</c:v>
                </c:pt>
                <c:pt idx="164">
                  <c:v>827.33276690999003</c:v>
                </c:pt>
                <c:pt idx="165">
                  <c:v>798.89648885603003</c:v>
                </c:pt>
                <c:pt idx="166">
                  <c:v>774.47191518805994</c:v>
                </c:pt>
                <c:pt idx="167">
                  <c:v>706.70022122836997</c:v>
                </c:pt>
                <c:pt idx="168">
                  <c:v>834.35248735204004</c:v>
                </c:pt>
                <c:pt idx="169">
                  <c:v>779.71574190179001</c:v>
                </c:pt>
                <c:pt idx="170">
                  <c:v>877.25403152276999</c:v>
                </c:pt>
                <c:pt idx="171">
                  <c:v>813.59530650610009</c:v>
                </c:pt>
                <c:pt idx="172">
                  <c:v>774.81366940211001</c:v>
                </c:pt>
                <c:pt idx="173">
                  <c:v>783.18101372318995</c:v>
                </c:pt>
                <c:pt idx="174">
                  <c:v>666.08390042066003</c:v>
                </c:pt>
                <c:pt idx="175">
                  <c:v>704.66744086615006</c:v>
                </c:pt>
                <c:pt idx="176">
                  <c:v>706.78899371799002</c:v>
                </c:pt>
                <c:pt idx="177">
                  <c:v>754.96990560348002</c:v>
                </c:pt>
                <c:pt idx="178">
                  <c:v>752.98398850707008</c:v>
                </c:pt>
                <c:pt idx="179">
                  <c:v>878.59587911340998</c:v>
                </c:pt>
                <c:pt idx="180">
                  <c:v>820.67395528250995</c:v>
                </c:pt>
                <c:pt idx="181">
                  <c:v>862.84901141427997</c:v>
                </c:pt>
                <c:pt idx="182">
                  <c:v>763.69188067530001</c:v>
                </c:pt>
                <c:pt idx="183">
                  <c:v>900.66899762107005</c:v>
                </c:pt>
                <c:pt idx="184">
                  <c:v>860.49135695820007</c:v>
                </c:pt>
                <c:pt idx="185">
                  <c:v>819.31206165462004</c:v>
                </c:pt>
                <c:pt idx="186">
                  <c:v>875.40894494131999</c:v>
                </c:pt>
                <c:pt idx="187">
                  <c:v>732.81886023034997</c:v>
                </c:pt>
                <c:pt idx="188">
                  <c:v>867.68336241446002</c:v>
                </c:pt>
                <c:pt idx="189">
                  <c:v>787.45858256767997</c:v>
                </c:pt>
                <c:pt idx="190">
                  <c:v>737.44384934158995</c:v>
                </c:pt>
                <c:pt idx="191">
                  <c:v>865.89998227871001</c:v>
                </c:pt>
                <c:pt idx="192">
                  <c:v>821.80667238116007</c:v>
                </c:pt>
                <c:pt idx="193">
                  <c:v>795.94079243186002</c:v>
                </c:pt>
                <c:pt idx="194">
                  <c:v>797.69859360800001</c:v>
                </c:pt>
                <c:pt idx="195">
                  <c:v>787.02173502559003</c:v>
                </c:pt>
                <c:pt idx="196">
                  <c:v>839.65799937240001</c:v>
                </c:pt>
                <c:pt idx="197">
                  <c:v>823.47546998596999</c:v>
                </c:pt>
                <c:pt idx="198">
                  <c:v>794.87412567463002</c:v>
                </c:pt>
                <c:pt idx="199">
                  <c:v>794.24712995778998</c:v>
                </c:pt>
                <c:pt idx="200">
                  <c:v>846.95631124013994</c:v>
                </c:pt>
                <c:pt idx="201">
                  <c:v>880.05032276775</c:v>
                </c:pt>
                <c:pt idx="202">
                  <c:v>809.86543204640998</c:v>
                </c:pt>
                <c:pt idx="203">
                  <c:v>811.68999276646002</c:v>
                </c:pt>
                <c:pt idx="204">
                  <c:v>829.13240433569001</c:v>
                </c:pt>
                <c:pt idx="205">
                  <c:v>830.90137991623999</c:v>
                </c:pt>
                <c:pt idx="206">
                  <c:v>844.00732223081002</c:v>
                </c:pt>
                <c:pt idx="207">
                  <c:v>766.85045169297996</c:v>
                </c:pt>
                <c:pt idx="208">
                  <c:v>749.19123508723999</c:v>
                </c:pt>
                <c:pt idx="209">
                  <c:v>766.08038970900998</c:v>
                </c:pt>
                <c:pt idx="210">
                  <c:v>721.44668194457995</c:v>
                </c:pt>
                <c:pt idx="211">
                  <c:v>828.03687544710999</c:v>
                </c:pt>
                <c:pt idx="212">
                  <c:v>783.73386011603998</c:v>
                </c:pt>
                <c:pt idx="213">
                  <c:v>758.63684753443999</c:v>
                </c:pt>
                <c:pt idx="214">
                  <c:v>719.36071729613002</c:v>
                </c:pt>
                <c:pt idx="215">
                  <c:v>740.03174572416003</c:v>
                </c:pt>
                <c:pt idx="216">
                  <c:v>705.38339649390002</c:v>
                </c:pt>
                <c:pt idx="217">
                  <c:v>859.60873081687998</c:v>
                </c:pt>
                <c:pt idx="218">
                  <c:v>781.66905284704001</c:v>
                </c:pt>
                <c:pt idx="219">
                  <c:v>764.83711746885001</c:v>
                </c:pt>
                <c:pt idx="220">
                  <c:v>770.8589653688</c:v>
                </c:pt>
                <c:pt idx="221">
                  <c:v>677.94690263063001</c:v>
                </c:pt>
                <c:pt idx="222">
                  <c:v>819.45622432982998</c:v>
                </c:pt>
                <c:pt idx="223">
                  <c:v>722.74869330823003</c:v>
                </c:pt>
                <c:pt idx="224">
                  <c:v>732.57374280519002</c:v>
                </c:pt>
                <c:pt idx="225">
                  <c:v>685.6935755597799</c:v>
                </c:pt>
                <c:pt idx="226">
                  <c:v>797.38334738118999</c:v>
                </c:pt>
                <c:pt idx="227">
                  <c:v>814.26184893652999</c:v>
                </c:pt>
                <c:pt idx="228">
                  <c:v>747.30229030477994</c:v>
                </c:pt>
                <c:pt idx="229">
                  <c:v>685.36165922175996</c:v>
                </c:pt>
                <c:pt idx="230">
                  <c:v>770.73625842441004</c:v>
                </c:pt>
                <c:pt idx="231">
                  <c:v>835.49666383250997</c:v>
                </c:pt>
                <c:pt idx="232">
                  <c:v>792.20258295380995</c:v>
                </c:pt>
                <c:pt idx="233">
                  <c:v>713.16258428261006</c:v>
                </c:pt>
                <c:pt idx="234">
                  <c:v>844.58490795750004</c:v>
                </c:pt>
                <c:pt idx="235">
                  <c:v>731.65883092428999</c:v>
                </c:pt>
                <c:pt idx="236">
                  <c:v>853.26729191089998</c:v>
                </c:pt>
                <c:pt idx="237">
                  <c:v>853.68669539708003</c:v>
                </c:pt>
                <c:pt idx="238">
                  <c:v>789.07722536862002</c:v>
                </c:pt>
                <c:pt idx="239">
                  <c:v>744.07274969674995</c:v>
                </c:pt>
                <c:pt idx="240">
                  <c:v>717.43831524500001</c:v>
                </c:pt>
                <c:pt idx="241">
                  <c:v>684.55571464262994</c:v>
                </c:pt>
                <c:pt idx="242">
                  <c:v>664.51449354941997</c:v>
                </c:pt>
                <c:pt idx="243">
                  <c:v>713.85763979451997</c:v>
                </c:pt>
                <c:pt idx="244">
                  <c:v>716.44493604334002</c:v>
                </c:pt>
                <c:pt idx="245">
                  <c:v>814.34527724108</c:v>
                </c:pt>
                <c:pt idx="246">
                  <c:v>678.71872492451996</c:v>
                </c:pt>
                <c:pt idx="247">
                  <c:v>726.11882560887</c:v>
                </c:pt>
                <c:pt idx="248">
                  <c:v>727.53790248851988</c:v>
                </c:pt>
                <c:pt idx="249">
                  <c:v>698.30356223485001</c:v>
                </c:pt>
                <c:pt idx="250">
                  <c:v>741.23425077899992</c:v>
                </c:pt>
                <c:pt idx="251">
                  <c:v>741.85038414092003</c:v>
                </c:pt>
                <c:pt idx="252">
                  <c:v>704.73839849853005</c:v>
                </c:pt>
                <c:pt idx="253">
                  <c:v>738.75012248763994</c:v>
                </c:pt>
                <c:pt idx="254">
                  <c:v>648.20737327817994</c:v>
                </c:pt>
                <c:pt idx="255">
                  <c:v>626.83077966268002</c:v>
                </c:pt>
                <c:pt idx="256">
                  <c:v>550.68764066974006</c:v>
                </c:pt>
                <c:pt idx="257">
                  <c:v>612.00632188369002</c:v>
                </c:pt>
                <c:pt idx="258">
                  <c:v>623.28333830315</c:v>
                </c:pt>
                <c:pt idx="259">
                  <c:v>717.57573717025991</c:v>
                </c:pt>
                <c:pt idx="260">
                  <c:v>680.64312535578995</c:v>
                </c:pt>
                <c:pt idx="261">
                  <c:v>713.17493992976006</c:v>
                </c:pt>
                <c:pt idx="262">
                  <c:v>671.17178748209005</c:v>
                </c:pt>
                <c:pt idx="263">
                  <c:v>742.91124462681</c:v>
                </c:pt>
                <c:pt idx="264">
                  <c:v>749.10729353726003</c:v>
                </c:pt>
                <c:pt idx="265">
                  <c:v>675.97088366128003</c:v>
                </c:pt>
                <c:pt idx="266">
                  <c:v>734.51909159856007</c:v>
                </c:pt>
                <c:pt idx="267">
                  <c:v>749.91348128165009</c:v>
                </c:pt>
                <c:pt idx="268">
                  <c:v>663.77466462759003</c:v>
                </c:pt>
                <c:pt idx="269">
                  <c:v>709.92606983851999</c:v>
                </c:pt>
                <c:pt idx="270">
                  <c:v>698.14196070989999</c:v>
                </c:pt>
                <c:pt idx="271">
                  <c:v>726.6695308635301</c:v>
                </c:pt>
                <c:pt idx="272">
                  <c:v>661.67763012555997</c:v>
                </c:pt>
                <c:pt idx="273">
                  <c:v>683.76517070825003</c:v>
                </c:pt>
                <c:pt idx="274">
                  <c:v>646.78713938535998</c:v>
                </c:pt>
                <c:pt idx="275">
                  <c:v>713.65343230015003</c:v>
                </c:pt>
                <c:pt idx="276">
                  <c:v>690.23869224668999</c:v>
                </c:pt>
                <c:pt idx="277">
                  <c:v>747.14972643258011</c:v>
                </c:pt>
                <c:pt idx="278">
                  <c:v>731.59930158300006</c:v>
                </c:pt>
                <c:pt idx="279">
                  <c:v>749.90024927646004</c:v>
                </c:pt>
                <c:pt idx="280">
                  <c:v>698.69192834236003</c:v>
                </c:pt>
                <c:pt idx="281">
                  <c:v>662.02659548700012</c:v>
                </c:pt>
                <c:pt idx="282">
                  <c:v>704.38951205565002</c:v>
                </c:pt>
                <c:pt idx="283">
                  <c:v>657.46827263087005</c:v>
                </c:pt>
                <c:pt idx="284">
                  <c:v>668.72877347224994</c:v>
                </c:pt>
                <c:pt idx="285">
                  <c:v>643.16115415427998</c:v>
                </c:pt>
                <c:pt idx="286">
                  <c:v>700.58553185565995</c:v>
                </c:pt>
                <c:pt idx="287">
                  <c:v>637.96495829960998</c:v>
                </c:pt>
                <c:pt idx="288">
                  <c:v>690.16243020933996</c:v>
                </c:pt>
                <c:pt idx="289">
                  <c:v>712.24549875604998</c:v>
                </c:pt>
                <c:pt idx="290">
                  <c:v>653.6227187833299</c:v>
                </c:pt>
                <c:pt idx="291">
                  <c:v>676.42793072805011</c:v>
                </c:pt>
                <c:pt idx="292">
                  <c:v>671.51202440899999</c:v>
                </c:pt>
                <c:pt idx="293">
                  <c:v>689.13559149968</c:v>
                </c:pt>
                <c:pt idx="294">
                  <c:v>639.43506068177999</c:v>
                </c:pt>
                <c:pt idx="295">
                  <c:v>652.00293152769007</c:v>
                </c:pt>
                <c:pt idx="296">
                  <c:v>681.74951152793994</c:v>
                </c:pt>
                <c:pt idx="297">
                  <c:v>638.34599398257001</c:v>
                </c:pt>
                <c:pt idx="298">
                  <c:v>723.32850326695007</c:v>
                </c:pt>
                <c:pt idx="299">
                  <c:v>692.72538715680002</c:v>
                </c:pt>
                <c:pt idx="300">
                  <c:v>708.53196403037998</c:v>
                </c:pt>
                <c:pt idx="301">
                  <c:v>679.30927091734009</c:v>
                </c:pt>
                <c:pt idx="302">
                  <c:v>712.37046263103991</c:v>
                </c:pt>
                <c:pt idx="303">
                  <c:v>665.86907533607996</c:v>
                </c:pt>
                <c:pt idx="304">
                  <c:v>700.25566034118003</c:v>
                </c:pt>
                <c:pt idx="305">
                  <c:v>692.42790700223009</c:v>
                </c:pt>
                <c:pt idx="306">
                  <c:v>655.35985554009994</c:v>
                </c:pt>
                <c:pt idx="307">
                  <c:v>667.98030453264994</c:v>
                </c:pt>
                <c:pt idx="308">
                  <c:v>620.27718415487993</c:v>
                </c:pt>
                <c:pt idx="309">
                  <c:v>675.61701964479005</c:v>
                </c:pt>
                <c:pt idx="310">
                  <c:v>713.44951244740992</c:v>
                </c:pt>
                <c:pt idx="311">
                  <c:v>716.12539135231998</c:v>
                </c:pt>
                <c:pt idx="312">
                  <c:v>721.2269926212</c:v>
                </c:pt>
                <c:pt idx="313">
                  <c:v>734.90556994465999</c:v>
                </c:pt>
                <c:pt idx="314">
                  <c:v>736.35092832410999</c:v>
                </c:pt>
                <c:pt idx="315">
                  <c:v>722.91717058807001</c:v>
                </c:pt>
                <c:pt idx="316">
                  <c:v>693.16448103818993</c:v>
                </c:pt>
                <c:pt idx="317">
                  <c:v>750.21283121184001</c:v>
                </c:pt>
                <c:pt idx="318">
                  <c:v>742.11623597785001</c:v>
                </c:pt>
                <c:pt idx="319">
                  <c:v>713.78905368841004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'240806A011'!$P$2:$P$321</c:f>
              <c:numCache>
                <c:formatCode>General</c:formatCode>
                <c:ptCount val="320"/>
                <c:pt idx="0">
                  <c:v>28.764695595317534</c:v>
                </c:pt>
                <c:pt idx="1">
                  <c:v>31.623108558229802</c:v>
                </c:pt>
                <c:pt idx="2">
                  <c:v>31.398010758679767</c:v>
                </c:pt>
                <c:pt idx="3">
                  <c:v>33.340389077732056</c:v>
                </c:pt>
                <c:pt idx="4">
                  <c:v>30.949273422874988</c:v>
                </c:pt>
                <c:pt idx="5">
                  <c:v>25.711832097321352</c:v>
                </c:pt>
                <c:pt idx="6">
                  <c:v>26.139358847563503</c:v>
                </c:pt>
                <c:pt idx="7">
                  <c:v>32.206360486089068</c:v>
                </c:pt>
                <c:pt idx="8">
                  <c:v>33.042071323096863</c:v>
                </c:pt>
                <c:pt idx="9">
                  <c:v>27.084736533395553</c:v>
                </c:pt>
                <c:pt idx="10">
                  <c:v>30.569567416085903</c:v>
                </c:pt>
                <c:pt idx="11">
                  <c:v>27.793988764193848</c:v>
                </c:pt>
                <c:pt idx="12">
                  <c:v>24.64555326673808</c:v>
                </c:pt>
                <c:pt idx="13">
                  <c:v>21.0163594599159</c:v>
                </c:pt>
                <c:pt idx="14">
                  <c:v>20.15317341694757</c:v>
                </c:pt>
                <c:pt idx="15">
                  <c:v>21.369585676481609</c:v>
                </c:pt>
                <c:pt idx="16">
                  <c:v>20.175973205951255</c:v>
                </c:pt>
                <c:pt idx="17">
                  <c:v>20.699296927063624</c:v>
                </c:pt>
                <c:pt idx="18">
                  <c:v>17.777929066919459</c:v>
                </c:pt>
                <c:pt idx="19">
                  <c:v>18.097210700188672</c:v>
                </c:pt>
                <c:pt idx="20">
                  <c:v>16.679030323792592</c:v>
                </c:pt>
                <c:pt idx="21">
                  <c:v>15.036565163422411</c:v>
                </c:pt>
                <c:pt idx="22">
                  <c:v>19.637100928896047</c:v>
                </c:pt>
                <c:pt idx="23">
                  <c:v>16.31783571051411</c:v>
                </c:pt>
                <c:pt idx="24">
                  <c:v>10.542296075709235</c:v>
                </c:pt>
                <c:pt idx="25">
                  <c:v>7.741406534006523</c:v>
                </c:pt>
                <c:pt idx="26">
                  <c:v>8.0463739585100615</c:v>
                </c:pt>
                <c:pt idx="27">
                  <c:v>6.629790099591963</c:v>
                </c:pt>
                <c:pt idx="28">
                  <c:v>5.0648725938971664</c:v>
                </c:pt>
                <c:pt idx="29">
                  <c:v>7.6193798885238442</c:v>
                </c:pt>
                <c:pt idx="30">
                  <c:v>10.544096136680425</c:v>
                </c:pt>
                <c:pt idx="31">
                  <c:v>9.6810457795251672</c:v>
                </c:pt>
                <c:pt idx="32">
                  <c:v>3.4269228667901634</c:v>
                </c:pt>
                <c:pt idx="33">
                  <c:v>1.9401373932199664</c:v>
                </c:pt>
                <c:pt idx="34">
                  <c:v>4.9918526361336308</c:v>
                </c:pt>
                <c:pt idx="35">
                  <c:v>5.7046084968229591</c:v>
                </c:pt>
                <c:pt idx="36">
                  <c:v>6.8762414939337937</c:v>
                </c:pt>
                <c:pt idx="37">
                  <c:v>6.1945765697152098</c:v>
                </c:pt>
                <c:pt idx="38">
                  <c:v>6.191623770044508</c:v>
                </c:pt>
                <c:pt idx="39">
                  <c:v>7.1302297355023194</c:v>
                </c:pt>
                <c:pt idx="40">
                  <c:v>6.011380918748837</c:v>
                </c:pt>
                <c:pt idx="41">
                  <c:v>8.5572989082063025</c:v>
                </c:pt>
                <c:pt idx="42">
                  <c:v>6.0087129036981564</c:v>
                </c:pt>
                <c:pt idx="43">
                  <c:v>7.5300212802801108</c:v>
                </c:pt>
                <c:pt idx="44">
                  <c:v>6.440965690496073</c:v>
                </c:pt>
                <c:pt idx="45">
                  <c:v>3.6383566992951817</c:v>
                </c:pt>
                <c:pt idx="46">
                  <c:v>2.5611443376591705</c:v>
                </c:pt>
                <c:pt idx="47">
                  <c:v>4.1649197814465024</c:v>
                </c:pt>
                <c:pt idx="48">
                  <c:v>3.9632486134791152</c:v>
                </c:pt>
                <c:pt idx="49">
                  <c:v>1.2041649813597388</c:v>
                </c:pt>
                <c:pt idx="50">
                  <c:v>-0.87947186196628901</c:v>
                </c:pt>
                <c:pt idx="51">
                  <c:v>0.22822168500110504</c:v>
                </c:pt>
                <c:pt idx="52">
                  <c:v>-7.2494675650439114E-2</c:v>
                </c:pt>
                <c:pt idx="53">
                  <c:v>0.18191068744606734</c:v>
                </c:pt>
                <c:pt idx="54">
                  <c:v>0.21821271804485851</c:v>
                </c:pt>
                <c:pt idx="55">
                  <c:v>0.83695918453777618</c:v>
                </c:pt>
                <c:pt idx="56">
                  <c:v>2.2709193642497567</c:v>
                </c:pt>
                <c:pt idx="57">
                  <c:v>1.4329005243250708</c:v>
                </c:pt>
                <c:pt idx="58">
                  <c:v>0.27361079011292583</c:v>
                </c:pt>
                <c:pt idx="59">
                  <c:v>2.6425955238199104E-2</c:v>
                </c:pt>
                <c:pt idx="60">
                  <c:v>-0.49167104260121819</c:v>
                </c:pt>
                <c:pt idx="61">
                  <c:v>-0.14479006990585946</c:v>
                </c:pt>
                <c:pt idx="62">
                  <c:v>-0.2541941130771545</c:v>
                </c:pt>
                <c:pt idx="63">
                  <c:v>0.24779634661183567</c:v>
                </c:pt>
                <c:pt idx="64">
                  <c:v>-9.8296315766568748E-2</c:v>
                </c:pt>
                <c:pt idx="65">
                  <c:v>-0.57303635171508638</c:v>
                </c:pt>
                <c:pt idx="66">
                  <c:v>1.5144844142557576</c:v>
                </c:pt>
                <c:pt idx="67">
                  <c:v>0.67791509619794954</c:v>
                </c:pt>
                <c:pt idx="68">
                  <c:v>0.52257206460771644</c:v>
                </c:pt>
                <c:pt idx="69">
                  <c:v>-1.387211022929149</c:v>
                </c:pt>
                <c:pt idx="70">
                  <c:v>-2.1961487653394456</c:v>
                </c:pt>
                <c:pt idx="71">
                  <c:v>0.62923950970713516</c:v>
                </c:pt>
                <c:pt idx="72">
                  <c:v>0.72378086593624913</c:v>
                </c:pt>
                <c:pt idx="73">
                  <c:v>-1.884495206584792</c:v>
                </c:pt>
                <c:pt idx="74">
                  <c:v>0.23302432051587044</c:v>
                </c:pt>
                <c:pt idx="75">
                  <c:v>0.28627914136380556</c:v>
                </c:pt>
                <c:pt idx="76">
                  <c:v>2.10496273524679E-2</c:v>
                </c:pt>
                <c:pt idx="77">
                  <c:v>1.0725220939795881</c:v>
                </c:pt>
                <c:pt idx="78">
                  <c:v>-1.7927661307829252</c:v>
                </c:pt>
                <c:pt idx="79">
                  <c:v>2.8939455381736496</c:v>
                </c:pt>
                <c:pt idx="80">
                  <c:v>1.6349317515848389</c:v>
                </c:pt>
                <c:pt idx="81">
                  <c:v>3.6776028487143697</c:v>
                </c:pt>
                <c:pt idx="82">
                  <c:v>3.4121611387462227</c:v>
                </c:pt>
                <c:pt idx="83">
                  <c:v>4.8665867793013389</c:v>
                </c:pt>
                <c:pt idx="84">
                  <c:v>2.7485298846388662</c:v>
                </c:pt>
                <c:pt idx="85">
                  <c:v>3.807834227805968</c:v>
                </c:pt>
                <c:pt idx="86">
                  <c:v>4.0169009482844453</c:v>
                </c:pt>
                <c:pt idx="87">
                  <c:v>5.1955316992985221</c:v>
                </c:pt>
                <c:pt idx="88">
                  <c:v>10.306992408769304</c:v>
                </c:pt>
                <c:pt idx="89">
                  <c:v>9.029120934175209</c:v>
                </c:pt>
                <c:pt idx="90">
                  <c:v>8.8492337991637413</c:v>
                </c:pt>
                <c:pt idx="91">
                  <c:v>11.675780435371752</c:v>
                </c:pt>
                <c:pt idx="92">
                  <c:v>6.89306001760648</c:v>
                </c:pt>
                <c:pt idx="93">
                  <c:v>7.0023608843488807</c:v>
                </c:pt>
                <c:pt idx="94">
                  <c:v>8.5098607453483197</c:v>
                </c:pt>
                <c:pt idx="95">
                  <c:v>10.698082757557643</c:v>
                </c:pt>
                <c:pt idx="96">
                  <c:v>9.8308887384260704</c:v>
                </c:pt>
                <c:pt idx="97">
                  <c:v>15.623293128888479</c:v>
                </c:pt>
                <c:pt idx="98">
                  <c:v>12.122330490550091</c:v>
                </c:pt>
                <c:pt idx="99">
                  <c:v>13.860563029081</c:v>
                </c:pt>
                <c:pt idx="100">
                  <c:v>11.177158701076435</c:v>
                </c:pt>
                <c:pt idx="101">
                  <c:v>10.334647933819545</c:v>
                </c:pt>
                <c:pt idx="102">
                  <c:v>10.822786719232734</c:v>
                </c:pt>
                <c:pt idx="103">
                  <c:v>9.6564765941754072</c:v>
                </c:pt>
                <c:pt idx="104">
                  <c:v>9.0925814684826918</c:v>
                </c:pt>
                <c:pt idx="105">
                  <c:v>9.2213759845605363</c:v>
                </c:pt>
                <c:pt idx="106">
                  <c:v>11.360103318813991</c:v>
                </c:pt>
                <c:pt idx="107">
                  <c:v>11.159350606291477</c:v>
                </c:pt>
                <c:pt idx="108">
                  <c:v>14.395971254544234</c:v>
                </c:pt>
                <c:pt idx="109">
                  <c:v>18.82305335759866</c:v>
                </c:pt>
                <c:pt idx="110">
                  <c:v>19.49951636334233</c:v>
                </c:pt>
                <c:pt idx="111">
                  <c:v>24.16230855352855</c:v>
                </c:pt>
                <c:pt idx="112">
                  <c:v>22.364628117114997</c:v>
                </c:pt>
                <c:pt idx="113">
                  <c:v>23.858743534154314</c:v>
                </c:pt>
                <c:pt idx="114">
                  <c:v>21.391745316511919</c:v>
                </c:pt>
                <c:pt idx="115">
                  <c:v>21.035376425550087</c:v>
                </c:pt>
                <c:pt idx="116">
                  <c:v>23.881496959910752</c:v>
                </c:pt>
                <c:pt idx="117">
                  <c:v>26.585825546171549</c:v>
                </c:pt>
                <c:pt idx="118">
                  <c:v>29.604151711143288</c:v>
                </c:pt>
                <c:pt idx="119">
                  <c:v>28.319354005942472</c:v>
                </c:pt>
                <c:pt idx="120">
                  <c:v>23.856600065097947</c:v>
                </c:pt>
                <c:pt idx="121">
                  <c:v>26.572134241396949</c:v>
                </c:pt>
                <c:pt idx="122">
                  <c:v>27.6773817314631</c:v>
                </c:pt>
                <c:pt idx="123">
                  <c:v>31.015882697497883</c:v>
                </c:pt>
                <c:pt idx="124">
                  <c:v>29.515846682960234</c:v>
                </c:pt>
                <c:pt idx="125">
                  <c:v>32.154684446018365</c:v>
                </c:pt>
                <c:pt idx="126">
                  <c:v>30.084047903171012</c:v>
                </c:pt>
                <c:pt idx="127">
                  <c:v>29.467374900420712</c:v>
                </c:pt>
                <c:pt idx="128">
                  <c:v>32.605169909670614</c:v>
                </c:pt>
                <c:pt idx="129">
                  <c:v>29.588709500960082</c:v>
                </c:pt>
                <c:pt idx="130">
                  <c:v>34.965858071435072</c:v>
                </c:pt>
                <c:pt idx="131">
                  <c:v>32.594586915141498</c:v>
                </c:pt>
                <c:pt idx="132">
                  <c:v>33.779159769808622</c:v>
                </c:pt>
                <c:pt idx="133">
                  <c:v>33.869373878591887</c:v>
                </c:pt>
                <c:pt idx="134">
                  <c:v>40.105471411336843</c:v>
                </c:pt>
                <c:pt idx="135">
                  <c:v>37.924889464773628</c:v>
                </c:pt>
                <c:pt idx="136">
                  <c:v>33.548683681944055</c:v>
                </c:pt>
                <c:pt idx="137">
                  <c:v>32.162292784307766</c:v>
                </c:pt>
                <c:pt idx="138">
                  <c:v>34.314741916151078</c:v>
                </c:pt>
                <c:pt idx="139">
                  <c:v>32.720857463093481</c:v>
                </c:pt>
                <c:pt idx="140">
                  <c:v>33.324086244640284</c:v>
                </c:pt>
                <c:pt idx="141">
                  <c:v>30.204698207212864</c:v>
                </c:pt>
                <c:pt idx="142">
                  <c:v>33.771820904482418</c:v>
                </c:pt>
                <c:pt idx="143">
                  <c:v>29.852690646180218</c:v>
                </c:pt>
                <c:pt idx="144">
                  <c:v>32.375821074799013</c:v>
                </c:pt>
                <c:pt idx="145">
                  <c:v>31.212107091276049</c:v>
                </c:pt>
                <c:pt idx="146">
                  <c:v>33.662747684536967</c:v>
                </c:pt>
                <c:pt idx="147">
                  <c:v>31.81508425700769</c:v>
                </c:pt>
                <c:pt idx="148">
                  <c:v>41.934163044416536</c:v>
                </c:pt>
                <c:pt idx="149">
                  <c:v>42.312194602667503</c:v>
                </c:pt>
                <c:pt idx="150">
                  <c:v>44.142650447673454</c:v>
                </c:pt>
                <c:pt idx="151">
                  <c:v>39.654152467940158</c:v>
                </c:pt>
                <c:pt idx="152">
                  <c:v>39.078720341007994</c:v>
                </c:pt>
                <c:pt idx="153">
                  <c:v>37.666105076151759</c:v>
                </c:pt>
                <c:pt idx="154">
                  <c:v>39.425075471945824</c:v>
                </c:pt>
                <c:pt idx="155">
                  <c:v>36.351692358132972</c:v>
                </c:pt>
                <c:pt idx="156">
                  <c:v>34.206800855920498</c:v>
                </c:pt>
                <c:pt idx="157">
                  <c:v>33.04235835100382</c:v>
                </c:pt>
                <c:pt idx="158">
                  <c:v>31.391060301033068</c:v>
                </c:pt>
                <c:pt idx="159">
                  <c:v>30.114662763373655</c:v>
                </c:pt>
                <c:pt idx="160">
                  <c:v>36.873949499904022</c:v>
                </c:pt>
                <c:pt idx="161">
                  <c:v>31.265522617617748</c:v>
                </c:pt>
                <c:pt idx="162">
                  <c:v>30.629511903286478</c:v>
                </c:pt>
                <c:pt idx="163">
                  <c:v>26.48608454685068</c:v>
                </c:pt>
                <c:pt idx="164">
                  <c:v>28.649026302568476</c:v>
                </c:pt>
                <c:pt idx="165">
                  <c:v>30.421562245959205</c:v>
                </c:pt>
                <c:pt idx="166">
                  <c:v>31.619839980635529</c:v>
                </c:pt>
                <c:pt idx="167">
                  <c:v>31.199895720499633</c:v>
                </c:pt>
                <c:pt idx="168">
                  <c:v>28.863040006132866</c:v>
                </c:pt>
                <c:pt idx="169">
                  <c:v>29.009294353054464</c:v>
                </c:pt>
                <c:pt idx="170">
                  <c:v>24.195324719691659</c:v>
                </c:pt>
                <c:pt idx="171">
                  <c:v>23.003612600799649</c:v>
                </c:pt>
                <c:pt idx="172">
                  <c:v>21.804367449966115</c:v>
                </c:pt>
                <c:pt idx="173">
                  <c:v>20.687767606350928</c:v>
                </c:pt>
                <c:pt idx="174">
                  <c:v>21.675067949872254</c:v>
                </c:pt>
                <c:pt idx="175">
                  <c:v>18.969831142276739</c:v>
                </c:pt>
                <c:pt idx="176">
                  <c:v>23.2463893051419</c:v>
                </c:pt>
                <c:pt idx="177">
                  <c:v>18.235374419384556</c:v>
                </c:pt>
                <c:pt idx="178">
                  <c:v>18.209173679612388</c:v>
                </c:pt>
                <c:pt idx="179">
                  <c:v>13.780293341108043</c:v>
                </c:pt>
                <c:pt idx="180">
                  <c:v>16.324331841334345</c:v>
                </c:pt>
                <c:pt idx="181">
                  <c:v>15.196613444960413</c:v>
                </c:pt>
                <c:pt idx="182">
                  <c:v>13.160076458673473</c:v>
                </c:pt>
                <c:pt idx="183">
                  <c:v>16.455876083516973</c:v>
                </c:pt>
                <c:pt idx="184">
                  <c:v>14.151423744124832</c:v>
                </c:pt>
                <c:pt idx="185">
                  <c:v>19.652613083768379</c:v>
                </c:pt>
                <c:pt idx="186">
                  <c:v>19.414461356369156</c:v>
                </c:pt>
                <c:pt idx="187">
                  <c:v>15.910341344857953</c:v>
                </c:pt>
                <c:pt idx="188">
                  <c:v>16.619564835182082</c:v>
                </c:pt>
                <c:pt idx="189">
                  <c:v>13.983328178632842</c:v>
                </c:pt>
                <c:pt idx="190">
                  <c:v>17.025353684828566</c:v>
                </c:pt>
                <c:pt idx="191">
                  <c:v>16.84900711156569</c:v>
                </c:pt>
                <c:pt idx="192">
                  <c:v>14.211460277737745</c:v>
                </c:pt>
                <c:pt idx="193">
                  <c:v>10.769634868673302</c:v>
                </c:pt>
                <c:pt idx="194">
                  <c:v>10.229282382868139</c:v>
                </c:pt>
                <c:pt idx="195">
                  <c:v>9.828588173343384</c:v>
                </c:pt>
                <c:pt idx="196">
                  <c:v>12.41482582179696</c:v>
                </c:pt>
                <c:pt idx="197">
                  <c:v>11.706094300505674</c:v>
                </c:pt>
                <c:pt idx="198">
                  <c:v>8.432354470917792</c:v>
                </c:pt>
                <c:pt idx="199">
                  <c:v>6.3654181715024736</c:v>
                </c:pt>
                <c:pt idx="200">
                  <c:v>8.7672166257920825</c:v>
                </c:pt>
                <c:pt idx="201">
                  <c:v>8.3961771645632179</c:v>
                </c:pt>
                <c:pt idx="202">
                  <c:v>10.111706337658783</c:v>
                </c:pt>
                <c:pt idx="203">
                  <c:v>14.34588880469061</c:v>
                </c:pt>
                <c:pt idx="204">
                  <c:v>15.213200087041262</c:v>
                </c:pt>
                <c:pt idx="205">
                  <c:v>12.638388547487667</c:v>
                </c:pt>
                <c:pt idx="206">
                  <c:v>15.534111829074416</c:v>
                </c:pt>
                <c:pt idx="207">
                  <c:v>17.410807207378447</c:v>
                </c:pt>
                <c:pt idx="208">
                  <c:v>18.666823676025736</c:v>
                </c:pt>
                <c:pt idx="209">
                  <c:v>15.080430206613491</c:v>
                </c:pt>
                <c:pt idx="210">
                  <c:v>19.416962742471785</c:v>
                </c:pt>
                <c:pt idx="211">
                  <c:v>16.155901380821078</c:v>
                </c:pt>
                <c:pt idx="212">
                  <c:v>19.84445709285411</c:v>
                </c:pt>
                <c:pt idx="213">
                  <c:v>19.035022189990336</c:v>
                </c:pt>
                <c:pt idx="214">
                  <c:v>22.281477929333544</c:v>
                </c:pt>
                <c:pt idx="215">
                  <c:v>22.85343643504784</c:v>
                </c:pt>
                <c:pt idx="216">
                  <c:v>22.54958750911532</c:v>
                </c:pt>
                <c:pt idx="217">
                  <c:v>14.749683913535277</c:v>
                </c:pt>
                <c:pt idx="218">
                  <c:v>17.952385687852612</c:v>
                </c:pt>
                <c:pt idx="219">
                  <c:v>17.773503866233369</c:v>
                </c:pt>
                <c:pt idx="220">
                  <c:v>18.517098457000454</c:v>
                </c:pt>
                <c:pt idx="221">
                  <c:v>21.59391041712211</c:v>
                </c:pt>
                <c:pt idx="222">
                  <c:v>18.00126879494001</c:v>
                </c:pt>
                <c:pt idx="223">
                  <c:v>23.446604601875748</c:v>
                </c:pt>
                <c:pt idx="224">
                  <c:v>25.290746657764352</c:v>
                </c:pt>
                <c:pt idx="225">
                  <c:v>27.376989498264532</c:v>
                </c:pt>
                <c:pt idx="226">
                  <c:v>23.760214612680034</c:v>
                </c:pt>
                <c:pt idx="227">
                  <c:v>25.541106379898178</c:v>
                </c:pt>
                <c:pt idx="228">
                  <c:v>27.027028571797278</c:v>
                </c:pt>
                <c:pt idx="229">
                  <c:v>24.265964744584284</c:v>
                </c:pt>
                <c:pt idx="230">
                  <c:v>26.604202980427395</c:v>
                </c:pt>
                <c:pt idx="231">
                  <c:v>22.901396344668878</c:v>
                </c:pt>
                <c:pt idx="232">
                  <c:v>19.708859844727318</c:v>
                </c:pt>
                <c:pt idx="233">
                  <c:v>27.912073442678821</c:v>
                </c:pt>
                <c:pt idx="234">
                  <c:v>23.825061085535189</c:v>
                </c:pt>
                <c:pt idx="235">
                  <c:v>29.300912566907122</c:v>
                </c:pt>
                <c:pt idx="236">
                  <c:v>26.962402454927364</c:v>
                </c:pt>
                <c:pt idx="237">
                  <c:v>24.86152816262269</c:v>
                </c:pt>
                <c:pt idx="238">
                  <c:v>22.88459817147524</c:v>
                </c:pt>
                <c:pt idx="239">
                  <c:v>28.977724482573404</c:v>
                </c:pt>
                <c:pt idx="240">
                  <c:v>28.420582736673062</c:v>
                </c:pt>
                <c:pt idx="241">
                  <c:v>26.797144926059907</c:v>
                </c:pt>
                <c:pt idx="242">
                  <c:v>24.362032150468508</c:v>
                </c:pt>
                <c:pt idx="243">
                  <c:v>22.528764594510818</c:v>
                </c:pt>
                <c:pt idx="244">
                  <c:v>23.201497044355683</c:v>
                </c:pt>
                <c:pt idx="245">
                  <c:v>18.949285013581214</c:v>
                </c:pt>
                <c:pt idx="246">
                  <c:v>27.005319908382202</c:v>
                </c:pt>
                <c:pt idx="247">
                  <c:v>27.02127852306166</c:v>
                </c:pt>
                <c:pt idx="248">
                  <c:v>27.700005503875609</c:v>
                </c:pt>
                <c:pt idx="249">
                  <c:v>31.158873159982143</c:v>
                </c:pt>
                <c:pt idx="250">
                  <c:v>25.48021385282021</c:v>
                </c:pt>
                <c:pt idx="251">
                  <c:v>24.595996780096758</c:v>
                </c:pt>
                <c:pt idx="252">
                  <c:v>25.006855866839761</c:v>
                </c:pt>
                <c:pt idx="253">
                  <c:v>26.516438074274284</c:v>
                </c:pt>
                <c:pt idx="254">
                  <c:v>28.013196927760582</c:v>
                </c:pt>
                <c:pt idx="255">
                  <c:v>28.023884404473108</c:v>
                </c:pt>
                <c:pt idx="256">
                  <c:v>31.583883908533583</c:v>
                </c:pt>
                <c:pt idx="257">
                  <c:v>25.576516611574711</c:v>
                </c:pt>
                <c:pt idx="258">
                  <c:v>23.451435427725407</c:v>
                </c:pt>
                <c:pt idx="259">
                  <c:v>22.402728695486598</c:v>
                </c:pt>
                <c:pt idx="260">
                  <c:v>22.085960644626194</c:v>
                </c:pt>
                <c:pt idx="261">
                  <c:v>19.145094886745262</c:v>
                </c:pt>
                <c:pt idx="262">
                  <c:v>19.439048068500021</c:v>
                </c:pt>
                <c:pt idx="263">
                  <c:v>18.917364736009485</c:v>
                </c:pt>
                <c:pt idx="264">
                  <c:v>18.077014464095274</c:v>
                </c:pt>
                <c:pt idx="265">
                  <c:v>20.544436567068093</c:v>
                </c:pt>
                <c:pt idx="266">
                  <c:v>19.802344086228246</c:v>
                </c:pt>
                <c:pt idx="267">
                  <c:v>19.4161659918576</c:v>
                </c:pt>
                <c:pt idx="268">
                  <c:v>22.832783927778035</c:v>
                </c:pt>
                <c:pt idx="269">
                  <c:v>21.282585247656051</c:v>
                </c:pt>
                <c:pt idx="270">
                  <c:v>22.511928456533919</c:v>
                </c:pt>
                <c:pt idx="271">
                  <c:v>23.73052260930174</c:v>
                </c:pt>
                <c:pt idx="272">
                  <c:v>26.132552480322218</c:v>
                </c:pt>
                <c:pt idx="273">
                  <c:v>24.319264551287624</c:v>
                </c:pt>
                <c:pt idx="274">
                  <c:v>27.227774595645332</c:v>
                </c:pt>
                <c:pt idx="275">
                  <c:v>24.34276310658753</c:v>
                </c:pt>
                <c:pt idx="276">
                  <c:v>25.989607187668049</c:v>
                </c:pt>
                <c:pt idx="277">
                  <c:v>22.453521069712838</c:v>
                </c:pt>
                <c:pt idx="278">
                  <c:v>23.308223023653639</c:v>
                </c:pt>
                <c:pt idx="279">
                  <c:v>24.712618507341571</c:v>
                </c:pt>
                <c:pt idx="280">
                  <c:v>22.056767699335811</c:v>
                </c:pt>
                <c:pt idx="281">
                  <c:v>22.436360681289109</c:v>
                </c:pt>
                <c:pt idx="282">
                  <c:v>23.487600267447796</c:v>
                </c:pt>
                <c:pt idx="283">
                  <c:v>27.173135450172904</c:v>
                </c:pt>
                <c:pt idx="284">
                  <c:v>21.760035566704673</c:v>
                </c:pt>
                <c:pt idx="285">
                  <c:v>20.88270829558191</c:v>
                </c:pt>
                <c:pt idx="286">
                  <c:v>22.759588255629183</c:v>
                </c:pt>
                <c:pt idx="287">
                  <c:v>20.718597485642778</c:v>
                </c:pt>
                <c:pt idx="288">
                  <c:v>20.023228808311362</c:v>
                </c:pt>
                <c:pt idx="289">
                  <c:v>17.028466016485545</c:v>
                </c:pt>
                <c:pt idx="290">
                  <c:v>19.757477248701374</c:v>
                </c:pt>
                <c:pt idx="291">
                  <c:v>15.365869783220337</c:v>
                </c:pt>
                <c:pt idx="292">
                  <c:v>14.542498587121388</c:v>
                </c:pt>
                <c:pt idx="293">
                  <c:v>12.254273227565736</c:v>
                </c:pt>
                <c:pt idx="294">
                  <c:v>10.966145160300968</c:v>
                </c:pt>
                <c:pt idx="295">
                  <c:v>9.7101610840404078</c:v>
                </c:pt>
                <c:pt idx="296">
                  <c:v>13.886241950895906</c:v>
                </c:pt>
                <c:pt idx="297">
                  <c:v>16.919581110532121</c:v>
                </c:pt>
                <c:pt idx="298">
                  <c:v>15.961177265762982</c:v>
                </c:pt>
                <c:pt idx="299">
                  <c:v>12.868188816457977</c:v>
                </c:pt>
                <c:pt idx="300">
                  <c:v>10.665319941258986</c:v>
                </c:pt>
                <c:pt idx="301">
                  <c:v>15.445042291265528</c:v>
                </c:pt>
                <c:pt idx="302">
                  <c:v>13.891942313214875</c:v>
                </c:pt>
                <c:pt idx="303">
                  <c:v>13.161197160014055</c:v>
                </c:pt>
                <c:pt idx="304">
                  <c:v>14.471638571782467</c:v>
                </c:pt>
                <c:pt idx="305">
                  <c:v>14.937019332329859</c:v>
                </c:pt>
                <c:pt idx="306">
                  <c:v>15.904242409405519</c:v>
                </c:pt>
                <c:pt idx="307">
                  <c:v>15.753470944476053</c:v>
                </c:pt>
                <c:pt idx="308">
                  <c:v>17.465859402509114</c:v>
                </c:pt>
                <c:pt idx="309">
                  <c:v>15.844657868962583</c:v>
                </c:pt>
                <c:pt idx="310">
                  <c:v>11.001726128647158</c:v>
                </c:pt>
                <c:pt idx="311">
                  <c:v>10.269198095415391</c:v>
                </c:pt>
                <c:pt idx="312">
                  <c:v>11.844088692563705</c:v>
                </c:pt>
                <c:pt idx="313">
                  <c:v>10.018876272934943</c:v>
                </c:pt>
                <c:pt idx="314">
                  <c:v>9.9331890498090569</c:v>
                </c:pt>
                <c:pt idx="315">
                  <c:v>9.0508625498085227</c:v>
                </c:pt>
                <c:pt idx="316">
                  <c:v>9.7115801907614241</c:v>
                </c:pt>
                <c:pt idx="317">
                  <c:v>7.1771564608640803</c:v>
                </c:pt>
                <c:pt idx="318">
                  <c:v>8.667296803868302</c:v>
                </c:pt>
                <c:pt idx="319">
                  <c:v>7.3832499719763733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'240806A012'!$J$2:$J$321</c:f>
              <c:numCache>
                <c:formatCode>0.0</c:formatCode>
                <c:ptCount val="320"/>
                <c:pt idx="0">
                  <c:v>1098.4009941802301</c:v>
                </c:pt>
                <c:pt idx="1">
                  <c:v>1034.4189579365</c:v>
                </c:pt>
                <c:pt idx="2">
                  <c:v>1073.71631670222</c:v>
                </c:pt>
                <c:pt idx="3">
                  <c:v>1023.5597355126401</c:v>
                </c:pt>
                <c:pt idx="4">
                  <c:v>959.45456204844993</c:v>
                </c:pt>
                <c:pt idx="5">
                  <c:v>1009.85093717935</c:v>
                </c:pt>
                <c:pt idx="6">
                  <c:v>978.84793054869988</c:v>
                </c:pt>
                <c:pt idx="7">
                  <c:v>932.09180551084989</c:v>
                </c:pt>
                <c:pt idx="8">
                  <c:v>1164.4956326269498</c:v>
                </c:pt>
                <c:pt idx="9">
                  <c:v>1186.3692922150201</c:v>
                </c:pt>
                <c:pt idx="10">
                  <c:v>1136.7629668224502</c:v>
                </c:pt>
                <c:pt idx="11">
                  <c:v>1106.5763579753002</c:v>
                </c:pt>
                <c:pt idx="12">
                  <c:v>1167.2861541406201</c:v>
                </c:pt>
                <c:pt idx="13">
                  <c:v>1202.0056874594902</c:v>
                </c:pt>
                <c:pt idx="14">
                  <c:v>1269.74339115968</c:v>
                </c:pt>
                <c:pt idx="15">
                  <c:v>1211.29067598803</c:v>
                </c:pt>
                <c:pt idx="16">
                  <c:v>1221.7186772939501</c:v>
                </c:pt>
                <c:pt idx="17">
                  <c:v>1198.90125673587</c:v>
                </c:pt>
                <c:pt idx="18">
                  <c:v>1256.2742015869699</c:v>
                </c:pt>
                <c:pt idx="19">
                  <c:v>1246.8305432839002</c:v>
                </c:pt>
                <c:pt idx="20">
                  <c:v>1141.9063885935102</c:v>
                </c:pt>
                <c:pt idx="21">
                  <c:v>1183.7946631620598</c:v>
                </c:pt>
                <c:pt idx="22">
                  <c:v>1069.3795525545002</c:v>
                </c:pt>
                <c:pt idx="23">
                  <c:v>1150.9092738081899</c:v>
                </c:pt>
                <c:pt idx="24">
                  <c:v>1258.33170126851</c:v>
                </c:pt>
                <c:pt idx="25">
                  <c:v>1272.1755122187499</c:v>
                </c:pt>
                <c:pt idx="26">
                  <c:v>1278.6847416748301</c:v>
                </c:pt>
                <c:pt idx="27">
                  <c:v>1255.91246547069</c:v>
                </c:pt>
                <c:pt idx="28">
                  <c:v>1136.0083198115999</c:v>
                </c:pt>
                <c:pt idx="29">
                  <c:v>1163.3751721070598</c:v>
                </c:pt>
                <c:pt idx="30">
                  <c:v>1122.81382360048</c:v>
                </c:pt>
                <c:pt idx="31">
                  <c:v>1107.4912199915402</c:v>
                </c:pt>
                <c:pt idx="32">
                  <c:v>1138.73044690906</c:v>
                </c:pt>
                <c:pt idx="33">
                  <c:v>1153.48971313586</c:v>
                </c:pt>
                <c:pt idx="34">
                  <c:v>1185.25492477233</c:v>
                </c:pt>
                <c:pt idx="35">
                  <c:v>1286.3020890973501</c:v>
                </c:pt>
                <c:pt idx="36">
                  <c:v>1247.9607388320901</c:v>
                </c:pt>
                <c:pt idx="37">
                  <c:v>1218.3631362010801</c:v>
                </c:pt>
                <c:pt idx="38">
                  <c:v>1210.3300089577401</c:v>
                </c:pt>
                <c:pt idx="39">
                  <c:v>1224.5252985174102</c:v>
                </c:pt>
                <c:pt idx="40">
                  <c:v>1232.1908894117701</c:v>
                </c:pt>
                <c:pt idx="41">
                  <c:v>1229.5527401163399</c:v>
                </c:pt>
                <c:pt idx="42">
                  <c:v>1267.36366560034</c:v>
                </c:pt>
                <c:pt idx="43">
                  <c:v>1194.39919918485</c:v>
                </c:pt>
                <c:pt idx="44">
                  <c:v>1206.6208971086398</c:v>
                </c:pt>
                <c:pt idx="45">
                  <c:v>1153.7462444487601</c:v>
                </c:pt>
                <c:pt idx="46">
                  <c:v>1192.1182636727601</c:v>
                </c:pt>
                <c:pt idx="47">
                  <c:v>1103.0834910384699</c:v>
                </c:pt>
                <c:pt idx="48">
                  <c:v>1193.41650787087</c:v>
                </c:pt>
                <c:pt idx="49">
                  <c:v>1283.1195278096</c:v>
                </c:pt>
                <c:pt idx="50">
                  <c:v>1158.8529666237901</c:v>
                </c:pt>
                <c:pt idx="51">
                  <c:v>1037.58639997561</c:v>
                </c:pt>
                <c:pt idx="52">
                  <c:v>1236.4374989421199</c:v>
                </c:pt>
                <c:pt idx="53">
                  <c:v>1279.5959816516699</c:v>
                </c:pt>
                <c:pt idx="54">
                  <c:v>1287.1514375290101</c:v>
                </c:pt>
                <c:pt idx="55">
                  <c:v>1142.41066890621</c:v>
                </c:pt>
                <c:pt idx="56">
                  <c:v>1051.6345886234699</c:v>
                </c:pt>
                <c:pt idx="57">
                  <c:v>1252.34600018374</c:v>
                </c:pt>
                <c:pt idx="58">
                  <c:v>1251.1754011002799</c:v>
                </c:pt>
                <c:pt idx="59">
                  <c:v>1102.39438438859</c:v>
                </c:pt>
                <c:pt idx="60">
                  <c:v>1154.8928236616998</c:v>
                </c:pt>
                <c:pt idx="61">
                  <c:v>1149.7258395239801</c:v>
                </c:pt>
                <c:pt idx="62">
                  <c:v>1098.7617996496899</c:v>
                </c:pt>
                <c:pt idx="63">
                  <c:v>1103.1910447036601</c:v>
                </c:pt>
                <c:pt idx="64">
                  <c:v>1066.63290925153</c:v>
                </c:pt>
                <c:pt idx="65">
                  <c:v>1000.7027079848999</c:v>
                </c:pt>
                <c:pt idx="66">
                  <c:v>1091.92703618362</c:v>
                </c:pt>
                <c:pt idx="67">
                  <c:v>1143.4196306327201</c:v>
                </c:pt>
                <c:pt idx="68">
                  <c:v>1224.02940339117</c:v>
                </c:pt>
                <c:pt idx="69">
                  <c:v>1187.9719067349399</c:v>
                </c:pt>
                <c:pt idx="70">
                  <c:v>1283.9420944836802</c:v>
                </c:pt>
                <c:pt idx="71">
                  <c:v>1322.24910148554</c:v>
                </c:pt>
                <c:pt idx="72">
                  <c:v>1285.8543306419899</c:v>
                </c:pt>
                <c:pt idx="73">
                  <c:v>1290.84951787719</c:v>
                </c:pt>
                <c:pt idx="74">
                  <c:v>1287.1826668998601</c:v>
                </c:pt>
                <c:pt idx="75">
                  <c:v>1271.1972255605401</c:v>
                </c:pt>
                <c:pt idx="76">
                  <c:v>1214.1401701300101</c:v>
                </c:pt>
                <c:pt idx="77">
                  <c:v>1318.0085309501301</c:v>
                </c:pt>
                <c:pt idx="78">
                  <c:v>1327.47050559425</c:v>
                </c:pt>
                <c:pt idx="79">
                  <c:v>1303.8069421170799</c:v>
                </c:pt>
                <c:pt idx="80">
                  <c:v>1310.73663136553</c:v>
                </c:pt>
                <c:pt idx="81">
                  <c:v>1312.1502357483801</c:v>
                </c:pt>
                <c:pt idx="82">
                  <c:v>1238.49753343455</c:v>
                </c:pt>
                <c:pt idx="83">
                  <c:v>1267.7693389830199</c:v>
                </c:pt>
                <c:pt idx="84">
                  <c:v>1268.655551606</c:v>
                </c:pt>
                <c:pt idx="85">
                  <c:v>1280.7791149703201</c:v>
                </c:pt>
                <c:pt idx="86">
                  <c:v>1279.3808901402101</c:v>
                </c:pt>
                <c:pt idx="87">
                  <c:v>1285.8452043556099</c:v>
                </c:pt>
                <c:pt idx="88">
                  <c:v>1282.99422049025</c:v>
                </c:pt>
                <c:pt idx="89">
                  <c:v>1300.53367206146</c:v>
                </c:pt>
                <c:pt idx="90">
                  <c:v>1309.36768782319</c:v>
                </c:pt>
                <c:pt idx="91">
                  <c:v>1297.8566210471402</c:v>
                </c:pt>
                <c:pt idx="92">
                  <c:v>1273.58016234089</c:v>
                </c:pt>
                <c:pt idx="93">
                  <c:v>1280.0441782269299</c:v>
                </c:pt>
                <c:pt idx="94">
                  <c:v>1294.4168089946302</c:v>
                </c:pt>
                <c:pt idx="95">
                  <c:v>1298.4719551760099</c:v>
                </c:pt>
                <c:pt idx="96">
                  <c:v>1310.83090629972</c:v>
                </c:pt>
                <c:pt idx="97">
                  <c:v>1289.15931906325</c:v>
                </c:pt>
                <c:pt idx="98">
                  <c:v>1274.5985903937899</c:v>
                </c:pt>
                <c:pt idx="99">
                  <c:v>1271.7159388673401</c:v>
                </c:pt>
                <c:pt idx="100">
                  <c:v>1291.9270938991601</c:v>
                </c:pt>
                <c:pt idx="101">
                  <c:v>1308.6813519292</c:v>
                </c:pt>
                <c:pt idx="102">
                  <c:v>1272.03480776424</c:v>
                </c:pt>
                <c:pt idx="103">
                  <c:v>1256.3470412331701</c:v>
                </c:pt>
                <c:pt idx="104">
                  <c:v>1294.36243455618</c:v>
                </c:pt>
                <c:pt idx="105">
                  <c:v>1241.8088517342799</c:v>
                </c:pt>
                <c:pt idx="106">
                  <c:v>1209.6321413907399</c:v>
                </c:pt>
                <c:pt idx="107">
                  <c:v>1172.5181655669699</c:v>
                </c:pt>
                <c:pt idx="108">
                  <c:v>1152.54538256353</c:v>
                </c:pt>
                <c:pt idx="109">
                  <c:v>1145.5869474472099</c:v>
                </c:pt>
                <c:pt idx="110">
                  <c:v>1173.66554916004</c:v>
                </c:pt>
                <c:pt idx="111">
                  <c:v>1159.01691422159</c:v>
                </c:pt>
                <c:pt idx="112">
                  <c:v>1112.28715428889</c:v>
                </c:pt>
                <c:pt idx="113">
                  <c:v>1146.21527633492</c:v>
                </c:pt>
                <c:pt idx="114">
                  <c:v>1241.13964528054</c:v>
                </c:pt>
                <c:pt idx="115">
                  <c:v>1292.4964293851501</c:v>
                </c:pt>
                <c:pt idx="116">
                  <c:v>1294.6469872003299</c:v>
                </c:pt>
                <c:pt idx="117">
                  <c:v>1268.89501234406</c:v>
                </c:pt>
                <c:pt idx="118">
                  <c:v>1174.29430681143</c:v>
                </c:pt>
                <c:pt idx="119">
                  <c:v>1229.7294045364399</c:v>
                </c:pt>
                <c:pt idx="120">
                  <c:v>1238.81618243004</c:v>
                </c:pt>
                <c:pt idx="121">
                  <c:v>1176.71135350951</c:v>
                </c:pt>
                <c:pt idx="122">
                  <c:v>1205.57398754769</c:v>
                </c:pt>
                <c:pt idx="123">
                  <c:v>1243.69229031038</c:v>
                </c:pt>
                <c:pt idx="124">
                  <c:v>1275.23278840375</c:v>
                </c:pt>
                <c:pt idx="125">
                  <c:v>1212.0733133886999</c:v>
                </c:pt>
                <c:pt idx="126">
                  <c:v>1188.72913748734</c:v>
                </c:pt>
                <c:pt idx="127">
                  <c:v>1160.26772141737</c:v>
                </c:pt>
                <c:pt idx="128">
                  <c:v>1155.91796176156</c:v>
                </c:pt>
                <c:pt idx="129">
                  <c:v>1165.68566450409</c:v>
                </c:pt>
                <c:pt idx="130">
                  <c:v>1244.8826104332302</c:v>
                </c:pt>
                <c:pt idx="131">
                  <c:v>1189.09907061633</c:v>
                </c:pt>
                <c:pt idx="132">
                  <c:v>1191.7970948570501</c:v>
                </c:pt>
                <c:pt idx="133">
                  <c:v>1251.9354485470099</c:v>
                </c:pt>
                <c:pt idx="134">
                  <c:v>1248.7328223126901</c:v>
                </c:pt>
                <c:pt idx="135">
                  <c:v>1219.61902756328</c:v>
                </c:pt>
                <c:pt idx="136">
                  <c:v>1277.4714549113601</c:v>
                </c:pt>
                <c:pt idx="137">
                  <c:v>1210.42240797509</c:v>
                </c:pt>
                <c:pt idx="138">
                  <c:v>1181.8403518495302</c:v>
                </c:pt>
                <c:pt idx="139">
                  <c:v>1156.6878937664901</c:v>
                </c:pt>
                <c:pt idx="140">
                  <c:v>1223.06394544049</c:v>
                </c:pt>
                <c:pt idx="141">
                  <c:v>1228.9365826313901</c:v>
                </c:pt>
                <c:pt idx="142">
                  <c:v>1234.8255575532401</c:v>
                </c:pt>
                <c:pt idx="143">
                  <c:v>1220.3017683845599</c:v>
                </c:pt>
                <c:pt idx="144">
                  <c:v>1232.2854269039601</c:v>
                </c:pt>
                <c:pt idx="145">
                  <c:v>1239.4532387678801</c:v>
                </c:pt>
                <c:pt idx="146">
                  <c:v>1254.09060900752</c:v>
                </c:pt>
                <c:pt idx="147">
                  <c:v>1185.85829844156</c:v>
                </c:pt>
                <c:pt idx="148">
                  <c:v>1209.1718818357101</c:v>
                </c:pt>
                <c:pt idx="149">
                  <c:v>1070.8404459590399</c:v>
                </c:pt>
                <c:pt idx="150">
                  <c:v>1235.6566358825098</c:v>
                </c:pt>
                <c:pt idx="151">
                  <c:v>1233.96673615896</c:v>
                </c:pt>
                <c:pt idx="152">
                  <c:v>1175.3026686917099</c:v>
                </c:pt>
                <c:pt idx="153">
                  <c:v>1244.2846591891901</c:v>
                </c:pt>
                <c:pt idx="154">
                  <c:v>1240.63306888539</c:v>
                </c:pt>
                <c:pt idx="155">
                  <c:v>1268.1886485483201</c:v>
                </c:pt>
                <c:pt idx="156">
                  <c:v>1286.2629203731499</c:v>
                </c:pt>
                <c:pt idx="157">
                  <c:v>1280.2109017958198</c:v>
                </c:pt>
                <c:pt idx="158">
                  <c:v>1248.4508670810801</c:v>
                </c:pt>
                <c:pt idx="159">
                  <c:v>1171.9762317582399</c:v>
                </c:pt>
                <c:pt idx="160">
                  <c:v>1245.4689967014399</c:v>
                </c:pt>
                <c:pt idx="161">
                  <c:v>1220.64763396129</c:v>
                </c:pt>
                <c:pt idx="162">
                  <c:v>1223.7452400941802</c:v>
                </c:pt>
                <c:pt idx="163">
                  <c:v>1176.26669748227</c:v>
                </c:pt>
                <c:pt idx="164">
                  <c:v>1229.71255042907</c:v>
                </c:pt>
                <c:pt idx="165">
                  <c:v>1091.04631077819</c:v>
                </c:pt>
                <c:pt idx="166">
                  <c:v>1038.07753015044</c:v>
                </c:pt>
                <c:pt idx="167">
                  <c:v>1119.0586817757699</c:v>
                </c:pt>
                <c:pt idx="168">
                  <c:v>1132.96533365903</c:v>
                </c:pt>
                <c:pt idx="169">
                  <c:v>1124.15512562715</c:v>
                </c:pt>
                <c:pt idx="170">
                  <c:v>1138.68912421146</c:v>
                </c:pt>
                <c:pt idx="171">
                  <c:v>1089.6813770501199</c:v>
                </c:pt>
                <c:pt idx="172">
                  <c:v>1087.0645374102901</c:v>
                </c:pt>
                <c:pt idx="173">
                  <c:v>1088.09597039188</c:v>
                </c:pt>
                <c:pt idx="174">
                  <c:v>1062.1927824654299</c:v>
                </c:pt>
                <c:pt idx="175">
                  <c:v>980.19801944927008</c:v>
                </c:pt>
                <c:pt idx="176">
                  <c:v>973.64897094732999</c:v>
                </c:pt>
                <c:pt idx="177">
                  <c:v>1002.76733588259</c:v>
                </c:pt>
                <c:pt idx="178">
                  <c:v>1052.40570085997</c:v>
                </c:pt>
                <c:pt idx="179">
                  <c:v>1005.09246573617</c:v>
                </c:pt>
                <c:pt idx="180">
                  <c:v>1022.1457716534601</c:v>
                </c:pt>
                <c:pt idx="181">
                  <c:v>1095.36609515022</c:v>
                </c:pt>
                <c:pt idx="182">
                  <c:v>1098.32073595414</c:v>
                </c:pt>
                <c:pt idx="183">
                  <c:v>1144.1658842557101</c:v>
                </c:pt>
                <c:pt idx="184">
                  <c:v>1115.7838369282902</c:v>
                </c:pt>
                <c:pt idx="185">
                  <c:v>1008.33623801199</c:v>
                </c:pt>
                <c:pt idx="186">
                  <c:v>1027.24748213159</c:v>
                </c:pt>
                <c:pt idx="187">
                  <c:v>1044.8762595606499</c:v>
                </c:pt>
                <c:pt idx="188">
                  <c:v>993.76403343802997</c:v>
                </c:pt>
                <c:pt idx="189">
                  <c:v>1035.0313534984</c:v>
                </c:pt>
                <c:pt idx="190">
                  <c:v>1033.72507621619</c:v>
                </c:pt>
                <c:pt idx="191">
                  <c:v>1078.0938573774001</c:v>
                </c:pt>
                <c:pt idx="192">
                  <c:v>1066.8642514448502</c:v>
                </c:pt>
                <c:pt idx="193">
                  <c:v>1066.02915493563</c:v>
                </c:pt>
                <c:pt idx="194">
                  <c:v>1018.94380771482</c:v>
                </c:pt>
                <c:pt idx="195">
                  <c:v>1075.1041919773299</c:v>
                </c:pt>
                <c:pt idx="196">
                  <c:v>1096.5987918482401</c:v>
                </c:pt>
                <c:pt idx="197">
                  <c:v>1128.44735476611</c:v>
                </c:pt>
                <c:pt idx="198">
                  <c:v>1140.9867592778301</c:v>
                </c:pt>
                <c:pt idx="199">
                  <c:v>1153.9899985960799</c:v>
                </c:pt>
                <c:pt idx="200">
                  <c:v>1213.45933642196</c:v>
                </c:pt>
                <c:pt idx="201">
                  <c:v>1243.99537647993</c:v>
                </c:pt>
                <c:pt idx="202">
                  <c:v>1262.9867808508</c:v>
                </c:pt>
                <c:pt idx="203">
                  <c:v>1226.1238247845399</c:v>
                </c:pt>
                <c:pt idx="204">
                  <c:v>1214.9373118103999</c:v>
                </c:pt>
                <c:pt idx="205">
                  <c:v>1192.60456714267</c:v>
                </c:pt>
                <c:pt idx="206">
                  <c:v>1183.9450509769902</c:v>
                </c:pt>
                <c:pt idx="207">
                  <c:v>1175.4457910406099</c:v>
                </c:pt>
                <c:pt idx="208">
                  <c:v>1101.97587599281</c:v>
                </c:pt>
                <c:pt idx="209">
                  <c:v>1231.10445147833</c:v>
                </c:pt>
                <c:pt idx="210">
                  <c:v>1233.2084741522999</c:v>
                </c:pt>
                <c:pt idx="211">
                  <c:v>1235.9558632415201</c:v>
                </c:pt>
                <c:pt idx="212">
                  <c:v>1202.24891600003</c:v>
                </c:pt>
                <c:pt idx="213">
                  <c:v>1138.1244440048599</c:v>
                </c:pt>
                <c:pt idx="214">
                  <c:v>1105.5984731010999</c:v>
                </c:pt>
                <c:pt idx="215">
                  <c:v>1190.22573068254</c:v>
                </c:pt>
                <c:pt idx="216">
                  <c:v>1177.4109225864499</c:v>
                </c:pt>
                <c:pt idx="217">
                  <c:v>1120.4471302747102</c:v>
                </c:pt>
                <c:pt idx="218">
                  <c:v>1157.15557911325</c:v>
                </c:pt>
                <c:pt idx="219">
                  <c:v>1198.9195743740199</c:v>
                </c:pt>
                <c:pt idx="220">
                  <c:v>1100.99192550218</c:v>
                </c:pt>
                <c:pt idx="221">
                  <c:v>1128.9065999996099</c:v>
                </c:pt>
                <c:pt idx="222">
                  <c:v>1142.4139006835001</c:v>
                </c:pt>
                <c:pt idx="223">
                  <c:v>1155.7453670372199</c:v>
                </c:pt>
                <c:pt idx="224">
                  <c:v>1142.15963242423</c:v>
                </c:pt>
                <c:pt idx="225">
                  <c:v>1119.8152105926802</c:v>
                </c:pt>
                <c:pt idx="226">
                  <c:v>1111.6171973763601</c:v>
                </c:pt>
                <c:pt idx="227">
                  <c:v>1149.9948884819701</c:v>
                </c:pt>
                <c:pt idx="228">
                  <c:v>1172.8580112888299</c:v>
                </c:pt>
                <c:pt idx="229">
                  <c:v>1175.06129286449</c:v>
                </c:pt>
                <c:pt idx="230">
                  <c:v>1139.12786731592</c:v>
                </c:pt>
                <c:pt idx="231">
                  <c:v>1136.0006746069701</c:v>
                </c:pt>
                <c:pt idx="232">
                  <c:v>1149.15672613416</c:v>
                </c:pt>
                <c:pt idx="233">
                  <c:v>1171.9251072852201</c:v>
                </c:pt>
                <c:pt idx="234">
                  <c:v>1107.6842688072602</c:v>
                </c:pt>
                <c:pt idx="235">
                  <c:v>1125.09851907698</c:v>
                </c:pt>
                <c:pt idx="236">
                  <c:v>1067.3353136922701</c:v>
                </c:pt>
                <c:pt idx="237">
                  <c:v>1061.3945997426601</c:v>
                </c:pt>
                <c:pt idx="238">
                  <c:v>1059.70983395596</c:v>
                </c:pt>
                <c:pt idx="239">
                  <c:v>1143.3122919176199</c:v>
                </c:pt>
                <c:pt idx="240">
                  <c:v>1149.53788252866</c:v>
                </c:pt>
                <c:pt idx="241">
                  <c:v>1135.5100141403</c:v>
                </c:pt>
                <c:pt idx="242">
                  <c:v>1155.5666399822098</c:v>
                </c:pt>
                <c:pt idx="243">
                  <c:v>1095.6411194490001</c:v>
                </c:pt>
                <c:pt idx="244">
                  <c:v>1113.6844997169101</c:v>
                </c:pt>
                <c:pt idx="245">
                  <c:v>1123.6796232239199</c:v>
                </c:pt>
                <c:pt idx="246">
                  <c:v>1088.9078590274701</c:v>
                </c:pt>
                <c:pt idx="247">
                  <c:v>1119.77671829325</c:v>
                </c:pt>
                <c:pt idx="248">
                  <c:v>1048.79979095983</c:v>
                </c:pt>
                <c:pt idx="249">
                  <c:v>1100.4825836708599</c:v>
                </c:pt>
                <c:pt idx="250">
                  <c:v>1089.8256790944702</c:v>
                </c:pt>
                <c:pt idx="251">
                  <c:v>1068.08340077087</c:v>
                </c:pt>
                <c:pt idx="252">
                  <c:v>1123.2198703755801</c:v>
                </c:pt>
                <c:pt idx="253">
                  <c:v>1124.7225654168201</c:v>
                </c:pt>
                <c:pt idx="254">
                  <c:v>1114.6362703503301</c:v>
                </c:pt>
                <c:pt idx="255">
                  <c:v>1157.9177951469101</c:v>
                </c:pt>
                <c:pt idx="256">
                  <c:v>1122.99236826792</c:v>
                </c:pt>
                <c:pt idx="257">
                  <c:v>1146.6744058879401</c:v>
                </c:pt>
                <c:pt idx="258">
                  <c:v>1157.45360685579</c:v>
                </c:pt>
                <c:pt idx="259">
                  <c:v>1054.9291062832001</c:v>
                </c:pt>
                <c:pt idx="260">
                  <c:v>1081.1709582562498</c:v>
                </c:pt>
                <c:pt idx="261">
                  <c:v>1054.56034869836</c:v>
                </c:pt>
                <c:pt idx="262">
                  <c:v>1037.45422449276</c:v>
                </c:pt>
                <c:pt idx="263">
                  <c:v>1048.4956971638101</c:v>
                </c:pt>
                <c:pt idx="264">
                  <c:v>1057.90896506492</c:v>
                </c:pt>
                <c:pt idx="265">
                  <c:v>1025.22422349867</c:v>
                </c:pt>
                <c:pt idx="266">
                  <c:v>1030.0715314458901</c:v>
                </c:pt>
                <c:pt idx="267">
                  <c:v>987.94724982542994</c:v>
                </c:pt>
                <c:pt idx="268">
                  <c:v>997.73026167013006</c:v>
                </c:pt>
                <c:pt idx="269">
                  <c:v>975.78626130632006</c:v>
                </c:pt>
                <c:pt idx="270">
                  <c:v>1045.46656703536</c:v>
                </c:pt>
                <c:pt idx="271">
                  <c:v>1041.5387043910698</c:v>
                </c:pt>
                <c:pt idx="272">
                  <c:v>1047.5973959078201</c:v>
                </c:pt>
                <c:pt idx="273">
                  <c:v>1042.4461651972501</c:v>
                </c:pt>
                <c:pt idx="274">
                  <c:v>948.58680943672994</c:v>
                </c:pt>
                <c:pt idx="275">
                  <c:v>902.11468246177003</c:v>
                </c:pt>
                <c:pt idx="276">
                  <c:v>1021.33262897737</c:v>
                </c:pt>
                <c:pt idx="277">
                  <c:v>1001.0007358004899</c:v>
                </c:pt>
                <c:pt idx="278">
                  <c:v>983.86186383920995</c:v>
                </c:pt>
                <c:pt idx="279">
                  <c:v>1011.68860735616</c:v>
                </c:pt>
                <c:pt idx="280">
                  <c:v>1054.9405190223301</c:v>
                </c:pt>
                <c:pt idx="281">
                  <c:v>1007.94277504798</c:v>
                </c:pt>
                <c:pt idx="282">
                  <c:v>1028.0380008423399</c:v>
                </c:pt>
                <c:pt idx="283">
                  <c:v>1048.0213823762999</c:v>
                </c:pt>
                <c:pt idx="284">
                  <c:v>1032.91677247041</c:v>
                </c:pt>
                <c:pt idx="285">
                  <c:v>975.3331086942801</c:v>
                </c:pt>
                <c:pt idx="286">
                  <c:v>991.40281692412998</c:v>
                </c:pt>
                <c:pt idx="287">
                  <c:v>1007.5986351626299</c:v>
                </c:pt>
                <c:pt idx="288">
                  <c:v>1001.50437239443</c:v>
                </c:pt>
                <c:pt idx="289">
                  <c:v>1022.0359192887699</c:v>
                </c:pt>
                <c:pt idx="290">
                  <c:v>1012.2565545581501</c:v>
                </c:pt>
                <c:pt idx="291">
                  <c:v>1016.12175747176</c:v>
                </c:pt>
                <c:pt idx="292">
                  <c:v>994.79165037727</c:v>
                </c:pt>
                <c:pt idx="293">
                  <c:v>1027.5404846742601</c:v>
                </c:pt>
                <c:pt idx="294">
                  <c:v>1052.0570763164501</c:v>
                </c:pt>
                <c:pt idx="295">
                  <c:v>1011.2559166328799</c:v>
                </c:pt>
                <c:pt idx="296">
                  <c:v>1043.9069224821499</c:v>
                </c:pt>
                <c:pt idx="297">
                  <c:v>1029.5346297861699</c:v>
                </c:pt>
                <c:pt idx="298">
                  <c:v>1042.7945688233399</c:v>
                </c:pt>
                <c:pt idx="299">
                  <c:v>1001.2379430260901</c:v>
                </c:pt>
                <c:pt idx="300">
                  <c:v>1004.4626875767701</c:v>
                </c:pt>
                <c:pt idx="301">
                  <c:v>1009.0103427049299</c:v>
                </c:pt>
                <c:pt idx="302">
                  <c:v>1047.6767226775501</c:v>
                </c:pt>
                <c:pt idx="303">
                  <c:v>1011.0174008392</c:v>
                </c:pt>
                <c:pt idx="304">
                  <c:v>963.70737152582001</c:v>
                </c:pt>
                <c:pt idx="305">
                  <c:v>975.5172060964901</c:v>
                </c:pt>
                <c:pt idx="306">
                  <c:v>981.03954644501005</c:v>
                </c:pt>
                <c:pt idx="307">
                  <c:v>1013.7667512523101</c:v>
                </c:pt>
                <c:pt idx="308">
                  <c:v>1043.8693921101101</c:v>
                </c:pt>
                <c:pt idx="309">
                  <c:v>1030.3794899153102</c:v>
                </c:pt>
                <c:pt idx="310">
                  <c:v>1027.7241162431801</c:v>
                </c:pt>
                <c:pt idx="311">
                  <c:v>968.88950348639992</c:v>
                </c:pt>
                <c:pt idx="312">
                  <c:v>992.26029028937012</c:v>
                </c:pt>
                <c:pt idx="313">
                  <c:v>1002.7096016829701</c:v>
                </c:pt>
                <c:pt idx="314">
                  <c:v>1013.39209913081</c:v>
                </c:pt>
                <c:pt idx="315">
                  <c:v>1018.14837320134</c:v>
                </c:pt>
                <c:pt idx="316">
                  <c:v>1019.3862060893799</c:v>
                </c:pt>
                <c:pt idx="317">
                  <c:v>1029.2746989791799</c:v>
                </c:pt>
                <c:pt idx="318">
                  <c:v>1043.3410559403999</c:v>
                </c:pt>
                <c:pt idx="319">
                  <c:v>986.7018333837201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D-A541-B314-592E0C2FA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3-4041-A58D-2CAA7793AA9F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'240806A012'!$P$2:$P$321</c:f>
              <c:numCache>
                <c:formatCode>General</c:formatCode>
                <c:ptCount val="320"/>
                <c:pt idx="0">
                  <c:v>31.022076137514453</c:v>
                </c:pt>
                <c:pt idx="1">
                  <c:v>32.878383726024744</c:v>
                </c:pt>
                <c:pt idx="2">
                  <c:v>34.671911752072781</c:v>
                </c:pt>
                <c:pt idx="3">
                  <c:v>39.510860943039589</c:v>
                </c:pt>
                <c:pt idx="4">
                  <c:v>40.853809737152794</c:v>
                </c:pt>
                <c:pt idx="5">
                  <c:v>38.704041925784921</c:v>
                </c:pt>
                <c:pt idx="6">
                  <c:v>41.532572507708267</c:v>
                </c:pt>
                <c:pt idx="7">
                  <c:v>37.771622009190622</c:v>
                </c:pt>
                <c:pt idx="8">
                  <c:v>30.169472023251259</c:v>
                </c:pt>
                <c:pt idx="9">
                  <c:v>29.646033382280667</c:v>
                </c:pt>
                <c:pt idx="10">
                  <c:v>23.81839430063301</c:v>
                </c:pt>
                <c:pt idx="11">
                  <c:v>22.748207540876837</c:v>
                </c:pt>
                <c:pt idx="12">
                  <c:v>21.27264529216065</c:v>
                </c:pt>
                <c:pt idx="13">
                  <c:v>21.754551721401313</c:v>
                </c:pt>
                <c:pt idx="14">
                  <c:v>18.406030601671343</c:v>
                </c:pt>
                <c:pt idx="15">
                  <c:v>19.892714655722898</c:v>
                </c:pt>
                <c:pt idx="16">
                  <c:v>20.675700563042092</c:v>
                </c:pt>
                <c:pt idx="17">
                  <c:v>18.945366912687174</c:v>
                </c:pt>
                <c:pt idx="18">
                  <c:v>14.050800237587771</c:v>
                </c:pt>
                <c:pt idx="19">
                  <c:v>16.03975017473082</c:v>
                </c:pt>
                <c:pt idx="20">
                  <c:v>16.559341358733644</c:v>
                </c:pt>
                <c:pt idx="21">
                  <c:v>12.369077244866173</c:v>
                </c:pt>
                <c:pt idx="22">
                  <c:v>11.415357702069597</c:v>
                </c:pt>
                <c:pt idx="23">
                  <c:v>11.015300540471126</c:v>
                </c:pt>
                <c:pt idx="24">
                  <c:v>8.6612557470755434</c:v>
                </c:pt>
                <c:pt idx="25">
                  <c:v>9.0187474188387178</c:v>
                </c:pt>
                <c:pt idx="26">
                  <c:v>8.0378951738958317</c:v>
                </c:pt>
                <c:pt idx="27">
                  <c:v>8.2181986131446205</c:v>
                </c:pt>
                <c:pt idx="28">
                  <c:v>9.2966291105380847</c:v>
                </c:pt>
                <c:pt idx="29">
                  <c:v>4.9633331969135819</c:v>
                </c:pt>
                <c:pt idx="30">
                  <c:v>2.920666705429936</c:v>
                </c:pt>
                <c:pt idx="31">
                  <c:v>3.9345832344614307</c:v>
                </c:pt>
                <c:pt idx="32">
                  <c:v>4.3104042347667004</c:v>
                </c:pt>
                <c:pt idx="33">
                  <c:v>5.1187761969102397</c:v>
                </c:pt>
                <c:pt idx="34">
                  <c:v>6.3564528651564771</c:v>
                </c:pt>
                <c:pt idx="35">
                  <c:v>5.7237581059794618</c:v>
                </c:pt>
                <c:pt idx="36">
                  <c:v>5.9011472590811547</c:v>
                </c:pt>
                <c:pt idx="37">
                  <c:v>7.2588198503777166</c:v>
                </c:pt>
                <c:pt idx="38">
                  <c:v>4.3872066247931834</c:v>
                </c:pt>
                <c:pt idx="39">
                  <c:v>5.1760870187800814</c:v>
                </c:pt>
                <c:pt idx="40">
                  <c:v>5.6158902782633424</c:v>
                </c:pt>
                <c:pt idx="41">
                  <c:v>6.8900132084649766</c:v>
                </c:pt>
                <c:pt idx="42">
                  <c:v>5.4837654095378374</c:v>
                </c:pt>
                <c:pt idx="43">
                  <c:v>5.0324614868033093</c:v>
                </c:pt>
                <c:pt idx="44">
                  <c:v>8.2727352880355376</c:v>
                </c:pt>
                <c:pt idx="45">
                  <c:v>7.4591754407733744</c:v>
                </c:pt>
                <c:pt idx="46">
                  <c:v>7.9027816217934701</c:v>
                </c:pt>
                <c:pt idx="47">
                  <c:v>6.9080807743874857</c:v>
                </c:pt>
                <c:pt idx="48">
                  <c:v>7.2842821200531498</c:v>
                </c:pt>
                <c:pt idx="49">
                  <c:v>4.100441311408991</c:v>
                </c:pt>
                <c:pt idx="50">
                  <c:v>5.9552394443734844</c:v>
                </c:pt>
                <c:pt idx="51">
                  <c:v>9.6137467845405062</c:v>
                </c:pt>
                <c:pt idx="52">
                  <c:v>6.1420881955138817</c:v>
                </c:pt>
                <c:pt idx="53">
                  <c:v>4.4240133836703253</c:v>
                </c:pt>
                <c:pt idx="54">
                  <c:v>4.2952115952938277</c:v>
                </c:pt>
                <c:pt idx="55">
                  <c:v>5.7781429721601691</c:v>
                </c:pt>
                <c:pt idx="56">
                  <c:v>7.5680410592996603</c:v>
                </c:pt>
                <c:pt idx="57">
                  <c:v>1.6486510758202271</c:v>
                </c:pt>
                <c:pt idx="58">
                  <c:v>4.353345127368315</c:v>
                </c:pt>
                <c:pt idx="59">
                  <c:v>4.9611758018244494</c:v>
                </c:pt>
                <c:pt idx="60">
                  <c:v>6.706372502459387</c:v>
                </c:pt>
                <c:pt idx="61">
                  <c:v>9.5607365100068833</c:v>
                </c:pt>
                <c:pt idx="62">
                  <c:v>4.6119819064409633</c:v>
                </c:pt>
                <c:pt idx="63">
                  <c:v>6.0903884225405429</c:v>
                </c:pt>
                <c:pt idx="64">
                  <c:v>1.4027271846022975</c:v>
                </c:pt>
                <c:pt idx="65">
                  <c:v>3.8978799134463853</c:v>
                </c:pt>
                <c:pt idx="66">
                  <c:v>2.806907621943342</c:v>
                </c:pt>
                <c:pt idx="67">
                  <c:v>2.0185296410319382</c:v>
                </c:pt>
                <c:pt idx="68">
                  <c:v>-1.6675586014092001</c:v>
                </c:pt>
                <c:pt idx="69">
                  <c:v>-1.1755556739904127</c:v>
                </c:pt>
                <c:pt idx="70">
                  <c:v>-2.6851804906523844</c:v>
                </c:pt>
                <c:pt idx="71">
                  <c:v>-2.81838899884462</c:v>
                </c:pt>
                <c:pt idx="72">
                  <c:v>-3.9211439311842482</c:v>
                </c:pt>
                <c:pt idx="73">
                  <c:v>-3.5881740357718601</c:v>
                </c:pt>
                <c:pt idx="74">
                  <c:v>-3.9727046287201433</c:v>
                </c:pt>
                <c:pt idx="75">
                  <c:v>-3.2382227907661951</c:v>
                </c:pt>
                <c:pt idx="76">
                  <c:v>-2.9239599605310227</c:v>
                </c:pt>
                <c:pt idx="77">
                  <c:v>-3.4306855093055173</c:v>
                </c:pt>
                <c:pt idx="78">
                  <c:v>-3.7769109666559961</c:v>
                </c:pt>
                <c:pt idx="79">
                  <c:v>-3.8970381146406017</c:v>
                </c:pt>
                <c:pt idx="80">
                  <c:v>-4.8676839517380204</c:v>
                </c:pt>
                <c:pt idx="81">
                  <c:v>-4.6389581061868332</c:v>
                </c:pt>
                <c:pt idx="82">
                  <c:v>-2.9108589307735877</c:v>
                </c:pt>
                <c:pt idx="83">
                  <c:v>-5.2776718475561308</c:v>
                </c:pt>
                <c:pt idx="84">
                  <c:v>-4.9833660418107488</c:v>
                </c:pt>
                <c:pt idx="85">
                  <c:v>-5.6587171380956125</c:v>
                </c:pt>
                <c:pt idx="86">
                  <c:v>-5.8931088096200162</c:v>
                </c:pt>
                <c:pt idx="87">
                  <c:v>-6.0481590690888165</c:v>
                </c:pt>
                <c:pt idx="88">
                  <c:v>-5.4884169401727902</c:v>
                </c:pt>
                <c:pt idx="89">
                  <c:v>-5.1608139695958615</c:v>
                </c:pt>
                <c:pt idx="90">
                  <c:v>-4.9698413437252373</c:v>
                </c:pt>
                <c:pt idx="91">
                  <c:v>-3.8746054852321006</c:v>
                </c:pt>
                <c:pt idx="92">
                  <c:v>-3.3671966199347478</c:v>
                </c:pt>
                <c:pt idx="93">
                  <c:v>-3.3595608871821105</c:v>
                </c:pt>
                <c:pt idx="94">
                  <c:v>-4.0506264330992847</c:v>
                </c:pt>
                <c:pt idx="95">
                  <c:v>-3.094616921195648</c:v>
                </c:pt>
                <c:pt idx="96">
                  <c:v>-2.1547061890149211</c:v>
                </c:pt>
                <c:pt idx="97">
                  <c:v>-2.7219477634473077</c:v>
                </c:pt>
                <c:pt idx="98">
                  <c:v>-2.2454996199415285</c:v>
                </c:pt>
                <c:pt idx="99">
                  <c:v>-2.9987191111489535</c:v>
                </c:pt>
                <c:pt idx="100">
                  <c:v>-1.8675538660956523</c:v>
                </c:pt>
                <c:pt idx="101">
                  <c:v>-2.3184175995305645</c:v>
                </c:pt>
                <c:pt idx="102">
                  <c:v>-2.9014654270826918</c:v>
                </c:pt>
                <c:pt idx="103">
                  <c:v>-2.0340123318892527</c:v>
                </c:pt>
                <c:pt idx="104">
                  <c:v>-1.821358855301846</c:v>
                </c:pt>
                <c:pt idx="105">
                  <c:v>1.0867022934510306</c:v>
                </c:pt>
                <c:pt idx="106">
                  <c:v>3.11222843151072</c:v>
                </c:pt>
                <c:pt idx="107">
                  <c:v>5.7106883367565908</c:v>
                </c:pt>
                <c:pt idx="108">
                  <c:v>7.3177378172438798</c:v>
                </c:pt>
                <c:pt idx="109">
                  <c:v>7.0965079141855529</c:v>
                </c:pt>
                <c:pt idx="110">
                  <c:v>6.7522784615511737</c:v>
                </c:pt>
                <c:pt idx="111">
                  <c:v>7.3830666878285642</c:v>
                </c:pt>
                <c:pt idx="112">
                  <c:v>7.0230268877479975</c:v>
                </c:pt>
                <c:pt idx="113">
                  <c:v>6.0853778435440553</c:v>
                </c:pt>
                <c:pt idx="114">
                  <c:v>5.7074283216919426</c:v>
                </c:pt>
                <c:pt idx="115">
                  <c:v>6.4995176126829328</c:v>
                </c:pt>
                <c:pt idx="116">
                  <c:v>7.6704318180762217</c:v>
                </c:pt>
                <c:pt idx="117">
                  <c:v>7.3273109125134726</c:v>
                </c:pt>
                <c:pt idx="118">
                  <c:v>6.8464105288535162</c:v>
                </c:pt>
                <c:pt idx="119">
                  <c:v>6.8804890209684926</c:v>
                </c:pt>
                <c:pt idx="120">
                  <c:v>5.8444876845400309</c:v>
                </c:pt>
                <c:pt idx="121">
                  <c:v>6.4574915741096266</c:v>
                </c:pt>
                <c:pt idx="122">
                  <c:v>5.883404933077653</c:v>
                </c:pt>
                <c:pt idx="123">
                  <c:v>6.4433627638851521</c:v>
                </c:pt>
                <c:pt idx="124">
                  <c:v>7.9744282506350279</c:v>
                </c:pt>
                <c:pt idx="125">
                  <c:v>7.7421601304410101</c:v>
                </c:pt>
                <c:pt idx="126">
                  <c:v>8.0462666800172933</c:v>
                </c:pt>
                <c:pt idx="127">
                  <c:v>7.083673115669245</c:v>
                </c:pt>
                <c:pt idx="128">
                  <c:v>7.4898324852236451</c:v>
                </c:pt>
                <c:pt idx="129">
                  <c:v>5.6944524176861622</c:v>
                </c:pt>
                <c:pt idx="130">
                  <c:v>5.1094145816125875</c:v>
                </c:pt>
                <c:pt idx="131">
                  <c:v>5.0417040496109404</c:v>
                </c:pt>
                <c:pt idx="132">
                  <c:v>3.8605015690575701</c:v>
                </c:pt>
                <c:pt idx="133">
                  <c:v>5.2562353880655586</c:v>
                </c:pt>
                <c:pt idx="134">
                  <c:v>5.6312500456312593</c:v>
                </c:pt>
                <c:pt idx="135">
                  <c:v>5.026536698431296</c:v>
                </c:pt>
                <c:pt idx="136">
                  <c:v>6.5647112355853841</c:v>
                </c:pt>
                <c:pt idx="137">
                  <c:v>4.1190249144503088</c:v>
                </c:pt>
                <c:pt idx="138">
                  <c:v>4.0397130709102651</c:v>
                </c:pt>
                <c:pt idx="139">
                  <c:v>6.6719050380422074</c:v>
                </c:pt>
                <c:pt idx="140">
                  <c:v>7.6612191529942866</c:v>
                </c:pt>
                <c:pt idx="141">
                  <c:v>8.4816623481851412</c:v>
                </c:pt>
                <c:pt idx="142">
                  <c:v>8.2779267999367541</c:v>
                </c:pt>
                <c:pt idx="143">
                  <c:v>7.8631976924905675</c:v>
                </c:pt>
                <c:pt idx="144">
                  <c:v>8.9346073416431206</c:v>
                </c:pt>
                <c:pt idx="145">
                  <c:v>8.8628937048837848</c:v>
                </c:pt>
                <c:pt idx="146">
                  <c:v>8.9828876471307986</c:v>
                </c:pt>
                <c:pt idx="147">
                  <c:v>7.3342233813259323</c:v>
                </c:pt>
                <c:pt idx="148">
                  <c:v>7.191306359770441</c:v>
                </c:pt>
                <c:pt idx="149">
                  <c:v>8.1857925663073186</c:v>
                </c:pt>
                <c:pt idx="150">
                  <c:v>5.8174925183562385</c:v>
                </c:pt>
                <c:pt idx="151">
                  <c:v>6.0029598772416568</c:v>
                </c:pt>
                <c:pt idx="152">
                  <c:v>6.0558954754430534</c:v>
                </c:pt>
                <c:pt idx="153">
                  <c:v>6.6275303581073324</c:v>
                </c:pt>
                <c:pt idx="154">
                  <c:v>6.4473870848498605</c:v>
                </c:pt>
                <c:pt idx="155">
                  <c:v>5.8010573111005757</c:v>
                </c:pt>
                <c:pt idx="156">
                  <c:v>4.3205173399067487</c:v>
                </c:pt>
                <c:pt idx="157">
                  <c:v>3.7329553507512365</c:v>
                </c:pt>
                <c:pt idx="158">
                  <c:v>3.6342257403527021</c:v>
                </c:pt>
                <c:pt idx="159">
                  <c:v>2.6406648736184</c:v>
                </c:pt>
                <c:pt idx="160">
                  <c:v>2.1248899014653295</c:v>
                </c:pt>
                <c:pt idx="161">
                  <c:v>4.1861665945151501</c:v>
                </c:pt>
                <c:pt idx="162">
                  <c:v>3.1771945545720008</c:v>
                </c:pt>
                <c:pt idx="163">
                  <c:v>3.8590304627848457</c:v>
                </c:pt>
                <c:pt idx="164">
                  <c:v>4.2642604960308486</c:v>
                </c:pt>
                <c:pt idx="165">
                  <c:v>3.8028852612255326</c:v>
                </c:pt>
                <c:pt idx="166">
                  <c:v>5.7540133997074356</c:v>
                </c:pt>
                <c:pt idx="167">
                  <c:v>5.662020442604156</c:v>
                </c:pt>
                <c:pt idx="168">
                  <c:v>6.2318050499658435</c:v>
                </c:pt>
                <c:pt idx="169">
                  <c:v>6.0059763848943568</c:v>
                </c:pt>
                <c:pt idx="170">
                  <c:v>8.5960937007503144</c:v>
                </c:pt>
                <c:pt idx="171">
                  <c:v>4.7711772056364907</c:v>
                </c:pt>
                <c:pt idx="172">
                  <c:v>3.7574902469711007</c:v>
                </c:pt>
                <c:pt idx="173">
                  <c:v>5.0849551455180384</c:v>
                </c:pt>
                <c:pt idx="174">
                  <c:v>6.6832000305757351</c:v>
                </c:pt>
                <c:pt idx="175">
                  <c:v>2.7967608506856192</c:v>
                </c:pt>
                <c:pt idx="176">
                  <c:v>3.5017768561708968</c:v>
                </c:pt>
                <c:pt idx="177">
                  <c:v>3.1580907345088045</c:v>
                </c:pt>
                <c:pt idx="178">
                  <c:v>2.4266505524154827</c:v>
                </c:pt>
                <c:pt idx="179">
                  <c:v>1.1497746146997443</c:v>
                </c:pt>
                <c:pt idx="180">
                  <c:v>0.75008476459339801</c:v>
                </c:pt>
                <c:pt idx="181">
                  <c:v>0.59189676322888629</c:v>
                </c:pt>
                <c:pt idx="182">
                  <c:v>0.65712977450702714</c:v>
                </c:pt>
                <c:pt idx="183">
                  <c:v>1.3854267798068123</c:v>
                </c:pt>
                <c:pt idx="184">
                  <c:v>6.234123990764</c:v>
                </c:pt>
                <c:pt idx="185">
                  <c:v>1.9854676735787571</c:v>
                </c:pt>
                <c:pt idx="186">
                  <c:v>1.3930182812353586</c:v>
                </c:pt>
                <c:pt idx="187">
                  <c:v>6.6270954333553007</c:v>
                </c:pt>
                <c:pt idx="188">
                  <c:v>-1.2602957933655201E-2</c:v>
                </c:pt>
                <c:pt idx="189">
                  <c:v>9.031503869034746E-2</c:v>
                </c:pt>
                <c:pt idx="190">
                  <c:v>-0.64646192841494465</c:v>
                </c:pt>
                <c:pt idx="191">
                  <c:v>-1.1000914520730352</c:v>
                </c:pt>
                <c:pt idx="192">
                  <c:v>-0.15043486878190154</c:v>
                </c:pt>
                <c:pt idx="193">
                  <c:v>0.76879827812683199</c:v>
                </c:pt>
                <c:pt idx="194">
                  <c:v>-1.5526180709874957</c:v>
                </c:pt>
                <c:pt idx="195">
                  <c:v>-0.54616813500792483</c:v>
                </c:pt>
                <c:pt idx="196">
                  <c:v>1.0399191766749396</c:v>
                </c:pt>
                <c:pt idx="197">
                  <c:v>2.5750606752302811</c:v>
                </c:pt>
                <c:pt idx="198">
                  <c:v>4.3120754074662235</c:v>
                </c:pt>
                <c:pt idx="199">
                  <c:v>-0.31286315164419903</c:v>
                </c:pt>
                <c:pt idx="200">
                  <c:v>-0.49867446172880076</c:v>
                </c:pt>
                <c:pt idx="201">
                  <c:v>-1.8734124149543705</c:v>
                </c:pt>
                <c:pt idx="202">
                  <c:v>-3.1227856357485058</c:v>
                </c:pt>
                <c:pt idx="203">
                  <c:v>-5.1904662840745592</c:v>
                </c:pt>
                <c:pt idx="204">
                  <c:v>-4.2978978842069653</c:v>
                </c:pt>
                <c:pt idx="205">
                  <c:v>-3.5632233192457257</c:v>
                </c:pt>
                <c:pt idx="206">
                  <c:v>-3.8558769306242828</c:v>
                </c:pt>
                <c:pt idx="207">
                  <c:v>-3.4912811087968239</c:v>
                </c:pt>
                <c:pt idx="208">
                  <c:v>-2.0883923096611916</c:v>
                </c:pt>
                <c:pt idx="209">
                  <c:v>-0.65674780359323381</c:v>
                </c:pt>
                <c:pt idx="210">
                  <c:v>0.56347219770557599</c:v>
                </c:pt>
                <c:pt idx="211">
                  <c:v>1.0501399780040688</c:v>
                </c:pt>
                <c:pt idx="212">
                  <c:v>-1.023149509624355</c:v>
                </c:pt>
                <c:pt idx="213">
                  <c:v>0.20977508599416134</c:v>
                </c:pt>
                <c:pt idx="214">
                  <c:v>-0.20720754198847369</c:v>
                </c:pt>
                <c:pt idx="215">
                  <c:v>4.6482220688884232E-2</c:v>
                </c:pt>
                <c:pt idx="216">
                  <c:v>0.95459438227213855</c:v>
                </c:pt>
                <c:pt idx="217">
                  <c:v>1.7584732244852272</c:v>
                </c:pt>
                <c:pt idx="218">
                  <c:v>1.7901561667225059</c:v>
                </c:pt>
                <c:pt idx="219">
                  <c:v>4.9161190622987663</c:v>
                </c:pt>
                <c:pt idx="220">
                  <c:v>4.0309157196625653</c:v>
                </c:pt>
                <c:pt idx="221">
                  <c:v>4.6365848773613241</c:v>
                </c:pt>
                <c:pt idx="222">
                  <c:v>5.0665934589118962</c:v>
                </c:pt>
                <c:pt idx="223">
                  <c:v>6.1621140029972574</c:v>
                </c:pt>
                <c:pt idx="224">
                  <c:v>4.4548814256812852</c:v>
                </c:pt>
                <c:pt idx="225">
                  <c:v>4.5201690932483416</c:v>
                </c:pt>
                <c:pt idx="226">
                  <c:v>5.495734306642901</c:v>
                </c:pt>
                <c:pt idx="227">
                  <c:v>5.1014841335006826</c:v>
                </c:pt>
                <c:pt idx="228">
                  <c:v>5.2695532833427619</c:v>
                </c:pt>
                <c:pt idx="229">
                  <c:v>7.0316444890289711</c:v>
                </c:pt>
                <c:pt idx="230">
                  <c:v>6.6264248651617947</c:v>
                </c:pt>
                <c:pt idx="231">
                  <c:v>7.2987472187742934</c:v>
                </c:pt>
                <c:pt idx="232">
                  <c:v>8.1009756204812078</c:v>
                </c:pt>
                <c:pt idx="233">
                  <c:v>9.6336359886856648</c:v>
                </c:pt>
                <c:pt idx="234">
                  <c:v>8.7922433887451472</c:v>
                </c:pt>
                <c:pt idx="235">
                  <c:v>8.8518888397101918</c:v>
                </c:pt>
                <c:pt idx="236">
                  <c:v>7.1205071037671974</c:v>
                </c:pt>
                <c:pt idx="237">
                  <c:v>5.8278404431290092</c:v>
                </c:pt>
                <c:pt idx="238">
                  <c:v>5.0639682441217779</c:v>
                </c:pt>
                <c:pt idx="239">
                  <c:v>6.5676165440920711</c:v>
                </c:pt>
                <c:pt idx="240">
                  <c:v>7.0183351482774867</c:v>
                </c:pt>
                <c:pt idx="241">
                  <c:v>7.0740003684421655</c:v>
                </c:pt>
                <c:pt idx="242">
                  <c:v>8.5281201155344313</c:v>
                </c:pt>
                <c:pt idx="243">
                  <c:v>6.0157655345355678</c:v>
                </c:pt>
                <c:pt idx="244">
                  <c:v>6.7998209581040525</c:v>
                </c:pt>
                <c:pt idx="245">
                  <c:v>2.7535057595960732</c:v>
                </c:pt>
                <c:pt idx="246">
                  <c:v>1.5886999774217339</c:v>
                </c:pt>
                <c:pt idx="247">
                  <c:v>2.7550213004805553</c:v>
                </c:pt>
                <c:pt idx="248">
                  <c:v>2.3538855476617355</c:v>
                </c:pt>
                <c:pt idx="249">
                  <c:v>3.0761718704969043</c:v>
                </c:pt>
                <c:pt idx="250">
                  <c:v>3.0768126512614118</c:v>
                </c:pt>
                <c:pt idx="251">
                  <c:v>2.2292828405002423</c:v>
                </c:pt>
                <c:pt idx="252">
                  <c:v>3.9561765932143187</c:v>
                </c:pt>
                <c:pt idx="253">
                  <c:v>3.2084847772260927</c:v>
                </c:pt>
                <c:pt idx="254">
                  <c:v>3.8407718743301218</c:v>
                </c:pt>
                <c:pt idx="255">
                  <c:v>4.2744949080855932</c:v>
                </c:pt>
                <c:pt idx="256">
                  <c:v>2.9232254472990151</c:v>
                </c:pt>
                <c:pt idx="257">
                  <c:v>2.6944463363899986</c:v>
                </c:pt>
                <c:pt idx="258">
                  <c:v>3.4371500657381824</c:v>
                </c:pt>
                <c:pt idx="259">
                  <c:v>2.5444233889134851</c:v>
                </c:pt>
                <c:pt idx="260">
                  <c:v>4.9491022690413295</c:v>
                </c:pt>
                <c:pt idx="261">
                  <c:v>5.4357956527388991</c:v>
                </c:pt>
                <c:pt idx="262">
                  <c:v>6.0256133321524716</c:v>
                </c:pt>
                <c:pt idx="263">
                  <c:v>4.9687514609472743</c:v>
                </c:pt>
                <c:pt idx="264">
                  <c:v>4.6376304208638981</c:v>
                </c:pt>
                <c:pt idx="265">
                  <c:v>2.2992216471897047</c:v>
                </c:pt>
                <c:pt idx="266">
                  <c:v>1.917587994820354</c:v>
                </c:pt>
                <c:pt idx="267">
                  <c:v>-0.60458732954040595</c:v>
                </c:pt>
                <c:pt idx="268">
                  <c:v>0.60200539114105556</c:v>
                </c:pt>
                <c:pt idx="269">
                  <c:v>0.23341997188209015</c:v>
                </c:pt>
                <c:pt idx="270">
                  <c:v>4.0466011630929364</c:v>
                </c:pt>
                <c:pt idx="271">
                  <c:v>3.9006049510052661</c:v>
                </c:pt>
                <c:pt idx="272">
                  <c:v>5.6225022508305136</c:v>
                </c:pt>
                <c:pt idx="273">
                  <c:v>4.6245347372207481</c:v>
                </c:pt>
                <c:pt idx="274">
                  <c:v>-0.72305586284696799</c:v>
                </c:pt>
                <c:pt idx="275">
                  <c:v>-1.0321721469908529</c:v>
                </c:pt>
                <c:pt idx="276">
                  <c:v>0.47758283729322676</c:v>
                </c:pt>
                <c:pt idx="277">
                  <c:v>5.6168779483091555E-2</c:v>
                </c:pt>
                <c:pt idx="278">
                  <c:v>-0.97978093507772801</c:v>
                </c:pt>
                <c:pt idx="279">
                  <c:v>1.68649373439709</c:v>
                </c:pt>
                <c:pt idx="280">
                  <c:v>3.1506105952689691</c:v>
                </c:pt>
                <c:pt idx="281">
                  <c:v>-1.2482866603731368</c:v>
                </c:pt>
                <c:pt idx="282">
                  <c:v>0.44560552330545483</c:v>
                </c:pt>
                <c:pt idx="283">
                  <c:v>2.5003824759702697E-2</c:v>
                </c:pt>
                <c:pt idx="284">
                  <c:v>1.0673083355591573</c:v>
                </c:pt>
                <c:pt idx="285">
                  <c:v>-1.6467012562823315</c:v>
                </c:pt>
                <c:pt idx="286">
                  <c:v>0.58347459445788807</c:v>
                </c:pt>
                <c:pt idx="287">
                  <c:v>1.3789190907769331</c:v>
                </c:pt>
                <c:pt idx="288">
                  <c:v>-0.45862972510957939</c:v>
                </c:pt>
                <c:pt idx="289">
                  <c:v>1.3414299539028838</c:v>
                </c:pt>
                <c:pt idx="290">
                  <c:v>1.8619112758008292E-2</c:v>
                </c:pt>
                <c:pt idx="291">
                  <c:v>-1.2894519047584141</c:v>
                </c:pt>
                <c:pt idx="292">
                  <c:v>-0.70867173076032042</c:v>
                </c:pt>
                <c:pt idx="293">
                  <c:v>2.3869194506510314</c:v>
                </c:pt>
                <c:pt idx="294">
                  <c:v>3.9882255015162875</c:v>
                </c:pt>
                <c:pt idx="295">
                  <c:v>1.0673956044663762</c:v>
                </c:pt>
                <c:pt idx="296">
                  <c:v>2.9543627106280184</c:v>
                </c:pt>
                <c:pt idx="297">
                  <c:v>2.5164862962067094</c:v>
                </c:pt>
                <c:pt idx="298">
                  <c:v>3.181188077572128</c:v>
                </c:pt>
                <c:pt idx="299">
                  <c:v>0.93963358777898687</c:v>
                </c:pt>
                <c:pt idx="300">
                  <c:v>0.46600377073801419</c:v>
                </c:pt>
                <c:pt idx="301">
                  <c:v>1.0664629333665809</c:v>
                </c:pt>
                <c:pt idx="302">
                  <c:v>1.9892630015833714</c:v>
                </c:pt>
                <c:pt idx="303">
                  <c:v>1.123463016472626</c:v>
                </c:pt>
                <c:pt idx="304">
                  <c:v>-1.8998394957574543</c:v>
                </c:pt>
                <c:pt idx="305">
                  <c:v>1.4931202191977619</c:v>
                </c:pt>
                <c:pt idx="306">
                  <c:v>1.3467534068151508</c:v>
                </c:pt>
                <c:pt idx="307">
                  <c:v>1.4731010545530647</c:v>
                </c:pt>
                <c:pt idx="308">
                  <c:v>-1.7199101408518689</c:v>
                </c:pt>
                <c:pt idx="309">
                  <c:v>-2.390156083783733</c:v>
                </c:pt>
                <c:pt idx="310">
                  <c:v>-2.3063887369348466</c:v>
                </c:pt>
                <c:pt idx="311">
                  <c:v>-1.253759874577473</c:v>
                </c:pt>
                <c:pt idx="312">
                  <c:v>2.6074429031580646</c:v>
                </c:pt>
                <c:pt idx="313">
                  <c:v>1.4148481018628611</c:v>
                </c:pt>
                <c:pt idx="314">
                  <c:v>0.78703776421566518</c:v>
                </c:pt>
                <c:pt idx="315">
                  <c:v>0.69586193659380302</c:v>
                </c:pt>
                <c:pt idx="316">
                  <c:v>0.4245620974268135</c:v>
                </c:pt>
                <c:pt idx="317">
                  <c:v>-4.8024046808347154E-2</c:v>
                </c:pt>
                <c:pt idx="318">
                  <c:v>1.0473926827309348</c:v>
                </c:pt>
                <c:pt idx="319">
                  <c:v>-2.4316542378773289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F3-4041-A58D-2CAA7793A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'240806A013'!$J$2:$J$321</c:f>
              <c:numCache>
                <c:formatCode>0.0</c:formatCode>
                <c:ptCount val="320"/>
                <c:pt idx="0">
                  <c:v>887.72696391076011</c:v>
                </c:pt>
                <c:pt idx="1">
                  <c:v>905.83279774359994</c:v>
                </c:pt>
                <c:pt idx="2">
                  <c:v>835.83099013121</c:v>
                </c:pt>
                <c:pt idx="3">
                  <c:v>810.97671522688006</c:v>
                </c:pt>
                <c:pt idx="4">
                  <c:v>809.19078842482998</c:v>
                </c:pt>
                <c:pt idx="5">
                  <c:v>810.97221978078994</c:v>
                </c:pt>
                <c:pt idx="6">
                  <c:v>833.22139864646999</c:v>
                </c:pt>
                <c:pt idx="7">
                  <c:v>867.44375758876004</c:v>
                </c:pt>
                <c:pt idx="8">
                  <c:v>1030.3710395271901</c:v>
                </c:pt>
                <c:pt idx="9">
                  <c:v>1053.2257591426001</c:v>
                </c:pt>
                <c:pt idx="10">
                  <c:v>1029.2544572745098</c:v>
                </c:pt>
                <c:pt idx="11">
                  <c:v>1020.8617587697099</c:v>
                </c:pt>
                <c:pt idx="12">
                  <c:v>1033.48676500237</c:v>
                </c:pt>
                <c:pt idx="13">
                  <c:v>1029.2118759444402</c:v>
                </c:pt>
                <c:pt idx="14">
                  <c:v>1064.19478209402</c:v>
                </c:pt>
                <c:pt idx="15">
                  <c:v>1031.4807231486002</c:v>
                </c:pt>
                <c:pt idx="16">
                  <c:v>1043.63630988924</c:v>
                </c:pt>
                <c:pt idx="17">
                  <c:v>1031.9187696049498</c:v>
                </c:pt>
                <c:pt idx="18">
                  <c:v>1006.69011992961</c:v>
                </c:pt>
                <c:pt idx="19">
                  <c:v>1017.8924550331101</c:v>
                </c:pt>
                <c:pt idx="20">
                  <c:v>983.54552362252002</c:v>
                </c:pt>
                <c:pt idx="21">
                  <c:v>1001.1613379812701</c:v>
                </c:pt>
                <c:pt idx="22">
                  <c:v>998.8126667923899</c:v>
                </c:pt>
                <c:pt idx="23">
                  <c:v>979.13859552679003</c:v>
                </c:pt>
                <c:pt idx="24">
                  <c:v>1030.74221593269</c:v>
                </c:pt>
                <c:pt idx="25">
                  <c:v>1008.47442436391</c:v>
                </c:pt>
                <c:pt idx="26">
                  <c:v>1049.87282235117</c:v>
                </c:pt>
                <c:pt idx="27">
                  <c:v>1019.2582742832101</c:v>
                </c:pt>
                <c:pt idx="28">
                  <c:v>1014.77273201732</c:v>
                </c:pt>
                <c:pt idx="29">
                  <c:v>1003.9313773713701</c:v>
                </c:pt>
                <c:pt idx="30">
                  <c:v>995.91069574245989</c:v>
                </c:pt>
                <c:pt idx="31">
                  <c:v>980.52440290753998</c:v>
                </c:pt>
                <c:pt idx="32">
                  <c:v>978.22014537901998</c:v>
                </c:pt>
                <c:pt idx="33">
                  <c:v>981.28868120460015</c:v>
                </c:pt>
                <c:pt idx="34">
                  <c:v>1016.65109034267</c:v>
                </c:pt>
                <c:pt idx="35">
                  <c:v>1031.17757009346</c:v>
                </c:pt>
                <c:pt idx="36">
                  <c:v>1009.2814122533599</c:v>
                </c:pt>
                <c:pt idx="37">
                  <c:v>1007.1443406022901</c:v>
                </c:pt>
                <c:pt idx="38">
                  <c:v>1044.9875389408401</c:v>
                </c:pt>
                <c:pt idx="39">
                  <c:v>1051.33125649009</c:v>
                </c:pt>
                <c:pt idx="40">
                  <c:v>1059.8265835929099</c:v>
                </c:pt>
                <c:pt idx="41">
                  <c:v>1047.49532710278</c:v>
                </c:pt>
                <c:pt idx="42">
                  <c:v>1044.2152273884899</c:v>
                </c:pt>
                <c:pt idx="43">
                  <c:v>1039.23249356628</c:v>
                </c:pt>
                <c:pt idx="44">
                  <c:v>1042.16203246839</c:v>
                </c:pt>
                <c:pt idx="45">
                  <c:v>1023.1981989875101</c:v>
                </c:pt>
                <c:pt idx="46">
                  <c:v>1025.63264537899</c:v>
                </c:pt>
                <c:pt idx="47">
                  <c:v>997.22997144343992</c:v>
                </c:pt>
                <c:pt idx="48">
                  <c:v>1055.82530236708</c:v>
                </c:pt>
                <c:pt idx="49">
                  <c:v>1052.51411733078</c:v>
                </c:pt>
                <c:pt idx="50">
                  <c:v>1059.3155332094902</c:v>
                </c:pt>
                <c:pt idx="51">
                  <c:v>1040.36145283934</c:v>
                </c:pt>
                <c:pt idx="52">
                  <c:v>1032.6948034616798</c:v>
                </c:pt>
                <c:pt idx="53">
                  <c:v>1044.4970927436798</c:v>
                </c:pt>
                <c:pt idx="54">
                  <c:v>1017.2222179134301</c:v>
                </c:pt>
                <c:pt idx="55">
                  <c:v>1027.7953910884901</c:v>
                </c:pt>
                <c:pt idx="56">
                  <c:v>1044.7286737271002</c:v>
                </c:pt>
                <c:pt idx="57">
                  <c:v>1049.97846977072</c:v>
                </c:pt>
                <c:pt idx="58">
                  <c:v>1027.9075804776799</c:v>
                </c:pt>
                <c:pt idx="59">
                  <c:v>1022.0529595015399</c:v>
                </c:pt>
                <c:pt idx="60">
                  <c:v>976.14665084717012</c:v>
                </c:pt>
                <c:pt idx="61">
                  <c:v>959.32766627157002</c:v>
                </c:pt>
                <c:pt idx="62">
                  <c:v>1061.8223752528199</c:v>
                </c:pt>
                <c:pt idx="63">
                  <c:v>1082.46722850737</c:v>
                </c:pt>
                <c:pt idx="64">
                  <c:v>1087.74073563973</c:v>
                </c:pt>
                <c:pt idx="65">
                  <c:v>1063.8160997142299</c:v>
                </c:pt>
                <c:pt idx="66">
                  <c:v>1037.5733382555402</c:v>
                </c:pt>
                <c:pt idx="67">
                  <c:v>1014.55415228318</c:v>
                </c:pt>
                <c:pt idx="68">
                  <c:v>1069.0671483454801</c:v>
                </c:pt>
                <c:pt idx="69">
                  <c:v>1073.13291139938</c:v>
                </c:pt>
                <c:pt idx="70">
                  <c:v>1074.53860925918</c:v>
                </c:pt>
                <c:pt idx="71">
                  <c:v>1081.9464736888101</c:v>
                </c:pt>
                <c:pt idx="72">
                  <c:v>1039.52232606442</c:v>
                </c:pt>
                <c:pt idx="73">
                  <c:v>1045.06645898233</c:v>
                </c:pt>
                <c:pt idx="74">
                  <c:v>1036.25276155241</c:v>
                </c:pt>
                <c:pt idx="75">
                  <c:v>1034.92235526996</c:v>
                </c:pt>
                <c:pt idx="76">
                  <c:v>1073.8200241223901</c:v>
                </c:pt>
                <c:pt idx="77">
                  <c:v>1056.1630031668401</c:v>
                </c:pt>
                <c:pt idx="78">
                  <c:v>1069.8052572512001</c:v>
                </c:pt>
                <c:pt idx="79">
                  <c:v>1074.8374708951301</c:v>
                </c:pt>
                <c:pt idx="80">
                  <c:v>1058.37383177574</c:v>
                </c:pt>
                <c:pt idx="81">
                  <c:v>1060.0571131879801</c:v>
                </c:pt>
                <c:pt idx="82">
                  <c:v>1040.7855996124902</c:v>
                </c:pt>
                <c:pt idx="83">
                  <c:v>1034.01105006585</c:v>
                </c:pt>
                <c:pt idx="84">
                  <c:v>971.2966485157699</c:v>
                </c:pt>
                <c:pt idx="85">
                  <c:v>966.86239626506995</c:v>
                </c:pt>
                <c:pt idx="86">
                  <c:v>952.74714326788001</c:v>
                </c:pt>
                <c:pt idx="87">
                  <c:v>1016.7375610693299</c:v>
                </c:pt>
                <c:pt idx="88">
                  <c:v>1010.72300481642</c:v>
                </c:pt>
                <c:pt idx="89">
                  <c:v>1034.8081779778802</c:v>
                </c:pt>
                <c:pt idx="90">
                  <c:v>1028.09694073386</c:v>
                </c:pt>
                <c:pt idx="91">
                  <c:v>1047.66081819787</c:v>
                </c:pt>
                <c:pt idx="92">
                  <c:v>1015.54967769742</c:v>
                </c:pt>
                <c:pt idx="93">
                  <c:v>1073.58081472461</c:v>
                </c:pt>
                <c:pt idx="94">
                  <c:v>1074.154553566</c:v>
                </c:pt>
                <c:pt idx="95">
                  <c:v>1073.57646687959</c:v>
                </c:pt>
                <c:pt idx="96">
                  <c:v>1037.4544832509698</c:v>
                </c:pt>
                <c:pt idx="97">
                  <c:v>1000.3546374068799</c:v>
                </c:pt>
                <c:pt idx="98">
                  <c:v>1001.44826623028</c:v>
                </c:pt>
                <c:pt idx="99">
                  <c:v>1004.5744196721</c:v>
                </c:pt>
                <c:pt idx="100">
                  <c:v>996.60446553839995</c:v>
                </c:pt>
                <c:pt idx="101">
                  <c:v>1017.4966692137201</c:v>
                </c:pt>
                <c:pt idx="102">
                  <c:v>1019.7567448421499</c:v>
                </c:pt>
                <c:pt idx="103">
                  <c:v>1016.41593683265</c:v>
                </c:pt>
                <c:pt idx="104">
                  <c:v>1011.15363174295</c:v>
                </c:pt>
                <c:pt idx="105">
                  <c:v>1036.0581516095301</c:v>
                </c:pt>
                <c:pt idx="106">
                  <c:v>1041.36448598129</c:v>
                </c:pt>
                <c:pt idx="107">
                  <c:v>1037.05192107994</c:v>
                </c:pt>
                <c:pt idx="108">
                  <c:v>1000.8305416973599</c:v>
                </c:pt>
                <c:pt idx="109">
                  <c:v>967.12673389932002</c:v>
                </c:pt>
                <c:pt idx="110">
                  <c:v>989.10384215991985</c:v>
                </c:pt>
                <c:pt idx="111">
                  <c:v>987.35306334376003</c:v>
                </c:pt>
                <c:pt idx="112">
                  <c:v>1005.36760124615</c:v>
                </c:pt>
                <c:pt idx="113">
                  <c:v>1012.7611630322301</c:v>
                </c:pt>
                <c:pt idx="114">
                  <c:v>1013.0685358255701</c:v>
                </c:pt>
                <c:pt idx="115">
                  <c:v>985.40973794371985</c:v>
                </c:pt>
                <c:pt idx="116">
                  <c:v>970.34400456651997</c:v>
                </c:pt>
                <c:pt idx="117">
                  <c:v>957.62579090965994</c:v>
                </c:pt>
                <c:pt idx="118">
                  <c:v>970.06018975379016</c:v>
                </c:pt>
                <c:pt idx="119">
                  <c:v>959.91067529687996</c:v>
                </c:pt>
                <c:pt idx="120">
                  <c:v>969.91963047252011</c:v>
                </c:pt>
                <c:pt idx="121">
                  <c:v>985.9106957424699</c:v>
                </c:pt>
                <c:pt idx="122">
                  <c:v>999.99792315677996</c:v>
                </c:pt>
                <c:pt idx="123">
                  <c:v>997.21183800628</c:v>
                </c:pt>
                <c:pt idx="124">
                  <c:v>1003.94080996888</c:v>
                </c:pt>
                <c:pt idx="125">
                  <c:v>1013.77770029971</c:v>
                </c:pt>
                <c:pt idx="126">
                  <c:v>1015.7737403085399</c:v>
                </c:pt>
                <c:pt idx="127">
                  <c:v>1007.17418071113</c:v>
                </c:pt>
                <c:pt idx="128">
                  <c:v>1000.08867217479</c:v>
                </c:pt>
                <c:pt idx="129">
                  <c:v>1017.58553821232</c:v>
                </c:pt>
                <c:pt idx="130">
                  <c:v>1015.4759276475501</c:v>
                </c:pt>
                <c:pt idx="131">
                  <c:v>979.95206967420995</c:v>
                </c:pt>
                <c:pt idx="132">
                  <c:v>973.18787175710997</c:v>
                </c:pt>
                <c:pt idx="133">
                  <c:v>973.14074506753002</c:v>
                </c:pt>
                <c:pt idx="134">
                  <c:v>976.45829114742014</c:v>
                </c:pt>
                <c:pt idx="135">
                  <c:v>976.75495846310002</c:v>
                </c:pt>
                <c:pt idx="136">
                  <c:v>1024.2355776883799</c:v>
                </c:pt>
                <c:pt idx="137">
                  <c:v>1023.8850697929599</c:v>
                </c:pt>
                <c:pt idx="138">
                  <c:v>1027.0361054534201</c:v>
                </c:pt>
                <c:pt idx="139">
                  <c:v>1018.8213914849199</c:v>
                </c:pt>
                <c:pt idx="140">
                  <c:v>1020.7642782969901</c:v>
                </c:pt>
                <c:pt idx="141">
                  <c:v>999.93924426584999</c:v>
                </c:pt>
                <c:pt idx="142">
                  <c:v>1001.0742100194501</c:v>
                </c:pt>
                <c:pt idx="143">
                  <c:v>1000.7376193781799</c:v>
                </c:pt>
                <c:pt idx="144">
                  <c:v>1005.0378383612901</c:v>
                </c:pt>
                <c:pt idx="145">
                  <c:v>999.73005906025992</c:v>
                </c:pt>
                <c:pt idx="146">
                  <c:v>1009.3808897975399</c:v>
                </c:pt>
                <c:pt idx="147">
                  <c:v>1009.8231438213601</c:v>
                </c:pt>
                <c:pt idx="148">
                  <c:v>1003.6001174801402</c:v>
                </c:pt>
                <c:pt idx="149">
                  <c:v>996.46445365816987</c:v>
                </c:pt>
                <c:pt idx="150">
                  <c:v>997.59749189504009</c:v>
                </c:pt>
                <c:pt idx="151">
                  <c:v>996.9874841740201</c:v>
                </c:pt>
                <c:pt idx="152">
                  <c:v>1011.4787923189499</c:v>
                </c:pt>
                <c:pt idx="153">
                  <c:v>1011.5360589468601</c:v>
                </c:pt>
                <c:pt idx="154">
                  <c:v>1000.6702130763299</c:v>
                </c:pt>
                <c:pt idx="155">
                  <c:v>991.4995823621399</c:v>
                </c:pt>
                <c:pt idx="156">
                  <c:v>1033.2525893004899</c:v>
                </c:pt>
                <c:pt idx="157">
                  <c:v>1029.5830234817099</c:v>
                </c:pt>
                <c:pt idx="158">
                  <c:v>1005.0411639323499</c:v>
                </c:pt>
                <c:pt idx="159">
                  <c:v>997.61996984400002</c:v>
                </c:pt>
                <c:pt idx="160">
                  <c:v>1004.5598185495401</c:v>
                </c:pt>
                <c:pt idx="161">
                  <c:v>986.3529251018</c:v>
                </c:pt>
                <c:pt idx="162">
                  <c:v>992.35501480470009</c:v>
                </c:pt>
                <c:pt idx="163">
                  <c:v>983.39642628654997</c:v>
                </c:pt>
                <c:pt idx="164">
                  <c:v>972.24553174547009</c:v>
                </c:pt>
                <c:pt idx="165">
                  <c:v>971.81784719085999</c:v>
                </c:pt>
                <c:pt idx="166">
                  <c:v>983.32517952241005</c:v>
                </c:pt>
                <c:pt idx="167">
                  <c:v>953.49603477587004</c:v>
                </c:pt>
                <c:pt idx="168">
                  <c:v>956.13864378059009</c:v>
                </c:pt>
                <c:pt idx="169">
                  <c:v>948.67147648083994</c:v>
                </c:pt>
                <c:pt idx="170">
                  <c:v>990.56819841873016</c:v>
                </c:pt>
                <c:pt idx="171">
                  <c:v>998.59506904811997</c:v>
                </c:pt>
                <c:pt idx="172">
                  <c:v>997.58730815667002</c:v>
                </c:pt>
                <c:pt idx="173">
                  <c:v>993.69634349408011</c:v>
                </c:pt>
                <c:pt idx="174">
                  <c:v>1002.4475105152501</c:v>
                </c:pt>
                <c:pt idx="175">
                  <c:v>980.59883953706003</c:v>
                </c:pt>
                <c:pt idx="176">
                  <c:v>967.68732590385002</c:v>
                </c:pt>
                <c:pt idx="177">
                  <c:v>965.73637473106999</c:v>
                </c:pt>
                <c:pt idx="178">
                  <c:v>952.51910481637015</c:v>
                </c:pt>
                <c:pt idx="179">
                  <c:v>991.56132624359998</c:v>
                </c:pt>
                <c:pt idx="180">
                  <c:v>994.09497239869006</c:v>
                </c:pt>
                <c:pt idx="181">
                  <c:v>998.47787255266996</c:v>
                </c:pt>
                <c:pt idx="182">
                  <c:v>976.90556072612992</c:v>
                </c:pt>
                <c:pt idx="183">
                  <c:v>957.87865655818007</c:v>
                </c:pt>
                <c:pt idx="184">
                  <c:v>964.39524868258013</c:v>
                </c:pt>
                <c:pt idx="185">
                  <c:v>991.2439687525499</c:v>
                </c:pt>
                <c:pt idx="186">
                  <c:v>989.52461296171998</c:v>
                </c:pt>
                <c:pt idx="187">
                  <c:v>994.56280619436006</c:v>
                </c:pt>
                <c:pt idx="188">
                  <c:v>973.84708487913008</c:v>
                </c:pt>
                <c:pt idx="189">
                  <c:v>996.22688111583</c:v>
                </c:pt>
                <c:pt idx="190">
                  <c:v>993.38790755894991</c:v>
                </c:pt>
                <c:pt idx="191">
                  <c:v>950.61046102489001</c:v>
                </c:pt>
                <c:pt idx="192">
                  <c:v>973.41333041548</c:v>
                </c:pt>
                <c:pt idx="193">
                  <c:v>989.39355315058003</c:v>
                </c:pt>
                <c:pt idx="194">
                  <c:v>978.85442775626996</c:v>
                </c:pt>
                <c:pt idx="195">
                  <c:v>991.71085679497003</c:v>
                </c:pt>
                <c:pt idx="196">
                  <c:v>979.21552125943003</c:v>
                </c:pt>
                <c:pt idx="197">
                  <c:v>967.83716725527995</c:v>
                </c:pt>
                <c:pt idx="198">
                  <c:v>1004.95794500921</c:v>
                </c:pt>
                <c:pt idx="199">
                  <c:v>999.12935286173001</c:v>
                </c:pt>
                <c:pt idx="200">
                  <c:v>1000.5280428028801</c:v>
                </c:pt>
                <c:pt idx="201">
                  <c:v>969.84770425064994</c:v>
                </c:pt>
                <c:pt idx="202">
                  <c:v>975.75079277639998</c:v>
                </c:pt>
                <c:pt idx="203">
                  <c:v>965.95762337830013</c:v>
                </c:pt>
                <c:pt idx="204">
                  <c:v>973.06062255897996</c:v>
                </c:pt>
                <c:pt idx="205">
                  <c:v>965.00382938096004</c:v>
                </c:pt>
                <c:pt idx="206">
                  <c:v>964.98013449618986</c:v>
                </c:pt>
                <c:pt idx="207">
                  <c:v>912.62955230807995</c:v>
                </c:pt>
                <c:pt idx="208">
                  <c:v>970.57494518840997</c:v>
                </c:pt>
                <c:pt idx="209">
                  <c:v>981.61413074607003</c:v>
                </c:pt>
                <c:pt idx="210">
                  <c:v>973.04512433504999</c:v>
                </c:pt>
                <c:pt idx="211">
                  <c:v>969.14306804807006</c:v>
                </c:pt>
                <c:pt idx="212">
                  <c:v>961.53724226445001</c:v>
                </c:pt>
                <c:pt idx="213">
                  <c:v>908.34937792254993</c:v>
                </c:pt>
                <c:pt idx="214">
                  <c:v>938.31062110588994</c:v>
                </c:pt>
                <c:pt idx="215">
                  <c:v>933.44893237278995</c:v>
                </c:pt>
                <c:pt idx="216">
                  <c:v>949.49065581641003</c:v>
                </c:pt>
                <c:pt idx="217">
                  <c:v>952.23173124317998</c:v>
                </c:pt>
                <c:pt idx="218">
                  <c:v>934.6119658119901</c:v>
                </c:pt>
                <c:pt idx="219">
                  <c:v>930.74763479506987</c:v>
                </c:pt>
                <c:pt idx="220">
                  <c:v>969.85143153834008</c:v>
                </c:pt>
                <c:pt idx="221">
                  <c:v>970.03339396163005</c:v>
                </c:pt>
                <c:pt idx="222">
                  <c:v>960.96192882795003</c:v>
                </c:pt>
                <c:pt idx="223">
                  <c:v>977.40893556967012</c:v>
                </c:pt>
                <c:pt idx="224">
                  <c:v>988.15788411125993</c:v>
                </c:pt>
                <c:pt idx="225">
                  <c:v>969.51751839790995</c:v>
                </c:pt>
                <c:pt idx="226">
                  <c:v>987.67339439297007</c:v>
                </c:pt>
                <c:pt idx="227">
                  <c:v>984.76247314013995</c:v>
                </c:pt>
                <c:pt idx="228">
                  <c:v>988.22321983722998</c:v>
                </c:pt>
                <c:pt idx="229">
                  <c:v>967.74851093758002</c:v>
                </c:pt>
                <c:pt idx="230">
                  <c:v>972.79139892360013</c:v>
                </c:pt>
                <c:pt idx="231">
                  <c:v>969.58505185173988</c:v>
                </c:pt>
                <c:pt idx="232">
                  <c:v>1007.39641798742</c:v>
                </c:pt>
                <c:pt idx="233">
                  <c:v>970.00511131796009</c:v>
                </c:pt>
                <c:pt idx="234">
                  <c:v>935.82302251930003</c:v>
                </c:pt>
                <c:pt idx="235">
                  <c:v>942.95284572851006</c:v>
                </c:pt>
                <c:pt idx="236">
                  <c:v>946.35880812513994</c:v>
                </c:pt>
                <c:pt idx="237">
                  <c:v>939.44950287305005</c:v>
                </c:pt>
                <c:pt idx="238">
                  <c:v>951.16051046281007</c:v>
                </c:pt>
                <c:pt idx="239">
                  <c:v>993.80856016886003</c:v>
                </c:pt>
                <c:pt idx="240">
                  <c:v>979.08004889945994</c:v>
                </c:pt>
                <c:pt idx="241">
                  <c:v>966.84245995266008</c:v>
                </c:pt>
                <c:pt idx="242">
                  <c:v>976.01610198462004</c:v>
                </c:pt>
                <c:pt idx="243">
                  <c:v>971.41869029883992</c:v>
                </c:pt>
                <c:pt idx="244">
                  <c:v>967.90031797628012</c:v>
                </c:pt>
                <c:pt idx="245">
                  <c:v>966.96810562228006</c:v>
                </c:pt>
                <c:pt idx="246">
                  <c:v>954.0504118212499</c:v>
                </c:pt>
                <c:pt idx="247">
                  <c:v>964.92210870530005</c:v>
                </c:pt>
                <c:pt idx="248">
                  <c:v>958.52004605173988</c:v>
                </c:pt>
                <c:pt idx="249">
                  <c:v>952.97163045087007</c:v>
                </c:pt>
                <c:pt idx="250">
                  <c:v>968.71964676325001</c:v>
                </c:pt>
                <c:pt idx="251">
                  <c:v>981.64930074552012</c:v>
                </c:pt>
                <c:pt idx="252">
                  <c:v>983.1066452478301</c:v>
                </c:pt>
                <c:pt idx="253">
                  <c:v>1007.52631454732</c:v>
                </c:pt>
                <c:pt idx="254">
                  <c:v>1001.22104112488</c:v>
                </c:pt>
                <c:pt idx="255">
                  <c:v>990.24602537962005</c:v>
                </c:pt>
                <c:pt idx="256">
                  <c:v>994.23365022910991</c:v>
                </c:pt>
                <c:pt idx="257">
                  <c:v>1014.1696095816</c:v>
                </c:pt>
                <c:pt idx="258">
                  <c:v>1010.6316175063901</c:v>
                </c:pt>
                <c:pt idx="259">
                  <c:v>1014.7206181256099</c:v>
                </c:pt>
                <c:pt idx="260">
                  <c:v>1019.30939560833</c:v>
                </c:pt>
                <c:pt idx="261">
                  <c:v>1028.3974842318901</c:v>
                </c:pt>
                <c:pt idx="262">
                  <c:v>1029.16930810438</c:v>
                </c:pt>
                <c:pt idx="263">
                  <c:v>1031.9450906095901</c:v>
                </c:pt>
                <c:pt idx="264">
                  <c:v>1036.02433291997</c:v>
                </c:pt>
                <c:pt idx="265">
                  <c:v>1037.4481619286798</c:v>
                </c:pt>
                <c:pt idx="266">
                  <c:v>1038.30090137603</c:v>
                </c:pt>
                <c:pt idx="267">
                  <c:v>1035.9655856014099</c:v>
                </c:pt>
                <c:pt idx="268">
                  <c:v>1035.5098422185201</c:v>
                </c:pt>
                <c:pt idx="269">
                  <c:v>1027.1683577639199</c:v>
                </c:pt>
                <c:pt idx="270">
                  <c:v>1031.47948710438</c:v>
                </c:pt>
                <c:pt idx="271">
                  <c:v>1030.92020429888</c:v>
                </c:pt>
                <c:pt idx="272">
                  <c:v>1030.67169275741</c:v>
                </c:pt>
                <c:pt idx="273">
                  <c:v>1031.82890132387</c:v>
                </c:pt>
                <c:pt idx="274">
                  <c:v>1033.37530314422</c:v>
                </c:pt>
                <c:pt idx="275">
                  <c:v>1031.7862479125599</c:v>
                </c:pt>
                <c:pt idx="276">
                  <c:v>1028.3462164536502</c:v>
                </c:pt>
                <c:pt idx="277">
                  <c:v>1026.27803900238</c:v>
                </c:pt>
                <c:pt idx="278">
                  <c:v>1020.59799914942</c:v>
                </c:pt>
                <c:pt idx="279">
                  <c:v>1005.28995014719</c:v>
                </c:pt>
                <c:pt idx="280">
                  <c:v>1005.3155045823801</c:v>
                </c:pt>
                <c:pt idx="281">
                  <c:v>998.77438459518999</c:v>
                </c:pt>
                <c:pt idx="282">
                  <c:v>1020.3532378413499</c:v>
                </c:pt>
                <c:pt idx="283">
                  <c:v>1018.5107043068001</c:v>
                </c:pt>
                <c:pt idx="284">
                  <c:v>1016.72181220632</c:v>
                </c:pt>
                <c:pt idx="285">
                  <c:v>1017.95440258641</c:v>
                </c:pt>
                <c:pt idx="286">
                  <c:v>1018.4545449678999</c:v>
                </c:pt>
                <c:pt idx="287">
                  <c:v>1018.37621372211</c:v>
                </c:pt>
                <c:pt idx="288">
                  <c:v>1017.5778109644599</c:v>
                </c:pt>
                <c:pt idx="289">
                  <c:v>1015.9375587457399</c:v>
                </c:pt>
                <c:pt idx="290">
                  <c:v>1015.6246705419901</c:v>
                </c:pt>
                <c:pt idx="291">
                  <c:v>1017.24401944095</c:v>
                </c:pt>
                <c:pt idx="292">
                  <c:v>1014.73302823012</c:v>
                </c:pt>
                <c:pt idx="293">
                  <c:v>1011.68607658624</c:v>
                </c:pt>
                <c:pt idx="294">
                  <c:v>1013.5033497125299</c:v>
                </c:pt>
                <c:pt idx="295">
                  <c:v>1012.2092547986701</c:v>
                </c:pt>
                <c:pt idx="296">
                  <c:v>1012.70378970362</c:v>
                </c:pt>
                <c:pt idx="297">
                  <c:v>1009.1394246930302</c:v>
                </c:pt>
                <c:pt idx="298">
                  <c:v>1007.6248439691001</c:v>
                </c:pt>
                <c:pt idx="299">
                  <c:v>1011.9724357944999</c:v>
                </c:pt>
                <c:pt idx="300">
                  <c:v>1006.7929997537501</c:v>
                </c:pt>
                <c:pt idx="301">
                  <c:v>1006.6951386881999</c:v>
                </c:pt>
                <c:pt idx="302">
                  <c:v>1007.55487041145</c:v>
                </c:pt>
                <c:pt idx="303">
                  <c:v>1009.07761077394</c:v>
                </c:pt>
                <c:pt idx="304">
                  <c:v>1005.87454475385</c:v>
                </c:pt>
                <c:pt idx="305">
                  <c:v>1005.46650180388</c:v>
                </c:pt>
                <c:pt idx="306">
                  <c:v>1007.26742139573</c:v>
                </c:pt>
                <c:pt idx="307">
                  <c:v>1005.5296753059099</c:v>
                </c:pt>
                <c:pt idx="308">
                  <c:v>1003.8669685582901</c:v>
                </c:pt>
                <c:pt idx="309">
                  <c:v>1004.4464613375499</c:v>
                </c:pt>
                <c:pt idx="310">
                  <c:v>1010.0362644656401</c:v>
                </c:pt>
                <c:pt idx="311">
                  <c:v>1002.5113851687901</c:v>
                </c:pt>
                <c:pt idx="312">
                  <c:v>1005.23651497149</c:v>
                </c:pt>
                <c:pt idx="313">
                  <c:v>1003.70705056149</c:v>
                </c:pt>
                <c:pt idx="314">
                  <c:v>1006.2879254049799</c:v>
                </c:pt>
                <c:pt idx="315">
                  <c:v>1003.9464420678401</c:v>
                </c:pt>
                <c:pt idx="316">
                  <c:v>1002.9204397769499</c:v>
                </c:pt>
                <c:pt idx="317">
                  <c:v>1002.3872252732701</c:v>
                </c:pt>
                <c:pt idx="318">
                  <c:v>1001.57717720612</c:v>
                </c:pt>
                <c:pt idx="319">
                  <c:v>1001.6776375373501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6-C746-A28A-B4707AB9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E-844F-BDB6-DAAD7D18C89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'240806A013'!$P$2:$P$321</c:f>
              <c:numCache>
                <c:formatCode>General</c:formatCode>
                <c:ptCount val="320"/>
                <c:pt idx="0">
                  <c:v>-11.435138429020867</c:v>
                </c:pt>
                <c:pt idx="1">
                  <c:v>-11.633287469659013</c:v>
                </c:pt>
                <c:pt idx="2">
                  <c:v>-9.3282163535436933</c:v>
                </c:pt>
                <c:pt idx="3">
                  <c:v>-7.9944997487958815</c:v>
                </c:pt>
                <c:pt idx="4">
                  <c:v>-8.7265179895058136</c:v>
                </c:pt>
                <c:pt idx="5">
                  <c:v>-7.4729359329543401</c:v>
                </c:pt>
                <c:pt idx="6">
                  <c:v>-7.4117464831514575</c:v>
                </c:pt>
                <c:pt idx="7">
                  <c:v>-9.7348742668788848</c:v>
                </c:pt>
                <c:pt idx="8">
                  <c:v>-15.167798620984014</c:v>
                </c:pt>
                <c:pt idx="9">
                  <c:v>-15.74677447074229</c:v>
                </c:pt>
                <c:pt idx="10">
                  <c:v>-17.479836652902083</c:v>
                </c:pt>
                <c:pt idx="11">
                  <c:v>-18.680669908414835</c:v>
                </c:pt>
                <c:pt idx="12">
                  <c:v>-19.26086510752371</c:v>
                </c:pt>
                <c:pt idx="13">
                  <c:v>-20.576557172664334</c:v>
                </c:pt>
                <c:pt idx="14">
                  <c:v>-20.773898833706681</c:v>
                </c:pt>
                <c:pt idx="15">
                  <c:v>-21.140098670493135</c:v>
                </c:pt>
                <c:pt idx="16">
                  <c:v>-23.017941851222375</c:v>
                </c:pt>
                <c:pt idx="17">
                  <c:v>-21.220061782870879</c:v>
                </c:pt>
                <c:pt idx="18">
                  <c:v>-22.322604947195295</c:v>
                </c:pt>
                <c:pt idx="19">
                  <c:v>-22.708663729965853</c:v>
                </c:pt>
                <c:pt idx="20">
                  <c:v>-21.562784944088307</c:v>
                </c:pt>
                <c:pt idx="21">
                  <c:v>-20.962024044492928</c:v>
                </c:pt>
                <c:pt idx="22">
                  <c:v>-20.323971950138105</c:v>
                </c:pt>
                <c:pt idx="23">
                  <c:v>-19.365899856965481</c:v>
                </c:pt>
                <c:pt idx="24">
                  <c:v>-18.704950794371925</c:v>
                </c:pt>
                <c:pt idx="25">
                  <c:v>-17.314685751432382</c:v>
                </c:pt>
                <c:pt idx="26">
                  <c:v>-16.65033577119905</c:v>
                </c:pt>
                <c:pt idx="27">
                  <c:v>-17.187938591925196</c:v>
                </c:pt>
                <c:pt idx="28">
                  <c:v>-17.22435124332392</c:v>
                </c:pt>
                <c:pt idx="29">
                  <c:v>-17.260848371982974</c:v>
                </c:pt>
                <c:pt idx="30">
                  <c:v>-17.122128403814084</c:v>
                </c:pt>
                <c:pt idx="31">
                  <c:v>-15.73238584347529</c:v>
                </c:pt>
                <c:pt idx="32">
                  <c:v>-15.373381719565959</c:v>
                </c:pt>
                <c:pt idx="33">
                  <c:v>-14.950213598141445</c:v>
                </c:pt>
                <c:pt idx="34">
                  <c:v>-14.47794719144019</c:v>
                </c:pt>
                <c:pt idx="35">
                  <c:v>-14.336135254937288</c:v>
                </c:pt>
                <c:pt idx="36">
                  <c:v>-14.05451199855532</c:v>
                </c:pt>
                <c:pt idx="37">
                  <c:v>-14.108954895603389</c:v>
                </c:pt>
                <c:pt idx="38">
                  <c:v>-15.873531828099003</c:v>
                </c:pt>
                <c:pt idx="39">
                  <c:v>-14.268609841256112</c:v>
                </c:pt>
                <c:pt idx="40">
                  <c:v>-14.317269478128495</c:v>
                </c:pt>
                <c:pt idx="41">
                  <c:v>-14.876488978087647</c:v>
                </c:pt>
                <c:pt idx="42">
                  <c:v>-14.794182688146432</c:v>
                </c:pt>
                <c:pt idx="43">
                  <c:v>-16.187869009943139</c:v>
                </c:pt>
                <c:pt idx="44">
                  <c:v>-17.282256888452256</c:v>
                </c:pt>
                <c:pt idx="45">
                  <c:v>-16.276746836542806</c:v>
                </c:pt>
                <c:pt idx="46">
                  <c:v>-15.587684588819814</c:v>
                </c:pt>
                <c:pt idx="47">
                  <c:v>-13.568958348156524</c:v>
                </c:pt>
                <c:pt idx="48">
                  <c:v>-13.465558621623586</c:v>
                </c:pt>
                <c:pt idx="49">
                  <c:v>-12.118529479499827</c:v>
                </c:pt>
                <c:pt idx="50">
                  <c:v>-11.466579330588509</c:v>
                </c:pt>
                <c:pt idx="51">
                  <c:v>-11.723600374720046</c:v>
                </c:pt>
                <c:pt idx="52">
                  <c:v>-9.8069127177879114</c:v>
                </c:pt>
                <c:pt idx="53">
                  <c:v>-9.7464339119667613</c:v>
                </c:pt>
                <c:pt idx="54">
                  <c:v>-6.9417882370648067</c:v>
                </c:pt>
                <c:pt idx="55">
                  <c:v>-6.0074156018631575</c:v>
                </c:pt>
                <c:pt idx="56">
                  <c:v>-5.4997536589770659</c:v>
                </c:pt>
                <c:pt idx="57">
                  <c:v>-5.3536383818018001</c:v>
                </c:pt>
                <c:pt idx="58">
                  <c:v>-4.4977593729204912</c:v>
                </c:pt>
                <c:pt idx="59">
                  <c:v>-3.9157255230197898</c:v>
                </c:pt>
                <c:pt idx="60">
                  <c:v>-2.3502223303022203</c:v>
                </c:pt>
                <c:pt idx="61">
                  <c:v>-1.9921774396111636</c:v>
                </c:pt>
                <c:pt idx="62">
                  <c:v>0.43002156204159381</c:v>
                </c:pt>
                <c:pt idx="63">
                  <c:v>0.64215548771474928</c:v>
                </c:pt>
                <c:pt idx="64">
                  <c:v>1.1900750072795445</c:v>
                </c:pt>
                <c:pt idx="65">
                  <c:v>1.2549568880966988</c:v>
                </c:pt>
                <c:pt idx="66">
                  <c:v>1.0914810258277963</c:v>
                </c:pt>
                <c:pt idx="67">
                  <c:v>1.9685570186989652</c:v>
                </c:pt>
                <c:pt idx="68">
                  <c:v>0.88118553646941333</c:v>
                </c:pt>
                <c:pt idx="69">
                  <c:v>0.49562806648066293</c:v>
                </c:pt>
                <c:pt idx="70">
                  <c:v>1.2922621246078285</c:v>
                </c:pt>
                <c:pt idx="71">
                  <c:v>0.61748202259901275</c:v>
                </c:pt>
                <c:pt idx="72">
                  <c:v>0.78894478300050674</c:v>
                </c:pt>
                <c:pt idx="73">
                  <c:v>-0.33644789993151014</c:v>
                </c:pt>
                <c:pt idx="74">
                  <c:v>0.23959480479189932</c:v>
                </c:pt>
                <c:pt idx="75">
                  <c:v>-5.734269331500718E-2</c:v>
                </c:pt>
                <c:pt idx="76">
                  <c:v>-0.23824890942391874</c:v>
                </c:pt>
                <c:pt idx="77">
                  <c:v>-0.62533149415464451</c:v>
                </c:pt>
                <c:pt idx="78">
                  <c:v>-2.1294022041411722</c:v>
                </c:pt>
                <c:pt idx="79">
                  <c:v>-3.1631713567288724</c:v>
                </c:pt>
                <c:pt idx="80">
                  <c:v>-0.80416924461035844</c:v>
                </c:pt>
                <c:pt idx="81">
                  <c:v>-0.8296141151887495</c:v>
                </c:pt>
                <c:pt idx="82">
                  <c:v>-2.2751782725190557</c:v>
                </c:pt>
                <c:pt idx="83">
                  <c:v>-1.0911316918950007</c:v>
                </c:pt>
                <c:pt idx="84">
                  <c:v>0.87507100789262671</c:v>
                </c:pt>
                <c:pt idx="85">
                  <c:v>0.44510848764715605</c:v>
                </c:pt>
                <c:pt idx="86">
                  <c:v>2.5726269354455851</c:v>
                </c:pt>
                <c:pt idx="87">
                  <c:v>3.5031280743457729</c:v>
                </c:pt>
                <c:pt idx="88">
                  <c:v>4.4454573089057012</c:v>
                </c:pt>
                <c:pt idx="89">
                  <c:v>3.4820419226825043</c:v>
                </c:pt>
                <c:pt idx="90">
                  <c:v>3.4384929599675638</c:v>
                </c:pt>
                <c:pt idx="91">
                  <c:v>3.1200616255716369</c:v>
                </c:pt>
                <c:pt idx="92">
                  <c:v>3.1909970559524763</c:v>
                </c:pt>
                <c:pt idx="93">
                  <c:v>2.5579375762503531</c:v>
                </c:pt>
                <c:pt idx="94">
                  <c:v>1.126782833596967</c:v>
                </c:pt>
                <c:pt idx="95">
                  <c:v>0.39811296824704978</c:v>
                </c:pt>
                <c:pt idx="96">
                  <c:v>-1.3069039393700064</c:v>
                </c:pt>
                <c:pt idx="97">
                  <c:v>-2.101021228316704</c:v>
                </c:pt>
                <c:pt idx="98">
                  <c:v>-2.7861239281206056</c:v>
                </c:pt>
                <c:pt idx="99">
                  <c:v>-2.5770771442335478</c:v>
                </c:pt>
                <c:pt idx="100">
                  <c:v>-2.8006395395192771</c:v>
                </c:pt>
                <c:pt idx="101">
                  <c:v>-4.3309018808888942</c:v>
                </c:pt>
                <c:pt idx="102">
                  <c:v>-6.2037826160388772</c:v>
                </c:pt>
                <c:pt idx="103">
                  <c:v>-5.9708382948730874</c:v>
                </c:pt>
                <c:pt idx="104">
                  <c:v>-6.0667211863943855</c:v>
                </c:pt>
                <c:pt idx="105">
                  <c:v>-6.7900901849055382</c:v>
                </c:pt>
                <c:pt idx="106">
                  <c:v>-7.6530398255900982</c:v>
                </c:pt>
                <c:pt idx="107">
                  <c:v>-8.1418562073729408</c:v>
                </c:pt>
                <c:pt idx="108">
                  <c:v>-8.6707928365722395</c:v>
                </c:pt>
                <c:pt idx="109">
                  <c:v>-9.1835942581168712</c:v>
                </c:pt>
                <c:pt idx="110">
                  <c:v>-9.2931939773499792</c:v>
                </c:pt>
                <c:pt idx="111">
                  <c:v>-9.9759404497152318</c:v>
                </c:pt>
                <c:pt idx="112">
                  <c:v>-10.624782005831593</c:v>
                </c:pt>
                <c:pt idx="113">
                  <c:v>-11.712051022157858</c:v>
                </c:pt>
                <c:pt idx="114">
                  <c:v>-11.998668508855877</c:v>
                </c:pt>
                <c:pt idx="115">
                  <c:v>-11.546253081448606</c:v>
                </c:pt>
                <c:pt idx="116">
                  <c:v>-12.756551178949588</c:v>
                </c:pt>
                <c:pt idx="117">
                  <c:v>-12.670348086540464</c:v>
                </c:pt>
                <c:pt idx="118">
                  <c:v>-13.531752026853372</c:v>
                </c:pt>
                <c:pt idx="119">
                  <c:v>-14.206090718941319</c:v>
                </c:pt>
                <c:pt idx="120">
                  <c:v>-13.835820022145185</c:v>
                </c:pt>
                <c:pt idx="121">
                  <c:v>-14.125940730024396</c:v>
                </c:pt>
                <c:pt idx="122">
                  <c:v>-14.232830997074961</c:v>
                </c:pt>
                <c:pt idx="123">
                  <c:v>-15.830751006440261</c:v>
                </c:pt>
                <c:pt idx="124">
                  <c:v>-17.447876600184067</c:v>
                </c:pt>
                <c:pt idx="125">
                  <c:v>-18.084470071717952</c:v>
                </c:pt>
                <c:pt idx="126">
                  <c:v>-19.676796702316338</c:v>
                </c:pt>
                <c:pt idx="127">
                  <c:v>-19.717735891276341</c:v>
                </c:pt>
                <c:pt idx="128">
                  <c:v>-20.407520590257388</c:v>
                </c:pt>
                <c:pt idx="129">
                  <c:v>-21.848026146098228</c:v>
                </c:pt>
                <c:pt idx="130">
                  <c:v>-21.632189397140813</c:v>
                </c:pt>
                <c:pt idx="131">
                  <c:v>-20.966984367508687</c:v>
                </c:pt>
                <c:pt idx="132">
                  <c:v>-19.411732947140095</c:v>
                </c:pt>
                <c:pt idx="133">
                  <c:v>-19.214186388937236</c:v>
                </c:pt>
                <c:pt idx="134">
                  <c:v>-18.03477115698827</c:v>
                </c:pt>
                <c:pt idx="135">
                  <c:v>-18.217833311113417</c:v>
                </c:pt>
                <c:pt idx="136">
                  <c:v>-17.24180174607584</c:v>
                </c:pt>
                <c:pt idx="137">
                  <c:v>-17.120925079258242</c:v>
                </c:pt>
                <c:pt idx="138">
                  <c:v>-18.241107281316012</c:v>
                </c:pt>
                <c:pt idx="139">
                  <c:v>-17.021090120458172</c:v>
                </c:pt>
                <c:pt idx="140">
                  <c:v>-17.733663814009894</c:v>
                </c:pt>
                <c:pt idx="141">
                  <c:v>-17.915959351882194</c:v>
                </c:pt>
                <c:pt idx="142">
                  <c:v>-17.299792448665997</c:v>
                </c:pt>
                <c:pt idx="143">
                  <c:v>-16.714104182623363</c:v>
                </c:pt>
                <c:pt idx="144">
                  <c:v>-16.469495361256715</c:v>
                </c:pt>
                <c:pt idx="145">
                  <c:v>-15.138701947855997</c:v>
                </c:pt>
                <c:pt idx="146">
                  <c:v>-15.247993938607902</c:v>
                </c:pt>
                <c:pt idx="147">
                  <c:v>-15.193206007230117</c:v>
                </c:pt>
                <c:pt idx="148">
                  <c:v>-14.800924349651471</c:v>
                </c:pt>
                <c:pt idx="149">
                  <c:v>-14.580748760702283</c:v>
                </c:pt>
                <c:pt idx="150">
                  <c:v>-15.105547084200705</c:v>
                </c:pt>
                <c:pt idx="151">
                  <c:v>-14.190757734207612</c:v>
                </c:pt>
                <c:pt idx="152">
                  <c:v>-12.905945545463423</c:v>
                </c:pt>
                <c:pt idx="153">
                  <c:v>-13.139148294444144</c:v>
                </c:pt>
                <c:pt idx="154">
                  <c:v>-12.183551380071398</c:v>
                </c:pt>
                <c:pt idx="155">
                  <c:v>-11.976006623226699</c:v>
                </c:pt>
                <c:pt idx="156">
                  <c:v>-12.307613205782287</c:v>
                </c:pt>
                <c:pt idx="157">
                  <c:v>-13.154901599496865</c:v>
                </c:pt>
                <c:pt idx="158">
                  <c:v>-11.723175632523708</c:v>
                </c:pt>
                <c:pt idx="159">
                  <c:v>-10.493394832978046</c:v>
                </c:pt>
                <c:pt idx="160">
                  <c:v>-10.168373815065056</c:v>
                </c:pt>
                <c:pt idx="161">
                  <c:v>-7.756785477743426</c:v>
                </c:pt>
                <c:pt idx="162">
                  <c:v>-7.190056165714144</c:v>
                </c:pt>
                <c:pt idx="163">
                  <c:v>-6.9827746904812127</c:v>
                </c:pt>
                <c:pt idx="164">
                  <c:v>-6.3654999948965809</c:v>
                </c:pt>
                <c:pt idx="165">
                  <c:v>-6.7836501516430561</c:v>
                </c:pt>
                <c:pt idx="166">
                  <c:v>-6.5360870054196401</c:v>
                </c:pt>
                <c:pt idx="167">
                  <c:v>-5.0970650858617477</c:v>
                </c:pt>
                <c:pt idx="168">
                  <c:v>-5.3855487448857993</c:v>
                </c:pt>
                <c:pt idx="169">
                  <c:v>-5.3058410472261004</c:v>
                </c:pt>
                <c:pt idx="170">
                  <c:v>-6.5611312669648685</c:v>
                </c:pt>
                <c:pt idx="171">
                  <c:v>-7.5504057252364101</c:v>
                </c:pt>
                <c:pt idx="172">
                  <c:v>-6.8456416676494518</c:v>
                </c:pt>
                <c:pt idx="173">
                  <c:v>-7.81331615169558</c:v>
                </c:pt>
                <c:pt idx="174">
                  <c:v>-7.8782256681781782</c:v>
                </c:pt>
                <c:pt idx="175">
                  <c:v>-6.3337967754240969</c:v>
                </c:pt>
                <c:pt idx="176">
                  <c:v>-6.2539091396696085</c:v>
                </c:pt>
                <c:pt idx="177">
                  <c:v>-6.3364947310244224</c:v>
                </c:pt>
                <c:pt idx="178">
                  <c:v>-6.1942286330623402</c:v>
                </c:pt>
                <c:pt idx="179">
                  <c:v>-7.5888163881092572</c:v>
                </c:pt>
                <c:pt idx="180">
                  <c:v>-8.2549548425427339</c:v>
                </c:pt>
                <c:pt idx="181">
                  <c:v>-9.0509630857816283</c:v>
                </c:pt>
                <c:pt idx="182">
                  <c:v>-8.6769337025661279</c:v>
                </c:pt>
                <c:pt idx="183">
                  <c:v>-7.9077064813796838</c:v>
                </c:pt>
                <c:pt idx="184">
                  <c:v>-8.37902254981989</c:v>
                </c:pt>
                <c:pt idx="185">
                  <c:v>-9.3225383108300495</c:v>
                </c:pt>
                <c:pt idx="186">
                  <c:v>-9.3055275932104387</c:v>
                </c:pt>
                <c:pt idx="187">
                  <c:v>-9.948085853265269</c:v>
                </c:pt>
                <c:pt idx="188">
                  <c:v>-7.8919556238056741</c:v>
                </c:pt>
                <c:pt idx="189">
                  <c:v>-7.4944602441411918</c:v>
                </c:pt>
                <c:pt idx="190">
                  <c:v>-7.6944478120785069</c:v>
                </c:pt>
                <c:pt idx="191">
                  <c:v>-6.6641994718417887</c:v>
                </c:pt>
                <c:pt idx="192">
                  <c:v>-6.9099109035008865</c:v>
                </c:pt>
                <c:pt idx="193">
                  <c:v>-6.7346045713660647</c:v>
                </c:pt>
                <c:pt idx="194">
                  <c:v>-6.0036964602707972</c:v>
                </c:pt>
                <c:pt idx="195">
                  <c:v>-5.9331255105869456</c:v>
                </c:pt>
                <c:pt idx="196">
                  <c:v>-4.5915772928951073</c:v>
                </c:pt>
                <c:pt idx="197">
                  <c:v>-3.9221175842457692</c:v>
                </c:pt>
                <c:pt idx="198">
                  <c:v>-3.6958558287779977</c:v>
                </c:pt>
                <c:pt idx="199">
                  <c:v>-1.9538610013679885</c:v>
                </c:pt>
                <c:pt idx="200">
                  <c:v>-1.4527216157817375</c:v>
                </c:pt>
                <c:pt idx="201">
                  <c:v>-0.24840782722202132</c:v>
                </c:pt>
                <c:pt idx="202">
                  <c:v>0.52248176084351627</c:v>
                </c:pt>
                <c:pt idx="203">
                  <c:v>1.0479864364530684</c:v>
                </c:pt>
                <c:pt idx="204">
                  <c:v>0.80323715160989606</c:v>
                </c:pt>
                <c:pt idx="205">
                  <c:v>0.45249717356809788</c:v>
                </c:pt>
                <c:pt idx="206">
                  <c:v>1.4305921513737019</c:v>
                </c:pt>
                <c:pt idx="207">
                  <c:v>4.0174725896888397</c:v>
                </c:pt>
                <c:pt idx="208">
                  <c:v>3.2558835621141577</c:v>
                </c:pt>
                <c:pt idx="209">
                  <c:v>3.6098236086755748</c:v>
                </c:pt>
                <c:pt idx="210">
                  <c:v>2.8415258013586291</c:v>
                </c:pt>
                <c:pt idx="211">
                  <c:v>1.745812863096309</c:v>
                </c:pt>
                <c:pt idx="212">
                  <c:v>1.9699393054645968</c:v>
                </c:pt>
                <c:pt idx="213">
                  <c:v>0.72154995537350608</c:v>
                </c:pt>
                <c:pt idx="214">
                  <c:v>0.85296023372570617</c:v>
                </c:pt>
                <c:pt idx="215">
                  <c:v>1.3391160534235302</c:v>
                </c:pt>
                <c:pt idx="216">
                  <c:v>0.65314763774538953</c:v>
                </c:pt>
                <c:pt idx="217">
                  <c:v>-0.8823838305408217</c:v>
                </c:pt>
                <c:pt idx="218">
                  <c:v>-2.1362600835452152</c:v>
                </c:pt>
                <c:pt idx="219">
                  <c:v>-2.6681376979427096</c:v>
                </c:pt>
                <c:pt idx="220">
                  <c:v>-3.1508891471309766</c:v>
                </c:pt>
                <c:pt idx="221">
                  <c:v>-2.2407847472231168</c:v>
                </c:pt>
                <c:pt idx="222">
                  <c:v>-1.0173300684665425</c:v>
                </c:pt>
                <c:pt idx="223">
                  <c:v>-1.1408424195348836</c:v>
                </c:pt>
                <c:pt idx="224">
                  <c:v>-9.1644155576437097E-2</c:v>
                </c:pt>
                <c:pt idx="225">
                  <c:v>2.5552339067072753</c:v>
                </c:pt>
                <c:pt idx="226">
                  <c:v>2.0222189795058898</c:v>
                </c:pt>
                <c:pt idx="227">
                  <c:v>2.9163453648568245</c:v>
                </c:pt>
                <c:pt idx="228">
                  <c:v>0.7879676651987827</c:v>
                </c:pt>
                <c:pt idx="229">
                  <c:v>-0.63398293191543875</c:v>
                </c:pt>
                <c:pt idx="230">
                  <c:v>-0.35599017815334016</c:v>
                </c:pt>
                <c:pt idx="231">
                  <c:v>-0.45559028239986443</c:v>
                </c:pt>
                <c:pt idx="232">
                  <c:v>-0.70467125710144263</c:v>
                </c:pt>
                <c:pt idx="233">
                  <c:v>-1.0913412856307176</c:v>
                </c:pt>
                <c:pt idx="234">
                  <c:v>-0.68520732210562063</c:v>
                </c:pt>
                <c:pt idx="235">
                  <c:v>-0.75067817170783613</c:v>
                </c:pt>
                <c:pt idx="236">
                  <c:v>-0.7853042274254618</c:v>
                </c:pt>
                <c:pt idx="237">
                  <c:v>-0.54352170535233246</c:v>
                </c:pt>
                <c:pt idx="238">
                  <c:v>-2.4374232703822289</c:v>
                </c:pt>
                <c:pt idx="239">
                  <c:v>-3.5901782886349274</c:v>
                </c:pt>
                <c:pt idx="240">
                  <c:v>-3.8228411730700413</c:v>
                </c:pt>
                <c:pt idx="241">
                  <c:v>-4.2819789727524853</c:v>
                </c:pt>
                <c:pt idx="242">
                  <c:v>-5.432857829315286</c:v>
                </c:pt>
                <c:pt idx="243">
                  <c:v>-6.5879600256754003</c:v>
                </c:pt>
                <c:pt idx="244">
                  <c:v>-6.8168070904594984</c:v>
                </c:pt>
                <c:pt idx="245">
                  <c:v>-6.9049589965355862</c:v>
                </c:pt>
                <c:pt idx="246">
                  <c:v>-6.6034957267837324</c:v>
                </c:pt>
                <c:pt idx="247">
                  <c:v>-6.6666405384253853</c:v>
                </c:pt>
                <c:pt idx="248">
                  <c:v>-5.7949480486397427</c:v>
                </c:pt>
                <c:pt idx="249">
                  <c:v>-7.1220577152659335</c:v>
                </c:pt>
                <c:pt idx="250">
                  <c:v>-7.24524906466654</c:v>
                </c:pt>
                <c:pt idx="251">
                  <c:v>-6.6084192576267613</c:v>
                </c:pt>
                <c:pt idx="252">
                  <c:v>-6.0915439952737769</c:v>
                </c:pt>
                <c:pt idx="253">
                  <c:v>-6.8337187309396006</c:v>
                </c:pt>
                <c:pt idx="254">
                  <c:v>-6.7847962590387541</c:v>
                </c:pt>
                <c:pt idx="255">
                  <c:v>-6.3048632590003688</c:v>
                </c:pt>
                <c:pt idx="256">
                  <c:v>-5.623537081688827</c:v>
                </c:pt>
                <c:pt idx="257">
                  <c:v>-4.4852493728084379</c:v>
                </c:pt>
                <c:pt idx="258">
                  <c:v>-3.7376955525109805</c:v>
                </c:pt>
                <c:pt idx="259">
                  <c:v>-2.7802035590339078</c:v>
                </c:pt>
                <c:pt idx="260">
                  <c:v>-2.2845588904060072</c:v>
                </c:pt>
                <c:pt idx="261">
                  <c:v>-3.3378753953102471</c:v>
                </c:pt>
                <c:pt idx="262">
                  <c:v>-3.3176379096216344</c:v>
                </c:pt>
                <c:pt idx="263">
                  <c:v>-2.4920402529562797</c:v>
                </c:pt>
                <c:pt idx="264">
                  <c:v>-2.3733396353895406</c:v>
                </c:pt>
                <c:pt idx="265">
                  <c:v>-1.7316923982235575</c:v>
                </c:pt>
                <c:pt idx="266">
                  <c:v>-1.3426706653540408</c:v>
                </c:pt>
                <c:pt idx="267">
                  <c:v>-1.8616725105999155</c:v>
                </c:pt>
                <c:pt idx="268">
                  <c:v>-1.6163465644550461</c:v>
                </c:pt>
                <c:pt idx="269">
                  <c:v>-1.5918190039415532</c:v>
                </c:pt>
                <c:pt idx="270">
                  <c:v>-1.4320973445039977</c:v>
                </c:pt>
                <c:pt idx="271">
                  <c:v>-2.0029573562739502</c:v>
                </c:pt>
                <c:pt idx="272">
                  <c:v>-2.5706490073129808</c:v>
                </c:pt>
                <c:pt idx="273">
                  <c:v>-2.4078348898553181</c:v>
                </c:pt>
                <c:pt idx="274">
                  <c:v>-3.3006422936445894</c:v>
                </c:pt>
                <c:pt idx="275">
                  <c:v>-3.5636529569107318</c:v>
                </c:pt>
                <c:pt idx="276">
                  <c:v>-2.27142742031922</c:v>
                </c:pt>
                <c:pt idx="277">
                  <c:v>-1.8597110108982902</c:v>
                </c:pt>
                <c:pt idx="278">
                  <c:v>-1.5424766886925698</c:v>
                </c:pt>
                <c:pt idx="279">
                  <c:v>-1.2702086446481387</c:v>
                </c:pt>
                <c:pt idx="280">
                  <c:v>-1.4084029688265842</c:v>
                </c:pt>
                <c:pt idx="281">
                  <c:v>-1.0608010963681875</c:v>
                </c:pt>
                <c:pt idx="282">
                  <c:v>-1.793760974351349</c:v>
                </c:pt>
                <c:pt idx="283">
                  <c:v>-1.8407834387335338</c:v>
                </c:pt>
                <c:pt idx="284">
                  <c:v>-2.2030221856970069</c:v>
                </c:pt>
                <c:pt idx="285">
                  <c:v>-1.6395121989175703</c:v>
                </c:pt>
                <c:pt idx="286">
                  <c:v>-0.48896276717585713</c:v>
                </c:pt>
                <c:pt idx="287">
                  <c:v>-0.62877698231228307</c:v>
                </c:pt>
                <c:pt idx="288">
                  <c:v>-1.3525706403288503E-3</c:v>
                </c:pt>
                <c:pt idx="289">
                  <c:v>0.28338310020514784</c:v>
                </c:pt>
                <c:pt idx="290">
                  <c:v>0.62106892465152186</c:v>
                </c:pt>
                <c:pt idx="291">
                  <c:v>1.6419841645915676</c:v>
                </c:pt>
                <c:pt idx="292">
                  <c:v>0.7355680382405454</c:v>
                </c:pt>
                <c:pt idx="293">
                  <c:v>0.77641731112800749</c:v>
                </c:pt>
                <c:pt idx="294">
                  <c:v>-0.31979603218174779</c:v>
                </c:pt>
                <c:pt idx="295">
                  <c:v>-1.280373198030623</c:v>
                </c:pt>
                <c:pt idx="296">
                  <c:v>-1.8570298384768078</c:v>
                </c:pt>
                <c:pt idx="297">
                  <c:v>-2.0206757243022579</c:v>
                </c:pt>
                <c:pt idx="298">
                  <c:v>-2.4956062161844361</c:v>
                </c:pt>
                <c:pt idx="299">
                  <c:v>-2.5128725665013478</c:v>
                </c:pt>
                <c:pt idx="300">
                  <c:v>-3.0865855811653096</c:v>
                </c:pt>
                <c:pt idx="301">
                  <c:v>-2.5874249585897586</c:v>
                </c:pt>
                <c:pt idx="302">
                  <c:v>-2.2640466846044216</c:v>
                </c:pt>
                <c:pt idx="303">
                  <c:v>-2.0613771165068924</c:v>
                </c:pt>
                <c:pt idx="304">
                  <c:v>-2.0187746110628604</c:v>
                </c:pt>
                <c:pt idx="305">
                  <c:v>-1.4562103525033014</c:v>
                </c:pt>
                <c:pt idx="306">
                  <c:v>-1.5150588576792519</c:v>
                </c:pt>
                <c:pt idx="307">
                  <c:v>-1.5855932638198851</c:v>
                </c:pt>
                <c:pt idx="308">
                  <c:v>-0.43835846879241747</c:v>
                </c:pt>
                <c:pt idx="309">
                  <c:v>5.4648151548948913E-2</c:v>
                </c:pt>
                <c:pt idx="310">
                  <c:v>0.59467040337792798</c:v>
                </c:pt>
                <c:pt idx="311">
                  <c:v>0.83915071932219054</c:v>
                </c:pt>
                <c:pt idx="312">
                  <c:v>0.39181068675691388</c:v>
                </c:pt>
                <c:pt idx="313">
                  <c:v>0.98118988369862437</c:v>
                </c:pt>
                <c:pt idx="314">
                  <c:v>1.4796350326328911</c:v>
                </c:pt>
                <c:pt idx="315">
                  <c:v>1.2115488910451984</c:v>
                </c:pt>
                <c:pt idx="316">
                  <c:v>1.6779625876046218</c:v>
                </c:pt>
                <c:pt idx="317">
                  <c:v>2.1897608431498825</c:v>
                </c:pt>
                <c:pt idx="318">
                  <c:v>2.7017223636076158</c:v>
                </c:pt>
                <c:pt idx="319">
                  <c:v>3.4751078820119701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E-844F-BDB6-DAAD7D18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'240806A014'!$A$2:$A$321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'240806A014'!$J$2:$J$321</c:f>
              <c:numCache>
                <c:formatCode>0.0</c:formatCode>
                <c:ptCount val="320"/>
                <c:pt idx="0">
                  <c:v>395.61205802268</c:v>
                </c:pt>
                <c:pt idx="1">
                  <c:v>400.20895120374001</c:v>
                </c:pt>
                <c:pt idx="2">
                  <c:v>396.11017292894002</c:v>
                </c:pt>
                <c:pt idx="3">
                  <c:v>425.06216811628997</c:v>
                </c:pt>
                <c:pt idx="4">
                  <c:v>416.65595250598005</c:v>
                </c:pt>
                <c:pt idx="5">
                  <c:v>400.70861867075996</c:v>
                </c:pt>
                <c:pt idx="6">
                  <c:v>437.29247268100994</c:v>
                </c:pt>
                <c:pt idx="7">
                  <c:v>495.53140798989</c:v>
                </c:pt>
                <c:pt idx="8">
                  <c:v>490.36986185295001</c:v>
                </c:pt>
                <c:pt idx="9">
                  <c:v>499.63961833703002</c:v>
                </c:pt>
                <c:pt idx="10">
                  <c:v>492.58345118297996</c:v>
                </c:pt>
                <c:pt idx="11">
                  <c:v>500.87463649008004</c:v>
                </c:pt>
                <c:pt idx="12">
                  <c:v>518.75912251864997</c:v>
                </c:pt>
                <c:pt idx="13">
                  <c:v>538.68652189666</c:v>
                </c:pt>
                <c:pt idx="14">
                  <c:v>537.84280415922001</c:v>
                </c:pt>
                <c:pt idx="15">
                  <c:v>551.01829254662005</c:v>
                </c:pt>
                <c:pt idx="16">
                  <c:v>559.95532424715998</c:v>
                </c:pt>
                <c:pt idx="17">
                  <c:v>563.2132643763</c:v>
                </c:pt>
                <c:pt idx="18">
                  <c:v>619.77436659753005</c:v>
                </c:pt>
                <c:pt idx="19">
                  <c:v>611.83124449059005</c:v>
                </c:pt>
                <c:pt idx="20">
                  <c:v>593.76510828669996</c:v>
                </c:pt>
                <c:pt idx="21">
                  <c:v>581.16080184342991</c:v>
                </c:pt>
                <c:pt idx="22">
                  <c:v>545.74057856565003</c:v>
                </c:pt>
                <c:pt idx="23">
                  <c:v>525.20088615701002</c:v>
                </c:pt>
                <c:pt idx="24">
                  <c:v>501.18827200989995</c:v>
                </c:pt>
                <c:pt idx="25">
                  <c:v>483.14539018089999</c:v>
                </c:pt>
                <c:pt idx="26">
                  <c:v>551.18500241503</c:v>
                </c:pt>
                <c:pt idx="27">
                  <c:v>622.44594916189999</c:v>
                </c:pt>
                <c:pt idx="28">
                  <c:v>634.42253441451999</c:v>
                </c:pt>
                <c:pt idx="29">
                  <c:v>643.71105068399993</c:v>
                </c:pt>
                <c:pt idx="30">
                  <c:v>637.34627198765997</c:v>
                </c:pt>
                <c:pt idx="31">
                  <c:v>627.81786187369994</c:v>
                </c:pt>
                <c:pt idx="32">
                  <c:v>567.78699568155002</c:v>
                </c:pt>
                <c:pt idx="33">
                  <c:v>540.48393305373997</c:v>
                </c:pt>
                <c:pt idx="34">
                  <c:v>636.78326411742</c:v>
                </c:pt>
                <c:pt idx="35">
                  <c:v>653.91784015121993</c:v>
                </c:pt>
                <c:pt idx="36">
                  <c:v>655.42229643399003</c:v>
                </c:pt>
                <c:pt idx="37">
                  <c:v>650.96701043797998</c:v>
                </c:pt>
                <c:pt idx="38">
                  <c:v>650.46811353621001</c:v>
                </c:pt>
                <c:pt idx="39">
                  <c:v>649.20299543350995</c:v>
                </c:pt>
                <c:pt idx="40">
                  <c:v>655.78495729029999</c:v>
                </c:pt>
                <c:pt idx="41">
                  <c:v>649.07393294020994</c:v>
                </c:pt>
                <c:pt idx="42">
                  <c:v>647.78158752514003</c:v>
                </c:pt>
                <c:pt idx="43">
                  <c:v>642.56755038067001</c:v>
                </c:pt>
                <c:pt idx="44">
                  <c:v>618.82798252382997</c:v>
                </c:pt>
                <c:pt idx="45">
                  <c:v>600.76777375329993</c:v>
                </c:pt>
                <c:pt idx="46">
                  <c:v>609.31773812273002</c:v>
                </c:pt>
                <c:pt idx="47">
                  <c:v>628.99675475197</c:v>
                </c:pt>
                <c:pt idx="48">
                  <c:v>633.68918666214995</c:v>
                </c:pt>
                <c:pt idx="49">
                  <c:v>621.91241823572</c:v>
                </c:pt>
                <c:pt idx="50">
                  <c:v>624.19430679086997</c:v>
                </c:pt>
                <c:pt idx="51">
                  <c:v>632.86497352765991</c:v>
                </c:pt>
                <c:pt idx="52">
                  <c:v>618.42535832135002</c:v>
                </c:pt>
                <c:pt idx="53">
                  <c:v>612.65649458670998</c:v>
                </c:pt>
                <c:pt idx="54">
                  <c:v>614.65417265653991</c:v>
                </c:pt>
                <c:pt idx="55">
                  <c:v>615.44391428338008</c:v>
                </c:pt>
                <c:pt idx="56">
                  <c:v>616.67334903363997</c:v>
                </c:pt>
                <c:pt idx="57">
                  <c:v>594.73815367592999</c:v>
                </c:pt>
                <c:pt idx="58">
                  <c:v>618.85260418492999</c:v>
                </c:pt>
                <c:pt idx="59">
                  <c:v>615.90570372794002</c:v>
                </c:pt>
                <c:pt idx="60">
                  <c:v>623.56859044035002</c:v>
                </c:pt>
                <c:pt idx="61">
                  <c:v>627.22753746838998</c:v>
                </c:pt>
                <c:pt idx="62">
                  <c:v>622.60907325378002</c:v>
                </c:pt>
                <c:pt idx="63">
                  <c:v>617.85776522012998</c:v>
                </c:pt>
                <c:pt idx="64">
                  <c:v>597.33000432439997</c:v>
                </c:pt>
                <c:pt idx="65">
                  <c:v>590.52651422181998</c:v>
                </c:pt>
                <c:pt idx="66">
                  <c:v>588.23584635523002</c:v>
                </c:pt>
                <c:pt idx="67">
                  <c:v>602.87440539498004</c:v>
                </c:pt>
                <c:pt idx="68">
                  <c:v>596.18627937962992</c:v>
                </c:pt>
                <c:pt idx="69">
                  <c:v>617.77011235649002</c:v>
                </c:pt>
                <c:pt idx="70">
                  <c:v>548.85146659498002</c:v>
                </c:pt>
                <c:pt idx="71">
                  <c:v>566.11672958474003</c:v>
                </c:pt>
                <c:pt idx="72">
                  <c:v>545.77612074036995</c:v>
                </c:pt>
                <c:pt idx="73">
                  <c:v>519.28358714835008</c:v>
                </c:pt>
                <c:pt idx="74">
                  <c:v>542.89427523443999</c:v>
                </c:pt>
                <c:pt idx="75">
                  <c:v>562.41277665448001</c:v>
                </c:pt>
                <c:pt idx="76">
                  <c:v>542.45764425381003</c:v>
                </c:pt>
                <c:pt idx="77">
                  <c:v>536.42140889736004</c:v>
                </c:pt>
                <c:pt idx="78">
                  <c:v>520.88852592496994</c:v>
                </c:pt>
                <c:pt idx="79">
                  <c:v>531.01117136701998</c:v>
                </c:pt>
                <c:pt idx="80">
                  <c:v>540.60307439430994</c:v>
                </c:pt>
                <c:pt idx="81">
                  <c:v>555.10740636276</c:v>
                </c:pt>
                <c:pt idx="82">
                  <c:v>565.65569117946995</c:v>
                </c:pt>
                <c:pt idx="83">
                  <c:v>562.02932783489007</c:v>
                </c:pt>
                <c:pt idx="84">
                  <c:v>549.27228926724001</c:v>
                </c:pt>
                <c:pt idx="85">
                  <c:v>579.43755860199008</c:v>
                </c:pt>
                <c:pt idx="86">
                  <c:v>589.92282703818</c:v>
                </c:pt>
                <c:pt idx="87">
                  <c:v>596.18458818321005</c:v>
                </c:pt>
                <c:pt idx="88">
                  <c:v>584.76931970057001</c:v>
                </c:pt>
                <c:pt idx="89">
                  <c:v>563.67493302917001</c:v>
                </c:pt>
                <c:pt idx="90">
                  <c:v>551.17331913416001</c:v>
                </c:pt>
                <c:pt idx="91">
                  <c:v>550.05173290037999</c:v>
                </c:pt>
                <c:pt idx="92">
                  <c:v>548.61026371009996</c:v>
                </c:pt>
                <c:pt idx="93">
                  <c:v>547.04453647272999</c:v>
                </c:pt>
                <c:pt idx="94">
                  <c:v>563.50805545348999</c:v>
                </c:pt>
                <c:pt idx="95">
                  <c:v>559.03604535224997</c:v>
                </c:pt>
                <c:pt idx="96">
                  <c:v>566.91485784792997</c:v>
                </c:pt>
                <c:pt idx="97">
                  <c:v>560.08070878884996</c:v>
                </c:pt>
                <c:pt idx="98">
                  <c:v>566.39535399227998</c:v>
                </c:pt>
                <c:pt idx="99">
                  <c:v>587.04188743574002</c:v>
                </c:pt>
                <c:pt idx="100">
                  <c:v>567.29999765263005</c:v>
                </c:pt>
                <c:pt idx="101">
                  <c:v>552.16262820098996</c:v>
                </c:pt>
                <c:pt idx="102">
                  <c:v>561.78758100894004</c:v>
                </c:pt>
                <c:pt idx="103">
                  <c:v>580.08226576605</c:v>
                </c:pt>
                <c:pt idx="104">
                  <c:v>558.01020016658003</c:v>
                </c:pt>
                <c:pt idx="105">
                  <c:v>560.34875095307007</c:v>
                </c:pt>
                <c:pt idx="106">
                  <c:v>548.85147435790998</c:v>
                </c:pt>
                <c:pt idx="107">
                  <c:v>531.04447347017003</c:v>
                </c:pt>
                <c:pt idx="108">
                  <c:v>541.93150966097994</c:v>
                </c:pt>
                <c:pt idx="109">
                  <c:v>547.55071266114999</c:v>
                </c:pt>
                <c:pt idx="110">
                  <c:v>542.98850887027004</c:v>
                </c:pt>
                <c:pt idx="111">
                  <c:v>547.47631255637998</c:v>
                </c:pt>
                <c:pt idx="112">
                  <c:v>550.40549359470003</c:v>
                </c:pt>
                <c:pt idx="113">
                  <c:v>549.25716370201997</c:v>
                </c:pt>
                <c:pt idx="114">
                  <c:v>516.37701883858006</c:v>
                </c:pt>
                <c:pt idx="115">
                  <c:v>542.45926966291995</c:v>
                </c:pt>
                <c:pt idx="116">
                  <c:v>538.06729266616003</c:v>
                </c:pt>
                <c:pt idx="117">
                  <c:v>556.48075217608994</c:v>
                </c:pt>
                <c:pt idx="118">
                  <c:v>513.51643102155003</c:v>
                </c:pt>
                <c:pt idx="119">
                  <c:v>517.72493104499995</c:v>
                </c:pt>
                <c:pt idx="120">
                  <c:v>528.03117039895994</c:v>
                </c:pt>
                <c:pt idx="121">
                  <c:v>514.64364617679996</c:v>
                </c:pt>
                <c:pt idx="122">
                  <c:v>515.31320628367007</c:v>
                </c:pt>
                <c:pt idx="123">
                  <c:v>558.48123558518</c:v>
                </c:pt>
                <c:pt idx="124">
                  <c:v>580.71805996565001</c:v>
                </c:pt>
                <c:pt idx="125">
                  <c:v>602.92602311814005</c:v>
                </c:pt>
                <c:pt idx="126">
                  <c:v>626.41348483655997</c:v>
                </c:pt>
                <c:pt idx="127">
                  <c:v>630.08194081188003</c:v>
                </c:pt>
                <c:pt idx="128">
                  <c:v>611.85993046868998</c:v>
                </c:pt>
                <c:pt idx="129">
                  <c:v>586.19316217718006</c:v>
                </c:pt>
                <c:pt idx="130">
                  <c:v>545.9766585955</c:v>
                </c:pt>
                <c:pt idx="131">
                  <c:v>569.36257930803004</c:v>
                </c:pt>
                <c:pt idx="132">
                  <c:v>575.35146837055004</c:v>
                </c:pt>
                <c:pt idx="133">
                  <c:v>562.76280941851007</c:v>
                </c:pt>
                <c:pt idx="134">
                  <c:v>570.39088504633003</c:v>
                </c:pt>
                <c:pt idx="135">
                  <c:v>546.5661137894399</c:v>
                </c:pt>
                <c:pt idx="136">
                  <c:v>519.24365893697006</c:v>
                </c:pt>
                <c:pt idx="137">
                  <c:v>499.68070559604007</c:v>
                </c:pt>
                <c:pt idx="138">
                  <c:v>486.21832821615999</c:v>
                </c:pt>
                <c:pt idx="139">
                  <c:v>528.29787049482002</c:v>
                </c:pt>
                <c:pt idx="140">
                  <c:v>553.77865582599998</c:v>
                </c:pt>
                <c:pt idx="141">
                  <c:v>555.60211712717</c:v>
                </c:pt>
                <c:pt idx="142">
                  <c:v>554.40258517560994</c:v>
                </c:pt>
                <c:pt idx="143">
                  <c:v>529.90824501948998</c:v>
                </c:pt>
                <c:pt idx="144">
                  <c:v>529.50522047444008</c:v>
                </c:pt>
                <c:pt idx="145">
                  <c:v>565.33179592156</c:v>
                </c:pt>
                <c:pt idx="146">
                  <c:v>577.65516614732996</c:v>
                </c:pt>
                <c:pt idx="147">
                  <c:v>563.12285452056005</c:v>
                </c:pt>
                <c:pt idx="148">
                  <c:v>542.55623625846999</c:v>
                </c:pt>
                <c:pt idx="149">
                  <c:v>562.1851837273</c:v>
                </c:pt>
                <c:pt idx="150">
                  <c:v>520.53863147531001</c:v>
                </c:pt>
                <c:pt idx="151">
                  <c:v>520.96050983148007</c:v>
                </c:pt>
                <c:pt idx="152">
                  <c:v>518.51086171588997</c:v>
                </c:pt>
                <c:pt idx="153">
                  <c:v>486.70530202967001</c:v>
                </c:pt>
                <c:pt idx="154">
                  <c:v>492.95411756094001</c:v>
                </c:pt>
                <c:pt idx="155">
                  <c:v>468.90985188980994</c:v>
                </c:pt>
                <c:pt idx="156">
                  <c:v>469.24231510626998</c:v>
                </c:pt>
                <c:pt idx="157">
                  <c:v>503.66404465451001</c:v>
                </c:pt>
                <c:pt idx="158">
                  <c:v>539.22843008932</c:v>
                </c:pt>
                <c:pt idx="159">
                  <c:v>562.16924901540006</c:v>
                </c:pt>
                <c:pt idx="160">
                  <c:v>557.02604142707003</c:v>
                </c:pt>
                <c:pt idx="161">
                  <c:v>562.30104071747996</c:v>
                </c:pt>
                <c:pt idx="162">
                  <c:v>563.82755733342003</c:v>
                </c:pt>
                <c:pt idx="163">
                  <c:v>520.66909265978006</c:v>
                </c:pt>
                <c:pt idx="164">
                  <c:v>471.99867239852995</c:v>
                </c:pt>
                <c:pt idx="165">
                  <c:v>466.52396101811996</c:v>
                </c:pt>
                <c:pt idx="166">
                  <c:v>481.02523123608</c:v>
                </c:pt>
                <c:pt idx="167">
                  <c:v>501.13537158251995</c:v>
                </c:pt>
                <c:pt idx="168">
                  <c:v>521.65039633522997</c:v>
                </c:pt>
                <c:pt idx="169">
                  <c:v>547.84494003910004</c:v>
                </c:pt>
                <c:pt idx="170">
                  <c:v>553.40227588822995</c:v>
                </c:pt>
                <c:pt idx="171">
                  <c:v>553.96746257915004</c:v>
                </c:pt>
                <c:pt idx="172">
                  <c:v>556.50537557019004</c:v>
                </c:pt>
                <c:pt idx="173">
                  <c:v>565.20997305893002</c:v>
                </c:pt>
                <c:pt idx="174">
                  <c:v>579.50086877588001</c:v>
                </c:pt>
                <c:pt idx="175">
                  <c:v>579.39270715241003</c:v>
                </c:pt>
                <c:pt idx="176">
                  <c:v>576.75791345744994</c:v>
                </c:pt>
                <c:pt idx="177">
                  <c:v>575.91133323984002</c:v>
                </c:pt>
                <c:pt idx="178">
                  <c:v>580.88706790087997</c:v>
                </c:pt>
                <c:pt idx="179">
                  <c:v>570.49206511532998</c:v>
                </c:pt>
                <c:pt idx="180">
                  <c:v>573.12907847423003</c:v>
                </c:pt>
                <c:pt idx="181">
                  <c:v>572.30089156663996</c:v>
                </c:pt>
                <c:pt idx="182">
                  <c:v>575.35286618124996</c:v>
                </c:pt>
                <c:pt idx="183">
                  <c:v>570.82803789110005</c:v>
                </c:pt>
                <c:pt idx="184">
                  <c:v>568.25035354892998</c:v>
                </c:pt>
                <c:pt idx="185">
                  <c:v>568.62051830467999</c:v>
                </c:pt>
                <c:pt idx="186">
                  <c:v>569.71281113279997</c:v>
                </c:pt>
                <c:pt idx="187">
                  <c:v>572.42794809161001</c:v>
                </c:pt>
                <c:pt idx="188">
                  <c:v>567.67970609662996</c:v>
                </c:pt>
                <c:pt idx="189">
                  <c:v>570.89258443294</c:v>
                </c:pt>
                <c:pt idx="190">
                  <c:v>562.91865744907</c:v>
                </c:pt>
                <c:pt idx="191">
                  <c:v>565.30165515441001</c:v>
                </c:pt>
                <c:pt idx="192">
                  <c:v>561.25414519076003</c:v>
                </c:pt>
                <c:pt idx="193">
                  <c:v>557.42533786810998</c:v>
                </c:pt>
                <c:pt idx="194">
                  <c:v>558.86905443678995</c:v>
                </c:pt>
                <c:pt idx="195">
                  <c:v>567.57719736016998</c:v>
                </c:pt>
                <c:pt idx="196">
                  <c:v>561.29234308466005</c:v>
                </c:pt>
                <c:pt idx="197">
                  <c:v>560.53832840508005</c:v>
                </c:pt>
                <c:pt idx="198">
                  <c:v>558.54732880634992</c:v>
                </c:pt>
                <c:pt idx="199">
                  <c:v>560.68256760283998</c:v>
                </c:pt>
                <c:pt idx="200">
                  <c:v>561.33364694974</c:v>
                </c:pt>
                <c:pt idx="201">
                  <c:v>557.61601664310001</c:v>
                </c:pt>
                <c:pt idx="202">
                  <c:v>563.0237462161499</c:v>
                </c:pt>
                <c:pt idx="203">
                  <c:v>560.99126062107007</c:v>
                </c:pt>
                <c:pt idx="204">
                  <c:v>558.58147695796004</c:v>
                </c:pt>
                <c:pt idx="205">
                  <c:v>562.83492966032009</c:v>
                </c:pt>
                <c:pt idx="206">
                  <c:v>562.45424998928002</c:v>
                </c:pt>
                <c:pt idx="207">
                  <c:v>562.47962759512006</c:v>
                </c:pt>
                <c:pt idx="208">
                  <c:v>567.69179006791001</c:v>
                </c:pt>
                <c:pt idx="209">
                  <c:v>571.39931355018007</c:v>
                </c:pt>
                <c:pt idx="210">
                  <c:v>573.14730913227993</c:v>
                </c:pt>
                <c:pt idx="211">
                  <c:v>562.07819664723002</c:v>
                </c:pt>
                <c:pt idx="212">
                  <c:v>562.92878570065</c:v>
                </c:pt>
                <c:pt idx="213">
                  <c:v>564.96337797983995</c:v>
                </c:pt>
                <c:pt idx="214">
                  <c:v>567.69726179763006</c:v>
                </c:pt>
                <c:pt idx="215">
                  <c:v>573.53944359385002</c:v>
                </c:pt>
                <c:pt idx="216">
                  <c:v>561.07462512126006</c:v>
                </c:pt>
                <c:pt idx="217">
                  <c:v>564.35846939610008</c:v>
                </c:pt>
                <c:pt idx="218">
                  <c:v>565.81792230104998</c:v>
                </c:pt>
                <c:pt idx="219">
                  <c:v>552.51802904750002</c:v>
                </c:pt>
                <c:pt idx="220">
                  <c:v>562.29826673367006</c:v>
                </c:pt>
                <c:pt idx="221">
                  <c:v>565.82451408935992</c:v>
                </c:pt>
                <c:pt idx="222">
                  <c:v>553.57142759747001</c:v>
                </c:pt>
                <c:pt idx="223">
                  <c:v>547.27736157050003</c:v>
                </c:pt>
                <c:pt idx="224">
                  <c:v>544.97075770503</c:v>
                </c:pt>
                <c:pt idx="225">
                  <c:v>527.5796283743</c:v>
                </c:pt>
                <c:pt idx="226">
                  <c:v>518.59534036145999</c:v>
                </c:pt>
                <c:pt idx="227">
                  <c:v>560.40756692107004</c:v>
                </c:pt>
                <c:pt idx="228">
                  <c:v>538.11016409345996</c:v>
                </c:pt>
                <c:pt idx="229">
                  <c:v>562.58598440168998</c:v>
                </c:pt>
                <c:pt idx="230">
                  <c:v>565.32954818871008</c:v>
                </c:pt>
                <c:pt idx="231">
                  <c:v>561.24082224687004</c:v>
                </c:pt>
                <c:pt idx="232">
                  <c:v>562.52875731843005</c:v>
                </c:pt>
                <c:pt idx="233">
                  <c:v>564.78911169404</c:v>
                </c:pt>
                <c:pt idx="234">
                  <c:v>570.20197903402004</c:v>
                </c:pt>
                <c:pt idx="235">
                  <c:v>573.48783472122</c:v>
                </c:pt>
                <c:pt idx="236">
                  <c:v>561.64370541208007</c:v>
                </c:pt>
                <c:pt idx="237">
                  <c:v>568.00027777288994</c:v>
                </c:pt>
                <c:pt idx="238">
                  <c:v>536.12062678865004</c:v>
                </c:pt>
                <c:pt idx="239">
                  <c:v>543.17961147005997</c:v>
                </c:pt>
                <c:pt idx="240">
                  <c:v>560.78627332460997</c:v>
                </c:pt>
                <c:pt idx="241">
                  <c:v>569.01085759445004</c:v>
                </c:pt>
                <c:pt idx="242">
                  <c:v>554.82238184382004</c:v>
                </c:pt>
                <c:pt idx="243">
                  <c:v>550.69838559179993</c:v>
                </c:pt>
                <c:pt idx="244">
                  <c:v>560.73763372711005</c:v>
                </c:pt>
                <c:pt idx="245">
                  <c:v>565.97315677149993</c:v>
                </c:pt>
                <c:pt idx="246">
                  <c:v>566.21336283203004</c:v>
                </c:pt>
                <c:pt idx="247">
                  <c:v>573.59305098305992</c:v>
                </c:pt>
                <c:pt idx="248">
                  <c:v>566.32925183242003</c:v>
                </c:pt>
                <c:pt idx="249">
                  <c:v>557.18212707523003</c:v>
                </c:pt>
                <c:pt idx="250">
                  <c:v>569.99476339422995</c:v>
                </c:pt>
                <c:pt idx="251">
                  <c:v>574.64895766702</c:v>
                </c:pt>
                <c:pt idx="252">
                  <c:v>555.83610128147006</c:v>
                </c:pt>
                <c:pt idx="253">
                  <c:v>555.83285798958991</c:v>
                </c:pt>
                <c:pt idx="254">
                  <c:v>564.37513913096006</c:v>
                </c:pt>
                <c:pt idx="255">
                  <c:v>561.09685471109003</c:v>
                </c:pt>
                <c:pt idx="256">
                  <c:v>576.06612461829991</c:v>
                </c:pt>
                <c:pt idx="257">
                  <c:v>578.01141705251996</c:v>
                </c:pt>
                <c:pt idx="258">
                  <c:v>573.35001731190005</c:v>
                </c:pt>
                <c:pt idx="259">
                  <c:v>570.71865029763001</c:v>
                </c:pt>
                <c:pt idx="260">
                  <c:v>559.14739372741997</c:v>
                </c:pt>
                <c:pt idx="261">
                  <c:v>574.44411385558999</c:v>
                </c:pt>
                <c:pt idx="262">
                  <c:v>580.80831616813998</c:v>
                </c:pt>
                <c:pt idx="263">
                  <c:v>564.68801605605995</c:v>
                </c:pt>
                <c:pt idx="264">
                  <c:v>570.98628545272004</c:v>
                </c:pt>
                <c:pt idx="265">
                  <c:v>560.54632743164007</c:v>
                </c:pt>
                <c:pt idx="266">
                  <c:v>583.82857207131008</c:v>
                </c:pt>
                <c:pt idx="267">
                  <c:v>576.09322410208006</c:v>
                </c:pt>
                <c:pt idx="268">
                  <c:v>569.24379656852</c:v>
                </c:pt>
                <c:pt idx="269">
                  <c:v>575.51722387516998</c:v>
                </c:pt>
                <c:pt idx="270">
                  <c:v>567.94539219771002</c:v>
                </c:pt>
                <c:pt idx="271">
                  <c:v>551.55756549669002</c:v>
                </c:pt>
                <c:pt idx="272">
                  <c:v>566.24654104290005</c:v>
                </c:pt>
                <c:pt idx="273">
                  <c:v>565.35381908378008</c:v>
                </c:pt>
                <c:pt idx="274">
                  <c:v>556.14894694317002</c:v>
                </c:pt>
                <c:pt idx="275">
                  <c:v>542.34963933205995</c:v>
                </c:pt>
                <c:pt idx="276">
                  <c:v>540.99708142100008</c:v>
                </c:pt>
                <c:pt idx="277">
                  <c:v>548.9573709105</c:v>
                </c:pt>
                <c:pt idx="278">
                  <c:v>550.71048661176997</c:v>
                </c:pt>
                <c:pt idx="279">
                  <c:v>529.98582230439001</c:v>
                </c:pt>
                <c:pt idx="280">
                  <c:v>573.28952864905</c:v>
                </c:pt>
                <c:pt idx="281">
                  <c:v>547.07103483720994</c:v>
                </c:pt>
                <c:pt idx="282">
                  <c:v>553.1415125615199</c:v>
                </c:pt>
                <c:pt idx="283">
                  <c:v>539.77880460050005</c:v>
                </c:pt>
                <c:pt idx="284">
                  <c:v>546.63649658375994</c:v>
                </c:pt>
                <c:pt idx="285">
                  <c:v>545.46803662821003</c:v>
                </c:pt>
                <c:pt idx="286">
                  <c:v>579.00543964297992</c:v>
                </c:pt>
                <c:pt idx="287">
                  <c:v>550.21328519973997</c:v>
                </c:pt>
                <c:pt idx="288">
                  <c:v>547.51863291944994</c:v>
                </c:pt>
                <c:pt idx="289">
                  <c:v>537.21873783759997</c:v>
                </c:pt>
                <c:pt idx="290">
                  <c:v>536.14689705307001</c:v>
                </c:pt>
                <c:pt idx="291">
                  <c:v>556.16690719909002</c:v>
                </c:pt>
                <c:pt idx="292">
                  <c:v>560.99893894162005</c:v>
                </c:pt>
                <c:pt idx="293">
                  <c:v>556.36090048358005</c:v>
                </c:pt>
                <c:pt idx="294">
                  <c:v>555.95893237774999</c:v>
                </c:pt>
                <c:pt idx="295">
                  <c:v>535.10153679763994</c:v>
                </c:pt>
                <c:pt idx="296">
                  <c:v>527.07058217463998</c:v>
                </c:pt>
                <c:pt idx="297">
                  <c:v>560.70146720252001</c:v>
                </c:pt>
                <c:pt idx="298">
                  <c:v>558.07178819367005</c:v>
                </c:pt>
                <c:pt idx="299">
                  <c:v>569.49270502882996</c:v>
                </c:pt>
                <c:pt idx="300">
                  <c:v>564.19957201012005</c:v>
                </c:pt>
                <c:pt idx="301">
                  <c:v>570.80063855780008</c:v>
                </c:pt>
                <c:pt idx="302">
                  <c:v>561.61956138987</c:v>
                </c:pt>
                <c:pt idx="303">
                  <c:v>555.46987702942999</c:v>
                </c:pt>
                <c:pt idx="304">
                  <c:v>552.61925312545009</c:v>
                </c:pt>
                <c:pt idx="305">
                  <c:v>559.06790574365994</c:v>
                </c:pt>
                <c:pt idx="306">
                  <c:v>562.24220147028996</c:v>
                </c:pt>
                <c:pt idx="307">
                  <c:v>549.16072159044006</c:v>
                </c:pt>
                <c:pt idx="308">
                  <c:v>559.38697440033002</c:v>
                </c:pt>
                <c:pt idx="309">
                  <c:v>577.85722856597999</c:v>
                </c:pt>
                <c:pt idx="310">
                  <c:v>569.22534312751998</c:v>
                </c:pt>
                <c:pt idx="311">
                  <c:v>511.22762609912002</c:v>
                </c:pt>
                <c:pt idx="312">
                  <c:v>522.28232584994998</c:v>
                </c:pt>
                <c:pt idx="313">
                  <c:v>539.12262531528006</c:v>
                </c:pt>
                <c:pt idx="314">
                  <c:v>538.06369295051002</c:v>
                </c:pt>
                <c:pt idx="315">
                  <c:v>559.65638570397005</c:v>
                </c:pt>
                <c:pt idx="316">
                  <c:v>554.44626819282007</c:v>
                </c:pt>
                <c:pt idx="317">
                  <c:v>544.23423842553996</c:v>
                </c:pt>
                <c:pt idx="318">
                  <c:v>546.96699220143</c:v>
                </c:pt>
                <c:pt idx="319">
                  <c:v>551.34980750379009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2-154C-B0D4-2B94B21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8-4F4E-AC84-069F64BCAEF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'240806A014'!$A$2:$A$321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'240806A014'!$P$2:$P$321</c:f>
              <c:numCache>
                <c:formatCode>General</c:formatCode>
                <c:ptCount val="320"/>
                <c:pt idx="0">
                  <c:v>-3.654724396954264</c:v>
                </c:pt>
                <c:pt idx="1">
                  <c:v>-1.2998120627196073</c:v>
                </c:pt>
                <c:pt idx="2">
                  <c:v>-3.7210278983357372</c:v>
                </c:pt>
                <c:pt idx="3">
                  <c:v>-3.2757941316682206</c:v>
                </c:pt>
                <c:pt idx="4">
                  <c:v>-3.0432105562101164</c:v>
                </c:pt>
                <c:pt idx="5">
                  <c:v>-2.1678514044602086</c:v>
                </c:pt>
                <c:pt idx="6">
                  <c:v>-2.9656887212936427</c:v>
                </c:pt>
                <c:pt idx="7">
                  <c:v>-5.0163646255995529</c:v>
                </c:pt>
                <c:pt idx="8">
                  <c:v>-4.9059152155872141</c:v>
                </c:pt>
                <c:pt idx="9">
                  <c:v>-4.3726584830580073</c:v>
                </c:pt>
                <c:pt idx="10">
                  <c:v>-4.1847845641695267</c:v>
                </c:pt>
                <c:pt idx="11">
                  <c:v>-4.6078068143552224</c:v>
                </c:pt>
                <c:pt idx="12">
                  <c:v>-5.2997257237780291</c:v>
                </c:pt>
                <c:pt idx="13">
                  <c:v>-5.1015473596651342</c:v>
                </c:pt>
                <c:pt idx="14">
                  <c:v>-6.1832279074864438</c:v>
                </c:pt>
                <c:pt idx="15">
                  <c:v>-5.9998323203004986</c:v>
                </c:pt>
                <c:pt idx="16">
                  <c:v>-5.8749175619228016</c:v>
                </c:pt>
                <c:pt idx="17">
                  <c:v>-8.4512033468868459</c:v>
                </c:pt>
                <c:pt idx="18">
                  <c:v>-10.690203358739536</c:v>
                </c:pt>
                <c:pt idx="19">
                  <c:v>-9.1936886028657572</c:v>
                </c:pt>
                <c:pt idx="20">
                  <c:v>-10.400597402504779</c:v>
                </c:pt>
                <c:pt idx="21">
                  <c:v>-9.4588261757610326</c:v>
                </c:pt>
                <c:pt idx="22">
                  <c:v>-8.7285016434523364</c:v>
                </c:pt>
                <c:pt idx="23">
                  <c:v>-8.1068267577932929</c:v>
                </c:pt>
                <c:pt idx="24">
                  <c:v>-6.0166201349441684</c:v>
                </c:pt>
                <c:pt idx="25">
                  <c:v>-5.9011116406385122</c:v>
                </c:pt>
                <c:pt idx="26">
                  <c:v>-9.0426634408763764</c:v>
                </c:pt>
                <c:pt idx="27">
                  <c:v>-11.15022672593917</c:v>
                </c:pt>
                <c:pt idx="28">
                  <c:v>-11.056451598259162</c:v>
                </c:pt>
                <c:pt idx="29">
                  <c:v>-11.948029200105502</c:v>
                </c:pt>
                <c:pt idx="30">
                  <c:v>-9.5818661813168706</c:v>
                </c:pt>
                <c:pt idx="31">
                  <c:v>-10.106370641788867</c:v>
                </c:pt>
                <c:pt idx="32">
                  <c:v>-9.3134684233673131</c:v>
                </c:pt>
                <c:pt idx="33">
                  <c:v>-10.030955405407058</c:v>
                </c:pt>
                <c:pt idx="34">
                  <c:v>-10.39135253263389</c:v>
                </c:pt>
                <c:pt idx="35">
                  <c:v>-10.04537404941528</c:v>
                </c:pt>
                <c:pt idx="36">
                  <c:v>-9.7470146964911528</c:v>
                </c:pt>
                <c:pt idx="37">
                  <c:v>-7.5728498566631384</c:v>
                </c:pt>
                <c:pt idx="38">
                  <c:v>-6.4340370646840599</c:v>
                </c:pt>
                <c:pt idx="39">
                  <c:v>-6.1654198091061208</c:v>
                </c:pt>
                <c:pt idx="40">
                  <c:v>-6.1335543556141614</c:v>
                </c:pt>
                <c:pt idx="41">
                  <c:v>-6.340999716940571</c:v>
                </c:pt>
                <c:pt idx="42">
                  <c:v>-5.7674773829760655</c:v>
                </c:pt>
                <c:pt idx="43">
                  <c:v>-5.8077864946186235</c:v>
                </c:pt>
                <c:pt idx="44">
                  <c:v>-2.1200568339452199</c:v>
                </c:pt>
                <c:pt idx="45">
                  <c:v>-1.0135734240459064</c:v>
                </c:pt>
                <c:pt idx="46">
                  <c:v>0.5274060768412091</c:v>
                </c:pt>
                <c:pt idx="47">
                  <c:v>-0.56957796372109015</c:v>
                </c:pt>
                <c:pt idx="48">
                  <c:v>-1.5627131111953174</c:v>
                </c:pt>
                <c:pt idx="49">
                  <c:v>-1.0451314954777582</c:v>
                </c:pt>
                <c:pt idx="50">
                  <c:v>-0.92658135110540418</c:v>
                </c:pt>
                <c:pt idx="51">
                  <c:v>-2.0552489910018874</c:v>
                </c:pt>
                <c:pt idx="52">
                  <c:v>-0.51003247106631067</c:v>
                </c:pt>
                <c:pt idx="53">
                  <c:v>1.5392143146326212</c:v>
                </c:pt>
                <c:pt idx="54">
                  <c:v>1.4488644879109249</c:v>
                </c:pt>
                <c:pt idx="55">
                  <c:v>1.1622342730043551</c:v>
                </c:pt>
                <c:pt idx="56">
                  <c:v>0.24389352345339771</c:v>
                </c:pt>
                <c:pt idx="57">
                  <c:v>1.290071529872544</c:v>
                </c:pt>
                <c:pt idx="58">
                  <c:v>-0.64293883078657865</c:v>
                </c:pt>
                <c:pt idx="59">
                  <c:v>-1.1912370715059395</c:v>
                </c:pt>
                <c:pt idx="60">
                  <c:v>-1.2637108501963181</c:v>
                </c:pt>
                <c:pt idx="61">
                  <c:v>-0.82855079465201198</c:v>
                </c:pt>
                <c:pt idx="62">
                  <c:v>-6.7264449589514677E-2</c:v>
                </c:pt>
                <c:pt idx="63">
                  <c:v>-0.16283898181892839</c:v>
                </c:pt>
                <c:pt idx="64">
                  <c:v>0.63495802175745408</c:v>
                </c:pt>
                <c:pt idx="65">
                  <c:v>0.64243554458473651</c:v>
                </c:pt>
                <c:pt idx="66">
                  <c:v>0.62668391846507621</c:v>
                </c:pt>
                <c:pt idx="67">
                  <c:v>0.63809465796718345</c:v>
                </c:pt>
                <c:pt idx="68">
                  <c:v>1.8389075570859199</c:v>
                </c:pt>
                <c:pt idx="69">
                  <c:v>0.5778400579102736</c:v>
                </c:pt>
                <c:pt idx="70">
                  <c:v>5.1463324698140118</c:v>
                </c:pt>
                <c:pt idx="71">
                  <c:v>2.2109026462064025</c:v>
                </c:pt>
                <c:pt idx="72">
                  <c:v>2.9454191564200243</c:v>
                </c:pt>
                <c:pt idx="73">
                  <c:v>1.7588175703148696</c:v>
                </c:pt>
                <c:pt idx="74">
                  <c:v>-0.46371011747214552</c:v>
                </c:pt>
                <c:pt idx="75">
                  <c:v>-1.2918514194622346</c:v>
                </c:pt>
                <c:pt idx="76">
                  <c:v>-1.2132843736810441</c:v>
                </c:pt>
                <c:pt idx="77">
                  <c:v>-3.1975343907216693</c:v>
                </c:pt>
                <c:pt idx="78">
                  <c:v>-4.045729175712431</c:v>
                </c:pt>
                <c:pt idx="79">
                  <c:v>-4.4859170472195071</c:v>
                </c:pt>
                <c:pt idx="80">
                  <c:v>-6.7314030362841777</c:v>
                </c:pt>
                <c:pt idx="81">
                  <c:v>-6.4164502253398537</c:v>
                </c:pt>
                <c:pt idx="82">
                  <c:v>-7.0131826250368716</c:v>
                </c:pt>
                <c:pt idx="83">
                  <c:v>-3.0102852681617804</c:v>
                </c:pt>
                <c:pt idx="84">
                  <c:v>-4.5434855674604844</c:v>
                </c:pt>
                <c:pt idx="85">
                  <c:v>-5.3698855476781011</c:v>
                </c:pt>
                <c:pt idx="86">
                  <c:v>-7.6348374356524999</c:v>
                </c:pt>
                <c:pt idx="87">
                  <c:v>-9.5438657504294326</c:v>
                </c:pt>
                <c:pt idx="88">
                  <c:v>-11.640745482148439</c:v>
                </c:pt>
                <c:pt idx="89">
                  <c:v>-11.621945362244567</c:v>
                </c:pt>
                <c:pt idx="90">
                  <c:v>-12.69920877568906</c:v>
                </c:pt>
                <c:pt idx="91">
                  <c:v>-12.670346297666365</c:v>
                </c:pt>
                <c:pt idx="92">
                  <c:v>-13.176213405642123</c:v>
                </c:pt>
                <c:pt idx="93">
                  <c:v>-13.413289270491378</c:v>
                </c:pt>
                <c:pt idx="94">
                  <c:v>-15.472462937622597</c:v>
                </c:pt>
                <c:pt idx="95">
                  <c:v>-14.109651890119689</c:v>
                </c:pt>
                <c:pt idx="96">
                  <c:v>-15.015281226413224</c:v>
                </c:pt>
                <c:pt idx="97">
                  <c:v>-14.063945009352711</c:v>
                </c:pt>
                <c:pt idx="98">
                  <c:v>-14.190664962082375</c:v>
                </c:pt>
                <c:pt idx="99">
                  <c:v>-14.512604401085898</c:v>
                </c:pt>
                <c:pt idx="100">
                  <c:v>-12.375398248973948</c:v>
                </c:pt>
                <c:pt idx="101">
                  <c:v>-11.945845652960415</c:v>
                </c:pt>
                <c:pt idx="102">
                  <c:v>-12.063520196267982</c:v>
                </c:pt>
                <c:pt idx="103">
                  <c:v>-12.598871983123342</c:v>
                </c:pt>
                <c:pt idx="104">
                  <c:v>-14.366177212278359</c:v>
                </c:pt>
                <c:pt idx="105">
                  <c:v>-12.788641371696194</c:v>
                </c:pt>
                <c:pt idx="106">
                  <c:v>-11.568370033746103</c:v>
                </c:pt>
                <c:pt idx="107">
                  <c:v>-12.052432887879879</c:v>
                </c:pt>
                <c:pt idx="108">
                  <c:v>-12.471599078872869</c:v>
                </c:pt>
                <c:pt idx="109">
                  <c:v>-13.995950193197334</c:v>
                </c:pt>
                <c:pt idx="110">
                  <c:v>-13.697429135441133</c:v>
                </c:pt>
                <c:pt idx="111">
                  <c:v>-12.451261525316148</c:v>
                </c:pt>
                <c:pt idx="112">
                  <c:v>-11.550600674221458</c:v>
                </c:pt>
                <c:pt idx="113">
                  <c:v>-11.714258175849031</c:v>
                </c:pt>
                <c:pt idx="114">
                  <c:v>-8.3194382701303269</c:v>
                </c:pt>
                <c:pt idx="115">
                  <c:v>-8.9400500557337281</c:v>
                </c:pt>
                <c:pt idx="116">
                  <c:v>-9.0787455810389694</c:v>
                </c:pt>
                <c:pt idx="117">
                  <c:v>-11.811093963339376</c:v>
                </c:pt>
                <c:pt idx="118">
                  <c:v>-8.8686319027614555</c:v>
                </c:pt>
                <c:pt idx="119">
                  <c:v>-8.8649254670798179</c:v>
                </c:pt>
                <c:pt idx="120">
                  <c:v>-8.9495130097760676</c:v>
                </c:pt>
                <c:pt idx="121">
                  <c:v>-7.4003074485636766</c:v>
                </c:pt>
                <c:pt idx="122">
                  <c:v>-8.2200580862463326</c:v>
                </c:pt>
                <c:pt idx="123">
                  <c:v>-9.8886961576237358</c:v>
                </c:pt>
                <c:pt idx="124">
                  <c:v>-10.779382500155094</c:v>
                </c:pt>
                <c:pt idx="125">
                  <c:v>-11.620404302871764</c:v>
                </c:pt>
                <c:pt idx="126">
                  <c:v>-13.034252667669039</c:v>
                </c:pt>
                <c:pt idx="127">
                  <c:v>-12.949369505330152</c:v>
                </c:pt>
                <c:pt idx="128">
                  <c:v>-12.438666761973781</c:v>
                </c:pt>
                <c:pt idx="129">
                  <c:v>-11.878679201584484</c:v>
                </c:pt>
                <c:pt idx="130">
                  <c:v>-11.704669967413468</c:v>
                </c:pt>
                <c:pt idx="131">
                  <c:v>-10.405993981959462</c:v>
                </c:pt>
                <c:pt idx="132">
                  <c:v>-11.239871052404331</c:v>
                </c:pt>
                <c:pt idx="133">
                  <c:v>-11.435040124473824</c:v>
                </c:pt>
                <c:pt idx="134">
                  <c:v>-11.058634640781413</c:v>
                </c:pt>
                <c:pt idx="135">
                  <c:v>-9.6039976670938145</c:v>
                </c:pt>
                <c:pt idx="136">
                  <c:v>-9.2949436789731283</c:v>
                </c:pt>
                <c:pt idx="137">
                  <c:v>-9.1818203520803543</c:v>
                </c:pt>
                <c:pt idx="138">
                  <c:v>-7.5546758403731085</c:v>
                </c:pt>
                <c:pt idx="139">
                  <c:v>-9.1110541787392982</c:v>
                </c:pt>
                <c:pt idx="140">
                  <c:v>-11.209546164286627</c:v>
                </c:pt>
                <c:pt idx="141">
                  <c:v>-11.648114738197267</c:v>
                </c:pt>
                <c:pt idx="142">
                  <c:v>-12.818425496153141</c:v>
                </c:pt>
                <c:pt idx="143">
                  <c:v>-12.567145101087055</c:v>
                </c:pt>
                <c:pt idx="144">
                  <c:v>-11.608879955104889</c:v>
                </c:pt>
                <c:pt idx="145">
                  <c:v>-13.325123223023832</c:v>
                </c:pt>
                <c:pt idx="146">
                  <c:v>-14.002249412778514</c:v>
                </c:pt>
                <c:pt idx="147">
                  <c:v>-15.734977907369302</c:v>
                </c:pt>
                <c:pt idx="148">
                  <c:v>-14.214562340919427</c:v>
                </c:pt>
                <c:pt idx="149">
                  <c:v>-15.8620380972537</c:v>
                </c:pt>
                <c:pt idx="150">
                  <c:v>-15.790164384286776</c:v>
                </c:pt>
                <c:pt idx="151">
                  <c:v>-15.535741834915246</c:v>
                </c:pt>
                <c:pt idx="152">
                  <c:v>-15.575947977844942</c:v>
                </c:pt>
                <c:pt idx="153">
                  <c:v>-12.659641222481937</c:v>
                </c:pt>
                <c:pt idx="154">
                  <c:v>-12.572026889407756</c:v>
                </c:pt>
                <c:pt idx="155">
                  <c:v>-11.304713560733472</c:v>
                </c:pt>
                <c:pt idx="156">
                  <c:v>-11.127547707716911</c:v>
                </c:pt>
                <c:pt idx="157">
                  <c:v>-13.351215767752567</c:v>
                </c:pt>
                <c:pt idx="158">
                  <c:v>-15.577878861004285</c:v>
                </c:pt>
                <c:pt idx="159">
                  <c:v>-15.19693267912729</c:v>
                </c:pt>
                <c:pt idx="160">
                  <c:v>-16.08597528398646</c:v>
                </c:pt>
                <c:pt idx="161">
                  <c:v>-15.806754692122057</c:v>
                </c:pt>
                <c:pt idx="162">
                  <c:v>-15.22526471467531</c:v>
                </c:pt>
                <c:pt idx="163">
                  <c:v>-14.468471554812764</c:v>
                </c:pt>
                <c:pt idx="164">
                  <c:v>-14.516854197434329</c:v>
                </c:pt>
                <c:pt idx="165">
                  <c:v>-14.443982359937568</c:v>
                </c:pt>
                <c:pt idx="166">
                  <c:v>-16.317284363695588</c:v>
                </c:pt>
                <c:pt idx="167">
                  <c:v>-16.536363037320751</c:v>
                </c:pt>
                <c:pt idx="168">
                  <c:v>-17.391943953334845</c:v>
                </c:pt>
                <c:pt idx="169">
                  <c:v>-17.674806002266301</c:v>
                </c:pt>
                <c:pt idx="170">
                  <c:v>-18.449219069466974</c:v>
                </c:pt>
                <c:pt idx="171">
                  <c:v>-17.710183405410248</c:v>
                </c:pt>
                <c:pt idx="172">
                  <c:v>-17.76386490014232</c:v>
                </c:pt>
                <c:pt idx="173">
                  <c:v>-17.305065239984327</c:v>
                </c:pt>
                <c:pt idx="174">
                  <c:v>-16.108239815132123</c:v>
                </c:pt>
                <c:pt idx="175">
                  <c:v>-15.554851638536379</c:v>
                </c:pt>
                <c:pt idx="176">
                  <c:v>-16.295674086325104</c:v>
                </c:pt>
                <c:pt idx="177">
                  <c:v>-15.592549954258375</c:v>
                </c:pt>
                <c:pt idx="178">
                  <c:v>-16.702368836550757</c:v>
                </c:pt>
                <c:pt idx="179">
                  <c:v>-15.892974267620733</c:v>
                </c:pt>
                <c:pt idx="180">
                  <c:v>-15.466383849030448</c:v>
                </c:pt>
                <c:pt idx="181">
                  <c:v>-14.523733534490969</c:v>
                </c:pt>
                <c:pt idx="182">
                  <c:v>-14.176077206141228</c:v>
                </c:pt>
                <c:pt idx="183">
                  <c:v>-13.911718333861216</c:v>
                </c:pt>
                <c:pt idx="184">
                  <c:v>-12.480364531855063</c:v>
                </c:pt>
                <c:pt idx="185">
                  <c:v>-13.796542810922583</c:v>
                </c:pt>
                <c:pt idx="186">
                  <c:v>-13.226408464962489</c:v>
                </c:pt>
                <c:pt idx="187">
                  <c:v>-12.703781339291369</c:v>
                </c:pt>
                <c:pt idx="188">
                  <c:v>-12.147972991740378</c:v>
                </c:pt>
                <c:pt idx="189">
                  <c:v>-12.54432278281017</c:v>
                </c:pt>
                <c:pt idx="190">
                  <c:v>-11.706650651178489</c:v>
                </c:pt>
                <c:pt idx="191">
                  <c:v>-11.27690028457434</c:v>
                </c:pt>
                <c:pt idx="192">
                  <c:v>-11.607427205085633</c:v>
                </c:pt>
                <c:pt idx="193">
                  <c:v>-11.822132460162324</c:v>
                </c:pt>
                <c:pt idx="194">
                  <c:v>-12.779215107575611</c:v>
                </c:pt>
                <c:pt idx="195">
                  <c:v>-12.967749646348997</c:v>
                </c:pt>
                <c:pt idx="196">
                  <c:v>-12.976236750308939</c:v>
                </c:pt>
                <c:pt idx="197">
                  <c:v>-12.584158871846402</c:v>
                </c:pt>
                <c:pt idx="198">
                  <c:v>-10.515086569596352</c:v>
                </c:pt>
                <c:pt idx="199">
                  <c:v>-9.1544727360311562</c:v>
                </c:pt>
                <c:pt idx="200">
                  <c:v>-8.9420245141169143</c:v>
                </c:pt>
                <c:pt idx="201">
                  <c:v>-8.0928890618566331</c:v>
                </c:pt>
                <c:pt idx="202">
                  <c:v>-7.8836267757540002</c:v>
                </c:pt>
                <c:pt idx="203">
                  <c:v>-6.5438459673811931</c:v>
                </c:pt>
                <c:pt idx="204">
                  <c:v>-5.9331199497600053</c:v>
                </c:pt>
                <c:pt idx="205">
                  <c:v>-4.9769940336240319</c:v>
                </c:pt>
                <c:pt idx="206">
                  <c:v>-5.2888037723842718</c:v>
                </c:pt>
                <c:pt idx="207">
                  <c:v>-4.0836433111856101</c:v>
                </c:pt>
                <c:pt idx="208">
                  <c:v>-3.1293918928392594</c:v>
                </c:pt>
                <c:pt idx="209">
                  <c:v>-3.0859627736219135</c:v>
                </c:pt>
                <c:pt idx="210">
                  <c:v>-3.3193501392354086</c:v>
                </c:pt>
                <c:pt idx="211">
                  <c:v>-1.5738853123363796</c:v>
                </c:pt>
                <c:pt idx="212">
                  <c:v>-0.50203266225911125</c:v>
                </c:pt>
                <c:pt idx="213">
                  <c:v>0.76771729744111028</c:v>
                </c:pt>
                <c:pt idx="214">
                  <c:v>2.3431034718972517</c:v>
                </c:pt>
                <c:pt idx="215">
                  <c:v>1.3760817663876677</c:v>
                </c:pt>
                <c:pt idx="216">
                  <c:v>2.8354602724403035</c:v>
                </c:pt>
                <c:pt idx="217">
                  <c:v>2.7757466935135668</c:v>
                </c:pt>
                <c:pt idx="218">
                  <c:v>4.1190932186721465</c:v>
                </c:pt>
                <c:pt idx="219">
                  <c:v>1.7784665937635142</c:v>
                </c:pt>
                <c:pt idx="220">
                  <c:v>1.9563671476088822</c:v>
                </c:pt>
                <c:pt idx="221">
                  <c:v>2.4676023918300038</c:v>
                </c:pt>
                <c:pt idx="222">
                  <c:v>0.74265665440012441</c:v>
                </c:pt>
                <c:pt idx="223">
                  <c:v>1.1334571423083439</c:v>
                </c:pt>
                <c:pt idx="224">
                  <c:v>0.80765530152903331</c:v>
                </c:pt>
                <c:pt idx="225">
                  <c:v>2.5581169131520965E-2</c:v>
                </c:pt>
                <c:pt idx="226">
                  <c:v>0.25896343574348207</c:v>
                </c:pt>
                <c:pt idx="227">
                  <c:v>-0.24183114900717864</c:v>
                </c:pt>
                <c:pt idx="228">
                  <c:v>1.2081791312686578</c:v>
                </c:pt>
                <c:pt idx="229">
                  <c:v>-1.2945258664437214</c:v>
                </c:pt>
                <c:pt idx="230">
                  <c:v>-1.403820487420532</c:v>
                </c:pt>
                <c:pt idx="231">
                  <c:v>-0.51906466818363473</c:v>
                </c:pt>
                <c:pt idx="232">
                  <c:v>0.12220431096708571</c:v>
                </c:pt>
                <c:pt idx="233">
                  <c:v>-0.31599743350779541</c:v>
                </c:pt>
                <c:pt idx="234">
                  <c:v>-0.76577700040715668</c:v>
                </c:pt>
                <c:pt idx="235">
                  <c:v>0.14347074374467272</c:v>
                </c:pt>
                <c:pt idx="236">
                  <c:v>1.1158329364009123</c:v>
                </c:pt>
                <c:pt idx="237">
                  <c:v>3.0807232547175047</c:v>
                </c:pt>
                <c:pt idx="238">
                  <c:v>2.3083024446365474</c:v>
                </c:pt>
                <c:pt idx="239">
                  <c:v>1.6279666237311172</c:v>
                </c:pt>
                <c:pt idx="240">
                  <c:v>0.84274609979145576</c:v>
                </c:pt>
                <c:pt idx="241">
                  <c:v>1.9276113203962493</c:v>
                </c:pt>
                <c:pt idx="242">
                  <c:v>3.2802079945682432</c:v>
                </c:pt>
                <c:pt idx="243">
                  <c:v>2.7477205250779315</c:v>
                </c:pt>
                <c:pt idx="244">
                  <c:v>0.89887651149417758</c:v>
                </c:pt>
                <c:pt idx="245">
                  <c:v>-6.3028018350232543E-2</c:v>
                </c:pt>
                <c:pt idx="246">
                  <c:v>-0.41892227103661828</c:v>
                </c:pt>
                <c:pt idx="247">
                  <c:v>-0.92918194109341479</c:v>
                </c:pt>
                <c:pt idx="248">
                  <c:v>-3.0263178762646654</c:v>
                </c:pt>
                <c:pt idx="249">
                  <c:v>-1.8227615037811922</c:v>
                </c:pt>
                <c:pt idx="250">
                  <c:v>-0.66910990588223773</c:v>
                </c:pt>
                <c:pt idx="251">
                  <c:v>-1.2810578427338883</c:v>
                </c:pt>
                <c:pt idx="252">
                  <c:v>-2.0433147430266563</c:v>
                </c:pt>
                <c:pt idx="253">
                  <c:v>-3.0658304713998725</c:v>
                </c:pt>
                <c:pt idx="254">
                  <c:v>-1.2783694924185314</c:v>
                </c:pt>
                <c:pt idx="255">
                  <c:v>-1.7397285692868814</c:v>
                </c:pt>
                <c:pt idx="256">
                  <c:v>-1.0372843557110183</c:v>
                </c:pt>
                <c:pt idx="257">
                  <c:v>0.81727402949606209</c:v>
                </c:pt>
                <c:pt idx="258">
                  <c:v>1.9206264534624464</c:v>
                </c:pt>
                <c:pt idx="259">
                  <c:v>4.3617377414682634</c:v>
                </c:pt>
                <c:pt idx="260">
                  <c:v>5.0947545013070892</c:v>
                </c:pt>
                <c:pt idx="261">
                  <c:v>4.1437465041015997</c:v>
                </c:pt>
                <c:pt idx="262">
                  <c:v>1.5011406473349291</c:v>
                </c:pt>
                <c:pt idx="263">
                  <c:v>0.46313100250179196</c:v>
                </c:pt>
                <c:pt idx="264">
                  <c:v>3.5440308009869961</c:v>
                </c:pt>
                <c:pt idx="265">
                  <c:v>4.9304240148034841</c:v>
                </c:pt>
                <c:pt idx="266">
                  <c:v>5.7182604753981323</c:v>
                </c:pt>
                <c:pt idx="267">
                  <c:v>6.6651475847865989</c:v>
                </c:pt>
                <c:pt idx="268">
                  <c:v>3.935265041889477</c:v>
                </c:pt>
                <c:pt idx="269">
                  <c:v>4.7697179956620452</c:v>
                </c:pt>
                <c:pt idx="270">
                  <c:v>1.6540976299537637</c:v>
                </c:pt>
                <c:pt idx="271">
                  <c:v>2.7867082592273937</c:v>
                </c:pt>
                <c:pt idx="272">
                  <c:v>1.4754363130662189</c:v>
                </c:pt>
                <c:pt idx="273">
                  <c:v>4.4752377364457985</c:v>
                </c:pt>
                <c:pt idx="274">
                  <c:v>2.9575993636196296</c:v>
                </c:pt>
                <c:pt idx="275">
                  <c:v>1.7782454139690169</c:v>
                </c:pt>
                <c:pt idx="276">
                  <c:v>0.48255698781309275</c:v>
                </c:pt>
                <c:pt idx="277">
                  <c:v>-1.6794089028260719</c:v>
                </c:pt>
                <c:pt idx="278">
                  <c:v>-2.2538793564767832</c:v>
                </c:pt>
                <c:pt idx="279">
                  <c:v>-1.0055580749842217</c:v>
                </c:pt>
                <c:pt idx="280">
                  <c:v>-2.7409816604880506</c:v>
                </c:pt>
                <c:pt idx="281">
                  <c:v>-2.389163326680765</c:v>
                </c:pt>
                <c:pt idx="282">
                  <c:v>-2.5592376712608709</c:v>
                </c:pt>
                <c:pt idx="283">
                  <c:v>-2.8234112372191302</c:v>
                </c:pt>
                <c:pt idx="284">
                  <c:v>-1.1479599494372068</c:v>
                </c:pt>
                <c:pt idx="285">
                  <c:v>-1.2830652407229424</c:v>
                </c:pt>
                <c:pt idx="286">
                  <c:v>-1.6319877202994288</c:v>
                </c:pt>
                <c:pt idx="287">
                  <c:v>-2.7086819305614829</c:v>
                </c:pt>
                <c:pt idx="288">
                  <c:v>-2.5401000240698366</c:v>
                </c:pt>
                <c:pt idx="289">
                  <c:v>-1.0438950953905508</c:v>
                </c:pt>
                <c:pt idx="290">
                  <c:v>0.39784974434946457</c:v>
                </c:pt>
                <c:pt idx="291">
                  <c:v>1.0209413051152874</c:v>
                </c:pt>
                <c:pt idx="292">
                  <c:v>-0.27894631074784071</c:v>
                </c:pt>
                <c:pt idx="293">
                  <c:v>-1.0405789608688261</c:v>
                </c:pt>
                <c:pt idx="294">
                  <c:v>2.00677309152129</c:v>
                </c:pt>
                <c:pt idx="295">
                  <c:v>2.012588700006158</c:v>
                </c:pt>
                <c:pt idx="296">
                  <c:v>2.1046650125747441</c:v>
                </c:pt>
                <c:pt idx="297">
                  <c:v>4.1155288059245043</c:v>
                </c:pt>
                <c:pt idx="298">
                  <c:v>5.6926253588220961</c:v>
                </c:pt>
                <c:pt idx="299">
                  <c:v>5.1880134010429906</c:v>
                </c:pt>
                <c:pt idx="300">
                  <c:v>7.2129970141918198</c:v>
                </c:pt>
                <c:pt idx="301">
                  <c:v>2.2833188324843912</c:v>
                </c:pt>
                <c:pt idx="302">
                  <c:v>0.43001373215135902</c:v>
                </c:pt>
                <c:pt idx="303">
                  <c:v>0.90254617373629831</c:v>
                </c:pt>
                <c:pt idx="304">
                  <c:v>-0.79375798005052633</c:v>
                </c:pt>
                <c:pt idx="305">
                  <c:v>-2.2663581804989388</c:v>
                </c:pt>
                <c:pt idx="306">
                  <c:v>-4.5002078005123378</c:v>
                </c:pt>
                <c:pt idx="307">
                  <c:v>-4.293200612757726</c:v>
                </c:pt>
                <c:pt idx="308">
                  <c:v>-4.1841393005113492</c:v>
                </c:pt>
                <c:pt idx="309">
                  <c:v>-5.5687377322896161</c:v>
                </c:pt>
                <c:pt idx="310">
                  <c:v>-5.6691853234986329</c:v>
                </c:pt>
                <c:pt idx="311">
                  <c:v>-2.2650436129778382</c:v>
                </c:pt>
                <c:pt idx="312">
                  <c:v>-0.42910707818207872</c:v>
                </c:pt>
                <c:pt idx="313">
                  <c:v>-0.12290986757545633</c:v>
                </c:pt>
                <c:pt idx="314">
                  <c:v>1.7832083850953089</c:v>
                </c:pt>
                <c:pt idx="315">
                  <c:v>1.6262836799776061</c:v>
                </c:pt>
                <c:pt idx="316">
                  <c:v>4.1430731076554963</c:v>
                </c:pt>
                <c:pt idx="317">
                  <c:v>3.8067820253507869</c:v>
                </c:pt>
                <c:pt idx="318">
                  <c:v>2.7665365226101768</c:v>
                </c:pt>
                <c:pt idx="319">
                  <c:v>5.1466795761680393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8-4F4E-AC84-069F64BC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940761C-2340-034E-B8F8-0E38ED80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64E62-86C6-A249-B61F-56725B98D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816BE62-5AB0-3648-9468-BB7D61C1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39E0B-9E04-1242-AA40-00FF194A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74117E-4268-AB4C-BFAD-C305A545D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008E2-EDCD-6244-B1B4-3C7C6179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nalysis%20Worksheets/2024-0705_Walsh_CI_DataWorksheet.xlsx" TargetMode="External"/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5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799.29052369076999</v>
      </c>
      <c r="E2">
        <v>364.77618453865</v>
      </c>
      <c r="F2">
        <v>139.68105065666001</v>
      </c>
      <c r="G2">
        <v>117.84052532833</v>
      </c>
      <c r="H2" s="4"/>
      <c r="I2" s="5">
        <f>E2-G2</f>
        <v>246.93565921032001</v>
      </c>
      <c r="J2" s="5">
        <f>D2-F2</f>
        <v>659.60947303411001</v>
      </c>
      <c r="K2" s="9">
        <f>I2*1</f>
        <v>246.93565921032001</v>
      </c>
      <c r="L2" s="6">
        <f t="shared" ref="L2:L65" si="0">K2/J2</f>
        <v>0.37436645364483778</v>
      </c>
      <c r="M2" s="6">
        <f>L2+ABS($N$2)*A2</f>
        <v>0.37436645364483778</v>
      </c>
      <c r="N2" s="4">
        <f>LINEST(V64:V103,U64:U103)</f>
        <v>-3.8040609367827539E-4</v>
      </c>
      <c r="O2" s="7">
        <f>AVERAGE(M62:M81)</f>
        <v>0.28977383844378524</v>
      </c>
      <c r="P2" s="4">
        <f>(M2-$O$2)/$O$2*100</f>
        <v>29.192633695074967</v>
      </c>
    </row>
    <row r="3" spans="1:16" x14ac:dyDescent="0.2">
      <c r="A3" s="8">
        <v>0.5</v>
      </c>
      <c r="B3" s="8">
        <v>1</v>
      </c>
      <c r="D3">
        <v>805.16022443889995</v>
      </c>
      <c r="E3">
        <v>364.83416458852997</v>
      </c>
      <c r="F3">
        <v>139.25766103814999</v>
      </c>
      <c r="G3">
        <v>117.41463414634001</v>
      </c>
      <c r="I3" s="9">
        <f t="shared" ref="I3:I66" si="1">E3-G3</f>
        <v>247.41953044218997</v>
      </c>
      <c r="J3" s="9">
        <f t="shared" ref="J3:J66" si="2">D3-F3</f>
        <v>665.90256340074995</v>
      </c>
      <c r="K3" s="9">
        <f t="shared" ref="K3:K66" si="3">I3*1</f>
        <v>247.41953044218997</v>
      </c>
      <c r="L3" s="10">
        <f t="shared" si="0"/>
        <v>0.37155515542487744</v>
      </c>
      <c r="M3" s="10">
        <f t="shared" ref="M3:M66" si="4">L3+ABS($N$2)*A3</f>
        <v>0.37174535847171658</v>
      </c>
      <c r="P3" s="8">
        <f t="shared" ref="P3:P66" si="5">(M3-$O$2)/$O$2*100</f>
        <v>28.288102358775717</v>
      </c>
    </row>
    <row r="4" spans="1:16" ht="16" x14ac:dyDescent="0.2">
      <c r="A4" s="8">
        <v>1</v>
      </c>
      <c r="B4" s="8">
        <v>2</v>
      </c>
      <c r="D4">
        <v>804.29426433915</v>
      </c>
      <c r="E4">
        <v>362.85286783042</v>
      </c>
      <c r="F4">
        <v>138.95997498437001</v>
      </c>
      <c r="G4">
        <v>117.48155096936</v>
      </c>
      <c r="I4" s="9">
        <f t="shared" si="1"/>
        <v>245.37131686106</v>
      </c>
      <c r="J4" s="9">
        <f t="shared" si="2"/>
        <v>665.33428935478003</v>
      </c>
      <c r="K4" s="9">
        <f t="shared" si="3"/>
        <v>245.37131686106</v>
      </c>
      <c r="L4" s="10">
        <f t="shared" si="0"/>
        <v>0.36879403449807657</v>
      </c>
      <c r="M4" s="10">
        <f t="shared" si="4"/>
        <v>0.36917444059175486</v>
      </c>
      <c r="N4" s="1" t="s">
        <v>7</v>
      </c>
      <c r="P4" s="8">
        <f t="shared" si="5"/>
        <v>27.400887041558438</v>
      </c>
    </row>
    <row r="5" spans="1:16" x14ac:dyDescent="0.2">
      <c r="A5" s="8">
        <v>1.5</v>
      </c>
      <c r="B5" s="8">
        <v>3</v>
      </c>
      <c r="D5">
        <v>782.14294631710004</v>
      </c>
      <c r="E5">
        <v>361.53682896380002</v>
      </c>
      <c r="F5">
        <v>139.33395872419999</v>
      </c>
      <c r="G5">
        <v>117.52157598498999</v>
      </c>
      <c r="I5" s="9">
        <f t="shared" si="1"/>
        <v>244.01525297881003</v>
      </c>
      <c r="J5" s="9">
        <f t="shared" si="2"/>
        <v>642.80898759290005</v>
      </c>
      <c r="K5" s="9">
        <f t="shared" si="3"/>
        <v>244.01525297881003</v>
      </c>
      <c r="L5" s="10">
        <f t="shared" si="0"/>
        <v>0.37960771813811089</v>
      </c>
      <c r="M5" s="10">
        <f t="shared" si="4"/>
        <v>0.38017832727862833</v>
      </c>
      <c r="N5" s="8">
        <f>RSQ(V64:V83,U64:U83)</f>
        <v>0.66839409115974591</v>
      </c>
      <c r="P5" s="8">
        <f t="shared" si="5"/>
        <v>31.198292199308092</v>
      </c>
    </row>
    <row r="6" spans="1:16" x14ac:dyDescent="0.2">
      <c r="A6" s="8">
        <v>2</v>
      </c>
      <c r="B6" s="8">
        <v>4</v>
      </c>
      <c r="D6">
        <v>783.92009987515996</v>
      </c>
      <c r="E6">
        <v>360.02372034955999</v>
      </c>
      <c r="F6">
        <v>139.89555972483001</v>
      </c>
      <c r="G6">
        <v>117.82363977486</v>
      </c>
      <c r="I6" s="9">
        <f t="shared" si="1"/>
        <v>242.2000805747</v>
      </c>
      <c r="J6" s="9">
        <f t="shared" si="2"/>
        <v>644.02454015032993</v>
      </c>
      <c r="K6" s="9">
        <f t="shared" si="3"/>
        <v>242.2000805747</v>
      </c>
      <c r="L6" s="10">
        <f t="shared" si="0"/>
        <v>0.37607275107585963</v>
      </c>
      <c r="M6" s="10">
        <f t="shared" si="4"/>
        <v>0.37683356326321621</v>
      </c>
      <c r="P6" s="8">
        <f t="shared" si="5"/>
        <v>30.044025122136809</v>
      </c>
    </row>
    <row r="7" spans="1:16" x14ac:dyDescent="0.2">
      <c r="A7" s="8">
        <v>2.5</v>
      </c>
      <c r="B7" s="8">
        <v>5</v>
      </c>
      <c r="D7">
        <v>793.57124999999996</v>
      </c>
      <c r="E7">
        <v>359.15499999999997</v>
      </c>
      <c r="F7">
        <v>139.48592870543999</v>
      </c>
      <c r="G7">
        <v>117.63101938712001</v>
      </c>
      <c r="I7" s="9">
        <f t="shared" si="1"/>
        <v>241.52398061287997</v>
      </c>
      <c r="J7" s="9">
        <f t="shared" si="2"/>
        <v>654.08532129456</v>
      </c>
      <c r="K7" s="9">
        <f t="shared" si="3"/>
        <v>241.52398061287997</v>
      </c>
      <c r="L7" s="10">
        <f t="shared" si="0"/>
        <v>0.36925454944449415</v>
      </c>
      <c r="M7" s="10">
        <f t="shared" si="4"/>
        <v>0.37020556467868981</v>
      </c>
      <c r="P7" s="8">
        <f t="shared" si="5"/>
        <v>27.756724577642629</v>
      </c>
    </row>
    <row r="8" spans="1:16" x14ac:dyDescent="0.2">
      <c r="A8" s="8">
        <v>3</v>
      </c>
      <c r="B8" s="8">
        <v>6</v>
      </c>
      <c r="D8">
        <v>798.34875</v>
      </c>
      <c r="E8">
        <v>358.84500000000003</v>
      </c>
      <c r="F8">
        <v>140.25891181988999</v>
      </c>
      <c r="G8">
        <v>117.54846779237</v>
      </c>
      <c r="I8" s="9">
        <f t="shared" si="1"/>
        <v>241.29653220763004</v>
      </c>
      <c r="J8" s="9">
        <f t="shared" si="2"/>
        <v>658.08983818011006</v>
      </c>
      <c r="K8" s="9">
        <f t="shared" si="3"/>
        <v>241.29653220763004</v>
      </c>
      <c r="L8" s="10">
        <f t="shared" si="0"/>
        <v>0.36666199386228865</v>
      </c>
      <c r="M8" s="10">
        <f t="shared" si="4"/>
        <v>0.36780321214332345</v>
      </c>
      <c r="P8" s="8">
        <f t="shared" si="5"/>
        <v>26.927680607259358</v>
      </c>
    </row>
    <row r="9" spans="1:16" x14ac:dyDescent="0.2">
      <c r="A9" s="8">
        <v>3.5</v>
      </c>
      <c r="B9" s="8">
        <v>7</v>
      </c>
      <c r="D9">
        <v>780.71249999999998</v>
      </c>
      <c r="E9">
        <v>343.00062500000001</v>
      </c>
      <c r="F9">
        <v>139.77485928704999</v>
      </c>
      <c r="G9">
        <v>117.56973108193</v>
      </c>
      <c r="I9" s="9">
        <f t="shared" si="1"/>
        <v>225.43089391807001</v>
      </c>
      <c r="J9" s="9">
        <f t="shared" si="2"/>
        <v>640.93764071295004</v>
      </c>
      <c r="K9" s="9">
        <f t="shared" si="3"/>
        <v>225.43089391807001</v>
      </c>
      <c r="L9" s="10">
        <f t="shared" si="0"/>
        <v>0.35172047887109714</v>
      </c>
      <c r="M9" s="10">
        <f t="shared" si="4"/>
        <v>0.35305190019897109</v>
      </c>
      <c r="P9" s="8">
        <f t="shared" si="5"/>
        <v>21.837051300081907</v>
      </c>
    </row>
    <row r="10" spans="1:16" x14ac:dyDescent="0.2">
      <c r="A10" s="8">
        <v>4</v>
      </c>
      <c r="B10" s="8">
        <v>8</v>
      </c>
      <c r="D10">
        <v>785.65710723192001</v>
      </c>
      <c r="E10">
        <v>346.91521197008001</v>
      </c>
      <c r="F10">
        <v>139.43214509068</v>
      </c>
      <c r="G10">
        <v>117.77923702314</v>
      </c>
      <c r="I10" s="9">
        <f t="shared" si="1"/>
        <v>229.13597494694</v>
      </c>
      <c r="J10" s="9">
        <f t="shared" si="2"/>
        <v>646.22496214123998</v>
      </c>
      <c r="K10" s="9">
        <f t="shared" si="3"/>
        <v>229.13597494694</v>
      </c>
      <c r="L10" s="10">
        <f t="shared" si="0"/>
        <v>0.35457617450695084</v>
      </c>
      <c r="M10" s="10">
        <f t="shared" si="4"/>
        <v>0.35609779888166393</v>
      </c>
      <c r="P10" s="8">
        <f t="shared" si="5"/>
        <v>22.888180932436118</v>
      </c>
    </row>
    <row r="11" spans="1:16" x14ac:dyDescent="0.2">
      <c r="A11" s="8">
        <v>4.5</v>
      </c>
      <c r="B11" s="8">
        <v>9</v>
      </c>
      <c r="D11">
        <v>786.91957605984999</v>
      </c>
      <c r="E11">
        <v>344.87905236908</v>
      </c>
      <c r="F11">
        <v>139.7617260788</v>
      </c>
      <c r="G11">
        <v>117.47779862413999</v>
      </c>
      <c r="I11" s="9">
        <f t="shared" si="1"/>
        <v>227.40125374493999</v>
      </c>
      <c r="J11" s="9">
        <f t="shared" si="2"/>
        <v>647.15784998105005</v>
      </c>
      <c r="K11" s="9">
        <f t="shared" si="3"/>
        <v>227.40125374493999</v>
      </c>
      <c r="L11" s="10">
        <f t="shared" si="0"/>
        <v>0.35138452504531731</v>
      </c>
      <c r="M11" s="10">
        <f t="shared" si="4"/>
        <v>0.35309635246686955</v>
      </c>
      <c r="P11" s="8">
        <f t="shared" si="5"/>
        <v>21.852391631747867</v>
      </c>
    </row>
    <row r="12" spans="1:16" x14ac:dyDescent="0.2">
      <c r="A12" s="8">
        <v>5</v>
      </c>
      <c r="B12" s="8">
        <v>10</v>
      </c>
      <c r="D12">
        <v>780.68329177057001</v>
      </c>
      <c r="E12">
        <v>344.44451371571</v>
      </c>
      <c r="F12">
        <v>139.25390869293</v>
      </c>
      <c r="G12">
        <v>117.71732332708</v>
      </c>
      <c r="I12" s="9">
        <f t="shared" si="1"/>
        <v>226.72719038862999</v>
      </c>
      <c r="J12" s="9">
        <f t="shared" si="2"/>
        <v>641.42938307764007</v>
      </c>
      <c r="K12" s="9">
        <f t="shared" si="3"/>
        <v>226.72719038862999</v>
      </c>
      <c r="L12" s="10">
        <f t="shared" si="0"/>
        <v>0.35347178718375988</v>
      </c>
      <c r="M12" s="10">
        <f t="shared" si="4"/>
        <v>0.35537381765215126</v>
      </c>
      <c r="P12" s="8">
        <f t="shared" si="5"/>
        <v>22.638337387759769</v>
      </c>
    </row>
    <row r="13" spans="1:16" x14ac:dyDescent="0.2">
      <c r="A13" s="8">
        <v>5.5</v>
      </c>
      <c r="B13" s="8">
        <v>11</v>
      </c>
      <c r="D13">
        <v>803.48874999999998</v>
      </c>
      <c r="E13">
        <v>351.43875000000003</v>
      </c>
      <c r="F13">
        <v>139.34271419637</v>
      </c>
      <c r="G13">
        <v>117.41525953721001</v>
      </c>
      <c r="I13" s="9">
        <f t="shared" si="1"/>
        <v>234.02349046279002</v>
      </c>
      <c r="J13" s="9">
        <f t="shared" si="2"/>
        <v>664.14603580362996</v>
      </c>
      <c r="K13" s="9">
        <f t="shared" si="3"/>
        <v>234.02349046279002</v>
      </c>
      <c r="L13" s="10">
        <f t="shared" si="0"/>
        <v>0.35236751835703867</v>
      </c>
      <c r="M13" s="10">
        <f t="shared" si="4"/>
        <v>0.35445975187226919</v>
      </c>
      <c r="P13" s="8">
        <f t="shared" si="5"/>
        <v>22.322896289008064</v>
      </c>
    </row>
    <row r="14" spans="1:16" x14ac:dyDescent="0.2">
      <c r="A14" s="8">
        <v>6</v>
      </c>
      <c r="B14" s="8">
        <v>12</v>
      </c>
      <c r="D14">
        <v>797.76664592407997</v>
      </c>
      <c r="E14">
        <v>352.43559427504999</v>
      </c>
      <c r="F14">
        <v>139.63852407754999</v>
      </c>
      <c r="G14">
        <v>117.53283302064</v>
      </c>
      <c r="I14" s="9">
        <f t="shared" si="1"/>
        <v>234.90276125441</v>
      </c>
      <c r="J14" s="9">
        <f t="shared" si="2"/>
        <v>658.12812184653001</v>
      </c>
      <c r="K14" s="9">
        <f t="shared" si="3"/>
        <v>234.90276125441</v>
      </c>
      <c r="L14" s="10">
        <f t="shared" si="0"/>
        <v>0.35692557946822906</v>
      </c>
      <c r="M14" s="10">
        <f t="shared" si="4"/>
        <v>0.35920801603029873</v>
      </c>
      <c r="P14" s="8">
        <f t="shared" si="5"/>
        <v>23.96150665615847</v>
      </c>
    </row>
    <row r="15" spans="1:16" x14ac:dyDescent="0.2">
      <c r="A15" s="8">
        <v>6.5</v>
      </c>
      <c r="B15" s="8">
        <v>13</v>
      </c>
      <c r="D15">
        <v>800.39975093400005</v>
      </c>
      <c r="E15">
        <v>351.67185554171999</v>
      </c>
      <c r="F15">
        <v>139.82614133833999</v>
      </c>
      <c r="G15">
        <v>117.76797998748999</v>
      </c>
      <c r="I15" s="9">
        <f t="shared" si="1"/>
        <v>233.90387555423001</v>
      </c>
      <c r="J15" s="9">
        <f t="shared" si="2"/>
        <v>660.57360959566006</v>
      </c>
      <c r="K15" s="9">
        <f t="shared" si="3"/>
        <v>233.90387555423001</v>
      </c>
      <c r="L15" s="10">
        <f t="shared" si="0"/>
        <v>0.35409206810033417</v>
      </c>
      <c r="M15" s="10">
        <f t="shared" si="4"/>
        <v>0.35656470770924298</v>
      </c>
      <c r="P15" s="8">
        <f t="shared" si="5"/>
        <v>23.049309635457259</v>
      </c>
    </row>
    <row r="16" spans="1:16" x14ac:dyDescent="0.2">
      <c r="A16" s="8">
        <v>7</v>
      </c>
      <c r="B16" s="8">
        <v>14</v>
      </c>
      <c r="D16">
        <v>794.06164383561998</v>
      </c>
      <c r="E16">
        <v>351.57783312577999</v>
      </c>
      <c r="F16">
        <v>139.65165728580001</v>
      </c>
      <c r="G16">
        <v>117.75046904315001</v>
      </c>
      <c r="I16" s="9">
        <f t="shared" si="1"/>
        <v>233.82736408262997</v>
      </c>
      <c r="J16" s="9">
        <f t="shared" si="2"/>
        <v>654.40998654981991</v>
      </c>
      <c r="K16" s="9">
        <f t="shared" si="3"/>
        <v>233.82736408262997</v>
      </c>
      <c r="L16" s="10">
        <f t="shared" si="0"/>
        <v>0.3573102013852425</v>
      </c>
      <c r="M16" s="10">
        <f t="shared" si="4"/>
        <v>0.35997304404099045</v>
      </c>
      <c r="P16" s="8">
        <f t="shared" si="5"/>
        <v>24.22551531021788</v>
      </c>
    </row>
    <row r="17" spans="1:16" x14ac:dyDescent="0.2">
      <c r="A17" s="8">
        <v>7.5</v>
      </c>
      <c r="B17" s="8">
        <v>15</v>
      </c>
      <c r="D17">
        <v>776.44368388300995</v>
      </c>
      <c r="E17">
        <v>349.23459863098998</v>
      </c>
      <c r="F17">
        <v>140.04440275172001</v>
      </c>
      <c r="G17">
        <v>117.29768605378</v>
      </c>
      <c r="I17" s="9">
        <f t="shared" si="1"/>
        <v>231.93691257720997</v>
      </c>
      <c r="J17" s="9">
        <f t="shared" si="2"/>
        <v>636.39928113128997</v>
      </c>
      <c r="K17" s="9">
        <f t="shared" si="3"/>
        <v>231.93691257720997</v>
      </c>
      <c r="L17" s="10">
        <f t="shared" si="0"/>
        <v>0.36445187707457682</v>
      </c>
      <c r="M17" s="10">
        <f t="shared" si="4"/>
        <v>0.36730492277716387</v>
      </c>
      <c r="P17" s="8">
        <f t="shared" si="5"/>
        <v>26.755722583430973</v>
      </c>
    </row>
    <row r="18" spans="1:16" x14ac:dyDescent="0.2">
      <c r="A18" s="8">
        <v>8</v>
      </c>
      <c r="B18" s="8">
        <v>16</v>
      </c>
      <c r="D18">
        <v>730.02755165936003</v>
      </c>
      <c r="E18">
        <v>331.38572323106001</v>
      </c>
      <c r="F18">
        <v>139.84240150094001</v>
      </c>
      <c r="G18">
        <v>117.10631644778</v>
      </c>
      <c r="I18" s="9">
        <f t="shared" si="1"/>
        <v>214.27940678328002</v>
      </c>
      <c r="J18" s="9">
        <f t="shared" si="2"/>
        <v>590.18515015842002</v>
      </c>
      <c r="K18" s="9">
        <f t="shared" si="3"/>
        <v>214.27940678328002</v>
      </c>
      <c r="L18" s="10">
        <f t="shared" si="0"/>
        <v>0.36307149836921893</v>
      </c>
      <c r="M18" s="10">
        <f t="shared" si="4"/>
        <v>0.36611474711864511</v>
      </c>
      <c r="P18" s="8">
        <f t="shared" si="5"/>
        <v>26.344996872334853</v>
      </c>
    </row>
    <row r="19" spans="1:16" x14ac:dyDescent="0.2">
      <c r="A19" s="8">
        <v>8.5</v>
      </c>
      <c r="B19" s="8">
        <v>17</v>
      </c>
      <c r="D19">
        <v>699.25577043043995</v>
      </c>
      <c r="E19">
        <v>319.94073611978001</v>
      </c>
      <c r="F19">
        <v>139.53846153846001</v>
      </c>
      <c r="G19">
        <v>117.35522201376</v>
      </c>
      <c r="I19" s="9">
        <f t="shared" si="1"/>
        <v>202.58551410602001</v>
      </c>
      <c r="J19" s="9">
        <f t="shared" si="2"/>
        <v>559.71730889197988</v>
      </c>
      <c r="K19" s="9">
        <f t="shared" si="3"/>
        <v>202.58551410602001</v>
      </c>
      <c r="L19" s="10">
        <f t="shared" si="0"/>
        <v>0.36194255722957658</v>
      </c>
      <c r="M19" s="10">
        <f t="shared" si="4"/>
        <v>0.36517600902584191</v>
      </c>
      <c r="P19" s="8">
        <f t="shared" si="5"/>
        <v>26.021041439420468</v>
      </c>
    </row>
    <row r="20" spans="1:16" x14ac:dyDescent="0.2">
      <c r="A20" s="8">
        <v>9</v>
      </c>
      <c r="B20" s="8">
        <v>18</v>
      </c>
      <c r="D20">
        <v>743.76145637162995</v>
      </c>
      <c r="E20">
        <v>329.26051475204002</v>
      </c>
      <c r="F20">
        <v>139.93433395872</v>
      </c>
      <c r="G20">
        <v>117.6191369606</v>
      </c>
      <c r="I20" s="9">
        <f t="shared" si="1"/>
        <v>211.64137779144002</v>
      </c>
      <c r="J20" s="9">
        <f t="shared" si="2"/>
        <v>603.82712241290994</v>
      </c>
      <c r="K20" s="9">
        <f t="shared" si="3"/>
        <v>211.64137779144002</v>
      </c>
      <c r="L20" s="10">
        <f t="shared" si="0"/>
        <v>0.35049995261179262</v>
      </c>
      <c r="M20" s="10">
        <f t="shared" si="4"/>
        <v>0.35392360745489709</v>
      </c>
      <c r="P20" s="8">
        <f t="shared" si="5"/>
        <v>22.137874611326104</v>
      </c>
    </row>
    <row r="21" spans="1:16" x14ac:dyDescent="0.2">
      <c r="A21" s="8">
        <v>9.5</v>
      </c>
      <c r="B21" s="8">
        <v>19</v>
      </c>
      <c r="D21">
        <v>816.63852407754996</v>
      </c>
      <c r="E21">
        <v>351.7210756723</v>
      </c>
      <c r="F21">
        <v>139.84552845529001</v>
      </c>
      <c r="G21">
        <v>117.93558474046</v>
      </c>
      <c r="I21" s="9">
        <f t="shared" si="1"/>
        <v>233.78549093184</v>
      </c>
      <c r="J21" s="9">
        <f t="shared" si="2"/>
        <v>676.79299562225992</v>
      </c>
      <c r="K21" s="9">
        <f t="shared" si="3"/>
        <v>233.78549093184</v>
      </c>
      <c r="L21" s="10">
        <f t="shared" si="0"/>
        <v>0.34543130978607711</v>
      </c>
      <c r="M21" s="10">
        <f t="shared" si="4"/>
        <v>0.34904516767602073</v>
      </c>
      <c r="P21" s="8">
        <f t="shared" si="5"/>
        <v>20.454341064931523</v>
      </c>
    </row>
    <row r="22" spans="1:16" x14ac:dyDescent="0.2">
      <c r="A22" s="8">
        <v>10</v>
      </c>
      <c r="B22" s="8">
        <v>20</v>
      </c>
      <c r="D22">
        <v>799.74518334368997</v>
      </c>
      <c r="E22">
        <v>341.30640149161002</v>
      </c>
      <c r="F22">
        <v>139.60162601626001</v>
      </c>
      <c r="G22">
        <v>117.61663539712001</v>
      </c>
      <c r="I22" s="9">
        <f t="shared" si="1"/>
        <v>223.68976609449001</v>
      </c>
      <c r="J22" s="9">
        <f t="shared" si="2"/>
        <v>660.14355732743002</v>
      </c>
      <c r="K22" s="9">
        <f t="shared" si="3"/>
        <v>223.68976609449001</v>
      </c>
      <c r="L22" s="10">
        <f t="shared" si="0"/>
        <v>0.33885018434488834</v>
      </c>
      <c r="M22" s="10">
        <f t="shared" si="4"/>
        <v>0.3426542452816711</v>
      </c>
      <c r="P22" s="8">
        <f t="shared" si="5"/>
        <v>18.248854735084862</v>
      </c>
    </row>
    <row r="23" spans="1:16" x14ac:dyDescent="0.2">
      <c r="A23" s="8">
        <v>10.5</v>
      </c>
      <c r="B23" s="8">
        <v>21</v>
      </c>
      <c r="D23">
        <v>799.54579439251995</v>
      </c>
      <c r="E23">
        <v>337.70903426791</v>
      </c>
      <c r="F23">
        <v>139.75109443401999</v>
      </c>
      <c r="G23">
        <v>117.74233896185</v>
      </c>
      <c r="I23" s="9">
        <f t="shared" si="1"/>
        <v>219.96669530605999</v>
      </c>
      <c r="J23" s="9">
        <f t="shared" si="2"/>
        <v>659.7946999584999</v>
      </c>
      <c r="K23" s="9">
        <f t="shared" si="3"/>
        <v>219.96669530605999</v>
      </c>
      <c r="L23" s="10">
        <f t="shared" si="0"/>
        <v>0.33338657512692293</v>
      </c>
      <c r="M23" s="10">
        <f t="shared" si="4"/>
        <v>0.33738083911054484</v>
      </c>
      <c r="P23" s="8">
        <f t="shared" si="5"/>
        <v>16.429019583834908</v>
      </c>
    </row>
    <row r="24" spans="1:16" x14ac:dyDescent="0.2">
      <c r="A24" s="8">
        <v>11</v>
      </c>
      <c r="B24" s="8">
        <v>22</v>
      </c>
      <c r="D24">
        <v>804.93956386292996</v>
      </c>
      <c r="E24">
        <v>335.35950155762998</v>
      </c>
      <c r="F24">
        <v>139.50406504065</v>
      </c>
      <c r="G24">
        <v>117.35897435897</v>
      </c>
      <c r="I24" s="9">
        <f t="shared" si="1"/>
        <v>218.00052719866</v>
      </c>
      <c r="J24" s="9">
        <f t="shared" si="2"/>
        <v>665.4354988222799</v>
      </c>
      <c r="K24" s="9">
        <f t="shared" si="3"/>
        <v>218.00052719866</v>
      </c>
      <c r="L24" s="10">
        <f t="shared" si="0"/>
        <v>0.32760579738304901</v>
      </c>
      <c r="M24" s="10">
        <f t="shared" si="4"/>
        <v>0.33179026441351006</v>
      </c>
      <c r="P24" s="8">
        <f t="shared" si="5"/>
        <v>14.499730615907829</v>
      </c>
    </row>
    <row r="25" spans="1:16" x14ac:dyDescent="0.2">
      <c r="A25" s="8">
        <v>11.5</v>
      </c>
      <c r="B25" s="8">
        <v>23</v>
      </c>
      <c r="D25">
        <v>782.73395638628995</v>
      </c>
      <c r="E25">
        <v>328.00498442368001</v>
      </c>
      <c r="F25">
        <v>139.49468417761</v>
      </c>
      <c r="G25">
        <v>117.59787367104001</v>
      </c>
      <c r="I25" s="9">
        <f t="shared" si="1"/>
        <v>210.40711075263999</v>
      </c>
      <c r="J25" s="9">
        <f t="shared" si="2"/>
        <v>643.23927220867995</v>
      </c>
      <c r="K25" s="9">
        <f t="shared" si="3"/>
        <v>210.40711075263999</v>
      </c>
      <c r="L25" s="10">
        <f t="shared" si="0"/>
        <v>0.32710551087804174</v>
      </c>
      <c r="M25" s="10">
        <f t="shared" si="4"/>
        <v>0.33148018095534193</v>
      </c>
      <c r="P25" s="8">
        <f t="shared" si="5"/>
        <v>14.392721832839831</v>
      </c>
    </row>
    <row r="26" spans="1:16" x14ac:dyDescent="0.2">
      <c r="A26" s="8">
        <v>12</v>
      </c>
      <c r="B26" s="8">
        <v>24</v>
      </c>
      <c r="D26">
        <v>774.1476635514</v>
      </c>
      <c r="E26">
        <v>323.10342679128001</v>
      </c>
      <c r="F26">
        <v>138.91932457786001</v>
      </c>
      <c r="G26">
        <v>117.15134459037</v>
      </c>
      <c r="I26" s="9">
        <f t="shared" si="1"/>
        <v>205.95208220091001</v>
      </c>
      <c r="J26" s="9">
        <f t="shared" si="2"/>
        <v>635.22833897353996</v>
      </c>
      <c r="K26" s="9">
        <f t="shared" si="3"/>
        <v>205.95208220091001</v>
      </c>
      <c r="L26" s="10">
        <f t="shared" si="0"/>
        <v>0.32421740272750776</v>
      </c>
      <c r="M26" s="10">
        <f t="shared" si="4"/>
        <v>0.32878227585164704</v>
      </c>
      <c r="P26" s="8">
        <f t="shared" si="5"/>
        <v>13.461683641751277</v>
      </c>
    </row>
    <row r="27" spans="1:16" x14ac:dyDescent="0.2">
      <c r="A27" s="8">
        <v>12.5</v>
      </c>
      <c r="B27" s="8">
        <v>25</v>
      </c>
      <c r="D27">
        <v>768.94628357276997</v>
      </c>
      <c r="E27">
        <v>322.94565896314998</v>
      </c>
      <c r="F27">
        <v>139.40650406504</v>
      </c>
      <c r="G27">
        <v>117.46716697936</v>
      </c>
      <c r="I27" s="9">
        <f t="shared" si="1"/>
        <v>205.47849198378998</v>
      </c>
      <c r="J27" s="9">
        <f t="shared" si="2"/>
        <v>629.53977950772992</v>
      </c>
      <c r="K27" s="9">
        <f t="shared" si="3"/>
        <v>205.47849198378998</v>
      </c>
      <c r="L27" s="10">
        <f t="shared" si="0"/>
        <v>0.32639477070768169</v>
      </c>
      <c r="M27" s="10">
        <f t="shared" si="4"/>
        <v>0.33114984687866011</v>
      </c>
      <c r="P27" s="8">
        <f t="shared" si="5"/>
        <v>14.278724627827859</v>
      </c>
    </row>
    <row r="28" spans="1:16" x14ac:dyDescent="0.2">
      <c r="A28" s="8">
        <v>13</v>
      </c>
      <c r="B28" s="8">
        <v>26</v>
      </c>
      <c r="D28">
        <v>772.40537164271996</v>
      </c>
      <c r="E28">
        <v>320.02560899437998</v>
      </c>
      <c r="F28">
        <v>139.01250781739</v>
      </c>
      <c r="G28">
        <v>117.32082551595001</v>
      </c>
      <c r="I28" s="9">
        <f t="shared" si="1"/>
        <v>202.70478347842999</v>
      </c>
      <c r="J28" s="9">
        <f t="shared" si="2"/>
        <v>633.39286382532998</v>
      </c>
      <c r="K28" s="9">
        <f t="shared" si="3"/>
        <v>202.70478347842999</v>
      </c>
      <c r="L28" s="10">
        <f t="shared" si="0"/>
        <v>0.32003010304569779</v>
      </c>
      <c r="M28" s="10">
        <f t="shared" si="4"/>
        <v>0.32497538226351536</v>
      </c>
      <c r="P28" s="8">
        <f t="shared" si="5"/>
        <v>12.147937166715295</v>
      </c>
    </row>
    <row r="29" spans="1:16" x14ac:dyDescent="0.2">
      <c r="A29" s="8">
        <v>13.5</v>
      </c>
      <c r="B29" s="8">
        <v>27</v>
      </c>
      <c r="D29">
        <v>769.32771535581003</v>
      </c>
      <c r="E29">
        <v>313.18164794007998</v>
      </c>
      <c r="F29">
        <v>139.33583489681001</v>
      </c>
      <c r="G29">
        <v>117.15196998124</v>
      </c>
      <c r="I29" s="9">
        <f t="shared" si="1"/>
        <v>196.02967795883998</v>
      </c>
      <c r="J29" s="9">
        <f t="shared" si="2"/>
        <v>629.99188045899996</v>
      </c>
      <c r="K29" s="9">
        <f t="shared" si="3"/>
        <v>196.02967795883998</v>
      </c>
      <c r="L29" s="10">
        <f t="shared" si="0"/>
        <v>0.31116222929098153</v>
      </c>
      <c r="M29" s="10">
        <f t="shared" si="4"/>
        <v>0.31629771155563824</v>
      </c>
      <c r="P29" s="8">
        <f t="shared" si="5"/>
        <v>9.15330150378586</v>
      </c>
    </row>
    <row r="30" spans="1:16" x14ac:dyDescent="0.2">
      <c r="A30" s="8">
        <v>14</v>
      </c>
      <c r="B30" s="8">
        <v>28</v>
      </c>
      <c r="D30">
        <v>735.38986232791001</v>
      </c>
      <c r="E30">
        <v>304.32916145182003</v>
      </c>
      <c r="F30">
        <v>139.37460913071001</v>
      </c>
      <c r="G30">
        <v>117.29518449031001</v>
      </c>
      <c r="I30" s="9">
        <f t="shared" si="1"/>
        <v>187.03397696151001</v>
      </c>
      <c r="J30" s="9">
        <f t="shared" si="2"/>
        <v>596.01525319719997</v>
      </c>
      <c r="K30" s="9">
        <f t="shared" si="3"/>
        <v>187.03397696151001</v>
      </c>
      <c r="L30" s="10">
        <f t="shared" si="0"/>
        <v>0.31380736643601836</v>
      </c>
      <c r="M30" s="10">
        <f t="shared" si="4"/>
        <v>0.31913305174751422</v>
      </c>
      <c r="P30" s="8">
        <f t="shared" si="5"/>
        <v>10.131768092454809</v>
      </c>
    </row>
    <row r="31" spans="1:16" x14ac:dyDescent="0.2">
      <c r="A31" s="8">
        <v>14.5</v>
      </c>
      <c r="B31" s="8">
        <v>29</v>
      </c>
      <c r="D31">
        <v>764.24874999999997</v>
      </c>
      <c r="E31">
        <v>308.38437499999998</v>
      </c>
      <c r="F31">
        <v>139.57348342713999</v>
      </c>
      <c r="G31">
        <v>117.35959974984</v>
      </c>
      <c r="I31" s="9">
        <f t="shared" si="1"/>
        <v>191.02477525015996</v>
      </c>
      <c r="J31" s="9">
        <f t="shared" si="2"/>
        <v>624.67526657285998</v>
      </c>
      <c r="K31" s="9">
        <f t="shared" si="3"/>
        <v>191.02477525015996</v>
      </c>
      <c r="L31" s="10">
        <f t="shared" si="0"/>
        <v>0.30579852520522277</v>
      </c>
      <c r="M31" s="10">
        <f t="shared" si="4"/>
        <v>0.31131441356355777</v>
      </c>
      <c r="P31" s="8">
        <f t="shared" si="5"/>
        <v>7.4335817323796478</v>
      </c>
    </row>
    <row r="32" spans="1:16" x14ac:dyDescent="0.2">
      <c r="A32" s="8">
        <v>15</v>
      </c>
      <c r="B32" s="8">
        <v>30</v>
      </c>
      <c r="D32">
        <v>760.87390761547999</v>
      </c>
      <c r="E32">
        <v>307.10424469412999</v>
      </c>
      <c r="F32">
        <v>139.56410256410001</v>
      </c>
      <c r="G32">
        <v>117.09255784865999</v>
      </c>
      <c r="I32" s="9">
        <f t="shared" si="1"/>
        <v>190.01168684547</v>
      </c>
      <c r="J32" s="9">
        <f t="shared" si="2"/>
        <v>621.30980505137995</v>
      </c>
      <c r="K32" s="9">
        <f t="shared" si="3"/>
        <v>190.01168684547</v>
      </c>
      <c r="L32" s="10">
        <f t="shared" si="0"/>
        <v>0.30582438149315339</v>
      </c>
      <c r="M32" s="10">
        <f t="shared" si="4"/>
        <v>0.31153047289832753</v>
      </c>
      <c r="P32" s="8">
        <f t="shared" si="5"/>
        <v>7.5081430992477172</v>
      </c>
    </row>
    <row r="33" spans="1:16" x14ac:dyDescent="0.2">
      <c r="A33" s="8">
        <v>15.5</v>
      </c>
      <c r="B33" s="8">
        <v>31</v>
      </c>
      <c r="D33">
        <v>739.28222778473003</v>
      </c>
      <c r="E33">
        <v>304.12640801000998</v>
      </c>
      <c r="F33">
        <v>139.16197623515001</v>
      </c>
      <c r="G33">
        <v>117.54534083802</v>
      </c>
      <c r="I33" s="9">
        <f t="shared" si="1"/>
        <v>186.58106717198999</v>
      </c>
      <c r="J33" s="9">
        <f t="shared" si="2"/>
        <v>600.12025154957996</v>
      </c>
      <c r="K33" s="9">
        <f t="shared" si="3"/>
        <v>186.58106717198999</v>
      </c>
      <c r="L33" s="10">
        <f t="shared" si="0"/>
        <v>0.31090613371272852</v>
      </c>
      <c r="M33" s="10">
        <f t="shared" si="4"/>
        <v>0.3168024281647418</v>
      </c>
      <c r="P33" s="8">
        <f t="shared" si="5"/>
        <v>9.3274775480464847</v>
      </c>
    </row>
    <row r="34" spans="1:16" x14ac:dyDescent="0.2">
      <c r="A34" s="8">
        <v>16</v>
      </c>
      <c r="B34" s="8">
        <v>32</v>
      </c>
      <c r="D34">
        <v>748.0563204005</v>
      </c>
      <c r="E34">
        <v>302.34668335419002</v>
      </c>
      <c r="F34">
        <v>139.32645403377001</v>
      </c>
      <c r="G34">
        <v>117.34709193246</v>
      </c>
      <c r="I34" s="9">
        <f t="shared" si="1"/>
        <v>184.99959142173003</v>
      </c>
      <c r="J34" s="9">
        <f t="shared" si="2"/>
        <v>608.72986636672999</v>
      </c>
      <c r="K34" s="9">
        <f t="shared" si="3"/>
        <v>184.99959142173003</v>
      </c>
      <c r="L34" s="10">
        <f t="shared" si="0"/>
        <v>0.30391081766025396</v>
      </c>
      <c r="M34" s="10">
        <f t="shared" si="4"/>
        <v>0.30999731515910639</v>
      </c>
      <c r="P34" s="8">
        <f t="shared" si="5"/>
        <v>6.9790553984894714</v>
      </c>
    </row>
    <row r="35" spans="1:16" x14ac:dyDescent="0.2">
      <c r="A35" s="8">
        <v>16.5</v>
      </c>
      <c r="B35" s="8">
        <v>33</v>
      </c>
      <c r="D35">
        <v>742.85009369143995</v>
      </c>
      <c r="E35">
        <v>302.07183010618002</v>
      </c>
      <c r="F35">
        <v>139.2382739212</v>
      </c>
      <c r="G35">
        <v>117.38586616635</v>
      </c>
      <c r="I35" s="9">
        <f t="shared" si="1"/>
        <v>184.68596393983</v>
      </c>
      <c r="J35" s="9">
        <f t="shared" si="2"/>
        <v>603.61181977023989</v>
      </c>
      <c r="K35" s="9">
        <f t="shared" si="3"/>
        <v>184.68596393983</v>
      </c>
      <c r="L35" s="10">
        <f t="shared" si="0"/>
        <v>0.30596810382230299</v>
      </c>
      <c r="M35" s="10">
        <f t="shared" si="4"/>
        <v>0.31224480436799451</v>
      </c>
      <c r="P35" s="8">
        <f t="shared" si="5"/>
        <v>7.7546565434921195</v>
      </c>
    </row>
    <row r="36" spans="1:16" x14ac:dyDescent="0.2">
      <c r="A36" s="8">
        <v>17</v>
      </c>
      <c r="B36" s="8">
        <v>34</v>
      </c>
      <c r="D36">
        <v>747.40037476577004</v>
      </c>
      <c r="E36">
        <v>302.81511555278001</v>
      </c>
      <c r="F36">
        <v>139.19262038773999</v>
      </c>
      <c r="G36">
        <v>117.13821138211</v>
      </c>
      <c r="I36" s="9">
        <f t="shared" si="1"/>
        <v>185.67690417067001</v>
      </c>
      <c r="J36" s="9">
        <f t="shared" si="2"/>
        <v>608.20775437803002</v>
      </c>
      <c r="K36" s="9">
        <f t="shared" si="3"/>
        <v>185.67690417067001</v>
      </c>
      <c r="L36" s="10">
        <f t="shared" si="0"/>
        <v>0.30528532863009666</v>
      </c>
      <c r="M36" s="10">
        <f t="shared" si="4"/>
        <v>0.31175223222262732</v>
      </c>
      <c r="P36" s="8">
        <f t="shared" si="5"/>
        <v>7.5846715137832543</v>
      </c>
    </row>
    <row r="37" spans="1:16" x14ac:dyDescent="0.2">
      <c r="A37" s="8">
        <v>17.5</v>
      </c>
      <c r="B37" s="8">
        <v>35</v>
      </c>
      <c r="D37">
        <v>750.47970018737999</v>
      </c>
      <c r="E37">
        <v>302.10868207369998</v>
      </c>
      <c r="F37">
        <v>139.44277673546</v>
      </c>
      <c r="G37">
        <v>117.44527829894</v>
      </c>
      <c r="I37" s="9">
        <f t="shared" si="1"/>
        <v>184.66340377475998</v>
      </c>
      <c r="J37" s="9">
        <f t="shared" si="2"/>
        <v>611.03692345191996</v>
      </c>
      <c r="K37" s="9">
        <f t="shared" si="3"/>
        <v>184.66340377475998</v>
      </c>
      <c r="L37" s="10">
        <f t="shared" si="0"/>
        <v>0.30221316697450018</v>
      </c>
      <c r="M37" s="10">
        <f t="shared" si="4"/>
        <v>0.30887027361386998</v>
      </c>
      <c r="P37" s="8">
        <f t="shared" si="5"/>
        <v>6.5901170625482006</v>
      </c>
    </row>
    <row r="38" spans="1:16" x14ac:dyDescent="0.2">
      <c r="A38" s="8">
        <v>18</v>
      </c>
      <c r="B38" s="8">
        <v>36</v>
      </c>
      <c r="D38">
        <v>760.31815346226006</v>
      </c>
      <c r="E38">
        <v>303.50093574547998</v>
      </c>
      <c r="F38">
        <v>139.27579737336001</v>
      </c>
      <c r="G38">
        <v>117.50531582239</v>
      </c>
      <c r="I38" s="9">
        <f t="shared" si="1"/>
        <v>185.99561992308998</v>
      </c>
      <c r="J38" s="9">
        <f t="shared" si="2"/>
        <v>621.04235608890008</v>
      </c>
      <c r="K38" s="9">
        <f t="shared" si="3"/>
        <v>185.99561992308998</v>
      </c>
      <c r="L38" s="10">
        <f t="shared" si="0"/>
        <v>0.29948942789413441</v>
      </c>
      <c r="M38" s="10">
        <f t="shared" si="4"/>
        <v>0.30633673758034335</v>
      </c>
      <c r="P38" s="8">
        <f t="shared" si="5"/>
        <v>5.7158020977698589</v>
      </c>
    </row>
    <row r="39" spans="1:16" x14ac:dyDescent="0.2">
      <c r="A39" s="8">
        <v>18.5</v>
      </c>
      <c r="B39" s="8">
        <v>37</v>
      </c>
      <c r="D39">
        <v>737.46662507797998</v>
      </c>
      <c r="E39">
        <v>295.91016843418998</v>
      </c>
      <c r="F39">
        <v>139.02814258911999</v>
      </c>
      <c r="G39">
        <v>117.42088805503001</v>
      </c>
      <c r="I39" s="9">
        <f t="shared" si="1"/>
        <v>178.48928037915999</v>
      </c>
      <c r="J39" s="9">
        <f t="shared" si="2"/>
        <v>598.43848248886002</v>
      </c>
      <c r="K39" s="9">
        <f t="shared" si="3"/>
        <v>178.48928037915999</v>
      </c>
      <c r="L39" s="10">
        <f t="shared" si="0"/>
        <v>0.29825836005204193</v>
      </c>
      <c r="M39" s="10">
        <f t="shared" si="4"/>
        <v>0.30529587278509002</v>
      </c>
      <c r="P39" s="8">
        <f t="shared" si="5"/>
        <v>5.3566030752344753</v>
      </c>
    </row>
    <row r="40" spans="1:16" x14ac:dyDescent="0.2">
      <c r="A40" s="8">
        <v>19</v>
      </c>
      <c r="B40" s="8">
        <v>38</v>
      </c>
      <c r="D40">
        <v>748.47503121098998</v>
      </c>
      <c r="E40">
        <v>296.30711610486998</v>
      </c>
      <c r="F40">
        <v>139.37148217635999</v>
      </c>
      <c r="G40">
        <v>117.42401500938</v>
      </c>
      <c r="I40" s="9">
        <f t="shared" si="1"/>
        <v>178.88310109548996</v>
      </c>
      <c r="J40" s="9">
        <f t="shared" si="2"/>
        <v>609.10354903462996</v>
      </c>
      <c r="K40" s="9">
        <f t="shared" si="3"/>
        <v>178.88310109548996</v>
      </c>
      <c r="L40" s="10">
        <f t="shared" si="0"/>
        <v>0.29368257889648208</v>
      </c>
      <c r="M40" s="10">
        <f t="shared" si="4"/>
        <v>0.30091029467636932</v>
      </c>
      <c r="P40" s="8">
        <f t="shared" si="5"/>
        <v>3.8431544726024329</v>
      </c>
    </row>
    <row r="41" spans="1:16" x14ac:dyDescent="0.2">
      <c r="A41" s="8">
        <v>19.5</v>
      </c>
      <c r="B41" s="8">
        <v>39</v>
      </c>
      <c r="D41">
        <v>763.38202247190998</v>
      </c>
      <c r="E41">
        <v>299.28776529338001</v>
      </c>
      <c r="F41">
        <v>139.13320825516001</v>
      </c>
      <c r="G41">
        <v>117.61288305191</v>
      </c>
      <c r="I41" s="9">
        <f t="shared" si="1"/>
        <v>181.67488224147002</v>
      </c>
      <c r="J41" s="9">
        <f t="shared" si="2"/>
        <v>624.24881421674991</v>
      </c>
      <c r="K41" s="9">
        <f t="shared" si="3"/>
        <v>181.67488224147002</v>
      </c>
      <c r="L41" s="10">
        <f t="shared" si="0"/>
        <v>0.29102959926230532</v>
      </c>
      <c r="M41" s="10">
        <f t="shared" si="4"/>
        <v>0.29844751808903169</v>
      </c>
      <c r="P41" s="8">
        <f t="shared" si="5"/>
        <v>2.9932583603226521</v>
      </c>
    </row>
    <row r="42" spans="1:16" x14ac:dyDescent="0.2">
      <c r="A42" s="8">
        <v>20</v>
      </c>
      <c r="B42" s="8">
        <v>40</v>
      </c>
      <c r="D42">
        <v>767.48252184769001</v>
      </c>
      <c r="E42">
        <v>298.51810237204</v>
      </c>
      <c r="F42">
        <v>139.47029393371</v>
      </c>
      <c r="G42">
        <v>117.47904940588</v>
      </c>
      <c r="I42" s="9">
        <f t="shared" si="1"/>
        <v>181.03905296616</v>
      </c>
      <c r="J42" s="9">
        <f t="shared" si="2"/>
        <v>628.01222791398004</v>
      </c>
      <c r="K42" s="9">
        <f t="shared" si="3"/>
        <v>181.03905296616</v>
      </c>
      <c r="L42" s="10">
        <f t="shared" si="0"/>
        <v>0.28827313373738517</v>
      </c>
      <c r="M42" s="10">
        <f t="shared" si="4"/>
        <v>0.29588125561095069</v>
      </c>
      <c r="P42" s="8">
        <f t="shared" si="5"/>
        <v>2.1076496070055897</v>
      </c>
    </row>
    <row r="43" spans="1:16" x14ac:dyDescent="0.2">
      <c r="A43" s="8">
        <v>20.5</v>
      </c>
      <c r="B43" s="8">
        <v>41</v>
      </c>
      <c r="D43">
        <v>769.29588014981005</v>
      </c>
      <c r="E43">
        <v>295.82209737827998</v>
      </c>
      <c r="F43">
        <v>139.13195747341999</v>
      </c>
      <c r="G43">
        <v>117.411507192</v>
      </c>
      <c r="I43" s="9">
        <f t="shared" si="1"/>
        <v>178.41059018627999</v>
      </c>
      <c r="J43" s="9">
        <f t="shared" si="2"/>
        <v>630.16392267639003</v>
      </c>
      <c r="K43" s="9">
        <f t="shared" si="3"/>
        <v>178.41059018627999</v>
      </c>
      <c r="L43" s="10">
        <f t="shared" si="0"/>
        <v>0.28311774724986871</v>
      </c>
      <c r="M43" s="10">
        <f t="shared" si="4"/>
        <v>0.29091607217027338</v>
      </c>
      <c r="P43" s="8">
        <f t="shared" si="5"/>
        <v>0.39418110779856613</v>
      </c>
    </row>
    <row r="44" spans="1:16" x14ac:dyDescent="0.2">
      <c r="A44" s="8">
        <v>21</v>
      </c>
      <c r="B44" s="8">
        <v>42</v>
      </c>
      <c r="D44">
        <v>786.48628428927998</v>
      </c>
      <c r="E44">
        <v>299.28802992519002</v>
      </c>
      <c r="F44">
        <v>139.04127579736999</v>
      </c>
      <c r="G44">
        <v>117.47217010631999</v>
      </c>
      <c r="I44" s="9">
        <f t="shared" si="1"/>
        <v>181.81585981887002</v>
      </c>
      <c r="J44" s="9">
        <f t="shared" si="2"/>
        <v>647.44500849191002</v>
      </c>
      <c r="K44" s="9">
        <f t="shared" si="3"/>
        <v>181.81585981887002</v>
      </c>
      <c r="L44" s="10">
        <f t="shared" si="0"/>
        <v>0.28082054450056332</v>
      </c>
      <c r="M44" s="10">
        <f t="shared" si="4"/>
        <v>0.28880907246780713</v>
      </c>
      <c r="P44" s="8">
        <f t="shared" si="5"/>
        <v>-0.33293756991981532</v>
      </c>
    </row>
    <row r="45" spans="1:16" x14ac:dyDescent="0.2">
      <c r="A45" s="8">
        <v>21.5</v>
      </c>
      <c r="B45" s="8">
        <v>43</v>
      </c>
      <c r="D45">
        <v>790.27306733166995</v>
      </c>
      <c r="E45">
        <v>300.68391521196997</v>
      </c>
      <c r="F45">
        <v>140.07379612258001</v>
      </c>
      <c r="G45">
        <v>117.43339587241999</v>
      </c>
      <c r="I45" s="9">
        <f t="shared" si="1"/>
        <v>183.25051933954998</v>
      </c>
      <c r="J45" s="9">
        <f t="shared" si="2"/>
        <v>650.19927120908994</v>
      </c>
      <c r="K45" s="9">
        <f t="shared" si="3"/>
        <v>183.25051933954998</v>
      </c>
      <c r="L45" s="10">
        <f t="shared" si="0"/>
        <v>0.2818374726855401</v>
      </c>
      <c r="M45" s="10">
        <f t="shared" si="4"/>
        <v>0.290016203699623</v>
      </c>
      <c r="P45" s="8">
        <f t="shared" si="5"/>
        <v>8.3639453837299996E-2</v>
      </c>
    </row>
    <row r="46" spans="1:16" x14ac:dyDescent="0.2">
      <c r="A46" s="8">
        <v>22</v>
      </c>
      <c r="B46" s="8">
        <v>44</v>
      </c>
      <c r="D46">
        <v>781.54772301933997</v>
      </c>
      <c r="E46">
        <v>301.26699937617002</v>
      </c>
      <c r="F46">
        <v>139.69293308318001</v>
      </c>
      <c r="G46">
        <v>117.34521575985001</v>
      </c>
      <c r="I46" s="9">
        <f t="shared" si="1"/>
        <v>183.92178361632</v>
      </c>
      <c r="J46" s="9">
        <f t="shared" si="2"/>
        <v>641.85478993615993</v>
      </c>
      <c r="K46" s="9">
        <f t="shared" si="3"/>
        <v>183.92178361632</v>
      </c>
      <c r="L46" s="10">
        <f t="shared" si="0"/>
        <v>0.2865473413926119</v>
      </c>
      <c r="M46" s="10">
        <f t="shared" si="4"/>
        <v>0.29491627545353394</v>
      </c>
      <c r="P46" s="8">
        <f t="shared" si="5"/>
        <v>1.7746381237746935</v>
      </c>
    </row>
    <row r="47" spans="1:16" x14ac:dyDescent="0.2">
      <c r="A47" s="8">
        <v>22.5</v>
      </c>
      <c r="B47" s="8">
        <v>45</v>
      </c>
      <c r="D47">
        <v>776.92182614134003</v>
      </c>
      <c r="E47">
        <v>299.23514696684998</v>
      </c>
      <c r="F47">
        <v>139.66353971231999</v>
      </c>
      <c r="G47">
        <v>117.33083176986</v>
      </c>
      <c r="I47" s="9">
        <f t="shared" si="1"/>
        <v>181.90431519698998</v>
      </c>
      <c r="J47" s="9">
        <f t="shared" si="2"/>
        <v>637.25828642902002</v>
      </c>
      <c r="K47" s="9">
        <f t="shared" si="3"/>
        <v>181.90431519698998</v>
      </c>
      <c r="L47" s="10">
        <f t="shared" si="0"/>
        <v>0.28544833244353757</v>
      </c>
      <c r="M47" s="10">
        <f t="shared" si="4"/>
        <v>0.29400746955129875</v>
      </c>
      <c r="P47" s="8">
        <f t="shared" si="5"/>
        <v>1.4610121915249497</v>
      </c>
    </row>
    <row r="48" spans="1:16" x14ac:dyDescent="0.2">
      <c r="A48" s="8">
        <v>23</v>
      </c>
      <c r="B48" s="8">
        <v>46</v>
      </c>
      <c r="D48">
        <v>784.78361475922998</v>
      </c>
      <c r="E48">
        <v>300.39462163851999</v>
      </c>
      <c r="F48">
        <v>139.35084427767001</v>
      </c>
      <c r="G48">
        <v>117.57911194496999</v>
      </c>
      <c r="I48" s="9">
        <f t="shared" si="1"/>
        <v>182.81550969354998</v>
      </c>
      <c r="J48" s="9">
        <f t="shared" si="2"/>
        <v>645.43277048155994</v>
      </c>
      <c r="K48" s="9">
        <f t="shared" si="3"/>
        <v>182.81550969354998</v>
      </c>
      <c r="L48" s="10">
        <f t="shared" si="0"/>
        <v>0.28324485222086043</v>
      </c>
      <c r="M48" s="10">
        <f t="shared" si="4"/>
        <v>0.29199419237546076</v>
      </c>
      <c r="P48" s="8">
        <f t="shared" si="5"/>
        <v>0.76623684995160835</v>
      </c>
    </row>
    <row r="49" spans="1:25" x14ac:dyDescent="0.2">
      <c r="A49" s="8">
        <v>23.5</v>
      </c>
      <c r="B49" s="8">
        <v>47</v>
      </c>
      <c r="D49">
        <v>783.92370231395</v>
      </c>
      <c r="E49">
        <v>298.83489681050997</v>
      </c>
      <c r="F49">
        <v>139.93933708567999</v>
      </c>
      <c r="G49">
        <v>117.40650406504</v>
      </c>
      <c r="I49" s="9">
        <f t="shared" si="1"/>
        <v>181.42839274546998</v>
      </c>
      <c r="J49" s="9">
        <f t="shared" si="2"/>
        <v>643.98436522827001</v>
      </c>
      <c r="K49" s="9">
        <f t="shared" si="3"/>
        <v>181.42839274546998</v>
      </c>
      <c r="L49" s="10">
        <f t="shared" si="0"/>
        <v>0.28172794642484827</v>
      </c>
      <c r="M49" s="10">
        <f t="shared" si="4"/>
        <v>0.29066748962628774</v>
      </c>
      <c r="P49" s="8">
        <f t="shared" si="5"/>
        <v>0.30839608823964709</v>
      </c>
    </row>
    <row r="50" spans="1:25" x14ac:dyDescent="0.2">
      <c r="A50" s="8">
        <v>24</v>
      </c>
      <c r="B50" s="8">
        <v>48</v>
      </c>
      <c r="D50">
        <v>645.11131957473003</v>
      </c>
      <c r="E50">
        <v>250.88055034396999</v>
      </c>
      <c r="F50">
        <v>138.84740462789</v>
      </c>
      <c r="G50">
        <v>116.97248280175</v>
      </c>
      <c r="I50" s="9">
        <f t="shared" si="1"/>
        <v>133.90806754221998</v>
      </c>
      <c r="J50" s="9">
        <f t="shared" si="2"/>
        <v>506.26391494684003</v>
      </c>
      <c r="K50" s="9">
        <f t="shared" si="3"/>
        <v>133.90806754221998</v>
      </c>
      <c r="L50" s="10">
        <f t="shared" si="0"/>
        <v>0.26450249284759103</v>
      </c>
      <c r="M50" s="10">
        <f t="shared" si="4"/>
        <v>0.27363223909586964</v>
      </c>
      <c r="P50" s="8">
        <f t="shared" si="5"/>
        <v>-5.5704129243009586</v>
      </c>
    </row>
    <row r="51" spans="1:25" x14ac:dyDescent="0.2">
      <c r="A51" s="8">
        <v>24.5</v>
      </c>
      <c r="B51" s="8">
        <v>49</v>
      </c>
      <c r="D51">
        <v>646.94183864915999</v>
      </c>
      <c r="E51">
        <v>257.21138211381998</v>
      </c>
      <c r="F51">
        <v>139.10131332083</v>
      </c>
      <c r="G51">
        <v>117.20637898687001</v>
      </c>
      <c r="I51" s="9">
        <f t="shared" si="1"/>
        <v>140.00500312694999</v>
      </c>
      <c r="J51" s="9">
        <f t="shared" si="2"/>
        <v>507.84052532832999</v>
      </c>
      <c r="K51" s="9">
        <f t="shared" si="3"/>
        <v>140.00500312694999</v>
      </c>
      <c r="L51" s="10">
        <f t="shared" si="0"/>
        <v>0.27568694529928206</v>
      </c>
      <c r="M51" s="10">
        <f t="shared" si="4"/>
        <v>0.28500689459439982</v>
      </c>
      <c r="P51" s="8">
        <f t="shared" si="5"/>
        <v>-1.6450566672913034</v>
      </c>
    </row>
    <row r="52" spans="1:25" x14ac:dyDescent="0.2">
      <c r="A52" s="8">
        <v>25</v>
      </c>
      <c r="B52" s="8">
        <v>50</v>
      </c>
      <c r="D52">
        <v>648.11757348342996</v>
      </c>
      <c r="E52">
        <v>256.89305816134998</v>
      </c>
      <c r="F52">
        <v>138.88430268918</v>
      </c>
      <c r="G52">
        <v>117.06253908693</v>
      </c>
      <c r="I52" s="9">
        <f t="shared" si="1"/>
        <v>139.83051907441998</v>
      </c>
      <c r="J52" s="9">
        <f t="shared" si="2"/>
        <v>509.23327079424996</v>
      </c>
      <c r="K52" s="9">
        <f t="shared" si="3"/>
        <v>139.83051907441998</v>
      </c>
      <c r="L52" s="10">
        <f t="shared" si="0"/>
        <v>0.27459030486426517</v>
      </c>
      <c r="M52" s="10">
        <f t="shared" si="4"/>
        <v>0.28410045720622207</v>
      </c>
      <c r="P52" s="8">
        <f t="shared" si="5"/>
        <v>-1.9578652331182678</v>
      </c>
    </row>
    <row r="53" spans="1:25" x14ac:dyDescent="0.2">
      <c r="A53" s="8">
        <v>25.5</v>
      </c>
      <c r="B53" s="8">
        <v>51</v>
      </c>
      <c r="D53">
        <v>490.88868042527002</v>
      </c>
      <c r="E53">
        <v>217.56910569106</v>
      </c>
      <c r="F53">
        <v>138.93933708567999</v>
      </c>
      <c r="G53">
        <v>117.3727329581</v>
      </c>
      <c r="I53" s="9">
        <f t="shared" si="1"/>
        <v>100.19637273296</v>
      </c>
      <c r="J53" s="9">
        <f t="shared" si="2"/>
        <v>351.94934333959003</v>
      </c>
      <c r="K53" s="9">
        <f t="shared" si="3"/>
        <v>100.19637273296</v>
      </c>
      <c r="L53" s="10">
        <f t="shared" si="0"/>
        <v>0.28468975615130554</v>
      </c>
      <c r="M53" s="10">
        <f t="shared" si="4"/>
        <v>0.29439011154010158</v>
      </c>
      <c r="P53" s="8">
        <f t="shared" si="5"/>
        <v>1.5930606852253444</v>
      </c>
      <c r="S53" s="11"/>
      <c r="U53" s="12"/>
    </row>
    <row r="54" spans="1:25" x14ac:dyDescent="0.2">
      <c r="A54" s="8">
        <v>26</v>
      </c>
      <c r="B54" s="8">
        <v>52</v>
      </c>
      <c r="D54">
        <v>489.79674796747997</v>
      </c>
      <c r="E54">
        <v>216.92370231395</v>
      </c>
      <c r="F54">
        <v>138.94121325828999</v>
      </c>
      <c r="G54">
        <v>117.22889305816</v>
      </c>
      <c r="I54" s="9">
        <f t="shared" si="1"/>
        <v>99.694809255790005</v>
      </c>
      <c r="J54" s="9">
        <f t="shared" si="2"/>
        <v>350.85553470919001</v>
      </c>
      <c r="K54" s="9">
        <f t="shared" si="3"/>
        <v>99.694809255790005</v>
      </c>
      <c r="L54" s="10">
        <f t="shared" si="0"/>
        <v>0.28414774570514617</v>
      </c>
      <c r="M54" s="10">
        <f t="shared" si="4"/>
        <v>0.29403830414078136</v>
      </c>
      <c r="P54" s="8">
        <f t="shared" si="5"/>
        <v>1.4716531070914494</v>
      </c>
      <c r="S54" s="11"/>
    </row>
    <row r="55" spans="1:25" x14ac:dyDescent="0.2">
      <c r="A55" s="8">
        <v>26.5</v>
      </c>
      <c r="B55" s="8">
        <v>53</v>
      </c>
      <c r="D55">
        <v>739.49781113196002</v>
      </c>
      <c r="E55">
        <v>286.75984990619003</v>
      </c>
      <c r="F55">
        <v>138.85616010006001</v>
      </c>
      <c r="G55">
        <v>117.58536585365999</v>
      </c>
      <c r="I55" s="9">
        <f t="shared" si="1"/>
        <v>169.17448405253003</v>
      </c>
      <c r="J55" s="9">
        <f t="shared" si="2"/>
        <v>600.64165103189998</v>
      </c>
      <c r="K55" s="9">
        <f t="shared" si="3"/>
        <v>169.17448405253003</v>
      </c>
      <c r="L55" s="10">
        <f t="shared" si="0"/>
        <v>0.28165626503238483</v>
      </c>
      <c r="M55" s="10">
        <f t="shared" si="4"/>
        <v>0.29173702651485911</v>
      </c>
      <c r="P55" s="8">
        <f t="shared" si="5"/>
        <v>0.67748975601699224</v>
      </c>
      <c r="S55" s="11"/>
    </row>
    <row r="56" spans="1:25" x14ac:dyDescent="0.2">
      <c r="A56" s="8">
        <v>27</v>
      </c>
      <c r="B56" s="8">
        <v>54</v>
      </c>
      <c r="D56">
        <v>751.05764411027997</v>
      </c>
      <c r="E56">
        <v>288.86466165413998</v>
      </c>
      <c r="F56">
        <v>139.23139462163999</v>
      </c>
      <c r="G56">
        <v>117.44090056285</v>
      </c>
      <c r="I56" s="9">
        <f t="shared" si="1"/>
        <v>171.42376109128998</v>
      </c>
      <c r="J56" s="9">
        <f t="shared" si="2"/>
        <v>611.82624948863997</v>
      </c>
      <c r="K56" s="9">
        <f t="shared" si="3"/>
        <v>171.42376109128998</v>
      </c>
      <c r="L56" s="10">
        <f t="shared" si="0"/>
        <v>0.28018373064994306</v>
      </c>
      <c r="M56" s="10">
        <f t="shared" si="4"/>
        <v>0.29045469517925648</v>
      </c>
      <c r="P56" s="8">
        <f t="shared" si="5"/>
        <v>0.2349614234079071</v>
      </c>
      <c r="S56" s="11"/>
    </row>
    <row r="57" spans="1:25" x14ac:dyDescent="0.2">
      <c r="A57" s="8">
        <v>27.5</v>
      </c>
      <c r="B57" s="8">
        <v>55</v>
      </c>
      <c r="D57">
        <v>757.99252336449001</v>
      </c>
      <c r="E57">
        <v>298.27165109034001</v>
      </c>
      <c r="F57">
        <v>139.47217010631999</v>
      </c>
      <c r="G57">
        <v>117.21450906817</v>
      </c>
      <c r="I57" s="9">
        <f t="shared" si="1"/>
        <v>181.05714202217001</v>
      </c>
      <c r="J57" s="9">
        <f t="shared" si="2"/>
        <v>618.52035325816996</v>
      </c>
      <c r="K57" s="9">
        <f t="shared" si="3"/>
        <v>181.05714202217001</v>
      </c>
      <c r="L57" s="10">
        <f t="shared" si="0"/>
        <v>0.29272624751702697</v>
      </c>
      <c r="M57" s="10">
        <f t="shared" si="4"/>
        <v>0.30318741509317954</v>
      </c>
      <c r="P57" s="8">
        <f t="shared" si="5"/>
        <v>4.628981250147076</v>
      </c>
      <c r="S57" s="11"/>
    </row>
    <row r="58" spans="1:25" x14ac:dyDescent="0.2">
      <c r="A58" s="8">
        <v>28</v>
      </c>
      <c r="B58" s="8">
        <v>56</v>
      </c>
      <c r="D58">
        <v>769.35825545170997</v>
      </c>
      <c r="E58">
        <v>297.53146417445998</v>
      </c>
      <c r="F58">
        <v>138.73358348968</v>
      </c>
      <c r="G58">
        <v>117.25953721076</v>
      </c>
      <c r="I58" s="9">
        <f t="shared" si="1"/>
        <v>180.27192696369997</v>
      </c>
      <c r="J58" s="9">
        <f t="shared" si="2"/>
        <v>630.62467196202999</v>
      </c>
      <c r="K58" s="9">
        <f t="shared" si="3"/>
        <v>180.27192696369997</v>
      </c>
      <c r="L58" s="10">
        <f t="shared" si="0"/>
        <v>0.28586247094143846</v>
      </c>
      <c r="M58" s="10">
        <f t="shared" si="4"/>
        <v>0.29651384156443017</v>
      </c>
      <c r="P58" s="8">
        <f t="shared" si="5"/>
        <v>2.3259529420743283</v>
      </c>
      <c r="S58" s="11"/>
    </row>
    <row r="59" spans="1:25" x14ac:dyDescent="0.2">
      <c r="A59" s="8">
        <v>28.5</v>
      </c>
      <c r="B59" s="8">
        <v>57</v>
      </c>
      <c r="D59">
        <v>781.04122423485001</v>
      </c>
      <c r="E59">
        <v>301.31605246721</v>
      </c>
      <c r="F59">
        <v>139.29706066291001</v>
      </c>
      <c r="G59">
        <v>117.27892432771</v>
      </c>
      <c r="I59" s="9">
        <f t="shared" si="1"/>
        <v>184.0371281395</v>
      </c>
      <c r="J59" s="9">
        <f t="shared" si="2"/>
        <v>641.74416357194002</v>
      </c>
      <c r="K59" s="9">
        <f t="shared" si="3"/>
        <v>184.0371281395</v>
      </c>
      <c r="L59" s="10">
        <f t="shared" si="0"/>
        <v>0.28677647353292879</v>
      </c>
      <c r="M59" s="10">
        <f t="shared" si="4"/>
        <v>0.29761804720275964</v>
      </c>
      <c r="P59" s="8">
        <f t="shared" si="5"/>
        <v>2.7070106815374717</v>
      </c>
      <c r="R59" s="1"/>
      <c r="S59" s="11"/>
    </row>
    <row r="60" spans="1:25" x14ac:dyDescent="0.2">
      <c r="A60" s="8">
        <v>29</v>
      </c>
      <c r="B60" s="8">
        <v>58</v>
      </c>
      <c r="D60">
        <v>751.58151155528003</v>
      </c>
      <c r="E60">
        <v>295.15927545284001</v>
      </c>
      <c r="F60">
        <v>139.11694809255999</v>
      </c>
      <c r="G60">
        <v>117.07692307692</v>
      </c>
      <c r="I60" s="9">
        <f t="shared" si="1"/>
        <v>178.08235237592001</v>
      </c>
      <c r="J60" s="9">
        <f t="shared" si="2"/>
        <v>612.46456346271998</v>
      </c>
      <c r="K60" s="9">
        <f t="shared" si="3"/>
        <v>178.08235237592001</v>
      </c>
      <c r="L60" s="10">
        <f t="shared" si="0"/>
        <v>0.29076352004610251</v>
      </c>
      <c r="M60" s="10">
        <f t="shared" si="4"/>
        <v>0.3017952967627725</v>
      </c>
      <c r="P60" s="8">
        <f t="shared" si="5"/>
        <v>4.1485657861827212</v>
      </c>
      <c r="S60" s="11"/>
    </row>
    <row r="61" spans="1:25" x14ac:dyDescent="0.2">
      <c r="A61" s="8">
        <v>29.5</v>
      </c>
      <c r="B61" s="8">
        <v>59</v>
      </c>
      <c r="C61" s="2"/>
      <c r="D61">
        <v>771.82334581773</v>
      </c>
      <c r="E61">
        <v>297.52309612983998</v>
      </c>
      <c r="F61">
        <v>138.54596622888999</v>
      </c>
      <c r="G61">
        <v>116.94371482176</v>
      </c>
      <c r="I61" s="9">
        <f t="shared" si="1"/>
        <v>180.57938130807997</v>
      </c>
      <c r="J61" s="9">
        <f t="shared" si="2"/>
        <v>633.27737958883995</v>
      </c>
      <c r="K61" s="9">
        <f t="shared" si="3"/>
        <v>180.57938130807997</v>
      </c>
      <c r="L61" s="10">
        <f t="shared" si="0"/>
        <v>0.28515053139166674</v>
      </c>
      <c r="M61" s="10">
        <f t="shared" si="4"/>
        <v>0.29637251115517588</v>
      </c>
      <c r="P61" s="8">
        <f t="shared" si="5"/>
        <v>2.2771802819842044</v>
      </c>
      <c r="S61" s="11"/>
    </row>
    <row r="62" spans="1:25" x14ac:dyDescent="0.2">
      <c r="A62" s="8">
        <v>30</v>
      </c>
      <c r="B62" s="8">
        <v>60</v>
      </c>
      <c r="D62">
        <v>789.07615480648997</v>
      </c>
      <c r="E62">
        <v>300.18726591759997</v>
      </c>
      <c r="F62">
        <v>139.1119449656</v>
      </c>
      <c r="G62">
        <v>117.29080675422</v>
      </c>
      <c r="I62" s="9">
        <f t="shared" si="1"/>
        <v>182.89645916337997</v>
      </c>
      <c r="J62" s="9">
        <f t="shared" si="2"/>
        <v>649.96420984088991</v>
      </c>
      <c r="K62" s="9">
        <f t="shared" si="3"/>
        <v>182.89645916337997</v>
      </c>
      <c r="L62" s="10">
        <f t="shared" si="0"/>
        <v>0.28139466203554914</v>
      </c>
      <c r="M62" s="10">
        <f t="shared" si="4"/>
        <v>0.29280684484589742</v>
      </c>
      <c r="P62" s="8">
        <f t="shared" si="5"/>
        <v>1.0466805486653934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786.26404494381995</v>
      </c>
      <c r="E63">
        <v>298.94444444444002</v>
      </c>
      <c r="F63">
        <v>138.84427767355001</v>
      </c>
      <c r="G63">
        <v>116.94559099436999</v>
      </c>
      <c r="I63" s="9">
        <f t="shared" si="1"/>
        <v>181.99885345007004</v>
      </c>
      <c r="J63" s="9">
        <f t="shared" si="2"/>
        <v>647.41976727026997</v>
      </c>
      <c r="K63" s="9">
        <f t="shared" si="3"/>
        <v>181.99885345007004</v>
      </c>
      <c r="L63" s="10">
        <f t="shared" si="0"/>
        <v>0.28111414363734333</v>
      </c>
      <c r="M63" s="10">
        <f t="shared" si="4"/>
        <v>0.29271652949453075</v>
      </c>
      <c r="P63" s="8">
        <f t="shared" si="5"/>
        <v>1.0155130175136167</v>
      </c>
    </row>
    <row r="64" spans="1:25" x14ac:dyDescent="0.2">
      <c r="A64" s="8">
        <v>31</v>
      </c>
      <c r="B64" s="8">
        <v>62</v>
      </c>
      <c r="D64">
        <v>794.05552089831997</v>
      </c>
      <c r="E64">
        <v>302.78290704928003</v>
      </c>
      <c r="F64">
        <v>139</v>
      </c>
      <c r="G64">
        <v>117.29205753596</v>
      </c>
      <c r="I64" s="9">
        <f t="shared" si="1"/>
        <v>185.49084951332003</v>
      </c>
      <c r="J64" s="9">
        <f t="shared" si="2"/>
        <v>655.05552089831997</v>
      </c>
      <c r="K64" s="9">
        <f t="shared" si="3"/>
        <v>185.49084951332003</v>
      </c>
      <c r="L64" s="10">
        <f t="shared" si="0"/>
        <v>0.28316813399106144</v>
      </c>
      <c r="M64" s="10">
        <f t="shared" si="4"/>
        <v>0.29496072289508796</v>
      </c>
      <c r="P64" s="8">
        <f t="shared" si="5"/>
        <v>1.7899767898850369</v>
      </c>
      <c r="U64" s="8">
        <v>30.5</v>
      </c>
      <c r="V64" s="10">
        <f>L62</f>
        <v>0.28139466203554914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770.79402613566003</v>
      </c>
      <c r="E65">
        <v>297.72619788425999</v>
      </c>
      <c r="F65">
        <v>138.74108818011001</v>
      </c>
      <c r="G65">
        <v>116.85928705441</v>
      </c>
      <c r="I65" s="9">
        <f t="shared" si="1"/>
        <v>180.86691082984999</v>
      </c>
      <c r="J65" s="9">
        <f t="shared" si="2"/>
        <v>632.05293795555008</v>
      </c>
      <c r="K65" s="9">
        <f t="shared" si="3"/>
        <v>180.86691082984999</v>
      </c>
      <c r="L65" s="10">
        <f t="shared" si="0"/>
        <v>0.28615785161110929</v>
      </c>
      <c r="M65" s="10">
        <f t="shared" si="4"/>
        <v>0.29814064356197495</v>
      </c>
      <c r="P65" s="8">
        <f t="shared" si="5"/>
        <v>2.8873569688427319</v>
      </c>
      <c r="U65" s="8">
        <v>31</v>
      </c>
      <c r="V65" s="10">
        <f t="shared" ref="V65:V83" si="6">L63</f>
        <v>0.28111414363734333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770.42456359102005</v>
      </c>
      <c r="E66">
        <v>297.26683291771002</v>
      </c>
      <c r="F66">
        <v>139.10381488429999</v>
      </c>
      <c r="G66">
        <v>116.90681676048</v>
      </c>
      <c r="I66" s="9">
        <f t="shared" si="1"/>
        <v>180.36001615723001</v>
      </c>
      <c r="J66" s="9">
        <f t="shared" si="2"/>
        <v>631.32074870672</v>
      </c>
      <c r="K66" s="9">
        <f t="shared" si="3"/>
        <v>180.36001615723001</v>
      </c>
      <c r="L66" s="10">
        <f t="shared" ref="L66:L129" si="7">K66/J66</f>
        <v>0.28568681850977184</v>
      </c>
      <c r="M66" s="10">
        <f t="shared" si="4"/>
        <v>0.29785981350747665</v>
      </c>
      <c r="P66" s="8">
        <f t="shared" si="5"/>
        <v>2.7904434393100157</v>
      </c>
      <c r="U66" s="8">
        <v>31.5</v>
      </c>
      <c r="V66" s="10">
        <f t="shared" si="6"/>
        <v>0.28316813399106144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791.94555694617998</v>
      </c>
      <c r="E67">
        <v>302.93804755945001</v>
      </c>
      <c r="F67">
        <v>139.08880550344</v>
      </c>
      <c r="G67">
        <v>116.83176985615999</v>
      </c>
      <c r="I67" s="9">
        <f t="shared" ref="I67:I130" si="8">E67-G67</f>
        <v>186.10627770329</v>
      </c>
      <c r="J67" s="9">
        <f t="shared" ref="J67:J130" si="9">D67-F67</f>
        <v>652.85675144274001</v>
      </c>
      <c r="K67" s="9">
        <f t="shared" ref="K67:K130" si="10">I67*1</f>
        <v>186.10627770329</v>
      </c>
      <c r="L67" s="10">
        <f t="shared" si="7"/>
        <v>0.2850644912410204</v>
      </c>
      <c r="M67" s="10">
        <f t="shared" ref="M67:M130" si="11">L67+ABS($N$2)*A67</f>
        <v>0.29742768928556435</v>
      </c>
      <c r="P67" s="8">
        <f t="shared" ref="P67:P130" si="12">(M67-$O$2)/$O$2*100</f>
        <v>2.6413187894682633</v>
      </c>
      <c r="U67" s="8">
        <v>32</v>
      </c>
      <c r="V67" s="10">
        <f t="shared" si="6"/>
        <v>0.28615785161110929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781.24672079950005</v>
      </c>
      <c r="E68">
        <v>300.65958775765</v>
      </c>
      <c r="F68">
        <v>139.63289555973</v>
      </c>
      <c r="G68">
        <v>117.07504690432</v>
      </c>
      <c r="I68" s="9">
        <f t="shared" si="8"/>
        <v>183.58454085333</v>
      </c>
      <c r="J68" s="9">
        <f t="shared" si="9"/>
        <v>641.61382523976999</v>
      </c>
      <c r="K68" s="9">
        <f t="shared" si="10"/>
        <v>183.58454085333</v>
      </c>
      <c r="L68" s="10">
        <f t="shared" si="7"/>
        <v>0.28612934078333607</v>
      </c>
      <c r="M68" s="10">
        <f t="shared" si="11"/>
        <v>0.29868274187471916</v>
      </c>
      <c r="P68" s="8">
        <f t="shared" si="12"/>
        <v>3.0744333162644044</v>
      </c>
      <c r="U68" s="8">
        <v>32.5</v>
      </c>
      <c r="V68" s="10">
        <f t="shared" si="6"/>
        <v>0.28568681850977184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771.38423339540998</v>
      </c>
      <c r="E69">
        <v>297.99441340781999</v>
      </c>
      <c r="F69">
        <v>138.83489681051</v>
      </c>
      <c r="G69">
        <v>117.06566604128</v>
      </c>
      <c r="I69" s="9">
        <f t="shared" si="8"/>
        <v>180.92874736653999</v>
      </c>
      <c r="J69" s="9">
        <f t="shared" si="9"/>
        <v>632.54933658489995</v>
      </c>
      <c r="K69" s="9">
        <f t="shared" si="10"/>
        <v>180.92874736653999</v>
      </c>
      <c r="L69" s="10">
        <f t="shared" si="7"/>
        <v>0.28603104438203136</v>
      </c>
      <c r="M69" s="10">
        <f t="shared" si="11"/>
        <v>0.29877464852025359</v>
      </c>
      <c r="P69" s="8">
        <f t="shared" si="12"/>
        <v>3.1061499978075049</v>
      </c>
      <c r="U69" s="8">
        <v>33</v>
      </c>
      <c r="V69" s="10">
        <f t="shared" si="6"/>
        <v>0.2850644912410204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785.13159528243</v>
      </c>
      <c r="E70">
        <v>298.40782122905</v>
      </c>
      <c r="F70">
        <v>139.34959349594001</v>
      </c>
      <c r="G70">
        <v>116.99374609131</v>
      </c>
      <c r="I70" s="9">
        <f t="shared" si="8"/>
        <v>181.41407513773999</v>
      </c>
      <c r="J70" s="9">
        <f t="shared" si="9"/>
        <v>645.78200178649001</v>
      </c>
      <c r="K70" s="9">
        <f t="shared" si="10"/>
        <v>181.41407513773999</v>
      </c>
      <c r="L70" s="10">
        <f t="shared" si="7"/>
        <v>0.28092154107094414</v>
      </c>
      <c r="M70" s="10">
        <f t="shared" si="11"/>
        <v>0.29385534825600551</v>
      </c>
      <c r="P70" s="8">
        <f t="shared" si="12"/>
        <v>1.4085156321011594</v>
      </c>
      <c r="U70" s="8">
        <v>33.5</v>
      </c>
      <c r="V70" s="10">
        <f t="shared" si="6"/>
        <v>0.28612934078333607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774.19588271990006</v>
      </c>
      <c r="E71">
        <v>295.77854023705999</v>
      </c>
      <c r="F71">
        <v>139.25828642901999</v>
      </c>
      <c r="G71">
        <v>117.1976235147</v>
      </c>
      <c r="I71" s="9">
        <f t="shared" si="8"/>
        <v>178.58091672235997</v>
      </c>
      <c r="J71" s="9">
        <f t="shared" si="9"/>
        <v>634.93759629088004</v>
      </c>
      <c r="K71" s="9">
        <f t="shared" si="10"/>
        <v>178.58091672235997</v>
      </c>
      <c r="L71" s="10">
        <f t="shared" si="7"/>
        <v>0.28125743028224748</v>
      </c>
      <c r="M71" s="10">
        <f t="shared" si="11"/>
        <v>0.294381440514148</v>
      </c>
      <c r="P71" s="8">
        <f t="shared" si="12"/>
        <v>1.5900683426452979</v>
      </c>
      <c r="U71" s="8">
        <v>34</v>
      </c>
      <c r="V71" s="10">
        <f t="shared" si="6"/>
        <v>0.28603104438203136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737.77167810356002</v>
      </c>
      <c r="E72">
        <v>287.88833437304999</v>
      </c>
      <c r="F72">
        <v>139.44465290807</v>
      </c>
      <c r="G72">
        <v>117.11882426517001</v>
      </c>
      <c r="I72" s="9">
        <f t="shared" si="8"/>
        <v>170.76951010787997</v>
      </c>
      <c r="J72" s="9">
        <f t="shared" si="9"/>
        <v>598.32702519549002</v>
      </c>
      <c r="K72" s="9">
        <f t="shared" si="10"/>
        <v>170.76951010787997</v>
      </c>
      <c r="L72" s="10">
        <f t="shared" si="7"/>
        <v>0.28541166104286336</v>
      </c>
      <c r="M72" s="10">
        <f t="shared" si="11"/>
        <v>0.29872587432160302</v>
      </c>
      <c r="P72" s="8">
        <f t="shared" si="12"/>
        <v>3.0893181820326543</v>
      </c>
      <c r="U72" s="8">
        <v>34.5</v>
      </c>
      <c r="V72" s="10">
        <f t="shared" si="6"/>
        <v>0.28092154107094414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770.93617021276998</v>
      </c>
      <c r="E73">
        <v>292.41739674592998</v>
      </c>
      <c r="F73">
        <v>138.86554096309999</v>
      </c>
      <c r="G73">
        <v>117.12757973734</v>
      </c>
      <c r="I73" s="9">
        <f t="shared" si="8"/>
        <v>175.28981700858998</v>
      </c>
      <c r="J73" s="9">
        <f t="shared" si="9"/>
        <v>632.07062924966999</v>
      </c>
      <c r="K73" s="9">
        <f t="shared" si="10"/>
        <v>175.28981700858998</v>
      </c>
      <c r="L73" s="10">
        <f t="shared" si="7"/>
        <v>0.27732631275190911</v>
      </c>
      <c r="M73" s="10">
        <f t="shared" si="11"/>
        <v>0.29083072907748786</v>
      </c>
      <c r="P73" s="8">
        <f t="shared" si="12"/>
        <v>0.36472948675373768</v>
      </c>
      <c r="U73" s="8">
        <v>35</v>
      </c>
      <c r="V73" s="10">
        <f t="shared" si="6"/>
        <v>0.28125743028224748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778.93053817272005</v>
      </c>
      <c r="E74">
        <v>289.56758448059998</v>
      </c>
      <c r="F74">
        <v>138.55409631019</v>
      </c>
      <c r="G74">
        <v>116.94559099436999</v>
      </c>
      <c r="I74" s="9">
        <f t="shared" si="8"/>
        <v>172.62199348623</v>
      </c>
      <c r="J74" s="9">
        <f t="shared" si="9"/>
        <v>640.3764418625301</v>
      </c>
      <c r="K74" s="9">
        <f t="shared" si="10"/>
        <v>172.62199348623</v>
      </c>
      <c r="L74" s="10">
        <f t="shared" si="7"/>
        <v>0.26956331026819197</v>
      </c>
      <c r="M74" s="10">
        <f t="shared" si="11"/>
        <v>0.28325792964060986</v>
      </c>
      <c r="P74" s="8">
        <f t="shared" si="12"/>
        <v>-2.2486187290642627</v>
      </c>
      <c r="U74" s="8">
        <v>35.5</v>
      </c>
      <c r="V74" s="10">
        <f t="shared" si="6"/>
        <v>0.28541166104286336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710.18804483188001</v>
      </c>
      <c r="E75">
        <v>275.96513075964998</v>
      </c>
      <c r="F75">
        <v>139.21888680424999</v>
      </c>
      <c r="G75">
        <v>117.0325203252</v>
      </c>
      <c r="I75" s="9">
        <f t="shared" si="8"/>
        <v>158.93261043445</v>
      </c>
      <c r="J75" s="9">
        <f t="shared" si="9"/>
        <v>570.96915802762999</v>
      </c>
      <c r="K75" s="9">
        <f t="shared" si="10"/>
        <v>158.93261043445</v>
      </c>
      <c r="L75" s="10">
        <f t="shared" si="7"/>
        <v>0.27835585898101878</v>
      </c>
      <c r="M75" s="10">
        <f t="shared" si="11"/>
        <v>0.29224068140027581</v>
      </c>
      <c r="P75" s="8">
        <f t="shared" si="12"/>
        <v>0.85129940292009276</v>
      </c>
      <c r="U75" s="8">
        <v>36</v>
      </c>
      <c r="V75" s="10">
        <f t="shared" si="6"/>
        <v>0.27732631275190911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742.90801740210998</v>
      </c>
      <c r="E76">
        <v>276.69919204475002</v>
      </c>
      <c r="F76">
        <v>138.82551594747</v>
      </c>
      <c r="G76">
        <v>116.94621638524001</v>
      </c>
      <c r="I76" s="9">
        <f t="shared" si="8"/>
        <v>159.75297565951001</v>
      </c>
      <c r="J76" s="9">
        <f t="shared" si="9"/>
        <v>604.08250145464001</v>
      </c>
      <c r="K76" s="9">
        <f t="shared" si="10"/>
        <v>159.75297565951001</v>
      </c>
      <c r="L76" s="10">
        <f t="shared" si="7"/>
        <v>0.26445555909138629</v>
      </c>
      <c r="M76" s="10">
        <f t="shared" si="11"/>
        <v>0.27853058455748247</v>
      </c>
      <c r="P76" s="8">
        <f t="shared" si="12"/>
        <v>-3.8800099921663223</v>
      </c>
      <c r="U76" s="8">
        <v>36.5</v>
      </c>
      <c r="V76" s="10">
        <f t="shared" si="6"/>
        <v>0.26956331026819197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724.16780609073999</v>
      </c>
      <c r="E77">
        <v>278.08203853325</v>
      </c>
      <c r="F77">
        <v>139.06066291432001</v>
      </c>
      <c r="G77">
        <v>117.23889931207</v>
      </c>
      <c r="I77" s="9">
        <f t="shared" si="8"/>
        <v>160.84313922118</v>
      </c>
      <c r="J77" s="9">
        <f t="shared" si="9"/>
        <v>585.10714317641998</v>
      </c>
      <c r="K77" s="9">
        <f t="shared" si="10"/>
        <v>160.84313922118</v>
      </c>
      <c r="L77" s="10">
        <f t="shared" si="7"/>
        <v>0.27489518987581901</v>
      </c>
      <c r="M77" s="10">
        <f t="shared" si="11"/>
        <v>0.28916041838875434</v>
      </c>
      <c r="P77" s="8">
        <f t="shared" si="12"/>
        <v>-0.21168924645690557</v>
      </c>
      <c r="U77" s="8">
        <v>37</v>
      </c>
      <c r="V77" s="10">
        <f t="shared" si="6"/>
        <v>0.27835585898101878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783.47125000000005</v>
      </c>
      <c r="E78">
        <v>282.76749999999998</v>
      </c>
      <c r="F78">
        <v>138.96622889305999</v>
      </c>
      <c r="G78">
        <v>117.38774233896</v>
      </c>
      <c r="I78" s="9">
        <f t="shared" si="8"/>
        <v>165.37975766104</v>
      </c>
      <c r="J78" s="9">
        <f t="shared" si="9"/>
        <v>644.50502110694003</v>
      </c>
      <c r="K78" s="9">
        <f t="shared" si="10"/>
        <v>165.37975766104</v>
      </c>
      <c r="L78" s="10">
        <f t="shared" si="7"/>
        <v>0.25659964196554991</v>
      </c>
      <c r="M78" s="10">
        <f t="shared" si="11"/>
        <v>0.27105507352532437</v>
      </c>
      <c r="P78" s="8">
        <f t="shared" si="12"/>
        <v>-6.4597842990205674</v>
      </c>
      <c r="U78" s="8">
        <v>37.5</v>
      </c>
      <c r="V78" s="10">
        <f t="shared" si="6"/>
        <v>0.26445555909138629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801.43062499999996</v>
      </c>
      <c r="E79">
        <v>289.56124999999997</v>
      </c>
      <c r="F79">
        <v>139.28455284552999</v>
      </c>
      <c r="G79">
        <v>117.18136335210001</v>
      </c>
      <c r="I79" s="9">
        <f t="shared" si="8"/>
        <v>172.37988664789998</v>
      </c>
      <c r="J79" s="9">
        <f t="shared" si="9"/>
        <v>662.14607215446995</v>
      </c>
      <c r="K79" s="9">
        <f t="shared" si="10"/>
        <v>172.37988664789998</v>
      </c>
      <c r="L79" s="10">
        <f t="shared" si="7"/>
        <v>0.2603351343413029</v>
      </c>
      <c r="M79" s="10">
        <f t="shared" si="11"/>
        <v>0.27498076894791651</v>
      </c>
      <c r="P79" s="8">
        <f t="shared" si="12"/>
        <v>-5.1050397010696722</v>
      </c>
      <c r="U79" s="8">
        <v>38</v>
      </c>
      <c r="V79" s="10">
        <f t="shared" si="6"/>
        <v>0.27489518987581901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760.22312499999998</v>
      </c>
      <c r="E80">
        <v>282.48250000000002</v>
      </c>
      <c r="F80">
        <v>139.06128830519</v>
      </c>
      <c r="G80">
        <v>116.7923702314</v>
      </c>
      <c r="I80" s="9">
        <f t="shared" si="8"/>
        <v>165.6901297686</v>
      </c>
      <c r="J80" s="9">
        <f t="shared" si="9"/>
        <v>621.16183669480995</v>
      </c>
      <c r="K80" s="9">
        <f t="shared" si="10"/>
        <v>165.6901297686</v>
      </c>
      <c r="L80" s="10">
        <f t="shared" si="7"/>
        <v>0.26674228837082775</v>
      </c>
      <c r="M80" s="10">
        <f t="shared" si="11"/>
        <v>0.28157812602428051</v>
      </c>
      <c r="P80" s="8">
        <f t="shared" si="12"/>
        <v>-2.8283134404124821</v>
      </c>
      <c r="U80" s="8">
        <v>38.5</v>
      </c>
      <c r="V80" s="10">
        <f t="shared" si="6"/>
        <v>0.25659964196554991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758.61955168120005</v>
      </c>
      <c r="E81">
        <v>278.7403486924</v>
      </c>
      <c r="F81">
        <v>138.59537210757</v>
      </c>
      <c r="G81">
        <v>117.23389618512</v>
      </c>
      <c r="I81" s="9">
        <f t="shared" si="8"/>
        <v>161.50645250728002</v>
      </c>
      <c r="J81" s="9">
        <f t="shared" si="9"/>
        <v>620.02417957363002</v>
      </c>
      <c r="K81" s="9">
        <f t="shared" si="10"/>
        <v>161.50645250728002</v>
      </c>
      <c r="L81" s="10">
        <f t="shared" si="7"/>
        <v>0.26048411953601974</v>
      </c>
      <c r="M81" s="10">
        <f t="shared" si="11"/>
        <v>0.27551016023631164</v>
      </c>
      <c r="P81" s="8">
        <f t="shared" si="12"/>
        <v>-4.9223485060196976</v>
      </c>
      <c r="U81" s="8">
        <v>39</v>
      </c>
      <c r="V81" s="10">
        <f t="shared" si="6"/>
        <v>0.2603351343413029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762.71295143213001</v>
      </c>
      <c r="E82">
        <v>279.37982565380003</v>
      </c>
      <c r="F82">
        <v>138.68417761101</v>
      </c>
      <c r="G82">
        <v>116.70856785491</v>
      </c>
      <c r="H82" s="13"/>
      <c r="I82" s="14">
        <f t="shared" si="8"/>
        <v>162.67125779889003</v>
      </c>
      <c r="J82" s="14">
        <f t="shared" si="9"/>
        <v>624.02877382112001</v>
      </c>
      <c r="K82" s="9">
        <f t="shared" si="10"/>
        <v>162.67125779889003</v>
      </c>
      <c r="L82" s="15">
        <f t="shared" si="7"/>
        <v>0.26067909786083088</v>
      </c>
      <c r="M82" s="15">
        <f t="shared" si="11"/>
        <v>0.27589534160796192</v>
      </c>
      <c r="N82" s="13"/>
      <c r="O82" s="13"/>
      <c r="P82" s="13">
        <f t="shared" si="12"/>
        <v>-4.7894236796382428</v>
      </c>
      <c r="U82" s="8">
        <v>39.5</v>
      </c>
      <c r="V82" s="10">
        <f t="shared" si="6"/>
        <v>0.26674228837082775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782.15255292653001</v>
      </c>
      <c r="E83">
        <v>282.52552926525999</v>
      </c>
      <c r="F83">
        <v>139.20262664165</v>
      </c>
      <c r="G83">
        <v>117.05190744215</v>
      </c>
      <c r="I83" s="9">
        <f t="shared" si="8"/>
        <v>165.47362182310999</v>
      </c>
      <c r="J83" s="9">
        <f t="shared" si="9"/>
        <v>642.94992628488001</v>
      </c>
      <c r="K83" s="9">
        <f t="shared" si="10"/>
        <v>165.47362182310999</v>
      </c>
      <c r="L83" s="10">
        <f t="shared" si="7"/>
        <v>0.25736626610917673</v>
      </c>
      <c r="M83" s="10">
        <f t="shared" si="11"/>
        <v>0.27277271290314686</v>
      </c>
      <c r="P83" s="8">
        <f t="shared" si="12"/>
        <v>-5.8670325906375815</v>
      </c>
      <c r="U83" s="8">
        <v>40</v>
      </c>
      <c r="V83" s="10">
        <f t="shared" si="6"/>
        <v>0.26048411953601974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756.57330006237999</v>
      </c>
      <c r="E84">
        <v>276.96007485963997</v>
      </c>
      <c r="F84">
        <v>139.04815509694001</v>
      </c>
      <c r="G84">
        <v>117.37023139462001</v>
      </c>
      <c r="I84" s="9">
        <f t="shared" si="8"/>
        <v>159.58984346501995</v>
      </c>
      <c r="J84" s="9">
        <f t="shared" si="9"/>
        <v>617.52514496543995</v>
      </c>
      <c r="K84" s="9">
        <f t="shared" si="10"/>
        <v>159.58984346501995</v>
      </c>
      <c r="L84" s="10">
        <f t="shared" si="7"/>
        <v>0.25843456702309908</v>
      </c>
      <c r="M84" s="10">
        <f t="shared" si="11"/>
        <v>0.27403121686390836</v>
      </c>
      <c r="P84" s="8">
        <f t="shared" si="12"/>
        <v>-5.4327270068346341</v>
      </c>
      <c r="U84" s="8">
        <v>150.5</v>
      </c>
      <c r="V84" s="10">
        <f>L302</f>
        <v>0.22983435324258197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763.39263420724001</v>
      </c>
      <c r="E85">
        <v>279.65106117353002</v>
      </c>
      <c r="F85">
        <v>138.55909943715</v>
      </c>
      <c r="G85">
        <v>116.75297060663</v>
      </c>
      <c r="I85" s="9">
        <f t="shared" si="8"/>
        <v>162.89809056690001</v>
      </c>
      <c r="J85" s="9">
        <f t="shared" si="9"/>
        <v>624.83353477008995</v>
      </c>
      <c r="K85" s="9">
        <f t="shared" si="10"/>
        <v>162.89809056690001</v>
      </c>
      <c r="L85" s="10">
        <f t="shared" si="7"/>
        <v>0.26070638258370532</v>
      </c>
      <c r="M85" s="10">
        <f t="shared" si="11"/>
        <v>0.27649323547135374</v>
      </c>
      <c r="P85" s="8">
        <f t="shared" si="12"/>
        <v>-4.5830924709263821</v>
      </c>
      <c r="U85" s="8">
        <v>151</v>
      </c>
      <c r="V85" s="10">
        <f t="shared" ref="V85:V103" si="13">L303</f>
        <v>0.23090923641448202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760.02496878901002</v>
      </c>
      <c r="E86">
        <v>278.74656679151002</v>
      </c>
      <c r="F86">
        <v>139.11131957473</v>
      </c>
      <c r="G86">
        <v>117.03377110693999</v>
      </c>
      <c r="I86" s="9">
        <f t="shared" si="8"/>
        <v>161.71279568457004</v>
      </c>
      <c r="J86" s="9">
        <f t="shared" si="9"/>
        <v>620.91364921427999</v>
      </c>
      <c r="K86" s="9">
        <f t="shared" si="10"/>
        <v>161.71279568457004</v>
      </c>
      <c r="L86" s="10">
        <f t="shared" si="7"/>
        <v>0.260443293345549</v>
      </c>
      <c r="M86" s="10">
        <f t="shared" si="11"/>
        <v>0.27642034928003656</v>
      </c>
      <c r="P86" s="8">
        <f t="shared" si="12"/>
        <v>-4.608245256184226</v>
      </c>
      <c r="U86" s="8">
        <v>151.5</v>
      </c>
      <c r="V86" s="10">
        <f t="shared" si="13"/>
        <v>0.22352625402088194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746.04856787049005</v>
      </c>
      <c r="E87">
        <v>274.83499377334999</v>
      </c>
      <c r="F87">
        <v>138.85553470919001</v>
      </c>
      <c r="G87">
        <v>117.12507817386</v>
      </c>
      <c r="I87" s="9">
        <f t="shared" si="8"/>
        <v>157.70991559948999</v>
      </c>
      <c r="J87" s="9">
        <f t="shared" si="9"/>
        <v>607.19303316130004</v>
      </c>
      <c r="K87" s="9">
        <f t="shared" si="10"/>
        <v>157.70991559948999</v>
      </c>
      <c r="L87" s="10">
        <f t="shared" si="7"/>
        <v>0.2597360427183863</v>
      </c>
      <c r="M87" s="10">
        <f t="shared" si="11"/>
        <v>0.275903301699713</v>
      </c>
      <c r="P87" s="8">
        <f t="shared" si="12"/>
        <v>-4.7866766781167014</v>
      </c>
      <c r="U87" s="8">
        <v>152</v>
      </c>
      <c r="V87" s="10">
        <f t="shared" si="13"/>
        <v>0.22587436790848395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756.70713391740003</v>
      </c>
      <c r="E88">
        <v>276.36795994993997</v>
      </c>
      <c r="F88">
        <v>138.57285803626999</v>
      </c>
      <c r="G88">
        <v>116.95809881176</v>
      </c>
      <c r="I88" s="9">
        <f t="shared" si="8"/>
        <v>159.40986113817996</v>
      </c>
      <c r="J88" s="9">
        <f t="shared" si="9"/>
        <v>618.13427588113007</v>
      </c>
      <c r="K88" s="9">
        <f t="shared" si="10"/>
        <v>159.40986113817996</v>
      </c>
      <c r="L88" s="10">
        <f t="shared" si="7"/>
        <v>0.25788872637898369</v>
      </c>
      <c r="M88" s="10">
        <f t="shared" si="11"/>
        <v>0.27424618840714954</v>
      </c>
      <c r="P88" s="8">
        <f t="shared" si="12"/>
        <v>-5.3585410332506571</v>
      </c>
      <c r="U88" s="8">
        <v>152.5</v>
      </c>
      <c r="V88" s="10">
        <f t="shared" si="13"/>
        <v>0.22741152319442284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701.68184653773994</v>
      </c>
      <c r="E89">
        <v>266.21272613848998</v>
      </c>
      <c r="F89">
        <v>139.32082551594999</v>
      </c>
      <c r="G89">
        <v>117.14133833646</v>
      </c>
      <c r="I89" s="9">
        <f t="shared" si="8"/>
        <v>149.07138780202999</v>
      </c>
      <c r="J89" s="9">
        <f t="shared" si="9"/>
        <v>562.36102102178995</v>
      </c>
      <c r="K89" s="9">
        <f t="shared" si="10"/>
        <v>149.07138780202999</v>
      </c>
      <c r="L89" s="10">
        <f t="shared" si="7"/>
        <v>0.26508129516368789</v>
      </c>
      <c r="M89" s="10">
        <f t="shared" si="11"/>
        <v>0.28162896023869288</v>
      </c>
      <c r="P89" s="8">
        <f t="shared" si="12"/>
        <v>-2.8107707199635352</v>
      </c>
      <c r="U89" s="8">
        <v>153</v>
      </c>
      <c r="V89" s="10">
        <f t="shared" si="13"/>
        <v>0.2261348083124162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684.72045028142998</v>
      </c>
      <c r="E90">
        <v>260.61038148842999</v>
      </c>
      <c r="F90">
        <v>138.8736710444</v>
      </c>
      <c r="G90">
        <v>116.8005003127</v>
      </c>
      <c r="I90" s="9">
        <f t="shared" si="8"/>
        <v>143.80988117573</v>
      </c>
      <c r="J90" s="9">
        <f t="shared" si="9"/>
        <v>545.84677923702998</v>
      </c>
      <c r="K90" s="9">
        <f t="shared" si="10"/>
        <v>143.80988117573</v>
      </c>
      <c r="L90" s="10">
        <f t="shared" si="7"/>
        <v>0.26346199454862335</v>
      </c>
      <c r="M90" s="10">
        <f t="shared" si="11"/>
        <v>0.28019986267046748</v>
      </c>
      <c r="P90" s="8">
        <f t="shared" si="12"/>
        <v>-3.3039475974554073</v>
      </c>
      <c r="U90" s="8">
        <v>153.5</v>
      </c>
      <c r="V90" s="10">
        <f t="shared" si="13"/>
        <v>0.22722325477811542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647.25578486554002</v>
      </c>
      <c r="E91">
        <v>252.59036898061001</v>
      </c>
      <c r="F91">
        <v>138.45528455285</v>
      </c>
      <c r="G91">
        <v>117.18761726079001</v>
      </c>
      <c r="I91" s="9">
        <f t="shared" si="8"/>
        <v>135.40275171982</v>
      </c>
      <c r="J91" s="9">
        <f t="shared" si="9"/>
        <v>508.80050031269002</v>
      </c>
      <c r="K91" s="9">
        <f t="shared" si="10"/>
        <v>135.40275171982</v>
      </c>
      <c r="L91" s="10">
        <f t="shared" si="7"/>
        <v>0.26612149877330399</v>
      </c>
      <c r="M91" s="10">
        <f t="shared" si="11"/>
        <v>0.28304956994198727</v>
      </c>
      <c r="P91" s="8">
        <f t="shared" si="12"/>
        <v>-2.3205229767843401</v>
      </c>
      <c r="U91" s="8">
        <v>154</v>
      </c>
      <c r="V91" s="10">
        <f t="shared" si="13"/>
        <v>0.22784381530486905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668.43589743589996</v>
      </c>
      <c r="E92">
        <v>255.88930581613999</v>
      </c>
      <c r="F92">
        <v>138.60225140713001</v>
      </c>
      <c r="G92">
        <v>117.21575984991</v>
      </c>
      <c r="I92" s="9">
        <f t="shared" si="8"/>
        <v>138.67354596622999</v>
      </c>
      <c r="J92" s="9">
        <f t="shared" si="9"/>
        <v>529.83364602876998</v>
      </c>
      <c r="K92" s="9">
        <f t="shared" si="10"/>
        <v>138.67354596622999</v>
      </c>
      <c r="L92" s="10">
        <f t="shared" si="7"/>
        <v>0.26173035065934641</v>
      </c>
      <c r="M92" s="10">
        <f t="shared" si="11"/>
        <v>0.27884862487486878</v>
      </c>
      <c r="P92" s="8">
        <f t="shared" si="12"/>
        <v>-3.7702553231132696</v>
      </c>
      <c r="U92" s="8">
        <v>154.5</v>
      </c>
      <c r="V92" s="10">
        <f t="shared" si="13"/>
        <v>0.23191984056771675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773.18472135254001</v>
      </c>
      <c r="E93">
        <v>280.76831559174002</v>
      </c>
      <c r="F93">
        <v>138.71732332708001</v>
      </c>
      <c r="G93">
        <v>117.14821763601999</v>
      </c>
      <c r="I93" s="9">
        <f t="shared" si="8"/>
        <v>163.62009795572004</v>
      </c>
      <c r="J93" s="9">
        <f t="shared" si="9"/>
        <v>634.46739802545994</v>
      </c>
      <c r="K93" s="9">
        <f t="shared" si="10"/>
        <v>163.62009795572004</v>
      </c>
      <c r="L93" s="10">
        <f t="shared" si="7"/>
        <v>0.25788574553227761</v>
      </c>
      <c r="M93" s="10">
        <f t="shared" si="11"/>
        <v>0.27519422279463912</v>
      </c>
      <c r="P93" s="8">
        <f t="shared" si="12"/>
        <v>-5.0313774795699828</v>
      </c>
      <c r="U93" s="8">
        <v>155</v>
      </c>
      <c r="V93" s="10">
        <f t="shared" si="13"/>
        <v>0.22921330750286642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741.26184538653001</v>
      </c>
      <c r="E94">
        <v>269.27805486284001</v>
      </c>
      <c r="F94">
        <v>138.79362101313001</v>
      </c>
      <c r="G94">
        <v>116.95684803002</v>
      </c>
      <c r="I94" s="9">
        <f t="shared" si="8"/>
        <v>152.32120683282</v>
      </c>
      <c r="J94" s="9">
        <f t="shared" si="9"/>
        <v>602.46822437340006</v>
      </c>
      <c r="K94" s="9">
        <f t="shared" si="10"/>
        <v>152.32120683282</v>
      </c>
      <c r="L94" s="10">
        <f t="shared" si="7"/>
        <v>0.25282861513774008</v>
      </c>
      <c r="M94" s="10">
        <f t="shared" si="11"/>
        <v>0.27032729544694073</v>
      </c>
      <c r="P94" s="8">
        <f t="shared" si="12"/>
        <v>-6.7109381237730483</v>
      </c>
      <c r="U94" s="8">
        <v>155.5</v>
      </c>
      <c r="V94" s="10">
        <f t="shared" si="13"/>
        <v>0.23333083042316072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719.65856697819004</v>
      </c>
      <c r="E95">
        <v>262.47912772586</v>
      </c>
      <c r="F95">
        <v>138.47654784240001</v>
      </c>
      <c r="G95">
        <v>117.11944965604</v>
      </c>
      <c r="I95" s="9">
        <f t="shared" si="8"/>
        <v>145.35967806982001</v>
      </c>
      <c r="J95" s="9">
        <f t="shared" si="9"/>
        <v>581.18201913579003</v>
      </c>
      <c r="K95" s="9">
        <f t="shared" si="10"/>
        <v>145.35967806982001</v>
      </c>
      <c r="L95" s="10">
        <f t="shared" si="7"/>
        <v>0.25011041856726385</v>
      </c>
      <c r="M95" s="10">
        <f t="shared" si="11"/>
        <v>0.26779930192330365</v>
      </c>
      <c r="P95" s="8">
        <f t="shared" si="12"/>
        <v>-7.5833403865906783</v>
      </c>
      <c r="U95" s="8">
        <v>156</v>
      </c>
      <c r="V95" s="10">
        <f t="shared" si="13"/>
        <v>0.23256340929346578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716.38442367600999</v>
      </c>
      <c r="E96">
        <v>260.49968847352</v>
      </c>
      <c r="F96">
        <v>138.54534083802</v>
      </c>
      <c r="G96">
        <v>116.90306441526</v>
      </c>
      <c r="I96" s="9">
        <f t="shared" si="8"/>
        <v>143.59662405825998</v>
      </c>
      <c r="J96" s="9">
        <f t="shared" si="9"/>
        <v>577.83908283798996</v>
      </c>
      <c r="K96" s="9">
        <f t="shared" si="10"/>
        <v>143.59662405825998</v>
      </c>
      <c r="L96" s="10">
        <f t="shared" si="7"/>
        <v>0.24850625082852085</v>
      </c>
      <c r="M96" s="10">
        <f t="shared" si="11"/>
        <v>0.26638533723139979</v>
      </c>
      <c r="P96" s="8">
        <f t="shared" si="12"/>
        <v>-8.0712949581619</v>
      </c>
      <c r="U96" s="8">
        <v>156.5</v>
      </c>
      <c r="V96" s="10">
        <f t="shared" si="13"/>
        <v>0.23150340543191664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713.65190268246999</v>
      </c>
      <c r="E97">
        <v>259.06986899562997</v>
      </c>
      <c r="F97">
        <v>138.73796122576999</v>
      </c>
      <c r="G97">
        <v>116.7148217636</v>
      </c>
      <c r="I97" s="9">
        <f t="shared" si="8"/>
        <v>142.35504723202996</v>
      </c>
      <c r="J97" s="9">
        <f t="shared" si="9"/>
        <v>574.91394145670006</v>
      </c>
      <c r="K97" s="9">
        <f t="shared" si="10"/>
        <v>142.35504723202996</v>
      </c>
      <c r="L97" s="10">
        <f t="shared" si="7"/>
        <v>0.24761105439769807</v>
      </c>
      <c r="M97" s="10">
        <f t="shared" si="11"/>
        <v>0.26568034384741612</v>
      </c>
      <c r="P97" s="8">
        <f t="shared" si="12"/>
        <v>-8.3145858597042182</v>
      </c>
      <c r="U97" s="8">
        <v>157</v>
      </c>
      <c r="V97" s="10">
        <f t="shared" si="13"/>
        <v>0.23383117439372722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690.58328134747001</v>
      </c>
      <c r="E98">
        <v>249.89394884590999</v>
      </c>
      <c r="F98">
        <v>138.62226391495</v>
      </c>
      <c r="G98">
        <v>117.13570981864</v>
      </c>
      <c r="I98" s="9">
        <f t="shared" si="8"/>
        <v>132.75823902727001</v>
      </c>
      <c r="J98" s="9">
        <f t="shared" si="9"/>
        <v>551.96101743252007</v>
      </c>
      <c r="K98" s="9">
        <f t="shared" si="10"/>
        <v>132.75823902727001</v>
      </c>
      <c r="L98" s="10">
        <f t="shared" si="7"/>
        <v>0.24052104194749652</v>
      </c>
      <c r="M98" s="10">
        <f t="shared" si="11"/>
        <v>0.25878053444405374</v>
      </c>
      <c r="P98" s="8">
        <f t="shared" si="12"/>
        <v>-10.695687425124145</v>
      </c>
      <c r="U98" s="8">
        <v>157.5</v>
      </c>
      <c r="V98" s="10">
        <f t="shared" si="13"/>
        <v>0.23957696144687551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725.52988792029998</v>
      </c>
      <c r="E99">
        <v>258.77521793275002</v>
      </c>
      <c r="F99">
        <v>138.72170106316</v>
      </c>
      <c r="G99">
        <v>117.11944965604</v>
      </c>
      <c r="I99" s="9">
        <f t="shared" si="8"/>
        <v>141.65576827671003</v>
      </c>
      <c r="J99" s="9">
        <f t="shared" si="9"/>
        <v>586.80818685713996</v>
      </c>
      <c r="K99" s="9">
        <f t="shared" si="10"/>
        <v>141.65576827671003</v>
      </c>
      <c r="L99" s="10">
        <f t="shared" si="7"/>
        <v>0.24140046347239616</v>
      </c>
      <c r="M99" s="10">
        <f t="shared" si="11"/>
        <v>0.2598501590157925</v>
      </c>
      <c r="P99" s="8">
        <f t="shared" si="12"/>
        <v>-10.326563498173693</v>
      </c>
      <c r="U99" s="8">
        <v>158</v>
      </c>
      <c r="V99" s="10">
        <f t="shared" si="13"/>
        <v>0.23344665002809833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719.50871731008999</v>
      </c>
      <c r="E100">
        <v>258.53113325031001</v>
      </c>
      <c r="F100">
        <v>138.76547842401999</v>
      </c>
      <c r="G100">
        <v>116.79799874922</v>
      </c>
      <c r="I100" s="9">
        <f t="shared" si="8"/>
        <v>141.73313450109001</v>
      </c>
      <c r="J100" s="9">
        <f t="shared" si="9"/>
        <v>580.74323888607</v>
      </c>
      <c r="K100" s="9">
        <f t="shared" si="10"/>
        <v>141.73313450109001</v>
      </c>
      <c r="L100" s="10">
        <f t="shared" si="7"/>
        <v>0.24405473023319202</v>
      </c>
      <c r="M100" s="10">
        <f t="shared" si="11"/>
        <v>0.26269462882342753</v>
      </c>
      <c r="P100" s="8">
        <f t="shared" si="12"/>
        <v>-9.344946309088888</v>
      </c>
      <c r="U100" s="8">
        <v>158.5</v>
      </c>
      <c r="V100" s="10">
        <f t="shared" si="13"/>
        <v>0.23525445527534108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723.25282308657995</v>
      </c>
      <c r="E101">
        <v>259.26223337516001</v>
      </c>
      <c r="F101">
        <v>138.21763602250999</v>
      </c>
      <c r="G101">
        <v>117.01500938085999</v>
      </c>
      <c r="I101" s="9">
        <f t="shared" si="8"/>
        <v>142.24722399430001</v>
      </c>
      <c r="J101" s="9">
        <f t="shared" si="9"/>
        <v>585.03518706406999</v>
      </c>
      <c r="K101" s="9">
        <f t="shared" si="10"/>
        <v>142.24722399430001</v>
      </c>
      <c r="L101" s="10">
        <f t="shared" si="7"/>
        <v>0.24314302308575816</v>
      </c>
      <c r="M101" s="10">
        <f t="shared" si="11"/>
        <v>0.2619731247228328</v>
      </c>
      <c r="P101" s="8">
        <f t="shared" si="12"/>
        <v>-9.5939350047108025</v>
      </c>
      <c r="U101" s="8">
        <v>159</v>
      </c>
      <c r="V101" s="10">
        <f t="shared" si="13"/>
        <v>0.23328720076988269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746.57799875699004</v>
      </c>
      <c r="E102">
        <v>264.89620882536002</v>
      </c>
      <c r="F102">
        <v>138.55472170106</v>
      </c>
      <c r="G102">
        <v>116.96873045654</v>
      </c>
      <c r="I102" s="9">
        <f t="shared" si="8"/>
        <v>147.92747836882</v>
      </c>
      <c r="J102" s="9">
        <f t="shared" si="9"/>
        <v>608.02327705593007</v>
      </c>
      <c r="K102" s="9">
        <f t="shared" si="10"/>
        <v>147.92747836882</v>
      </c>
      <c r="L102" s="10">
        <f t="shared" si="7"/>
        <v>0.24329245927078649</v>
      </c>
      <c r="M102" s="10">
        <f t="shared" si="11"/>
        <v>0.26231276395470027</v>
      </c>
      <c r="P102" s="8">
        <f t="shared" si="12"/>
        <v>-9.4767266212033441</v>
      </c>
      <c r="U102" s="8">
        <v>159.5</v>
      </c>
      <c r="V102" s="10">
        <f t="shared" si="13"/>
        <v>0.23478999897457051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749.39714108142005</v>
      </c>
      <c r="E103">
        <v>266.25295214418998</v>
      </c>
      <c r="F103">
        <v>138.42651657286001</v>
      </c>
      <c r="G103">
        <v>116.74233896185</v>
      </c>
      <c r="I103" s="9">
        <f t="shared" si="8"/>
        <v>149.51061318233997</v>
      </c>
      <c r="J103" s="9">
        <f t="shared" si="9"/>
        <v>610.97062450856004</v>
      </c>
      <c r="K103" s="9">
        <f t="shared" si="10"/>
        <v>149.51061318233997</v>
      </c>
      <c r="L103" s="10">
        <f t="shared" si="7"/>
        <v>0.24470998634770735</v>
      </c>
      <c r="M103" s="10">
        <f t="shared" si="11"/>
        <v>0.26392049407846024</v>
      </c>
      <c r="P103" s="8">
        <f t="shared" si="12"/>
        <v>-8.9219042354440905</v>
      </c>
      <c r="U103" s="8">
        <v>160</v>
      </c>
      <c r="V103" s="10">
        <f t="shared" si="13"/>
        <v>0.2333566721341595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750.72812499999998</v>
      </c>
      <c r="E104">
        <v>265.53625</v>
      </c>
      <c r="F104">
        <v>138.09068167605</v>
      </c>
      <c r="G104">
        <v>116.61163227017001</v>
      </c>
      <c r="I104" s="9">
        <f t="shared" si="8"/>
        <v>148.92461772983</v>
      </c>
      <c r="J104" s="9">
        <f t="shared" si="9"/>
        <v>612.63744332395004</v>
      </c>
      <c r="K104" s="9">
        <f t="shared" si="10"/>
        <v>148.92461772983</v>
      </c>
      <c r="L104" s="10">
        <f t="shared" si="7"/>
        <v>0.24308768481700807</v>
      </c>
      <c r="M104" s="10">
        <f t="shared" si="11"/>
        <v>0.26248839559460013</v>
      </c>
      <c r="P104" s="8">
        <f t="shared" si="12"/>
        <v>-9.4161167190661867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740.11955168120005</v>
      </c>
      <c r="E105">
        <v>264.84308841843</v>
      </c>
      <c r="F105">
        <v>138.44027517198001</v>
      </c>
      <c r="G105">
        <v>116.85803627267001</v>
      </c>
      <c r="I105" s="9">
        <f t="shared" si="8"/>
        <v>147.98505214575999</v>
      </c>
      <c r="J105" s="9">
        <f t="shared" si="9"/>
        <v>601.67927650922002</v>
      </c>
      <c r="K105" s="9">
        <f t="shared" si="10"/>
        <v>147.98505214575999</v>
      </c>
      <c r="L105" s="10">
        <f t="shared" si="7"/>
        <v>0.24595338068535305</v>
      </c>
      <c r="M105" s="10">
        <f t="shared" si="11"/>
        <v>0.26554429450978423</v>
      </c>
      <c r="P105" s="8">
        <f t="shared" si="12"/>
        <v>-8.3615360393210327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734.39663760896997</v>
      </c>
      <c r="E106">
        <v>264.71917808219001</v>
      </c>
      <c r="F106">
        <v>138.60225140713001</v>
      </c>
      <c r="G106">
        <v>116.71232020012999</v>
      </c>
      <c r="I106" s="9">
        <f t="shared" si="8"/>
        <v>148.00685788206002</v>
      </c>
      <c r="J106" s="9">
        <f t="shared" si="9"/>
        <v>595.79438620183998</v>
      </c>
      <c r="K106" s="9">
        <f t="shared" si="10"/>
        <v>148.00685788206002</v>
      </c>
      <c r="L106" s="10">
        <f t="shared" si="7"/>
        <v>0.24841935625744394</v>
      </c>
      <c r="M106" s="10">
        <f t="shared" si="11"/>
        <v>0.26820047312871426</v>
      </c>
      <c r="P106" s="8">
        <f t="shared" si="12"/>
        <v>-7.4448975210907831</v>
      </c>
      <c r="X106" s="8">
        <v>-13</v>
      </c>
    </row>
    <row r="107" spans="1:25" x14ac:dyDescent="0.2">
      <c r="A107" s="8">
        <v>52.5</v>
      </c>
      <c r="B107" s="8">
        <v>105</v>
      </c>
      <c r="D107">
        <v>730.56054931335996</v>
      </c>
      <c r="E107">
        <v>264.40012484394998</v>
      </c>
      <c r="F107">
        <v>138.3320825516</v>
      </c>
      <c r="G107">
        <v>116.64227642276001</v>
      </c>
      <c r="I107" s="9">
        <f t="shared" si="8"/>
        <v>147.75784842118998</v>
      </c>
      <c r="J107" s="9">
        <f t="shared" si="9"/>
        <v>592.22846676175993</v>
      </c>
      <c r="K107" s="9">
        <f t="shared" si="10"/>
        <v>147.75784842118998</v>
      </c>
      <c r="L107" s="10">
        <f t="shared" si="7"/>
        <v>0.24949467429202388</v>
      </c>
      <c r="M107" s="10">
        <f t="shared" si="11"/>
        <v>0.26946599421013334</v>
      </c>
      <c r="P107" s="8">
        <f t="shared" si="12"/>
        <v>-7.0081703519938436</v>
      </c>
      <c r="X107" s="8">
        <v>-13</v>
      </c>
    </row>
    <row r="108" spans="1:25" x14ac:dyDescent="0.2">
      <c r="A108" s="8">
        <v>53</v>
      </c>
      <c r="B108" s="8">
        <v>106</v>
      </c>
      <c r="D108">
        <v>729.01310861422996</v>
      </c>
      <c r="E108">
        <v>261.60237203496001</v>
      </c>
      <c r="F108">
        <v>138.55034396497999</v>
      </c>
      <c r="G108">
        <v>116.78048780488</v>
      </c>
      <c r="I108" s="9">
        <f t="shared" si="8"/>
        <v>144.82188423008</v>
      </c>
      <c r="J108" s="9">
        <f t="shared" si="9"/>
        <v>590.46276464924995</v>
      </c>
      <c r="K108" s="9">
        <f t="shared" si="10"/>
        <v>144.82188423008</v>
      </c>
      <c r="L108" s="10">
        <f t="shared" si="7"/>
        <v>0.24526844519333563</v>
      </c>
      <c r="M108" s="10">
        <f t="shared" si="11"/>
        <v>0.26542996815828424</v>
      </c>
      <c r="P108" s="8">
        <f t="shared" si="12"/>
        <v>-8.4009896877642376</v>
      </c>
      <c r="X108" s="8">
        <v>-13</v>
      </c>
    </row>
    <row r="109" spans="1:25" x14ac:dyDescent="0.2">
      <c r="A109" s="8">
        <v>53.5</v>
      </c>
      <c r="B109" s="8">
        <v>107</v>
      </c>
      <c r="D109">
        <v>728.58577666874999</v>
      </c>
      <c r="E109">
        <v>262.14660012476998</v>
      </c>
      <c r="F109">
        <v>138.54596622888999</v>
      </c>
      <c r="G109">
        <v>117.01626016260001</v>
      </c>
      <c r="I109" s="9">
        <f t="shared" si="8"/>
        <v>145.13033996216996</v>
      </c>
      <c r="J109" s="9">
        <f t="shared" si="9"/>
        <v>590.03981043986005</v>
      </c>
      <c r="K109" s="9">
        <f t="shared" si="10"/>
        <v>145.13033996216996</v>
      </c>
      <c r="L109" s="10">
        <f t="shared" si="7"/>
        <v>0.24596703035000111</v>
      </c>
      <c r="M109" s="10">
        <f t="shared" si="11"/>
        <v>0.26631875636178887</v>
      </c>
      <c r="P109" s="8">
        <f t="shared" si="12"/>
        <v>-8.0942717976062379</v>
      </c>
      <c r="X109" s="8">
        <v>-13</v>
      </c>
    </row>
    <row r="110" spans="1:25" x14ac:dyDescent="0.2">
      <c r="A110" s="8">
        <v>54</v>
      </c>
      <c r="B110" s="8">
        <v>108</v>
      </c>
      <c r="D110">
        <v>718.00748596382005</v>
      </c>
      <c r="E110">
        <v>258.70742358079002</v>
      </c>
      <c r="F110">
        <v>138.20575359599999</v>
      </c>
      <c r="G110">
        <v>116.74296435271999</v>
      </c>
      <c r="I110" s="9">
        <f t="shared" si="8"/>
        <v>141.96445922807004</v>
      </c>
      <c r="J110" s="9">
        <f t="shared" si="9"/>
        <v>579.80173236782002</v>
      </c>
      <c r="K110" s="9">
        <f t="shared" si="10"/>
        <v>141.96445922807004</v>
      </c>
      <c r="L110" s="10">
        <f t="shared" si="7"/>
        <v>0.24485000872334287</v>
      </c>
      <c r="M110" s="10">
        <f t="shared" si="11"/>
        <v>0.26539193778196973</v>
      </c>
      <c r="P110" s="8">
        <f t="shared" si="12"/>
        <v>-8.4141138457347235</v>
      </c>
      <c r="X110" s="8">
        <v>-13</v>
      </c>
    </row>
    <row r="111" spans="1:25" x14ac:dyDescent="0.2">
      <c r="A111" s="8">
        <v>54.5</v>
      </c>
      <c r="B111" s="8">
        <v>109</v>
      </c>
      <c r="D111">
        <v>727.87461010605</v>
      </c>
      <c r="E111">
        <v>260.56893325016</v>
      </c>
      <c r="F111">
        <v>138.23514696685001</v>
      </c>
      <c r="G111">
        <v>116.55409631019</v>
      </c>
      <c r="I111" s="9">
        <f t="shared" si="8"/>
        <v>144.01483693997</v>
      </c>
      <c r="J111" s="9">
        <f t="shared" si="9"/>
        <v>589.63946313919996</v>
      </c>
      <c r="K111" s="9">
        <f t="shared" si="10"/>
        <v>144.01483693997</v>
      </c>
      <c r="L111" s="10">
        <f t="shared" si="7"/>
        <v>0.24424219534636454</v>
      </c>
      <c r="M111" s="10">
        <f t="shared" si="11"/>
        <v>0.26497432745183053</v>
      </c>
      <c r="P111" s="8">
        <f t="shared" si="12"/>
        <v>-8.5582297991906877</v>
      </c>
      <c r="X111" s="8">
        <v>-13</v>
      </c>
    </row>
    <row r="112" spans="1:25" x14ac:dyDescent="0.2">
      <c r="A112" s="8">
        <v>55</v>
      </c>
      <c r="B112" s="8">
        <v>110</v>
      </c>
      <c r="D112">
        <v>722.34538653366997</v>
      </c>
      <c r="E112">
        <v>258.17892768079997</v>
      </c>
      <c r="F112">
        <v>138.21138211382001</v>
      </c>
      <c r="G112">
        <v>116.70919324578</v>
      </c>
      <c r="I112" s="9">
        <f t="shared" si="8"/>
        <v>141.46973443501997</v>
      </c>
      <c r="J112" s="9">
        <f t="shared" si="9"/>
        <v>584.13400441984993</v>
      </c>
      <c r="K112" s="9">
        <f t="shared" si="10"/>
        <v>141.46973443501997</v>
      </c>
      <c r="L112" s="10">
        <f t="shared" si="7"/>
        <v>0.24218712378425025</v>
      </c>
      <c r="M112" s="10">
        <f t="shared" si="11"/>
        <v>0.26310945893655541</v>
      </c>
      <c r="P112" s="8">
        <f t="shared" si="12"/>
        <v>-9.2017897993930156</v>
      </c>
      <c r="X112" s="8">
        <v>-13</v>
      </c>
    </row>
    <row r="113" spans="1:24" x14ac:dyDescent="0.2">
      <c r="A113" s="8">
        <v>55.5</v>
      </c>
      <c r="B113" s="8">
        <v>111</v>
      </c>
      <c r="D113">
        <v>737.84975062343995</v>
      </c>
      <c r="E113">
        <v>261.62468827930002</v>
      </c>
      <c r="F113">
        <v>138.15572232644999</v>
      </c>
      <c r="G113">
        <v>116.77548467792001</v>
      </c>
      <c r="I113" s="9">
        <f t="shared" si="8"/>
        <v>144.84920360138</v>
      </c>
      <c r="J113" s="9">
        <f t="shared" si="9"/>
        <v>599.69402829698993</v>
      </c>
      <c r="K113" s="9">
        <f t="shared" si="10"/>
        <v>144.84920360138</v>
      </c>
      <c r="L113" s="10">
        <f t="shared" si="7"/>
        <v>0.24153851258569728</v>
      </c>
      <c r="M113" s="10">
        <f t="shared" si="11"/>
        <v>0.26265105078484158</v>
      </c>
      <c r="P113" s="8">
        <f t="shared" si="12"/>
        <v>-9.3599849470901617</v>
      </c>
      <c r="X113" s="8">
        <v>-13</v>
      </c>
    </row>
    <row r="114" spans="1:24" x14ac:dyDescent="0.2">
      <c r="A114" s="8">
        <v>56</v>
      </c>
      <c r="B114" s="8">
        <v>112</v>
      </c>
      <c r="D114">
        <v>740.19950124688</v>
      </c>
      <c r="E114">
        <v>262.89152119700998</v>
      </c>
      <c r="F114">
        <v>138.47529706066001</v>
      </c>
      <c r="G114">
        <v>116.51469668543</v>
      </c>
      <c r="I114" s="9">
        <f t="shared" si="8"/>
        <v>146.37682451157997</v>
      </c>
      <c r="J114" s="9">
        <f t="shared" si="9"/>
        <v>601.72420418622005</v>
      </c>
      <c r="K114" s="9">
        <f t="shared" si="10"/>
        <v>146.37682451157997</v>
      </c>
      <c r="L114" s="10">
        <f t="shared" si="7"/>
        <v>0.24326231767515813</v>
      </c>
      <c r="M114" s="10">
        <f t="shared" si="11"/>
        <v>0.26456505892114157</v>
      </c>
      <c r="P114" s="8">
        <f t="shared" si="12"/>
        <v>-8.6994670250516943</v>
      </c>
      <c r="X114" s="8">
        <v>-13</v>
      </c>
    </row>
    <row r="115" spans="1:24" x14ac:dyDescent="0.2">
      <c r="A115" s="8">
        <v>56.5</v>
      </c>
      <c r="B115" s="8">
        <v>113</v>
      </c>
      <c r="D115">
        <v>744.29987531172003</v>
      </c>
      <c r="E115">
        <v>262.82356608479</v>
      </c>
      <c r="F115">
        <v>138.51031894933999</v>
      </c>
      <c r="G115">
        <v>116.91557223265001</v>
      </c>
      <c r="I115" s="9">
        <f t="shared" si="8"/>
        <v>145.90799385214001</v>
      </c>
      <c r="J115" s="9">
        <f t="shared" si="9"/>
        <v>605.78955636238004</v>
      </c>
      <c r="K115" s="9">
        <f t="shared" si="10"/>
        <v>145.90799385214001</v>
      </c>
      <c r="L115" s="10">
        <f t="shared" si="7"/>
        <v>0.2408559083261228</v>
      </c>
      <c r="M115" s="10">
        <f t="shared" si="11"/>
        <v>0.26234885261894536</v>
      </c>
      <c r="P115" s="8">
        <f t="shared" si="12"/>
        <v>-9.4642725416912317</v>
      </c>
      <c r="X115" s="8">
        <v>-13</v>
      </c>
    </row>
    <row r="116" spans="1:24" x14ac:dyDescent="0.2">
      <c r="A116" s="8">
        <v>57</v>
      </c>
      <c r="B116" s="8">
        <v>114</v>
      </c>
      <c r="D116">
        <v>758.58541147131996</v>
      </c>
      <c r="E116">
        <v>265.24002493766</v>
      </c>
      <c r="F116">
        <v>138.35334584115</v>
      </c>
      <c r="G116">
        <v>116.4440275172</v>
      </c>
      <c r="I116" s="9">
        <f t="shared" si="8"/>
        <v>148.79599742046</v>
      </c>
      <c r="J116" s="9">
        <f t="shared" si="9"/>
        <v>620.23206563016993</v>
      </c>
      <c r="K116" s="9">
        <f t="shared" si="10"/>
        <v>148.79599742046</v>
      </c>
      <c r="L116" s="10">
        <f t="shared" si="7"/>
        <v>0.23990374839662615</v>
      </c>
      <c r="M116" s="10">
        <f t="shared" si="11"/>
        <v>0.26158689573628785</v>
      </c>
      <c r="P116" s="8">
        <f t="shared" si="12"/>
        <v>-9.7272213595519332</v>
      </c>
      <c r="X116" s="8">
        <v>-13</v>
      </c>
    </row>
    <row r="117" spans="1:24" x14ac:dyDescent="0.2">
      <c r="A117" s="8">
        <v>57.5</v>
      </c>
      <c r="B117" s="8">
        <v>115</v>
      </c>
      <c r="D117">
        <v>754.89339152119999</v>
      </c>
      <c r="E117">
        <v>265.17082294263997</v>
      </c>
      <c r="F117">
        <v>138.47592245153001</v>
      </c>
      <c r="G117">
        <v>116.98811757348</v>
      </c>
      <c r="I117" s="9">
        <f t="shared" si="8"/>
        <v>148.18270536915998</v>
      </c>
      <c r="J117" s="9">
        <f t="shared" si="9"/>
        <v>616.41746906967001</v>
      </c>
      <c r="K117" s="9">
        <f t="shared" si="10"/>
        <v>148.18270536915998</v>
      </c>
      <c r="L117" s="10">
        <f t="shared" si="7"/>
        <v>0.24039342297161886</v>
      </c>
      <c r="M117" s="10">
        <f t="shared" si="11"/>
        <v>0.26226677335811971</v>
      </c>
      <c r="P117" s="8">
        <f t="shared" si="12"/>
        <v>-9.4925978250454701</v>
      </c>
      <c r="X117" s="8">
        <v>-13</v>
      </c>
    </row>
    <row r="118" spans="1:24" x14ac:dyDescent="0.2">
      <c r="A118" s="8">
        <v>58</v>
      </c>
      <c r="B118" s="8">
        <v>116</v>
      </c>
      <c r="D118">
        <v>755.03491271820997</v>
      </c>
      <c r="E118">
        <v>263.51745635909998</v>
      </c>
      <c r="F118">
        <v>138.67729831144999</v>
      </c>
      <c r="G118">
        <v>116.66541588493</v>
      </c>
      <c r="I118" s="9">
        <f t="shared" si="8"/>
        <v>146.85204047417</v>
      </c>
      <c r="J118" s="9">
        <f t="shared" si="9"/>
        <v>616.35761440675992</v>
      </c>
      <c r="K118" s="9">
        <f t="shared" si="10"/>
        <v>146.85204047417</v>
      </c>
      <c r="L118" s="10">
        <f t="shared" si="7"/>
        <v>0.23825785070492575</v>
      </c>
      <c r="M118" s="10">
        <f t="shared" si="11"/>
        <v>0.26032140413826571</v>
      </c>
      <c r="P118" s="8">
        <f t="shared" si="12"/>
        <v>-10.163938354025413</v>
      </c>
      <c r="X118" s="8">
        <v>-13</v>
      </c>
    </row>
    <row r="119" spans="1:24" x14ac:dyDescent="0.2">
      <c r="A119" s="8">
        <v>58.5</v>
      </c>
      <c r="B119" s="8">
        <v>117</v>
      </c>
      <c r="D119">
        <v>760.43204488777997</v>
      </c>
      <c r="E119">
        <v>264.61658354115002</v>
      </c>
      <c r="F119">
        <v>138.07754846779</v>
      </c>
      <c r="G119">
        <v>116.59974984365</v>
      </c>
      <c r="I119" s="9">
        <f t="shared" si="8"/>
        <v>148.01683369750003</v>
      </c>
      <c r="J119" s="9">
        <f t="shared" si="9"/>
        <v>622.35449641999003</v>
      </c>
      <c r="K119" s="9">
        <f t="shared" si="10"/>
        <v>148.01683369750003</v>
      </c>
      <c r="L119" s="10">
        <f t="shared" si="7"/>
        <v>0.2378336374991212</v>
      </c>
      <c r="M119" s="10">
        <f t="shared" si="11"/>
        <v>0.26008739397930031</v>
      </c>
      <c r="P119" s="8">
        <f t="shared" si="12"/>
        <v>-10.244694491371057</v>
      </c>
      <c r="X119" s="8">
        <v>-13</v>
      </c>
    </row>
    <row r="120" spans="1:24" x14ac:dyDescent="0.2">
      <c r="A120" s="8">
        <v>59</v>
      </c>
      <c r="B120" s="8">
        <v>118</v>
      </c>
      <c r="D120">
        <v>751.51745635910004</v>
      </c>
      <c r="E120">
        <v>262.91147132169999</v>
      </c>
      <c r="F120">
        <v>138.50406504065</v>
      </c>
      <c r="G120">
        <v>116.77173233271</v>
      </c>
      <c r="I120" s="9">
        <f t="shared" si="8"/>
        <v>146.13973898898999</v>
      </c>
      <c r="J120" s="9">
        <f t="shared" si="9"/>
        <v>613.01339131844998</v>
      </c>
      <c r="K120" s="9">
        <f t="shared" si="10"/>
        <v>146.13973898898999</v>
      </c>
      <c r="L120" s="10">
        <f t="shared" si="7"/>
        <v>0.23839567138113774</v>
      </c>
      <c r="M120" s="10">
        <f t="shared" si="11"/>
        <v>0.26083963090815598</v>
      </c>
      <c r="P120" s="8">
        <f t="shared" si="12"/>
        <v>-9.9850999976460457</v>
      </c>
      <c r="X120" s="8">
        <v>-13</v>
      </c>
    </row>
    <row r="121" spans="1:24" x14ac:dyDescent="0.2">
      <c r="A121" s="8">
        <v>59.5</v>
      </c>
      <c r="B121" s="8">
        <v>119</v>
      </c>
      <c r="D121">
        <v>753.32231920200002</v>
      </c>
      <c r="E121">
        <v>263.29675810473998</v>
      </c>
      <c r="F121">
        <v>137.90931832395</v>
      </c>
      <c r="G121">
        <v>116.64415259537</v>
      </c>
      <c r="I121" s="9">
        <f t="shared" si="8"/>
        <v>146.65260550936998</v>
      </c>
      <c r="J121" s="9">
        <f t="shared" si="9"/>
        <v>615.41300087805007</v>
      </c>
      <c r="K121" s="9">
        <f t="shared" si="10"/>
        <v>146.65260550936998</v>
      </c>
      <c r="L121" s="10">
        <f t="shared" si="7"/>
        <v>0.23829949204864229</v>
      </c>
      <c r="M121" s="10">
        <f t="shared" si="11"/>
        <v>0.26093365462249968</v>
      </c>
      <c r="P121" s="8">
        <f t="shared" si="12"/>
        <v>-9.9526527226095389</v>
      </c>
      <c r="X121" s="8">
        <v>-13</v>
      </c>
    </row>
    <row r="122" spans="1:24" x14ac:dyDescent="0.2">
      <c r="A122" s="8">
        <v>60</v>
      </c>
      <c r="B122" s="8">
        <v>120</v>
      </c>
      <c r="D122">
        <v>756.87655860349003</v>
      </c>
      <c r="E122">
        <v>262.72256857855001</v>
      </c>
      <c r="F122">
        <v>138.10819262039001</v>
      </c>
      <c r="G122">
        <v>116.71169480926</v>
      </c>
      <c r="I122" s="9">
        <f t="shared" si="8"/>
        <v>146.01087376929001</v>
      </c>
      <c r="J122" s="9">
        <f t="shared" si="9"/>
        <v>618.76836598310001</v>
      </c>
      <c r="K122" s="9">
        <f t="shared" si="10"/>
        <v>146.01087376929001</v>
      </c>
      <c r="L122" s="10">
        <f t="shared" si="7"/>
        <v>0.23597016556802761</v>
      </c>
      <c r="M122" s="10">
        <f t="shared" si="11"/>
        <v>0.25879453118872414</v>
      </c>
      <c r="P122" s="8">
        <f t="shared" si="12"/>
        <v>-10.690857194505133</v>
      </c>
      <c r="X122" s="8">
        <v>-13</v>
      </c>
    </row>
    <row r="123" spans="1:24" x14ac:dyDescent="0.2">
      <c r="A123" s="8">
        <v>60.5</v>
      </c>
      <c r="B123" s="8">
        <v>121</v>
      </c>
      <c r="D123">
        <v>748.79738154613995</v>
      </c>
      <c r="E123">
        <v>260.80798004987997</v>
      </c>
      <c r="F123">
        <v>138.15759849905999</v>
      </c>
      <c r="G123">
        <v>116.40275171982999</v>
      </c>
      <c r="I123" s="9">
        <f t="shared" si="8"/>
        <v>144.40522833004997</v>
      </c>
      <c r="J123" s="9">
        <f t="shared" si="9"/>
        <v>610.63978304707996</v>
      </c>
      <c r="K123" s="9">
        <f t="shared" si="10"/>
        <v>144.40522833004997</v>
      </c>
      <c r="L123" s="10">
        <f t="shared" si="7"/>
        <v>0.23648185450589354</v>
      </c>
      <c r="M123" s="10">
        <f t="shared" si="11"/>
        <v>0.25949642317342919</v>
      </c>
      <c r="P123" s="8">
        <f t="shared" si="12"/>
        <v>-10.448636575668552</v>
      </c>
      <c r="X123" s="8">
        <v>-13</v>
      </c>
    </row>
    <row r="124" spans="1:24" x14ac:dyDescent="0.2">
      <c r="A124" s="8">
        <v>61</v>
      </c>
      <c r="B124" s="8">
        <v>122</v>
      </c>
      <c r="D124">
        <v>754.37593516209995</v>
      </c>
      <c r="E124">
        <v>262.25810473816</v>
      </c>
      <c r="F124">
        <v>138.55659787367</v>
      </c>
      <c r="G124">
        <v>116.38211382114</v>
      </c>
      <c r="I124" s="9">
        <f t="shared" si="8"/>
        <v>145.87599091702</v>
      </c>
      <c r="J124" s="9">
        <f t="shared" si="9"/>
        <v>615.81933728843001</v>
      </c>
      <c r="K124" s="9">
        <f t="shared" si="10"/>
        <v>145.87599091702</v>
      </c>
      <c r="L124" s="10">
        <f t="shared" si="7"/>
        <v>0.23688114692750606</v>
      </c>
      <c r="M124" s="10">
        <f t="shared" si="11"/>
        <v>0.26008591864188085</v>
      </c>
      <c r="P124" s="8">
        <f t="shared" si="12"/>
        <v>-10.245203625469349</v>
      </c>
      <c r="X124" s="8">
        <v>-13</v>
      </c>
    </row>
    <row r="125" spans="1:24" x14ac:dyDescent="0.2">
      <c r="A125" s="8">
        <v>61.5</v>
      </c>
      <c r="B125" s="8">
        <v>123</v>
      </c>
      <c r="D125">
        <v>748.24688279301995</v>
      </c>
      <c r="E125">
        <v>261.49002493766</v>
      </c>
      <c r="F125">
        <v>138.19887429644001</v>
      </c>
      <c r="G125">
        <v>116.52407754847</v>
      </c>
      <c r="I125" s="9">
        <f t="shared" si="8"/>
        <v>144.96594738918998</v>
      </c>
      <c r="J125" s="9">
        <f t="shared" si="9"/>
        <v>610.04800849658</v>
      </c>
      <c r="K125" s="9">
        <f t="shared" si="10"/>
        <v>144.96594738918998</v>
      </c>
      <c r="L125" s="10">
        <f t="shared" si="7"/>
        <v>0.23763039198578528</v>
      </c>
      <c r="M125" s="10">
        <f t="shared" si="11"/>
        <v>0.26102536674699922</v>
      </c>
      <c r="P125" s="8">
        <f t="shared" si="12"/>
        <v>-9.9210031696367516</v>
      </c>
      <c r="X125" s="8">
        <v>-13</v>
      </c>
    </row>
    <row r="126" spans="1:24" x14ac:dyDescent="0.2">
      <c r="A126" s="8">
        <v>62</v>
      </c>
      <c r="B126" s="8">
        <v>124</v>
      </c>
      <c r="D126">
        <v>739.44887780549004</v>
      </c>
      <c r="E126">
        <v>257.34413965086998</v>
      </c>
      <c r="F126">
        <v>137.52657911195001</v>
      </c>
      <c r="G126">
        <v>116.62476547842</v>
      </c>
      <c r="I126" s="9">
        <f t="shared" si="8"/>
        <v>140.71937417244999</v>
      </c>
      <c r="J126" s="9">
        <f t="shared" si="9"/>
        <v>601.92229869354003</v>
      </c>
      <c r="K126" s="9">
        <f t="shared" si="10"/>
        <v>140.71937417244999</v>
      </c>
      <c r="L126" s="10">
        <f t="shared" si="7"/>
        <v>0.23378328810525628</v>
      </c>
      <c r="M126" s="10">
        <f t="shared" si="11"/>
        <v>0.25736846591330936</v>
      </c>
      <c r="P126" s="8">
        <f t="shared" si="12"/>
        <v>-11.18298763770642</v>
      </c>
      <c r="X126" s="8">
        <v>-13</v>
      </c>
    </row>
    <row r="127" spans="1:24" x14ac:dyDescent="0.2">
      <c r="A127" s="8">
        <v>62.5</v>
      </c>
      <c r="B127" s="8">
        <v>125</v>
      </c>
      <c r="D127">
        <v>735.83042394015001</v>
      </c>
      <c r="E127">
        <v>257.11097256858</v>
      </c>
      <c r="F127">
        <v>138.27329580988001</v>
      </c>
      <c r="G127">
        <v>116.54721701063001</v>
      </c>
      <c r="I127" s="9">
        <f t="shared" si="8"/>
        <v>140.56375555795</v>
      </c>
      <c r="J127" s="9">
        <f t="shared" si="9"/>
        <v>597.55712813027003</v>
      </c>
      <c r="K127" s="9">
        <f t="shared" si="10"/>
        <v>140.56375555795</v>
      </c>
      <c r="L127" s="10">
        <f t="shared" si="7"/>
        <v>0.2352306565194324</v>
      </c>
      <c r="M127" s="10">
        <f t="shared" si="11"/>
        <v>0.25900603737432459</v>
      </c>
      <c r="P127" s="8">
        <f t="shared" si="12"/>
        <v>-10.617867104462384</v>
      </c>
      <c r="X127" s="8">
        <v>-13</v>
      </c>
    </row>
    <row r="128" spans="1:24" x14ac:dyDescent="0.2">
      <c r="A128" s="8">
        <v>63</v>
      </c>
      <c r="B128" s="8">
        <v>126</v>
      </c>
      <c r="D128">
        <v>743.23254364089996</v>
      </c>
      <c r="E128">
        <v>261.33541147132001</v>
      </c>
      <c r="F128">
        <v>137.72858036273001</v>
      </c>
      <c r="G128">
        <v>116.88555347092</v>
      </c>
      <c r="I128" s="9">
        <f t="shared" si="8"/>
        <v>144.44985800040001</v>
      </c>
      <c r="J128" s="9">
        <f t="shared" si="9"/>
        <v>605.50396327816998</v>
      </c>
      <c r="K128" s="9">
        <f t="shared" si="10"/>
        <v>144.44985800040001</v>
      </c>
      <c r="L128" s="10">
        <f t="shared" si="7"/>
        <v>0.23856137492206539</v>
      </c>
      <c r="M128" s="10">
        <f t="shared" si="11"/>
        <v>0.26252695882379673</v>
      </c>
      <c r="P128" s="8">
        <f t="shared" si="12"/>
        <v>-9.4028086753160345</v>
      </c>
      <c r="X128" s="8">
        <v>-13</v>
      </c>
    </row>
    <row r="129" spans="1:24" x14ac:dyDescent="0.2">
      <c r="A129" s="8">
        <v>63.5</v>
      </c>
      <c r="B129" s="8">
        <v>127</v>
      </c>
      <c r="D129">
        <v>707.09556527171003</v>
      </c>
      <c r="E129">
        <v>252.77451592755</v>
      </c>
      <c r="F129">
        <v>138.00938086304001</v>
      </c>
      <c r="G129">
        <v>116.39337085679</v>
      </c>
      <c r="I129" s="9">
        <f t="shared" si="8"/>
        <v>136.38114507076</v>
      </c>
      <c r="J129" s="9">
        <f t="shared" si="9"/>
        <v>569.08618440867008</v>
      </c>
      <c r="K129" s="9">
        <f t="shared" si="10"/>
        <v>136.38114507076</v>
      </c>
      <c r="L129" s="10">
        <f t="shared" si="7"/>
        <v>0.23964936912406659</v>
      </c>
      <c r="M129" s="10">
        <f t="shared" si="11"/>
        <v>0.2638051560726371</v>
      </c>
      <c r="P129" s="8">
        <f t="shared" si="12"/>
        <v>-8.9617070024718384</v>
      </c>
      <c r="X129" s="8">
        <v>-13</v>
      </c>
    </row>
    <row r="130" spans="1:24" x14ac:dyDescent="0.2">
      <c r="A130" s="8">
        <v>64</v>
      </c>
      <c r="B130" s="8">
        <v>128</v>
      </c>
      <c r="D130">
        <v>692.02186133666999</v>
      </c>
      <c r="E130">
        <v>249.90505933790999</v>
      </c>
      <c r="F130">
        <v>137.84552845529001</v>
      </c>
      <c r="G130">
        <v>116.35959974984</v>
      </c>
      <c r="I130" s="9">
        <f t="shared" si="8"/>
        <v>133.54545958807</v>
      </c>
      <c r="J130" s="9">
        <f t="shared" si="9"/>
        <v>554.17633288137995</v>
      </c>
      <c r="K130" s="9">
        <f t="shared" si="10"/>
        <v>133.54545958807</v>
      </c>
      <c r="L130" s="10">
        <f t="shared" ref="L130:L193" si="14">K130/J130</f>
        <v>0.24098008461262649</v>
      </c>
      <c r="M130" s="10">
        <f t="shared" si="11"/>
        <v>0.26532607460803609</v>
      </c>
      <c r="P130" s="8">
        <f t="shared" si="12"/>
        <v>-8.4368430107578192</v>
      </c>
      <c r="X130" s="8">
        <v>-13</v>
      </c>
    </row>
    <row r="131" spans="1:24" x14ac:dyDescent="0.2">
      <c r="A131" s="8">
        <v>64.5</v>
      </c>
      <c r="B131" s="8">
        <v>129</v>
      </c>
      <c r="D131">
        <v>690.92254840725002</v>
      </c>
      <c r="E131">
        <v>249.86321049343999</v>
      </c>
      <c r="F131">
        <v>138.07191994997001</v>
      </c>
      <c r="G131">
        <v>116.72545340838001</v>
      </c>
      <c r="I131" s="9">
        <f t="shared" ref="I131:I194" si="15">E131-G131</f>
        <v>133.13775708506</v>
      </c>
      <c r="J131" s="9">
        <f t="shared" ref="J131:J194" si="16">D131-F131</f>
        <v>552.85062845727998</v>
      </c>
      <c r="K131" s="9">
        <f t="shared" ref="K131:K194" si="17">I131*1</f>
        <v>133.13775708506</v>
      </c>
      <c r="L131" s="10">
        <f t="shared" si="14"/>
        <v>0.24082048609871096</v>
      </c>
      <c r="M131" s="10">
        <f t="shared" ref="M131:M181" si="18">L131+ABS($N$2)*A131</f>
        <v>0.26535667914095973</v>
      </c>
      <c r="P131" s="8">
        <f t="shared" ref="P131:P194" si="19">(M131-$O$2)/$O$2*100</f>
        <v>-8.4262814869542897</v>
      </c>
      <c r="X131" s="8">
        <v>-13</v>
      </c>
    </row>
    <row r="132" spans="1:24" x14ac:dyDescent="0.2">
      <c r="A132" s="8">
        <v>65</v>
      </c>
      <c r="B132" s="8">
        <v>130</v>
      </c>
      <c r="D132">
        <v>702.20174890692999</v>
      </c>
      <c r="E132">
        <v>253.50281074329001</v>
      </c>
      <c r="F132">
        <v>138.31457160726001</v>
      </c>
      <c r="G132">
        <v>116.55347091933</v>
      </c>
      <c r="I132" s="9">
        <f t="shared" si="15"/>
        <v>136.94933982396003</v>
      </c>
      <c r="J132" s="9">
        <f t="shared" si="16"/>
        <v>563.88717729966993</v>
      </c>
      <c r="K132" s="9">
        <f t="shared" si="17"/>
        <v>136.94933982396003</v>
      </c>
      <c r="L132" s="10">
        <f t="shared" si="14"/>
        <v>0.24286656149866701</v>
      </c>
      <c r="M132" s="10">
        <f t="shared" si="18"/>
        <v>0.26759295758775492</v>
      </c>
      <c r="P132" s="8">
        <f t="shared" si="19"/>
        <v>-7.6545491391326212</v>
      </c>
      <c r="X132" s="8">
        <v>-13</v>
      </c>
    </row>
    <row r="133" spans="1:24" x14ac:dyDescent="0.2">
      <c r="A133" s="8">
        <v>65.5</v>
      </c>
      <c r="B133" s="8">
        <v>131</v>
      </c>
      <c r="D133">
        <v>716.37874999999997</v>
      </c>
      <c r="E133">
        <v>253.361875</v>
      </c>
      <c r="F133">
        <v>137.97373358349</v>
      </c>
      <c r="G133">
        <v>116.51031894934</v>
      </c>
      <c r="I133" s="9">
        <f t="shared" si="15"/>
        <v>136.85155605066001</v>
      </c>
      <c r="J133" s="9">
        <f t="shared" si="16"/>
        <v>578.40501641650997</v>
      </c>
      <c r="K133" s="9">
        <f t="shared" si="17"/>
        <v>136.85155605066001</v>
      </c>
      <c r="L133" s="10">
        <f t="shared" si="14"/>
        <v>0.23660160642886452</v>
      </c>
      <c r="M133" s="10">
        <f t="shared" si="18"/>
        <v>0.26151820556479155</v>
      </c>
      <c r="P133" s="8">
        <f t="shared" si="19"/>
        <v>-9.7509261121497506</v>
      </c>
      <c r="X133" s="8">
        <v>-13</v>
      </c>
    </row>
    <row r="134" spans="1:24" x14ac:dyDescent="0.2">
      <c r="A134" s="8">
        <v>66</v>
      </c>
      <c r="B134" s="8">
        <v>132</v>
      </c>
      <c r="D134">
        <v>742.69442705072004</v>
      </c>
      <c r="E134">
        <v>259.52348152786999</v>
      </c>
      <c r="F134">
        <v>137.75734834271</v>
      </c>
      <c r="G134">
        <v>116.41776110069</v>
      </c>
      <c r="I134" s="9">
        <f t="shared" si="15"/>
        <v>143.10572042717999</v>
      </c>
      <c r="J134" s="9">
        <f t="shared" si="16"/>
        <v>604.93707870801006</v>
      </c>
      <c r="K134" s="9">
        <f t="shared" si="17"/>
        <v>143.10572042717999</v>
      </c>
      <c r="L134" s="10">
        <f t="shared" si="14"/>
        <v>0.23656298392688541</v>
      </c>
      <c r="M134" s="10">
        <f t="shared" si="18"/>
        <v>0.26166978610965158</v>
      </c>
      <c r="P134" s="8">
        <f t="shared" si="19"/>
        <v>-9.6986161639245818</v>
      </c>
      <c r="X134" s="8">
        <v>-13</v>
      </c>
    </row>
    <row r="135" spans="1:24" x14ac:dyDescent="0.2">
      <c r="A135" s="8">
        <v>66.5</v>
      </c>
      <c r="B135" s="8">
        <v>133</v>
      </c>
      <c r="D135">
        <v>750.94389027430998</v>
      </c>
      <c r="E135">
        <v>264.48940149625997</v>
      </c>
      <c r="F135">
        <v>137.57848655410001</v>
      </c>
      <c r="G135">
        <v>116.13821138211</v>
      </c>
      <c r="I135" s="9">
        <f t="shared" si="15"/>
        <v>148.35119011414997</v>
      </c>
      <c r="J135" s="9">
        <f t="shared" si="16"/>
        <v>613.36540372021</v>
      </c>
      <c r="K135" s="9">
        <f t="shared" si="17"/>
        <v>148.35119011414997</v>
      </c>
      <c r="L135" s="10">
        <f t="shared" si="14"/>
        <v>0.2418642936402412</v>
      </c>
      <c r="M135" s="10">
        <f t="shared" si="18"/>
        <v>0.26716129886984652</v>
      </c>
      <c r="P135" s="8">
        <f t="shared" si="19"/>
        <v>-7.8035131450713902</v>
      </c>
      <c r="X135" s="8">
        <v>-13</v>
      </c>
    </row>
    <row r="136" spans="1:24" x14ac:dyDescent="0.2">
      <c r="A136" s="8">
        <v>67</v>
      </c>
      <c r="B136" s="8">
        <v>134</v>
      </c>
      <c r="D136">
        <v>755.84788029925005</v>
      </c>
      <c r="E136">
        <v>266.99314214463999</v>
      </c>
      <c r="F136">
        <v>138.18824265166</v>
      </c>
      <c r="G136">
        <v>116.52282676673001</v>
      </c>
      <c r="I136" s="9">
        <f t="shared" si="15"/>
        <v>150.47031537790997</v>
      </c>
      <c r="J136" s="9">
        <f t="shared" si="16"/>
        <v>617.65963764758999</v>
      </c>
      <c r="K136" s="9">
        <f t="shared" si="17"/>
        <v>150.47031537790997</v>
      </c>
      <c r="L136" s="10">
        <f t="shared" si="14"/>
        <v>0.2436136444838603</v>
      </c>
      <c r="M136" s="10">
        <f t="shared" si="18"/>
        <v>0.26910085276030477</v>
      </c>
      <c r="P136" s="8">
        <f t="shared" si="19"/>
        <v>-7.1341794671677841</v>
      </c>
      <c r="X136" s="8">
        <v>-13</v>
      </c>
    </row>
    <row r="137" spans="1:24" x14ac:dyDescent="0.2">
      <c r="A137" s="8">
        <v>67.5</v>
      </c>
      <c r="B137" s="8">
        <v>135</v>
      </c>
      <c r="D137">
        <v>748.34102244388998</v>
      </c>
      <c r="E137">
        <v>263.56421446384002</v>
      </c>
      <c r="F137">
        <v>138.26328955597</v>
      </c>
      <c r="G137">
        <v>116.5009380863</v>
      </c>
      <c r="I137" s="9">
        <f t="shared" si="15"/>
        <v>147.06327637754003</v>
      </c>
      <c r="J137" s="9">
        <f t="shared" si="16"/>
        <v>610.07773288791998</v>
      </c>
      <c r="K137" s="9">
        <f t="shared" si="17"/>
        <v>147.06327637754003</v>
      </c>
      <c r="L137" s="10">
        <f t="shared" si="14"/>
        <v>0.24105662024638697</v>
      </c>
      <c r="M137" s="10">
        <f t="shared" si="18"/>
        <v>0.26673403156967057</v>
      </c>
      <c r="P137" s="8">
        <f t="shared" si="19"/>
        <v>-7.9509616871725575</v>
      </c>
      <c r="X137" s="8">
        <v>-13</v>
      </c>
    </row>
    <row r="138" spans="1:24" x14ac:dyDescent="0.2">
      <c r="A138" s="8">
        <v>68</v>
      </c>
      <c r="B138" s="8">
        <v>136</v>
      </c>
      <c r="D138">
        <v>724.06172069825004</v>
      </c>
      <c r="E138">
        <v>260.5897755611</v>
      </c>
      <c r="F138">
        <v>137.57661038149001</v>
      </c>
      <c r="G138">
        <v>116.22013758599</v>
      </c>
      <c r="I138" s="9">
        <f t="shared" si="15"/>
        <v>144.36963797510998</v>
      </c>
      <c r="J138" s="9">
        <f t="shared" si="16"/>
        <v>586.48511031676003</v>
      </c>
      <c r="K138" s="9">
        <f t="shared" si="17"/>
        <v>144.36963797510998</v>
      </c>
      <c r="L138" s="10">
        <f t="shared" si="14"/>
        <v>0.24616078982318251</v>
      </c>
      <c r="M138" s="10">
        <f t="shared" si="18"/>
        <v>0.27202840419330526</v>
      </c>
      <c r="P138" s="8">
        <f t="shared" si="19"/>
        <v>-6.1238910820179182</v>
      </c>
      <c r="X138" s="8">
        <v>-13</v>
      </c>
    </row>
    <row r="139" spans="1:24" x14ac:dyDescent="0.2">
      <c r="A139" s="8">
        <v>68.5</v>
      </c>
      <c r="B139" s="8">
        <v>137</v>
      </c>
      <c r="D139">
        <v>760.24438902742997</v>
      </c>
      <c r="E139">
        <v>266.79114713217001</v>
      </c>
      <c r="F139">
        <v>138.18636647905001</v>
      </c>
      <c r="G139">
        <v>116.58474046278999</v>
      </c>
      <c r="I139" s="9">
        <f t="shared" si="15"/>
        <v>150.20640666938002</v>
      </c>
      <c r="J139" s="9">
        <f t="shared" si="16"/>
        <v>622.05802254837999</v>
      </c>
      <c r="K139" s="9">
        <f t="shared" si="17"/>
        <v>150.20640666938002</v>
      </c>
      <c r="L139" s="10">
        <f t="shared" si="14"/>
        <v>0.24146687483272164</v>
      </c>
      <c r="M139" s="10">
        <f t="shared" si="18"/>
        <v>0.2675246922496835</v>
      </c>
      <c r="P139" s="8">
        <f t="shared" si="19"/>
        <v>-7.678107283110708</v>
      </c>
      <c r="X139" s="8">
        <v>-13</v>
      </c>
    </row>
    <row r="140" spans="1:24" x14ac:dyDescent="0.2">
      <c r="A140" s="8">
        <v>69</v>
      </c>
      <c r="B140" s="8">
        <v>138</v>
      </c>
      <c r="D140">
        <v>741.84850374065002</v>
      </c>
      <c r="E140">
        <v>266.07730673317002</v>
      </c>
      <c r="F140">
        <v>138.17073170731999</v>
      </c>
      <c r="G140">
        <v>116.65978736709999</v>
      </c>
      <c r="I140" s="9">
        <f t="shared" si="15"/>
        <v>149.41751936607002</v>
      </c>
      <c r="J140" s="9">
        <f t="shared" si="16"/>
        <v>603.67777203333003</v>
      </c>
      <c r="K140" s="9">
        <f t="shared" si="17"/>
        <v>149.41751936607002</v>
      </c>
      <c r="L140" s="10">
        <f t="shared" si="14"/>
        <v>0.24751204415361586</v>
      </c>
      <c r="M140" s="10">
        <f t="shared" si="18"/>
        <v>0.27376006461741687</v>
      </c>
      <c r="P140" s="8">
        <f t="shared" si="19"/>
        <v>-5.5263007566071112</v>
      </c>
      <c r="X140" s="8">
        <v>-13</v>
      </c>
    </row>
    <row r="141" spans="1:24" x14ac:dyDescent="0.2">
      <c r="A141" s="8">
        <v>69.5</v>
      </c>
      <c r="B141" s="8">
        <v>139</v>
      </c>
      <c r="D141">
        <v>749.15576323988</v>
      </c>
      <c r="E141">
        <v>267.51028037383003</v>
      </c>
      <c r="F141">
        <v>138.04315196997999</v>
      </c>
      <c r="G141">
        <v>116.69918699186999</v>
      </c>
      <c r="I141" s="9">
        <f t="shared" si="15"/>
        <v>150.81109338196003</v>
      </c>
      <c r="J141" s="9">
        <f t="shared" si="16"/>
        <v>611.11261126990007</v>
      </c>
      <c r="K141" s="9">
        <f t="shared" si="17"/>
        <v>150.81109338196003</v>
      </c>
      <c r="L141" s="10">
        <f t="shared" si="14"/>
        <v>0.24678118337072538</v>
      </c>
      <c r="M141" s="10">
        <f t="shared" si="18"/>
        <v>0.27321940688136553</v>
      </c>
      <c r="P141" s="8">
        <f t="shared" si="19"/>
        <v>-5.7128799657430722</v>
      </c>
      <c r="X141" s="8">
        <v>-13</v>
      </c>
    </row>
    <row r="142" spans="1:24" x14ac:dyDescent="0.2">
      <c r="A142" s="8">
        <v>70</v>
      </c>
      <c r="B142" s="8">
        <v>140</v>
      </c>
      <c r="D142">
        <v>758.81375000000003</v>
      </c>
      <c r="E142">
        <v>269.74250000000001</v>
      </c>
      <c r="F142">
        <v>138.26328955597</v>
      </c>
      <c r="G142">
        <v>116.38398999375001</v>
      </c>
      <c r="I142" s="9">
        <f t="shared" si="15"/>
        <v>153.35851000625001</v>
      </c>
      <c r="J142" s="9">
        <f t="shared" si="16"/>
        <v>620.55046044403002</v>
      </c>
      <c r="K142" s="9">
        <f t="shared" si="17"/>
        <v>153.35851000625001</v>
      </c>
      <c r="L142" s="10">
        <f t="shared" si="14"/>
        <v>0.24713302105442889</v>
      </c>
      <c r="M142" s="10">
        <f t="shared" si="18"/>
        <v>0.27376144761190818</v>
      </c>
      <c r="P142" s="8">
        <f t="shared" si="19"/>
        <v>-5.5258234897500538</v>
      </c>
      <c r="X142" s="8">
        <v>-13</v>
      </c>
    </row>
    <row r="143" spans="1:24" x14ac:dyDescent="0.2">
      <c r="A143" s="8">
        <v>70.5</v>
      </c>
      <c r="B143" s="8">
        <v>141</v>
      </c>
      <c r="D143">
        <v>750.99249999999995</v>
      </c>
      <c r="E143">
        <v>266.981875</v>
      </c>
      <c r="F143">
        <v>138.06629143215</v>
      </c>
      <c r="G143">
        <v>116.47217010631999</v>
      </c>
      <c r="I143" s="9">
        <f t="shared" si="15"/>
        <v>150.50970489368001</v>
      </c>
      <c r="J143" s="9">
        <f t="shared" si="16"/>
        <v>612.92620856784993</v>
      </c>
      <c r="K143" s="9">
        <f t="shared" si="17"/>
        <v>150.50970489368001</v>
      </c>
      <c r="L143" s="10">
        <f t="shared" si="14"/>
        <v>0.24555925785154092</v>
      </c>
      <c r="M143" s="10">
        <f t="shared" si="18"/>
        <v>0.27237788745585934</v>
      </c>
      <c r="P143" s="8">
        <f t="shared" si="19"/>
        <v>-6.0032855558493194</v>
      </c>
      <c r="X143" s="8">
        <v>-13</v>
      </c>
    </row>
    <row r="144" spans="1:24" x14ac:dyDescent="0.2">
      <c r="A144" s="8">
        <v>71</v>
      </c>
      <c r="B144" s="8">
        <v>142</v>
      </c>
      <c r="D144">
        <v>753.98687500000005</v>
      </c>
      <c r="E144">
        <v>264.45875000000001</v>
      </c>
      <c r="F144">
        <v>138.11757348342999</v>
      </c>
      <c r="G144">
        <v>116.38899312069999</v>
      </c>
      <c r="I144" s="9">
        <f t="shared" si="15"/>
        <v>148.06975687930003</v>
      </c>
      <c r="J144" s="9">
        <f t="shared" si="16"/>
        <v>615.86930151657009</v>
      </c>
      <c r="K144" s="9">
        <f t="shared" si="17"/>
        <v>148.06975687930003</v>
      </c>
      <c r="L144" s="10">
        <f t="shared" si="14"/>
        <v>0.24042399339385839</v>
      </c>
      <c r="M144" s="10">
        <f t="shared" si="18"/>
        <v>0.26743282604501595</v>
      </c>
      <c r="P144" s="8">
        <f t="shared" si="19"/>
        <v>-7.7098100086434611</v>
      </c>
    </row>
    <row r="145" spans="1:16" x14ac:dyDescent="0.2">
      <c r="A145" s="8">
        <v>71.5</v>
      </c>
      <c r="B145" s="8">
        <v>143</v>
      </c>
      <c r="D145">
        <v>753.37194740138</v>
      </c>
      <c r="E145">
        <v>264.50594865373</v>
      </c>
      <c r="F145">
        <v>137.88492808005</v>
      </c>
      <c r="G145">
        <v>115.99562226392</v>
      </c>
      <c r="I145" s="9">
        <f t="shared" si="15"/>
        <v>148.51032638981002</v>
      </c>
      <c r="J145" s="9">
        <f t="shared" si="16"/>
        <v>615.48701932132997</v>
      </c>
      <c r="K145" s="9">
        <f t="shared" si="17"/>
        <v>148.51032638981002</v>
      </c>
      <c r="L145" s="10">
        <f t="shared" si="14"/>
        <v>0.24128912832892191</v>
      </c>
      <c r="M145" s="10">
        <f t="shared" si="18"/>
        <v>0.26848816402691861</v>
      </c>
      <c r="P145" s="8">
        <f t="shared" si="19"/>
        <v>-7.345616336926823</v>
      </c>
    </row>
    <row r="146" spans="1:16" x14ac:dyDescent="0.2">
      <c r="A146" s="8">
        <v>72</v>
      </c>
      <c r="B146" s="8">
        <v>144</v>
      </c>
      <c r="D146">
        <v>745.74139010645001</v>
      </c>
      <c r="E146">
        <v>264.18159048215</v>
      </c>
      <c r="F146">
        <v>137.58411507192</v>
      </c>
      <c r="G146">
        <v>116.28330206379</v>
      </c>
      <c r="I146" s="9">
        <f t="shared" si="15"/>
        <v>147.89828841835998</v>
      </c>
      <c r="J146" s="9">
        <f t="shared" si="16"/>
        <v>608.15727503453002</v>
      </c>
      <c r="K146" s="9">
        <f t="shared" si="17"/>
        <v>147.89828841835998</v>
      </c>
      <c r="L146" s="10">
        <f t="shared" si="14"/>
        <v>0.24319085619745748</v>
      </c>
      <c r="M146" s="10">
        <f t="shared" si="18"/>
        <v>0.27058009494229329</v>
      </c>
      <c r="P146" s="8">
        <f t="shared" si="19"/>
        <v>-6.6236978481463025</v>
      </c>
    </row>
    <row r="147" spans="1:16" x14ac:dyDescent="0.2">
      <c r="A147" s="8">
        <v>72.5</v>
      </c>
      <c r="B147" s="8">
        <v>145</v>
      </c>
      <c r="D147">
        <v>754.69254852848997</v>
      </c>
      <c r="E147">
        <v>268.15654351910001</v>
      </c>
      <c r="F147">
        <v>138.29643527204999</v>
      </c>
      <c r="G147">
        <v>116.58599124453001</v>
      </c>
      <c r="I147" s="9">
        <f t="shared" si="15"/>
        <v>151.57055227456999</v>
      </c>
      <c r="J147" s="9">
        <f t="shared" si="16"/>
        <v>616.39611325644</v>
      </c>
      <c r="K147" s="9">
        <f t="shared" si="17"/>
        <v>151.57055227456999</v>
      </c>
      <c r="L147" s="10">
        <f t="shared" si="14"/>
        <v>0.24589796887883994</v>
      </c>
      <c r="M147" s="10">
        <f t="shared" si="18"/>
        <v>0.2734774106705149</v>
      </c>
      <c r="P147" s="8">
        <f t="shared" si="19"/>
        <v>-5.6238437054184827</v>
      </c>
    </row>
    <row r="148" spans="1:16" x14ac:dyDescent="0.2">
      <c r="A148" s="8">
        <v>73</v>
      </c>
      <c r="B148" s="8">
        <v>146</v>
      </c>
      <c r="D148">
        <v>759.73753117207002</v>
      </c>
      <c r="E148">
        <v>267.25623441396999</v>
      </c>
      <c r="F148">
        <v>138.19824890557001</v>
      </c>
      <c r="G148">
        <v>116.30206378987</v>
      </c>
      <c r="I148" s="9">
        <f t="shared" si="15"/>
        <v>150.95417062409999</v>
      </c>
      <c r="J148" s="9">
        <f t="shared" si="16"/>
        <v>621.53928226649998</v>
      </c>
      <c r="K148" s="9">
        <f t="shared" si="17"/>
        <v>150.95417062409999</v>
      </c>
      <c r="L148" s="10">
        <f t="shared" si="14"/>
        <v>0.24287148846591283</v>
      </c>
      <c r="M148" s="10">
        <f t="shared" si="18"/>
        <v>0.27064113330442696</v>
      </c>
      <c r="P148" s="8">
        <f t="shared" si="19"/>
        <v>-6.6026337098302026</v>
      </c>
    </row>
    <row r="149" spans="1:16" x14ac:dyDescent="0.2">
      <c r="A149" s="8">
        <v>73.5</v>
      </c>
      <c r="B149" s="8">
        <v>147</v>
      </c>
      <c r="D149">
        <v>748.49376558604001</v>
      </c>
      <c r="E149">
        <v>266.68079800498998</v>
      </c>
      <c r="F149">
        <v>138.46591619762</v>
      </c>
      <c r="G149">
        <v>116.53783614759</v>
      </c>
      <c r="I149" s="9">
        <f t="shared" si="15"/>
        <v>150.1429618574</v>
      </c>
      <c r="J149" s="9">
        <f t="shared" si="16"/>
        <v>610.02784938842001</v>
      </c>
      <c r="K149" s="9">
        <f t="shared" si="17"/>
        <v>150.1429618574</v>
      </c>
      <c r="L149" s="10">
        <f t="shared" si="14"/>
        <v>0.24612476628390814</v>
      </c>
      <c r="M149" s="10">
        <f t="shared" si="18"/>
        <v>0.27408461416926139</v>
      </c>
      <c r="P149" s="8">
        <f t="shared" si="19"/>
        <v>-5.4142997721195201</v>
      </c>
    </row>
    <row r="150" spans="1:16" x14ac:dyDescent="0.2">
      <c r="A150" s="8">
        <v>74</v>
      </c>
      <c r="B150" s="8">
        <v>148</v>
      </c>
      <c r="D150">
        <v>749.99189526185</v>
      </c>
      <c r="E150">
        <v>267.98940149625997</v>
      </c>
      <c r="F150">
        <v>137.95497185740999</v>
      </c>
      <c r="G150">
        <v>116.61601000624999</v>
      </c>
      <c r="I150" s="9">
        <f t="shared" si="15"/>
        <v>151.37339149000996</v>
      </c>
      <c r="J150" s="9">
        <f t="shared" si="16"/>
        <v>612.03692340444002</v>
      </c>
      <c r="K150" s="9">
        <f t="shared" si="17"/>
        <v>151.37339149000996</v>
      </c>
      <c r="L150" s="10">
        <f t="shared" si="14"/>
        <v>0.24732722112254155</v>
      </c>
      <c r="M150" s="10">
        <f t="shared" si="18"/>
        <v>0.27547727205473393</v>
      </c>
      <c r="P150" s="8">
        <f t="shared" si="19"/>
        <v>-4.9336981094740091</v>
      </c>
    </row>
    <row r="151" spans="1:16" x14ac:dyDescent="0.2">
      <c r="A151" s="8">
        <v>74.5</v>
      </c>
      <c r="B151" s="8">
        <v>149</v>
      </c>
      <c r="D151">
        <v>759.84962406014995</v>
      </c>
      <c r="E151">
        <v>267.34335839598998</v>
      </c>
      <c r="F151">
        <v>137.62726704190001</v>
      </c>
      <c r="G151">
        <v>116.14258911819999</v>
      </c>
      <c r="I151" s="9">
        <f t="shared" si="15"/>
        <v>151.20076927778999</v>
      </c>
      <c r="J151" s="9">
        <f t="shared" si="16"/>
        <v>622.22235701824991</v>
      </c>
      <c r="K151" s="9">
        <f t="shared" si="17"/>
        <v>151.20076927778999</v>
      </c>
      <c r="L151" s="10">
        <f t="shared" si="14"/>
        <v>0.24300118369638596</v>
      </c>
      <c r="M151" s="10">
        <f t="shared" si="18"/>
        <v>0.27134143767541746</v>
      </c>
      <c r="P151" s="8">
        <f t="shared" si="19"/>
        <v>-6.3609609712726263</v>
      </c>
    </row>
    <row r="152" spans="1:16" x14ac:dyDescent="0.2">
      <c r="A152" s="8">
        <v>75</v>
      </c>
      <c r="B152" s="8">
        <v>150</v>
      </c>
      <c r="D152">
        <v>745.43609022555995</v>
      </c>
      <c r="E152">
        <v>264.26629072681999</v>
      </c>
      <c r="F152">
        <v>137.73671044403</v>
      </c>
      <c r="G152">
        <v>116.23639774858999</v>
      </c>
      <c r="I152" s="9">
        <f t="shared" si="15"/>
        <v>148.02989297823001</v>
      </c>
      <c r="J152" s="9">
        <f t="shared" si="16"/>
        <v>607.69937978152996</v>
      </c>
      <c r="K152" s="9">
        <f t="shared" si="17"/>
        <v>148.02989297823001</v>
      </c>
      <c r="L152" s="10">
        <f t="shared" si="14"/>
        <v>0.2435906599599415</v>
      </c>
      <c r="M152" s="10">
        <f t="shared" si="18"/>
        <v>0.27212111698581215</v>
      </c>
      <c r="P152" s="8">
        <f t="shared" si="19"/>
        <v>-6.0918962018020935</v>
      </c>
    </row>
    <row r="153" spans="1:16" x14ac:dyDescent="0.2">
      <c r="A153" s="8">
        <v>75.5</v>
      </c>
      <c r="B153" s="8">
        <v>151</v>
      </c>
      <c r="D153">
        <v>763.01879699248002</v>
      </c>
      <c r="E153">
        <v>267.04323308271</v>
      </c>
      <c r="F153">
        <v>137.64602876798</v>
      </c>
      <c r="G153">
        <v>116.29393370856999</v>
      </c>
      <c r="I153" s="9">
        <f t="shared" si="15"/>
        <v>150.74929937414001</v>
      </c>
      <c r="J153" s="9">
        <f t="shared" si="16"/>
        <v>625.37276822450008</v>
      </c>
      <c r="K153" s="9">
        <f t="shared" si="17"/>
        <v>150.74929937414001</v>
      </c>
      <c r="L153" s="10">
        <f t="shared" si="14"/>
        <v>0.24105510670401165</v>
      </c>
      <c r="M153" s="10">
        <f t="shared" si="18"/>
        <v>0.26977576677672144</v>
      </c>
      <c r="P153" s="8">
        <f t="shared" si="19"/>
        <v>-6.9012688565891125</v>
      </c>
    </row>
    <row r="154" spans="1:16" x14ac:dyDescent="0.2">
      <c r="A154" s="8">
        <v>76</v>
      </c>
      <c r="B154" s="8">
        <v>152</v>
      </c>
      <c r="D154">
        <v>751.73822975517999</v>
      </c>
      <c r="E154">
        <v>264.75204017576999</v>
      </c>
      <c r="F154">
        <v>137.67229518449</v>
      </c>
      <c r="G154">
        <v>116.17698561601</v>
      </c>
      <c r="I154" s="9">
        <f t="shared" si="15"/>
        <v>148.57505455975999</v>
      </c>
      <c r="J154" s="9">
        <f t="shared" si="16"/>
        <v>614.06593457068993</v>
      </c>
      <c r="K154" s="9">
        <f t="shared" si="17"/>
        <v>148.57505455975999</v>
      </c>
      <c r="L154" s="10">
        <f t="shared" si="14"/>
        <v>0.24195293403408352</v>
      </c>
      <c r="M154" s="10">
        <f t="shared" si="18"/>
        <v>0.27086379715363246</v>
      </c>
      <c r="P154" s="8">
        <f t="shared" si="19"/>
        <v>-6.5257931467202619</v>
      </c>
    </row>
    <row r="155" spans="1:16" x14ac:dyDescent="0.2">
      <c r="A155" s="8">
        <v>76.5</v>
      </c>
      <c r="B155" s="8">
        <v>153</v>
      </c>
      <c r="D155">
        <v>754.13873195228996</v>
      </c>
      <c r="E155">
        <v>264.02950408035002</v>
      </c>
      <c r="F155">
        <v>137.97998749217999</v>
      </c>
      <c r="G155">
        <v>116.50281425891001</v>
      </c>
      <c r="I155" s="9">
        <f t="shared" si="15"/>
        <v>147.52668982144002</v>
      </c>
      <c r="J155" s="9">
        <f t="shared" si="16"/>
        <v>616.15874446011003</v>
      </c>
      <c r="K155" s="9">
        <f t="shared" si="17"/>
        <v>147.52668982144002</v>
      </c>
      <c r="L155" s="10">
        <f t="shared" si="14"/>
        <v>0.23942967806243778</v>
      </c>
      <c r="M155" s="10">
        <f t="shared" si="18"/>
        <v>0.26853074422882584</v>
      </c>
      <c r="P155" s="8">
        <f t="shared" si="19"/>
        <v>-7.3309220490863813</v>
      </c>
    </row>
    <row r="156" spans="1:16" x14ac:dyDescent="0.2">
      <c r="A156" s="8">
        <v>77</v>
      </c>
      <c r="B156" s="8">
        <v>154</v>
      </c>
      <c r="D156">
        <v>742.54300062774996</v>
      </c>
      <c r="E156">
        <v>263.57501569366002</v>
      </c>
      <c r="F156">
        <v>137.63164477799</v>
      </c>
      <c r="G156">
        <v>116.3420888055</v>
      </c>
      <c r="I156" s="9">
        <f t="shared" si="15"/>
        <v>147.23292688816002</v>
      </c>
      <c r="J156" s="9">
        <f t="shared" si="16"/>
        <v>604.91135584975996</v>
      </c>
      <c r="K156" s="9">
        <f t="shared" si="17"/>
        <v>147.23292688816002</v>
      </c>
      <c r="L156" s="10">
        <f t="shared" si="14"/>
        <v>0.24339587191470716</v>
      </c>
      <c r="M156" s="10">
        <f t="shared" si="18"/>
        <v>0.27268714112793435</v>
      </c>
      <c r="P156" s="8">
        <f t="shared" si="19"/>
        <v>-5.8965631292369496</v>
      </c>
    </row>
    <row r="157" spans="1:16" x14ac:dyDescent="0.2">
      <c r="A157" s="8">
        <v>77.5</v>
      </c>
      <c r="B157" s="8">
        <v>155</v>
      </c>
      <c r="D157">
        <v>754.61644695542998</v>
      </c>
      <c r="E157">
        <v>266.05963590709001</v>
      </c>
      <c r="F157">
        <v>137.58911819887001</v>
      </c>
      <c r="G157">
        <v>116.38524077549</v>
      </c>
      <c r="I157" s="9">
        <f t="shared" si="15"/>
        <v>149.67439513160002</v>
      </c>
      <c r="J157" s="9">
        <f t="shared" si="16"/>
        <v>617.02732875656</v>
      </c>
      <c r="K157" s="9">
        <f t="shared" si="17"/>
        <v>149.67439513160002</v>
      </c>
      <c r="L157" s="10">
        <f t="shared" si="14"/>
        <v>0.24257336451081582</v>
      </c>
      <c r="M157" s="10">
        <f t="shared" si="18"/>
        <v>0.27205483677088216</v>
      </c>
      <c r="P157" s="8">
        <f t="shared" si="19"/>
        <v>-6.1147692863034226</v>
      </c>
    </row>
    <row r="158" spans="1:16" x14ac:dyDescent="0.2">
      <c r="A158" s="8">
        <v>78</v>
      </c>
      <c r="B158" s="8">
        <v>156</v>
      </c>
      <c r="D158">
        <v>745.98750780761998</v>
      </c>
      <c r="E158">
        <v>264.53841349157</v>
      </c>
      <c r="F158">
        <v>137.58348968105</v>
      </c>
      <c r="G158">
        <v>116.1019387117</v>
      </c>
      <c r="I158" s="9">
        <f t="shared" si="15"/>
        <v>148.43647477987</v>
      </c>
      <c r="J158" s="9">
        <f t="shared" si="16"/>
        <v>608.40401812657001</v>
      </c>
      <c r="K158" s="9">
        <f t="shared" si="17"/>
        <v>148.43647477987</v>
      </c>
      <c r="L158" s="10">
        <f t="shared" si="14"/>
        <v>0.24397681533554541</v>
      </c>
      <c r="M158" s="10">
        <f t="shared" si="18"/>
        <v>0.27364849064245089</v>
      </c>
      <c r="P158" s="8">
        <f t="shared" si="19"/>
        <v>-5.5648045689475119</v>
      </c>
    </row>
    <row r="159" spans="1:16" x14ac:dyDescent="0.2">
      <c r="A159" s="8">
        <v>78.5</v>
      </c>
      <c r="B159" s="8">
        <v>157</v>
      </c>
      <c r="D159">
        <v>742.24097135740999</v>
      </c>
      <c r="E159">
        <v>265.36301369863003</v>
      </c>
      <c r="F159">
        <v>138.04940587867</v>
      </c>
      <c r="G159">
        <v>116.1832395247</v>
      </c>
      <c r="I159" s="9">
        <f t="shared" si="15"/>
        <v>149.17977417393001</v>
      </c>
      <c r="J159" s="9">
        <f t="shared" si="16"/>
        <v>604.19156547874002</v>
      </c>
      <c r="K159" s="9">
        <f t="shared" si="17"/>
        <v>149.17977417393001</v>
      </c>
      <c r="L159" s="10">
        <f t="shared" si="14"/>
        <v>0.246908071375881</v>
      </c>
      <c r="M159" s="10">
        <f t="shared" si="18"/>
        <v>0.2767699497296256</v>
      </c>
      <c r="P159" s="8">
        <f t="shared" si="19"/>
        <v>-4.4875992891547156</v>
      </c>
    </row>
    <row r="160" spans="1:16" x14ac:dyDescent="0.2">
      <c r="A160" s="8">
        <v>79</v>
      </c>
      <c r="B160" s="8">
        <v>158</v>
      </c>
      <c r="D160">
        <v>745.44423676013002</v>
      </c>
      <c r="E160">
        <v>263.37133956385998</v>
      </c>
      <c r="F160">
        <v>138.20637898686999</v>
      </c>
      <c r="G160">
        <v>116.20637898687001</v>
      </c>
      <c r="I160" s="9">
        <f t="shared" si="15"/>
        <v>147.16496057698998</v>
      </c>
      <c r="J160" s="9">
        <f t="shared" si="16"/>
        <v>607.23785777325998</v>
      </c>
      <c r="K160" s="9">
        <f t="shared" si="17"/>
        <v>147.16496057698998</v>
      </c>
      <c r="L160" s="10">
        <f t="shared" si="14"/>
        <v>0.2423514257109127</v>
      </c>
      <c r="M160" s="10">
        <f t="shared" si="18"/>
        <v>0.27240350711149647</v>
      </c>
      <c r="P160" s="8">
        <f t="shared" si="19"/>
        <v>-5.9944442968265168</v>
      </c>
    </row>
    <row r="161" spans="1:16" x14ac:dyDescent="0.2">
      <c r="A161" s="8">
        <v>79.5</v>
      </c>
      <c r="B161" s="8">
        <v>159</v>
      </c>
      <c r="D161">
        <v>727.82990654206003</v>
      </c>
      <c r="E161">
        <v>260.74890965731998</v>
      </c>
      <c r="F161">
        <v>137.72920575360001</v>
      </c>
      <c r="G161">
        <v>116.33270794246</v>
      </c>
      <c r="I161" s="9">
        <f t="shared" si="15"/>
        <v>144.41620171485999</v>
      </c>
      <c r="J161" s="9">
        <f t="shared" si="16"/>
        <v>590.10070078846002</v>
      </c>
      <c r="K161" s="9">
        <f t="shared" si="17"/>
        <v>144.41620171485999</v>
      </c>
      <c r="L161" s="10">
        <f t="shared" si="14"/>
        <v>0.24473145265189319</v>
      </c>
      <c r="M161" s="10">
        <f t="shared" si="18"/>
        <v>0.27497373709931611</v>
      </c>
      <c r="P161" s="8">
        <f t="shared" si="19"/>
        <v>-5.1074663689283604</v>
      </c>
    </row>
    <row r="162" spans="1:16" x14ac:dyDescent="0.2">
      <c r="A162" s="8">
        <v>80</v>
      </c>
      <c r="B162" s="4">
        <v>160</v>
      </c>
      <c r="C162" s="4" t="s">
        <v>6</v>
      </c>
      <c r="D162">
        <v>722.31651090342996</v>
      </c>
      <c r="E162">
        <v>258.74080996884999</v>
      </c>
      <c r="F162">
        <v>137.66353971231999</v>
      </c>
      <c r="G162">
        <v>116.24265165729</v>
      </c>
      <c r="H162" s="4"/>
      <c r="I162" s="5">
        <f t="shared" si="15"/>
        <v>142.49815831155999</v>
      </c>
      <c r="J162" s="5">
        <f t="shared" si="16"/>
        <v>584.65297119110994</v>
      </c>
      <c r="K162" s="9">
        <f t="shared" si="17"/>
        <v>142.49815831155999</v>
      </c>
      <c r="L162" s="6">
        <f t="shared" si="14"/>
        <v>0.24373117957691956</v>
      </c>
      <c r="M162" s="6">
        <f t="shared" si="18"/>
        <v>0.27416366707118162</v>
      </c>
      <c r="N162" s="4"/>
      <c r="O162" s="4"/>
      <c r="P162" s="4">
        <f t="shared" si="19"/>
        <v>-5.3870188752846717</v>
      </c>
    </row>
    <row r="163" spans="1:16" x14ac:dyDescent="0.2">
      <c r="A163" s="8">
        <v>80.5</v>
      </c>
      <c r="B163" s="8">
        <v>161</v>
      </c>
      <c r="D163">
        <v>738.96317103621004</v>
      </c>
      <c r="E163">
        <v>264.01935081149003</v>
      </c>
      <c r="F163">
        <v>137.77110694184</v>
      </c>
      <c r="G163">
        <v>116.07442151345001</v>
      </c>
      <c r="I163" s="9">
        <f t="shared" si="15"/>
        <v>147.94492929804002</v>
      </c>
      <c r="J163" s="9">
        <f t="shared" si="16"/>
        <v>601.19206409437004</v>
      </c>
      <c r="K163" s="9">
        <f t="shared" si="17"/>
        <v>147.94492929804002</v>
      </c>
      <c r="L163" s="10">
        <f t="shared" si="14"/>
        <v>0.24608596509154332</v>
      </c>
      <c r="M163" s="10">
        <f t="shared" si="18"/>
        <v>0.27670865563264446</v>
      </c>
      <c r="P163" s="8">
        <f t="shared" si="19"/>
        <v>-4.5087516807268155</v>
      </c>
    </row>
    <row r="164" spans="1:16" x14ac:dyDescent="0.2">
      <c r="A164" s="8">
        <v>81</v>
      </c>
      <c r="B164" s="8">
        <v>162</v>
      </c>
      <c r="D164">
        <v>730.61111111110995</v>
      </c>
      <c r="E164">
        <v>262.02996254682</v>
      </c>
      <c r="F164">
        <v>138.21888680424999</v>
      </c>
      <c r="G164">
        <v>116.42776735459999</v>
      </c>
      <c r="I164" s="9">
        <f t="shared" si="15"/>
        <v>145.60219519221999</v>
      </c>
      <c r="J164" s="9">
        <f t="shared" si="16"/>
        <v>592.39222430685993</v>
      </c>
      <c r="K164" s="9">
        <f t="shared" si="17"/>
        <v>145.60219519221999</v>
      </c>
      <c r="L164" s="10">
        <f t="shared" si="14"/>
        <v>0.24578681018743059</v>
      </c>
      <c r="M164" s="10">
        <f t="shared" si="18"/>
        <v>0.27659970377537091</v>
      </c>
      <c r="P164" s="8">
        <f t="shared" si="19"/>
        <v>-4.5463506088628662</v>
      </c>
    </row>
    <row r="165" spans="1:16" x14ac:dyDescent="0.2">
      <c r="A165" s="8">
        <v>81.5</v>
      </c>
      <c r="B165" s="8">
        <v>163</v>
      </c>
      <c r="D165">
        <v>739.96568933250001</v>
      </c>
      <c r="E165">
        <v>264.29070492826003</v>
      </c>
      <c r="F165">
        <v>137.63664790493999</v>
      </c>
      <c r="G165">
        <v>116.53345841151</v>
      </c>
      <c r="I165" s="9">
        <f t="shared" si="15"/>
        <v>147.75724651675003</v>
      </c>
      <c r="J165" s="9">
        <f t="shared" si="16"/>
        <v>602.32904142756001</v>
      </c>
      <c r="K165" s="9">
        <f t="shared" si="17"/>
        <v>147.75724651675003</v>
      </c>
      <c r="L165" s="10">
        <f t="shared" si="14"/>
        <v>0.24530984952436544</v>
      </c>
      <c r="M165" s="10">
        <f t="shared" si="18"/>
        <v>0.27631294615914487</v>
      </c>
      <c r="P165" s="8">
        <f t="shared" si="19"/>
        <v>-4.6453097204811051</v>
      </c>
    </row>
    <row r="166" spans="1:16" x14ac:dyDescent="0.2">
      <c r="A166" s="8">
        <v>82</v>
      </c>
      <c r="B166" s="8">
        <v>164</v>
      </c>
      <c r="D166">
        <v>778.92077354959997</v>
      </c>
      <c r="E166">
        <v>272.70742358079002</v>
      </c>
      <c r="F166">
        <v>137.65916197624</v>
      </c>
      <c r="G166">
        <v>116.16885553471</v>
      </c>
      <c r="I166" s="9">
        <f t="shared" si="15"/>
        <v>156.53856804608</v>
      </c>
      <c r="J166" s="9">
        <f t="shared" si="16"/>
        <v>641.26161157335991</v>
      </c>
      <c r="K166" s="9">
        <f t="shared" si="17"/>
        <v>156.53856804608</v>
      </c>
      <c r="L166" s="10">
        <f t="shared" si="14"/>
        <v>0.24411030571751619</v>
      </c>
      <c r="M166" s="10">
        <f t="shared" si="18"/>
        <v>0.27530360539913479</v>
      </c>
      <c r="P166" s="8">
        <f t="shared" si="19"/>
        <v>-4.9936299019821995</v>
      </c>
    </row>
    <row r="167" spans="1:16" x14ac:dyDescent="0.2">
      <c r="A167" s="8">
        <v>82.5</v>
      </c>
      <c r="B167" s="8">
        <v>165</v>
      </c>
      <c r="D167">
        <v>775.48589341693003</v>
      </c>
      <c r="E167">
        <v>269.71034482759001</v>
      </c>
      <c r="F167">
        <v>138.00813008130001</v>
      </c>
      <c r="G167">
        <v>116.45028142589</v>
      </c>
      <c r="I167" s="9">
        <f t="shared" si="15"/>
        <v>153.26006340169999</v>
      </c>
      <c r="J167" s="9">
        <f t="shared" si="16"/>
        <v>637.47776333563002</v>
      </c>
      <c r="K167" s="9">
        <f t="shared" si="17"/>
        <v>153.26006340169999</v>
      </c>
      <c r="L167" s="10">
        <f t="shared" si="14"/>
        <v>0.24041632856299186</v>
      </c>
      <c r="M167" s="10">
        <f t="shared" si="18"/>
        <v>0.27179983129144958</v>
      </c>
      <c r="P167" s="8">
        <f t="shared" si="19"/>
        <v>-6.2027708397915058</v>
      </c>
    </row>
    <row r="168" spans="1:16" x14ac:dyDescent="0.2">
      <c r="A168" s="8">
        <v>83</v>
      </c>
      <c r="B168" s="8">
        <v>166</v>
      </c>
      <c r="D168">
        <v>736.23312499999997</v>
      </c>
      <c r="E168">
        <v>261.65625</v>
      </c>
      <c r="F168">
        <v>137.49405878674</v>
      </c>
      <c r="G168">
        <v>116.43339587241999</v>
      </c>
      <c r="I168" s="9">
        <f t="shared" si="15"/>
        <v>145.22285412758001</v>
      </c>
      <c r="J168" s="9">
        <f t="shared" si="16"/>
        <v>598.73906621326</v>
      </c>
      <c r="K168" s="9">
        <f t="shared" si="17"/>
        <v>145.22285412758001</v>
      </c>
      <c r="L168" s="10">
        <f t="shared" si="14"/>
        <v>0.24254781811055948</v>
      </c>
      <c r="M168" s="10">
        <f t="shared" si="18"/>
        <v>0.27412152388585631</v>
      </c>
      <c r="P168" s="8">
        <f t="shared" si="19"/>
        <v>-5.4015623501378993</v>
      </c>
    </row>
    <row r="169" spans="1:16" x14ac:dyDescent="0.2">
      <c r="A169" s="8">
        <v>83.5</v>
      </c>
      <c r="B169" s="8">
        <v>167</v>
      </c>
      <c r="D169">
        <v>688.8750780762</v>
      </c>
      <c r="E169">
        <v>248.29294191131001</v>
      </c>
      <c r="F169">
        <v>137.54033771107001</v>
      </c>
      <c r="G169">
        <v>115.94434021263</v>
      </c>
      <c r="I169" s="9">
        <f t="shared" si="15"/>
        <v>132.34860169868</v>
      </c>
      <c r="J169" s="9">
        <f t="shared" si="16"/>
        <v>551.33474036512996</v>
      </c>
      <c r="K169" s="9">
        <f t="shared" si="17"/>
        <v>132.34860169868</v>
      </c>
      <c r="L169" s="10">
        <f t="shared" si="14"/>
        <v>0.24005126470178551</v>
      </c>
      <c r="M169" s="10">
        <f t="shared" si="18"/>
        <v>0.27181517352392148</v>
      </c>
      <c r="P169" s="8">
        <f t="shared" si="19"/>
        <v>-6.1974762857509136</v>
      </c>
    </row>
    <row r="170" spans="1:16" x14ac:dyDescent="0.2">
      <c r="A170" s="8">
        <v>84</v>
      </c>
      <c r="B170" s="8">
        <v>168</v>
      </c>
      <c r="D170">
        <v>695.32417239226004</v>
      </c>
      <c r="E170">
        <v>249.90505933790999</v>
      </c>
      <c r="F170">
        <v>137.492808005</v>
      </c>
      <c r="G170">
        <v>116.42464040025</v>
      </c>
      <c r="I170" s="9">
        <f t="shared" si="15"/>
        <v>133.48041893765998</v>
      </c>
      <c r="J170" s="9">
        <f t="shared" si="16"/>
        <v>557.83136438726001</v>
      </c>
      <c r="K170" s="9">
        <f t="shared" si="17"/>
        <v>133.48041893765998</v>
      </c>
      <c r="L170" s="10">
        <f t="shared" si="14"/>
        <v>0.23928453554109347</v>
      </c>
      <c r="M170" s="10">
        <f t="shared" si="18"/>
        <v>0.27123864741006859</v>
      </c>
      <c r="P170" s="8">
        <f t="shared" si="19"/>
        <v>-6.396433554270768</v>
      </c>
    </row>
    <row r="171" spans="1:16" x14ac:dyDescent="0.2">
      <c r="A171" s="8">
        <v>84.5</v>
      </c>
      <c r="B171" s="8">
        <v>169</v>
      </c>
      <c r="D171">
        <v>703.22361024359998</v>
      </c>
      <c r="E171">
        <v>251.92254840724999</v>
      </c>
      <c r="F171">
        <v>138.36335209506001</v>
      </c>
      <c r="G171">
        <v>116.52657911195</v>
      </c>
      <c r="I171" s="9">
        <f t="shared" si="15"/>
        <v>135.39596929530001</v>
      </c>
      <c r="J171" s="9">
        <f t="shared" si="16"/>
        <v>564.86025814853997</v>
      </c>
      <c r="K171" s="9">
        <f t="shared" si="17"/>
        <v>135.39596929530001</v>
      </c>
      <c r="L171" s="10">
        <f t="shared" si="14"/>
        <v>0.23969816842680983</v>
      </c>
      <c r="M171" s="10">
        <f t="shared" si="18"/>
        <v>0.27184248334262412</v>
      </c>
      <c r="P171" s="8">
        <f t="shared" si="19"/>
        <v>-6.1880517570048736</v>
      </c>
    </row>
    <row r="172" spans="1:16" x14ac:dyDescent="0.2">
      <c r="A172" s="8">
        <v>85</v>
      </c>
      <c r="B172" s="8">
        <v>170</v>
      </c>
      <c r="D172">
        <v>701.66458463460003</v>
      </c>
      <c r="E172">
        <v>250.89444097438999</v>
      </c>
      <c r="F172">
        <v>137.92808005002999</v>
      </c>
      <c r="G172">
        <v>116.35272045028</v>
      </c>
      <c r="I172" s="9">
        <f t="shared" si="15"/>
        <v>134.54172052410999</v>
      </c>
      <c r="J172" s="9">
        <f t="shared" si="16"/>
        <v>563.73650458457007</v>
      </c>
      <c r="K172" s="9">
        <f t="shared" si="17"/>
        <v>134.54172052410999</v>
      </c>
      <c r="L172" s="10">
        <f t="shared" si="14"/>
        <v>0.23866064984253019</v>
      </c>
      <c r="M172" s="10">
        <f t="shared" si="18"/>
        <v>0.27099516780518362</v>
      </c>
      <c r="P172" s="8">
        <f t="shared" si="19"/>
        <v>-6.4804575663046222</v>
      </c>
    </row>
    <row r="173" spans="1:16" x14ac:dyDescent="0.2">
      <c r="A173" s="8">
        <v>85.5</v>
      </c>
      <c r="B173" s="8">
        <v>171</v>
      </c>
      <c r="D173">
        <v>695.48282323548005</v>
      </c>
      <c r="E173">
        <v>250.63085571517999</v>
      </c>
      <c r="F173">
        <v>138.19074421513</v>
      </c>
      <c r="G173">
        <v>116.29831144465</v>
      </c>
      <c r="I173" s="9">
        <f t="shared" si="15"/>
        <v>134.33254427052998</v>
      </c>
      <c r="J173" s="9">
        <f t="shared" si="16"/>
        <v>557.29207902035</v>
      </c>
      <c r="K173" s="9">
        <f t="shared" si="17"/>
        <v>134.33254427052998</v>
      </c>
      <c r="L173" s="10">
        <f t="shared" si="14"/>
        <v>0.24104513472839922</v>
      </c>
      <c r="M173" s="10">
        <f t="shared" si="18"/>
        <v>0.27356985573789178</v>
      </c>
      <c r="P173" s="8">
        <f t="shared" si="19"/>
        <v>-5.5919412162657869</v>
      </c>
    </row>
    <row r="174" spans="1:16" x14ac:dyDescent="0.2">
      <c r="A174" s="8">
        <v>86</v>
      </c>
      <c r="B174" s="8">
        <v>172</v>
      </c>
      <c r="D174">
        <v>692.45096814491001</v>
      </c>
      <c r="E174">
        <v>248.95377888819999</v>
      </c>
      <c r="F174">
        <v>137.84365228268001</v>
      </c>
      <c r="G174">
        <v>116.16197623514999</v>
      </c>
      <c r="I174" s="9">
        <f t="shared" si="15"/>
        <v>132.79180265305001</v>
      </c>
      <c r="J174" s="9">
        <f t="shared" si="16"/>
        <v>554.60731586223005</v>
      </c>
      <c r="K174" s="9">
        <f t="shared" si="17"/>
        <v>132.79180265305001</v>
      </c>
      <c r="L174" s="10">
        <f t="shared" si="14"/>
        <v>0.23943391811664599</v>
      </c>
      <c r="M174" s="10">
        <f t="shared" si="18"/>
        <v>0.27214884217297769</v>
      </c>
      <c r="P174" s="8">
        <f t="shared" si="19"/>
        <v>-6.0823283307636187</v>
      </c>
    </row>
    <row r="175" spans="1:16" x14ac:dyDescent="0.2">
      <c r="A175" s="8">
        <v>86.5</v>
      </c>
      <c r="B175" s="8">
        <v>173</v>
      </c>
      <c r="D175">
        <v>708.04871955028</v>
      </c>
      <c r="E175">
        <v>254.47095565271999</v>
      </c>
      <c r="F175">
        <v>137.72170106316</v>
      </c>
      <c r="G175">
        <v>116.35959974984</v>
      </c>
      <c r="I175" s="9">
        <f t="shared" si="15"/>
        <v>138.11135590288001</v>
      </c>
      <c r="J175" s="9">
        <f t="shared" si="16"/>
        <v>570.32701848711997</v>
      </c>
      <c r="K175" s="9">
        <f t="shared" si="17"/>
        <v>138.11135590288001</v>
      </c>
      <c r="L175" s="10">
        <f t="shared" si="14"/>
        <v>0.24216169219764758</v>
      </c>
      <c r="M175" s="10">
        <f t="shared" si="18"/>
        <v>0.27506681930081839</v>
      </c>
      <c r="P175" s="8">
        <f t="shared" si="19"/>
        <v>-5.0753440068814015</v>
      </c>
    </row>
    <row r="176" spans="1:16" x14ac:dyDescent="0.2">
      <c r="A176" s="8">
        <v>87</v>
      </c>
      <c r="B176" s="8">
        <v>174</v>
      </c>
      <c r="D176">
        <v>758.27760449157995</v>
      </c>
      <c r="E176">
        <v>262.42981908921001</v>
      </c>
      <c r="F176">
        <v>138.52720450281001</v>
      </c>
      <c r="G176">
        <v>116.00437773609001</v>
      </c>
      <c r="I176" s="9">
        <f t="shared" si="15"/>
        <v>146.42544135311999</v>
      </c>
      <c r="J176" s="9">
        <f t="shared" si="16"/>
        <v>619.75039998876991</v>
      </c>
      <c r="K176" s="9">
        <f t="shared" si="17"/>
        <v>146.42544135311999</v>
      </c>
      <c r="L176" s="10">
        <f t="shared" si="14"/>
        <v>0.23626518249245707</v>
      </c>
      <c r="M176" s="10">
        <f t="shared" si="18"/>
        <v>0.26936051264246702</v>
      </c>
      <c r="P176" s="8">
        <f t="shared" si="19"/>
        <v>-7.0445716945832242</v>
      </c>
    </row>
    <row r="177" spans="1:16" x14ac:dyDescent="0.2">
      <c r="A177" s="8">
        <v>87.5</v>
      </c>
      <c r="B177" s="8">
        <v>175</v>
      </c>
      <c r="D177">
        <v>735.06857855362</v>
      </c>
      <c r="E177">
        <v>256.48441396509003</v>
      </c>
      <c r="F177">
        <v>137.90306441525999</v>
      </c>
      <c r="G177">
        <v>116.06253908693</v>
      </c>
      <c r="I177" s="9">
        <f t="shared" si="15"/>
        <v>140.42187487816003</v>
      </c>
      <c r="J177" s="9">
        <f t="shared" si="16"/>
        <v>597.16551413835998</v>
      </c>
      <c r="K177" s="9">
        <f t="shared" si="17"/>
        <v>140.42187487816003</v>
      </c>
      <c r="L177" s="10">
        <f t="shared" si="14"/>
        <v>0.23514732775681524</v>
      </c>
      <c r="M177" s="10">
        <f t="shared" si="18"/>
        <v>0.26843286095366437</v>
      </c>
      <c r="P177" s="8">
        <f t="shared" si="19"/>
        <v>-7.3647012458859091</v>
      </c>
    </row>
    <row r="178" spans="1:16" x14ac:dyDescent="0.2">
      <c r="A178" s="8">
        <v>88</v>
      </c>
      <c r="B178" s="8">
        <v>176</v>
      </c>
      <c r="D178">
        <v>719.62017434619997</v>
      </c>
      <c r="E178">
        <v>253.65130759651001</v>
      </c>
      <c r="F178">
        <v>137.20325203252</v>
      </c>
      <c r="G178">
        <v>116.38211382114</v>
      </c>
      <c r="I178" s="9">
        <f t="shared" si="15"/>
        <v>137.26919377537001</v>
      </c>
      <c r="J178" s="9">
        <f t="shared" si="16"/>
        <v>582.41692231367995</v>
      </c>
      <c r="K178" s="9">
        <f t="shared" si="17"/>
        <v>137.26919377537001</v>
      </c>
      <c r="L178" s="10">
        <f t="shared" si="14"/>
        <v>0.23568888285398951</v>
      </c>
      <c r="M178" s="10">
        <f t="shared" si="18"/>
        <v>0.26916461909767775</v>
      </c>
      <c r="P178" s="8">
        <f t="shared" si="19"/>
        <v>-7.1121739135555471</v>
      </c>
    </row>
    <row r="179" spans="1:16" x14ac:dyDescent="0.2">
      <c r="A179" s="8">
        <v>88.5</v>
      </c>
      <c r="B179" s="8">
        <v>177</v>
      </c>
      <c r="D179">
        <v>727.93648816937002</v>
      </c>
      <c r="E179">
        <v>253.98381070983999</v>
      </c>
      <c r="F179">
        <v>137.94621638524001</v>
      </c>
      <c r="G179">
        <v>116.37023139462001</v>
      </c>
      <c r="I179" s="9">
        <f t="shared" si="15"/>
        <v>137.61357931521997</v>
      </c>
      <c r="J179" s="9">
        <f t="shared" si="16"/>
        <v>589.99027178413007</v>
      </c>
      <c r="K179" s="9">
        <f t="shared" si="17"/>
        <v>137.61357931521997</v>
      </c>
      <c r="L179" s="10">
        <f t="shared" si="14"/>
        <v>0.2332472006683714</v>
      </c>
      <c r="M179" s="10">
        <f t="shared" si="18"/>
        <v>0.26691313995889876</v>
      </c>
      <c r="P179" s="8">
        <f t="shared" si="19"/>
        <v>-7.889151970260194</v>
      </c>
    </row>
    <row r="180" spans="1:16" x14ac:dyDescent="0.2">
      <c r="A180" s="8">
        <v>89</v>
      </c>
      <c r="B180" s="8">
        <v>178</v>
      </c>
      <c r="D180">
        <v>734.58468244084997</v>
      </c>
      <c r="E180">
        <v>252.70859277708999</v>
      </c>
      <c r="F180">
        <v>137.74984365227999</v>
      </c>
      <c r="G180">
        <v>116.22764227642</v>
      </c>
      <c r="I180" s="9">
        <f t="shared" si="15"/>
        <v>136.48095050066999</v>
      </c>
      <c r="J180" s="9">
        <f t="shared" si="16"/>
        <v>596.83483878856998</v>
      </c>
      <c r="K180" s="9">
        <f t="shared" si="17"/>
        <v>136.48095050066999</v>
      </c>
      <c r="L180" s="10">
        <f t="shared" si="14"/>
        <v>0.22867457063614655</v>
      </c>
      <c r="M180" s="10">
        <f t="shared" si="18"/>
        <v>0.26253071297351305</v>
      </c>
      <c r="P180" s="8">
        <f t="shared" si="19"/>
        <v>-9.4015131305779445</v>
      </c>
    </row>
    <row r="181" spans="1:16" x14ac:dyDescent="0.2">
      <c r="A181" s="8">
        <v>89.5</v>
      </c>
      <c r="B181" s="8">
        <v>179</v>
      </c>
      <c r="D181">
        <v>728.82605985037003</v>
      </c>
      <c r="E181">
        <v>252.94638403990001</v>
      </c>
      <c r="F181">
        <v>137.71294559098999</v>
      </c>
      <c r="G181">
        <v>116.3320825516</v>
      </c>
      <c r="I181" s="9">
        <f t="shared" si="15"/>
        <v>136.61430148830001</v>
      </c>
      <c r="J181" s="9">
        <f t="shared" si="16"/>
        <v>591.11311425938004</v>
      </c>
      <c r="K181" s="9">
        <f t="shared" si="17"/>
        <v>136.61430148830001</v>
      </c>
      <c r="L181" s="10">
        <f t="shared" si="14"/>
        <v>0.2311136366166861</v>
      </c>
      <c r="M181" s="10">
        <f t="shared" si="18"/>
        <v>0.26515998200089175</v>
      </c>
      <c r="P181" s="8">
        <f t="shared" si="19"/>
        <v>-8.4941610240182062</v>
      </c>
    </row>
    <row r="182" spans="1:16" x14ac:dyDescent="0.2">
      <c r="A182" s="8">
        <v>90</v>
      </c>
      <c r="B182" s="8">
        <v>180</v>
      </c>
      <c r="D182">
        <v>724.62406483791005</v>
      </c>
      <c r="E182">
        <v>251.45511221945</v>
      </c>
      <c r="F182">
        <v>137.67917448405001</v>
      </c>
      <c r="G182">
        <v>116.20700437774001</v>
      </c>
      <c r="I182" s="9">
        <f t="shared" si="15"/>
        <v>135.24810784171001</v>
      </c>
      <c r="J182" s="9">
        <f t="shared" si="16"/>
        <v>586.94489035386005</v>
      </c>
      <c r="K182" s="9">
        <f t="shared" si="17"/>
        <v>135.24810784171001</v>
      </c>
      <c r="L182" s="10">
        <f t="shared" si="14"/>
        <v>0.23042726849563511</v>
      </c>
      <c r="M182" s="10">
        <f>L182+ABS($N$2)*A182</f>
        <v>0.2646638169266799</v>
      </c>
      <c r="P182" s="8">
        <f t="shared" si="19"/>
        <v>-8.6653859616718183</v>
      </c>
    </row>
    <row r="183" spans="1:16" x14ac:dyDescent="0.2">
      <c r="A183" s="8">
        <v>90.5</v>
      </c>
      <c r="B183" s="8">
        <v>181</v>
      </c>
      <c r="D183">
        <v>719.85349127181996</v>
      </c>
      <c r="E183">
        <v>251.56296758105</v>
      </c>
      <c r="F183">
        <v>137.88930581613999</v>
      </c>
      <c r="G183">
        <v>116.28330206379</v>
      </c>
      <c r="I183" s="9">
        <f t="shared" si="15"/>
        <v>135.27966551726001</v>
      </c>
      <c r="J183" s="9">
        <f t="shared" si="16"/>
        <v>581.96418545567997</v>
      </c>
      <c r="K183" s="9">
        <f t="shared" si="17"/>
        <v>135.27966551726001</v>
      </c>
      <c r="L183" s="10">
        <f t="shared" si="14"/>
        <v>0.23245359233117682</v>
      </c>
      <c r="M183" s="10">
        <f t="shared" ref="M183:M241" si="20">L183+ABS($N$2)*A183</f>
        <v>0.26688034380906073</v>
      </c>
      <c r="P183" s="8">
        <f t="shared" si="19"/>
        <v>-7.9004698138633866</v>
      </c>
    </row>
    <row r="184" spans="1:16" x14ac:dyDescent="0.2">
      <c r="A184" s="8">
        <v>91</v>
      </c>
      <c r="B184" s="8">
        <v>182</v>
      </c>
      <c r="D184">
        <v>713.91271820449003</v>
      </c>
      <c r="E184">
        <v>251.28802992518999</v>
      </c>
      <c r="F184">
        <v>137.52595372107999</v>
      </c>
      <c r="G184">
        <v>116.28642901814</v>
      </c>
      <c r="I184" s="9">
        <f t="shared" si="15"/>
        <v>135.00160090704998</v>
      </c>
      <c r="J184" s="9">
        <f t="shared" si="16"/>
        <v>576.38676448341005</v>
      </c>
      <c r="K184" s="9">
        <f t="shared" si="17"/>
        <v>135.00160090704998</v>
      </c>
      <c r="L184" s="10">
        <f t="shared" si="14"/>
        <v>0.23422050821733553</v>
      </c>
      <c r="M184" s="10">
        <f t="shared" si="20"/>
        <v>0.26883746274205861</v>
      </c>
      <c r="P184" s="8">
        <f t="shared" si="19"/>
        <v>-7.2250744974647478</v>
      </c>
    </row>
    <row r="185" spans="1:16" x14ac:dyDescent="0.2">
      <c r="A185" s="8">
        <v>91.5</v>
      </c>
      <c r="B185" s="8">
        <v>183</v>
      </c>
      <c r="D185">
        <v>716.05486284288997</v>
      </c>
      <c r="E185">
        <v>250.21384039899999</v>
      </c>
      <c r="F185">
        <v>137.83927454658999</v>
      </c>
      <c r="G185">
        <v>116.29518449031001</v>
      </c>
      <c r="I185" s="9">
        <f t="shared" si="15"/>
        <v>133.91865590868997</v>
      </c>
      <c r="J185" s="9">
        <f t="shared" si="16"/>
        <v>578.21558829629998</v>
      </c>
      <c r="K185" s="9">
        <f t="shared" si="17"/>
        <v>133.91865590868997</v>
      </c>
      <c r="L185" s="10">
        <f t="shared" si="14"/>
        <v>0.23160678926571049</v>
      </c>
      <c r="M185" s="10">
        <f t="shared" si="20"/>
        <v>0.26641394683727271</v>
      </c>
      <c r="P185" s="8">
        <f t="shared" si="19"/>
        <v>-8.0614218771320303</v>
      </c>
    </row>
    <row r="186" spans="1:16" x14ac:dyDescent="0.2">
      <c r="A186" s="8">
        <v>92</v>
      </c>
      <c r="B186" s="8">
        <v>184</v>
      </c>
      <c r="D186">
        <v>717.04488778054997</v>
      </c>
      <c r="E186">
        <v>250.01620947631</v>
      </c>
      <c r="F186">
        <v>137.69793621013</v>
      </c>
      <c r="G186">
        <v>115.87054409005999</v>
      </c>
      <c r="I186" s="9">
        <f t="shared" si="15"/>
        <v>134.14566538625002</v>
      </c>
      <c r="J186" s="9">
        <f t="shared" si="16"/>
        <v>579.34695157041995</v>
      </c>
      <c r="K186" s="9">
        <f t="shared" si="17"/>
        <v>134.14566538625002</v>
      </c>
      <c r="L186" s="10">
        <f t="shared" si="14"/>
        <v>0.23154633855002607</v>
      </c>
      <c r="M186" s="10">
        <f t="shared" si="20"/>
        <v>0.26654369916842741</v>
      </c>
      <c r="P186" s="8">
        <f t="shared" si="19"/>
        <v>-8.0166447737704836</v>
      </c>
    </row>
    <row r="187" spans="1:16" x14ac:dyDescent="0.2">
      <c r="A187" s="8">
        <v>92.5</v>
      </c>
      <c r="B187" s="8">
        <v>185</v>
      </c>
      <c r="D187">
        <v>706.81296758104997</v>
      </c>
      <c r="E187">
        <v>246.81047381546</v>
      </c>
      <c r="F187">
        <v>137.54534083802</v>
      </c>
      <c r="G187">
        <v>115.94121325829001</v>
      </c>
      <c r="I187" s="9">
        <f t="shared" si="15"/>
        <v>130.86926055716998</v>
      </c>
      <c r="J187" s="9">
        <f t="shared" si="16"/>
        <v>569.26762674302995</v>
      </c>
      <c r="K187" s="9">
        <f t="shared" si="17"/>
        <v>130.86926055716998</v>
      </c>
      <c r="L187" s="10">
        <f t="shared" si="14"/>
        <v>0.22989057239372049</v>
      </c>
      <c r="M187" s="10">
        <f t="shared" si="20"/>
        <v>0.26507813605896097</v>
      </c>
      <c r="P187" s="8">
        <f t="shared" si="19"/>
        <v>-8.522405789788067</v>
      </c>
    </row>
    <row r="188" spans="1:16" x14ac:dyDescent="0.2">
      <c r="A188" s="8">
        <v>93</v>
      </c>
      <c r="B188" s="8">
        <v>186</v>
      </c>
      <c r="D188">
        <v>698.71508728180004</v>
      </c>
      <c r="E188">
        <v>245.24314214463999</v>
      </c>
      <c r="F188">
        <v>138.05565978736999</v>
      </c>
      <c r="G188">
        <v>116.28330206379</v>
      </c>
      <c r="I188" s="9">
        <f t="shared" si="15"/>
        <v>128.95984008084997</v>
      </c>
      <c r="J188" s="9">
        <f t="shared" si="16"/>
        <v>560.65942749443002</v>
      </c>
      <c r="K188" s="9">
        <f t="shared" si="17"/>
        <v>128.95984008084997</v>
      </c>
      <c r="L188" s="10">
        <f t="shared" si="14"/>
        <v>0.23001457526036365</v>
      </c>
      <c r="M188" s="10">
        <f t="shared" si="20"/>
        <v>0.26539234197244327</v>
      </c>
      <c r="P188" s="8">
        <f t="shared" si="19"/>
        <v>-8.4139743609297106</v>
      </c>
    </row>
    <row r="189" spans="1:16" x14ac:dyDescent="0.2">
      <c r="A189" s="8">
        <v>93.5</v>
      </c>
      <c r="B189" s="8">
        <v>187</v>
      </c>
      <c r="D189">
        <v>685.46321695761003</v>
      </c>
      <c r="E189">
        <v>241.66458852868001</v>
      </c>
      <c r="F189">
        <v>137.88617886179</v>
      </c>
      <c r="G189">
        <v>116.1832395247</v>
      </c>
      <c r="I189" s="9">
        <f t="shared" si="15"/>
        <v>125.48134900398001</v>
      </c>
      <c r="J189" s="9">
        <f t="shared" si="16"/>
        <v>547.57703809582006</v>
      </c>
      <c r="K189" s="9">
        <f t="shared" si="17"/>
        <v>125.48134900398001</v>
      </c>
      <c r="L189" s="10">
        <f t="shared" si="14"/>
        <v>0.22915743406687944</v>
      </c>
      <c r="M189" s="10">
        <f t="shared" si="20"/>
        <v>0.26472540382579818</v>
      </c>
      <c r="P189" s="8">
        <f t="shared" si="19"/>
        <v>-8.6441325250437817</v>
      </c>
    </row>
    <row r="190" spans="1:16" x14ac:dyDescent="0.2">
      <c r="A190" s="8">
        <v>94</v>
      </c>
      <c r="B190" s="8">
        <v>188</v>
      </c>
      <c r="D190">
        <v>700.45573566085</v>
      </c>
      <c r="E190">
        <v>243.17705735660999</v>
      </c>
      <c r="F190">
        <v>137.71732332708001</v>
      </c>
      <c r="G190">
        <v>116.39149468418</v>
      </c>
      <c r="I190" s="9">
        <f t="shared" si="15"/>
        <v>126.78556267242999</v>
      </c>
      <c r="J190" s="9">
        <f t="shared" si="16"/>
        <v>562.73841233376993</v>
      </c>
      <c r="K190" s="9">
        <f t="shared" si="17"/>
        <v>126.78556267242999</v>
      </c>
      <c r="L190" s="10">
        <f t="shared" si="14"/>
        <v>0.22530106332466118</v>
      </c>
      <c r="M190" s="10">
        <f t="shared" si="20"/>
        <v>0.26105923613041909</v>
      </c>
      <c r="P190" s="8">
        <f t="shared" si="19"/>
        <v>-9.9093149566490784</v>
      </c>
    </row>
    <row r="191" spans="1:16" x14ac:dyDescent="0.2">
      <c r="A191" s="8">
        <v>94.5</v>
      </c>
      <c r="B191" s="8">
        <v>189</v>
      </c>
      <c r="D191">
        <v>706.09226932668003</v>
      </c>
      <c r="E191">
        <v>245.77057356609001</v>
      </c>
      <c r="F191">
        <v>137.74296435272001</v>
      </c>
      <c r="G191">
        <v>116.02939337086001</v>
      </c>
      <c r="I191" s="9">
        <f t="shared" si="15"/>
        <v>129.74118019523002</v>
      </c>
      <c r="J191" s="9">
        <f t="shared" si="16"/>
        <v>568.34930497395999</v>
      </c>
      <c r="K191" s="9">
        <f t="shared" si="17"/>
        <v>129.74118019523002</v>
      </c>
      <c r="L191" s="10">
        <f t="shared" si="14"/>
        <v>0.22827718633556587</v>
      </c>
      <c r="M191" s="10">
        <f t="shared" si="20"/>
        <v>0.2642255621881629</v>
      </c>
      <c r="P191" s="8">
        <f t="shared" si="19"/>
        <v>-8.8166262326606066</v>
      </c>
    </row>
    <row r="192" spans="1:16" x14ac:dyDescent="0.2">
      <c r="A192" s="8">
        <v>95</v>
      </c>
      <c r="B192" s="8">
        <v>190</v>
      </c>
      <c r="D192">
        <v>728.07605985037003</v>
      </c>
      <c r="E192">
        <v>251.02493765585999</v>
      </c>
      <c r="F192">
        <v>137.53908692933001</v>
      </c>
      <c r="G192">
        <v>116.65353345841</v>
      </c>
      <c r="I192" s="9">
        <f t="shared" si="15"/>
        <v>134.37140419744998</v>
      </c>
      <c r="J192" s="9">
        <f t="shared" si="16"/>
        <v>590.53697292104005</v>
      </c>
      <c r="K192" s="9">
        <f t="shared" si="17"/>
        <v>134.37140419744998</v>
      </c>
      <c r="L192" s="10">
        <f t="shared" si="14"/>
        <v>0.22754105222708318</v>
      </c>
      <c r="M192" s="10">
        <f t="shared" si="20"/>
        <v>0.26367963112651932</v>
      </c>
      <c r="P192" s="8">
        <f t="shared" si="19"/>
        <v>-9.0050252491403118</v>
      </c>
    </row>
    <row r="193" spans="1:16" x14ac:dyDescent="0.2">
      <c r="A193" s="8">
        <v>95.5</v>
      </c>
      <c r="B193" s="8">
        <v>191</v>
      </c>
      <c r="D193">
        <v>762.51216469120004</v>
      </c>
      <c r="E193">
        <v>261.60199625702001</v>
      </c>
      <c r="F193">
        <v>137.58161350844</v>
      </c>
      <c r="G193">
        <v>116.29518449031001</v>
      </c>
      <c r="I193" s="9">
        <f t="shared" si="15"/>
        <v>145.30681176670998</v>
      </c>
      <c r="J193" s="9">
        <f t="shared" si="16"/>
        <v>624.93055118276004</v>
      </c>
      <c r="K193" s="9">
        <f t="shared" si="17"/>
        <v>145.30681176670998</v>
      </c>
      <c r="L193" s="10">
        <f t="shared" si="14"/>
        <v>0.23251673564638259</v>
      </c>
      <c r="M193" s="10">
        <f t="shared" si="20"/>
        <v>0.2688455175926579</v>
      </c>
      <c r="P193" s="8">
        <f t="shared" si="19"/>
        <v>-7.2222947949758867</v>
      </c>
    </row>
    <row r="194" spans="1:16" x14ac:dyDescent="0.2">
      <c r="A194" s="8">
        <v>96</v>
      </c>
      <c r="B194" s="8">
        <v>192</v>
      </c>
      <c r="D194">
        <v>772.07213930347996</v>
      </c>
      <c r="E194">
        <v>264.72325870647001</v>
      </c>
      <c r="F194">
        <v>137.71544715447001</v>
      </c>
      <c r="G194">
        <v>116.28267667292</v>
      </c>
      <c r="I194" s="9">
        <f t="shared" si="15"/>
        <v>148.44058203355002</v>
      </c>
      <c r="J194" s="9">
        <f t="shared" si="16"/>
        <v>634.35669214900997</v>
      </c>
      <c r="K194" s="9">
        <f t="shared" si="17"/>
        <v>148.44058203355002</v>
      </c>
      <c r="L194" s="10">
        <f t="shared" ref="L194:L257" si="21">K194/J194</f>
        <v>0.23400175937401702</v>
      </c>
      <c r="M194" s="10">
        <f t="shared" si="20"/>
        <v>0.27052074436713147</v>
      </c>
      <c r="P194" s="8">
        <f t="shared" si="19"/>
        <v>-6.644179536721281</v>
      </c>
    </row>
    <row r="195" spans="1:16" x14ac:dyDescent="0.2">
      <c r="A195" s="8">
        <v>96.5</v>
      </c>
      <c r="B195" s="8">
        <v>193</v>
      </c>
      <c r="D195">
        <v>740.14800995024996</v>
      </c>
      <c r="E195">
        <v>260.4894278607</v>
      </c>
      <c r="F195">
        <v>137.70919324578</v>
      </c>
      <c r="G195">
        <v>116.62288930582</v>
      </c>
      <c r="I195" s="9">
        <f t="shared" ref="I195:I241" si="22">E195-G195</f>
        <v>143.86653855488001</v>
      </c>
      <c r="J195" s="9">
        <f t="shared" ref="J195:J241" si="23">D195-F195</f>
        <v>602.4388167044699</v>
      </c>
      <c r="K195" s="9">
        <f t="shared" ref="K195:K258" si="24">I195*1</f>
        <v>143.86653855488001</v>
      </c>
      <c r="L195" s="10">
        <f t="shared" si="21"/>
        <v>0.238806887215328</v>
      </c>
      <c r="M195" s="10">
        <f t="shared" si="20"/>
        <v>0.27551607525528155</v>
      </c>
      <c r="P195" s="8">
        <f t="shared" ref="P195:P241" si="25">(M195-$O$2)/$O$2*100</f>
        <v>-4.9203072523987119</v>
      </c>
    </row>
    <row r="196" spans="1:16" x14ac:dyDescent="0.2">
      <c r="A196" s="8">
        <v>97</v>
      </c>
      <c r="B196" s="8">
        <v>194</v>
      </c>
      <c r="D196">
        <v>760.93034825870996</v>
      </c>
      <c r="E196">
        <v>262.10509950249002</v>
      </c>
      <c r="F196">
        <v>137.47154471544999</v>
      </c>
      <c r="G196">
        <v>116.01688555347</v>
      </c>
      <c r="I196" s="9">
        <f t="shared" si="22"/>
        <v>146.08821394902003</v>
      </c>
      <c r="J196" s="9">
        <f t="shared" si="23"/>
        <v>623.45880354325993</v>
      </c>
      <c r="K196" s="9">
        <f t="shared" si="24"/>
        <v>146.08821394902003</v>
      </c>
      <c r="L196" s="10">
        <f t="shared" si="21"/>
        <v>0.23431895278207168</v>
      </c>
      <c r="M196" s="10">
        <f t="shared" si="20"/>
        <v>0.2712183438688644</v>
      </c>
      <c r="P196" s="8">
        <f t="shared" si="25"/>
        <v>-6.4034402396614274</v>
      </c>
    </row>
    <row r="197" spans="1:16" x14ac:dyDescent="0.2">
      <c r="A197" s="8">
        <v>97.5</v>
      </c>
      <c r="B197" s="8">
        <v>195</v>
      </c>
      <c r="D197">
        <v>743.49440298508</v>
      </c>
      <c r="E197">
        <v>254.84514925373</v>
      </c>
      <c r="F197">
        <v>137.61350844277999</v>
      </c>
      <c r="G197">
        <v>116.33458411507</v>
      </c>
      <c r="I197" s="9">
        <f t="shared" si="22"/>
        <v>138.51056513866001</v>
      </c>
      <c r="J197" s="9">
        <f t="shared" si="23"/>
        <v>605.88089454229998</v>
      </c>
      <c r="K197" s="9">
        <f t="shared" si="24"/>
        <v>138.51056513866001</v>
      </c>
      <c r="L197" s="10">
        <f t="shared" si="21"/>
        <v>0.22861022089712024</v>
      </c>
      <c r="M197" s="10">
        <f t="shared" si="20"/>
        <v>0.26569981503075207</v>
      </c>
      <c r="P197" s="8">
        <f t="shared" si="25"/>
        <v>-8.3078664182803408</v>
      </c>
    </row>
    <row r="198" spans="1:16" x14ac:dyDescent="0.2">
      <c r="A198" s="8">
        <v>98</v>
      </c>
      <c r="B198" s="8">
        <v>196</v>
      </c>
      <c r="D198">
        <v>717.59825870647001</v>
      </c>
      <c r="E198">
        <v>252.58271144279001</v>
      </c>
      <c r="F198">
        <v>136.77485928704999</v>
      </c>
      <c r="G198">
        <v>116.13070669168</v>
      </c>
      <c r="I198" s="9">
        <f t="shared" si="22"/>
        <v>136.45200475111</v>
      </c>
      <c r="J198" s="9">
        <f t="shared" si="23"/>
        <v>580.82339941941996</v>
      </c>
      <c r="K198" s="9">
        <f t="shared" si="24"/>
        <v>136.45200475111</v>
      </c>
      <c r="L198" s="10">
        <f t="shared" si="21"/>
        <v>0.23492855984711503</v>
      </c>
      <c r="M198" s="10">
        <f t="shared" si="20"/>
        <v>0.272208357027586</v>
      </c>
      <c r="P198" s="8">
        <f t="shared" si="25"/>
        <v>-6.0617899498911649</v>
      </c>
    </row>
    <row r="199" spans="1:16" x14ac:dyDescent="0.2">
      <c r="A199" s="8">
        <v>98.5</v>
      </c>
      <c r="B199" s="8">
        <v>197</v>
      </c>
      <c r="D199">
        <v>735.96019900498004</v>
      </c>
      <c r="E199">
        <v>253.32338308458</v>
      </c>
      <c r="F199">
        <v>137.61038148842999</v>
      </c>
      <c r="G199">
        <v>116.24953095684999</v>
      </c>
      <c r="I199" s="9">
        <f t="shared" si="22"/>
        <v>137.07385212772999</v>
      </c>
      <c r="J199" s="9">
        <f t="shared" si="23"/>
        <v>598.34981751655005</v>
      </c>
      <c r="K199" s="9">
        <f t="shared" si="24"/>
        <v>137.07385212772999</v>
      </c>
      <c r="L199" s="10">
        <f t="shared" si="21"/>
        <v>0.22908647770071158</v>
      </c>
      <c r="M199" s="10">
        <f t="shared" si="20"/>
        <v>0.26655647792802173</v>
      </c>
      <c r="P199" s="8">
        <f t="shared" si="25"/>
        <v>-8.0122348658012363</v>
      </c>
    </row>
    <row r="200" spans="1:16" x14ac:dyDescent="0.2">
      <c r="A200" s="8">
        <v>99</v>
      </c>
      <c r="B200" s="8">
        <v>198</v>
      </c>
      <c r="D200">
        <v>747.62826899128004</v>
      </c>
      <c r="E200">
        <v>257.99439601493998</v>
      </c>
      <c r="F200">
        <v>137.34083802377</v>
      </c>
      <c r="G200">
        <v>115.94183864916</v>
      </c>
      <c r="I200" s="9">
        <f t="shared" si="22"/>
        <v>142.05255736577999</v>
      </c>
      <c r="J200" s="9">
        <f t="shared" si="23"/>
        <v>610.28743096751009</v>
      </c>
      <c r="K200" s="9">
        <f t="shared" si="24"/>
        <v>142.05255736577999</v>
      </c>
      <c r="L200" s="10">
        <f t="shared" si="21"/>
        <v>0.23276336715730667</v>
      </c>
      <c r="M200" s="10">
        <f t="shared" si="20"/>
        <v>0.27042357043145593</v>
      </c>
      <c r="P200" s="8">
        <f t="shared" si="25"/>
        <v>-6.6777139427937584</v>
      </c>
    </row>
    <row r="201" spans="1:16" x14ac:dyDescent="0.2">
      <c r="A201" s="8">
        <v>99.5</v>
      </c>
      <c r="B201" s="8">
        <v>199</v>
      </c>
      <c r="D201">
        <v>699.97011207970002</v>
      </c>
      <c r="E201">
        <v>253.24906600249</v>
      </c>
      <c r="F201">
        <v>137.46591619762</v>
      </c>
      <c r="G201">
        <v>116.56160100063001</v>
      </c>
      <c r="I201" s="9">
        <f t="shared" si="22"/>
        <v>136.68746500186001</v>
      </c>
      <c r="J201" s="9">
        <f t="shared" si="23"/>
        <v>562.50419588208001</v>
      </c>
      <c r="K201" s="9">
        <f t="shared" si="24"/>
        <v>136.68746500186001</v>
      </c>
      <c r="L201" s="10">
        <f t="shared" si="21"/>
        <v>0.24299812517401087</v>
      </c>
      <c r="M201" s="10">
        <f t="shared" si="20"/>
        <v>0.28084853149499928</v>
      </c>
      <c r="P201" s="8">
        <f t="shared" si="25"/>
        <v>-3.0800941164043105</v>
      </c>
    </row>
    <row r="202" spans="1:16" x14ac:dyDescent="0.2">
      <c r="A202" s="8">
        <v>100</v>
      </c>
      <c r="B202" s="8">
        <v>200</v>
      </c>
      <c r="D202">
        <v>734.66083697688998</v>
      </c>
      <c r="E202">
        <v>257.71267957526999</v>
      </c>
      <c r="F202">
        <v>137.35897435896999</v>
      </c>
      <c r="G202">
        <v>116.23264540338</v>
      </c>
      <c r="I202" s="9">
        <f t="shared" si="22"/>
        <v>141.48003417189</v>
      </c>
      <c r="J202" s="9">
        <f t="shared" si="23"/>
        <v>597.30186261792005</v>
      </c>
      <c r="K202" s="9">
        <f t="shared" si="24"/>
        <v>141.48003417189</v>
      </c>
      <c r="L202" s="10">
        <f t="shared" si="21"/>
        <v>0.23686521510546746</v>
      </c>
      <c r="M202" s="10">
        <f t="shared" si="20"/>
        <v>0.27490582447329498</v>
      </c>
      <c r="P202" s="8">
        <f t="shared" si="25"/>
        <v>-5.1309027931362348</v>
      </c>
    </row>
    <row r="203" spans="1:16" x14ac:dyDescent="0.2">
      <c r="A203" s="8">
        <v>100.5</v>
      </c>
      <c r="B203" s="8">
        <v>201</v>
      </c>
      <c r="D203">
        <v>746.33229231730002</v>
      </c>
      <c r="E203">
        <v>261.00936914429002</v>
      </c>
      <c r="F203">
        <v>137.18636647905001</v>
      </c>
      <c r="G203">
        <v>116.19887429644</v>
      </c>
      <c r="I203" s="9">
        <f t="shared" si="22"/>
        <v>144.81049484785001</v>
      </c>
      <c r="J203" s="9">
        <f t="shared" si="23"/>
        <v>609.14592583825004</v>
      </c>
      <c r="K203" s="9">
        <f t="shared" si="24"/>
        <v>144.81049484785001</v>
      </c>
      <c r="L203" s="10">
        <f t="shared" si="21"/>
        <v>0.23772710069196515</v>
      </c>
      <c r="M203" s="10">
        <f t="shared" si="20"/>
        <v>0.27595791310663181</v>
      </c>
      <c r="P203" s="8">
        <f t="shared" si="25"/>
        <v>-4.7678304609384696</v>
      </c>
    </row>
    <row r="204" spans="1:16" x14ac:dyDescent="0.2">
      <c r="A204" s="8">
        <v>101</v>
      </c>
      <c r="B204" s="8">
        <v>202</v>
      </c>
      <c r="D204">
        <v>742.27607745159003</v>
      </c>
      <c r="E204">
        <v>254.35040599625</v>
      </c>
      <c r="F204">
        <v>137.28580362727001</v>
      </c>
      <c r="G204">
        <v>116.06504065041</v>
      </c>
      <c r="I204" s="9">
        <f t="shared" si="22"/>
        <v>138.28536534584001</v>
      </c>
      <c r="J204" s="9">
        <f t="shared" si="23"/>
        <v>604.99027382431996</v>
      </c>
      <c r="K204" s="9">
        <f t="shared" si="24"/>
        <v>138.28536534584001</v>
      </c>
      <c r="L204" s="10">
        <f t="shared" si="21"/>
        <v>0.22857452644932269</v>
      </c>
      <c r="M204" s="10">
        <f t="shared" si="20"/>
        <v>0.26699554191082853</v>
      </c>
      <c r="P204" s="8">
        <f t="shared" si="25"/>
        <v>-7.8607153272656785</v>
      </c>
    </row>
    <row r="205" spans="1:16" x14ac:dyDescent="0.2">
      <c r="A205" s="8">
        <v>101.5</v>
      </c>
      <c r="B205" s="8">
        <v>203</v>
      </c>
      <c r="D205">
        <v>702.41</v>
      </c>
      <c r="E205">
        <v>247.94874999999999</v>
      </c>
      <c r="F205">
        <v>137.76797998749001</v>
      </c>
      <c r="G205">
        <v>116.06253908693</v>
      </c>
      <c r="I205" s="9">
        <f t="shared" si="22"/>
        <v>131.88621091306999</v>
      </c>
      <c r="J205" s="9">
        <f t="shared" si="23"/>
        <v>564.64202001250999</v>
      </c>
      <c r="K205" s="9">
        <f t="shared" si="24"/>
        <v>131.88621091306999</v>
      </c>
      <c r="L205" s="10">
        <f t="shared" si="21"/>
        <v>0.23357491337635122</v>
      </c>
      <c r="M205" s="10">
        <f t="shared" si="20"/>
        <v>0.2721861318846962</v>
      </c>
      <c r="P205" s="8">
        <f t="shared" si="25"/>
        <v>-6.06945977371279</v>
      </c>
    </row>
    <row r="206" spans="1:16" x14ac:dyDescent="0.2">
      <c r="A206" s="8">
        <v>102</v>
      </c>
      <c r="B206" s="8">
        <v>204</v>
      </c>
      <c r="D206">
        <v>686.32500000000005</v>
      </c>
      <c r="E206">
        <v>244.57062500000001</v>
      </c>
      <c r="F206">
        <v>137.08255159474999</v>
      </c>
      <c r="G206">
        <v>115.85866166354</v>
      </c>
      <c r="I206" s="9">
        <f t="shared" si="22"/>
        <v>128.71196333646</v>
      </c>
      <c r="J206" s="9">
        <f t="shared" si="23"/>
        <v>549.24244840525012</v>
      </c>
      <c r="K206" s="9">
        <f t="shared" si="24"/>
        <v>128.71196333646</v>
      </c>
      <c r="L206" s="10">
        <f t="shared" si="21"/>
        <v>0.23434452983410317</v>
      </c>
      <c r="M206" s="10">
        <f t="shared" si="20"/>
        <v>0.27314595138928727</v>
      </c>
      <c r="P206" s="8">
        <f t="shared" si="25"/>
        <v>-5.7382292148239262</v>
      </c>
    </row>
    <row r="207" spans="1:16" x14ac:dyDescent="0.2">
      <c r="A207" s="8">
        <v>102.5</v>
      </c>
      <c r="B207" s="8">
        <v>205</v>
      </c>
      <c r="D207">
        <v>686.04937500000005</v>
      </c>
      <c r="E207">
        <v>243.315</v>
      </c>
      <c r="F207">
        <v>137.29518449030999</v>
      </c>
      <c r="G207">
        <v>116.14258911819999</v>
      </c>
      <c r="I207" s="9">
        <f t="shared" si="22"/>
        <v>127.1724108818</v>
      </c>
      <c r="J207" s="9">
        <f t="shared" si="23"/>
        <v>548.75419050969003</v>
      </c>
      <c r="K207" s="9">
        <f t="shared" si="24"/>
        <v>127.1724108818</v>
      </c>
      <c r="L207" s="10">
        <f t="shared" si="21"/>
        <v>0.23174749839027309</v>
      </c>
      <c r="M207" s="10">
        <f t="shared" si="20"/>
        <v>0.2707391229922963</v>
      </c>
      <c r="P207" s="8">
        <f t="shared" si="25"/>
        <v>-6.5688177903546601</v>
      </c>
    </row>
    <row r="208" spans="1:16" x14ac:dyDescent="0.2">
      <c r="A208" s="8">
        <v>103</v>
      </c>
      <c r="B208" s="8">
        <v>206</v>
      </c>
      <c r="D208">
        <v>680.17206982543996</v>
      </c>
      <c r="E208">
        <v>241.89713216958</v>
      </c>
      <c r="F208">
        <v>137.29518449030999</v>
      </c>
      <c r="G208">
        <v>115.97435897436</v>
      </c>
      <c r="I208" s="9">
        <f t="shared" si="22"/>
        <v>125.92277319522</v>
      </c>
      <c r="J208" s="9">
        <f t="shared" si="23"/>
        <v>542.87688533512994</v>
      </c>
      <c r="K208" s="9">
        <f t="shared" si="24"/>
        <v>125.92277319522</v>
      </c>
      <c r="L208" s="10">
        <f t="shared" si="21"/>
        <v>0.23195456759498073</v>
      </c>
      <c r="M208" s="10">
        <f t="shared" si="20"/>
        <v>0.27113639524384309</v>
      </c>
      <c r="P208" s="8">
        <f t="shared" si="25"/>
        <v>-6.4317204410286086</v>
      </c>
    </row>
    <row r="209" spans="1:16" x14ac:dyDescent="0.2">
      <c r="A209" s="8">
        <v>103.5</v>
      </c>
      <c r="B209" s="8">
        <v>207</v>
      </c>
      <c r="D209">
        <v>679.27182044888002</v>
      </c>
      <c r="E209">
        <v>242.56421446383999</v>
      </c>
      <c r="F209">
        <v>137.76422764227999</v>
      </c>
      <c r="G209">
        <v>116.20825515948</v>
      </c>
      <c r="I209" s="9">
        <f t="shared" si="22"/>
        <v>126.35595930435998</v>
      </c>
      <c r="J209" s="9">
        <f t="shared" si="23"/>
        <v>541.50759280660009</v>
      </c>
      <c r="K209" s="9">
        <f t="shared" si="24"/>
        <v>126.35595930435998</v>
      </c>
      <c r="L209" s="10">
        <f t="shared" si="21"/>
        <v>0.23334106664961968</v>
      </c>
      <c r="M209" s="10">
        <f t="shared" si="20"/>
        <v>0.27271309734532118</v>
      </c>
      <c r="P209" s="8">
        <f t="shared" si="25"/>
        <v>-5.8876057238596315</v>
      </c>
    </row>
    <row r="210" spans="1:16" x14ac:dyDescent="0.2">
      <c r="A210" s="8">
        <v>104</v>
      </c>
      <c r="B210" s="8">
        <v>208</v>
      </c>
      <c r="D210">
        <v>670.23129675811003</v>
      </c>
      <c r="E210">
        <v>240.12032418953001</v>
      </c>
      <c r="F210">
        <v>137.25265791119</v>
      </c>
      <c r="G210">
        <v>116.12320200124999</v>
      </c>
      <c r="I210" s="9">
        <f t="shared" si="22"/>
        <v>123.99712218828002</v>
      </c>
      <c r="J210" s="9">
        <f t="shared" si="23"/>
        <v>532.97863884692003</v>
      </c>
      <c r="K210" s="9">
        <f t="shared" si="24"/>
        <v>123.99712218828002</v>
      </c>
      <c r="L210" s="10">
        <f t="shared" si="21"/>
        <v>0.23264932804163277</v>
      </c>
      <c r="M210" s="10">
        <f t="shared" si="20"/>
        <v>0.27221156178417338</v>
      </c>
      <c r="P210" s="8">
        <f t="shared" si="25"/>
        <v>-6.0606839989176082</v>
      </c>
    </row>
    <row r="211" spans="1:16" x14ac:dyDescent="0.2">
      <c r="A211" s="8">
        <v>104.5</v>
      </c>
      <c r="B211" s="8">
        <v>209</v>
      </c>
      <c r="D211">
        <v>668.32626325639001</v>
      </c>
      <c r="E211">
        <v>240.47535870242999</v>
      </c>
      <c r="F211">
        <v>137.60850531582</v>
      </c>
      <c r="G211">
        <v>116.64102564103</v>
      </c>
      <c r="I211" s="9">
        <f t="shared" si="22"/>
        <v>123.83433306139999</v>
      </c>
      <c r="J211" s="9">
        <f t="shared" si="23"/>
        <v>530.71775794056998</v>
      </c>
      <c r="K211" s="9">
        <f t="shared" si="24"/>
        <v>123.83433306139999</v>
      </c>
      <c r="L211" s="10">
        <f t="shared" si="21"/>
        <v>0.2333336904759592</v>
      </c>
      <c r="M211" s="10">
        <f t="shared" si="20"/>
        <v>0.27308612726533898</v>
      </c>
      <c r="P211" s="8">
        <f t="shared" si="25"/>
        <v>-5.7588743235299305</v>
      </c>
    </row>
    <row r="212" spans="1:16" x14ac:dyDescent="0.2">
      <c r="A212" s="8">
        <v>105</v>
      </c>
      <c r="B212" s="8">
        <v>210</v>
      </c>
      <c r="D212">
        <v>650.50405489706998</v>
      </c>
      <c r="E212">
        <v>239.24454148472</v>
      </c>
      <c r="F212">
        <v>137.45028142589001</v>
      </c>
      <c r="G212">
        <v>116.51031894934</v>
      </c>
      <c r="I212" s="9">
        <f t="shared" si="22"/>
        <v>122.73422253538</v>
      </c>
      <c r="J212" s="9">
        <f t="shared" si="23"/>
        <v>513.05377347117997</v>
      </c>
      <c r="K212" s="9">
        <f t="shared" si="24"/>
        <v>122.73422253538</v>
      </c>
      <c r="L212" s="10">
        <f t="shared" si="21"/>
        <v>0.23922292142009635</v>
      </c>
      <c r="M212" s="10">
        <f t="shared" si="20"/>
        <v>0.27916556125631525</v>
      </c>
      <c r="P212" s="8">
        <f t="shared" si="25"/>
        <v>-3.660881618727613</v>
      </c>
    </row>
    <row r="213" spans="1:16" x14ac:dyDescent="0.2">
      <c r="A213" s="8">
        <v>105.5</v>
      </c>
      <c r="B213" s="8">
        <v>211</v>
      </c>
      <c r="D213">
        <v>643.44791016842998</v>
      </c>
      <c r="E213">
        <v>237.87086712414001</v>
      </c>
      <c r="F213">
        <v>137.49906191369999</v>
      </c>
      <c r="G213">
        <v>116.52908067542</v>
      </c>
      <c r="I213" s="9">
        <f t="shared" si="22"/>
        <v>121.34178644872</v>
      </c>
      <c r="J213" s="9">
        <f t="shared" si="23"/>
        <v>505.94884825473002</v>
      </c>
      <c r="K213" s="9">
        <f t="shared" si="24"/>
        <v>121.34178644872</v>
      </c>
      <c r="L213" s="10">
        <f t="shared" si="21"/>
        <v>0.23983014659938126</v>
      </c>
      <c r="M213" s="10">
        <f t="shared" si="20"/>
        <v>0.27996298948243931</v>
      </c>
      <c r="P213" s="8">
        <f t="shared" si="25"/>
        <v>-3.3856917567281322</v>
      </c>
    </row>
    <row r="214" spans="1:16" x14ac:dyDescent="0.2">
      <c r="A214" s="8">
        <v>106</v>
      </c>
      <c r="B214" s="8">
        <v>212</v>
      </c>
      <c r="D214">
        <v>644.53587024328999</v>
      </c>
      <c r="E214">
        <v>237.37367436056999</v>
      </c>
      <c r="F214">
        <v>137.65478424015001</v>
      </c>
      <c r="G214">
        <v>115.83051907442</v>
      </c>
      <c r="I214" s="9">
        <f t="shared" si="22"/>
        <v>121.54315528615</v>
      </c>
      <c r="J214" s="9">
        <f t="shared" si="23"/>
        <v>506.88108600314001</v>
      </c>
      <c r="K214" s="9">
        <f t="shared" si="24"/>
        <v>121.54315528615</v>
      </c>
      <c r="L214" s="10">
        <f t="shared" si="21"/>
        <v>0.23978632985606621</v>
      </c>
      <c r="M214" s="10">
        <f t="shared" si="20"/>
        <v>0.2801093757859634</v>
      </c>
      <c r="P214" s="8">
        <f t="shared" si="25"/>
        <v>-3.3351743241295737</v>
      </c>
    </row>
    <row r="215" spans="1:16" x14ac:dyDescent="0.2">
      <c r="A215" s="8">
        <v>106.5</v>
      </c>
      <c r="B215" s="8">
        <v>213</v>
      </c>
      <c r="D215">
        <v>646.24142233313</v>
      </c>
      <c r="E215">
        <v>238.18402994386</v>
      </c>
      <c r="F215">
        <v>137.75109443401999</v>
      </c>
      <c r="G215">
        <v>116.09255784865999</v>
      </c>
      <c r="I215" s="9">
        <f t="shared" si="22"/>
        <v>122.0914720952</v>
      </c>
      <c r="J215" s="9">
        <f t="shared" si="23"/>
        <v>508.49032789911001</v>
      </c>
      <c r="K215" s="9">
        <f t="shared" si="24"/>
        <v>122.0914720952</v>
      </c>
      <c r="L215" s="10">
        <f t="shared" si="21"/>
        <v>0.24010579040831681</v>
      </c>
      <c r="M215" s="10">
        <f t="shared" si="20"/>
        <v>0.28061903938505312</v>
      </c>
      <c r="P215" s="8">
        <f t="shared" si="25"/>
        <v>-3.1592910898711475</v>
      </c>
    </row>
    <row r="216" spans="1:16" x14ac:dyDescent="0.2">
      <c r="A216" s="8">
        <v>107</v>
      </c>
      <c r="B216" s="8">
        <v>214</v>
      </c>
      <c r="D216">
        <v>660.62445414847002</v>
      </c>
      <c r="E216">
        <v>240.36868371803001</v>
      </c>
      <c r="F216">
        <v>137.72545340837999</v>
      </c>
      <c r="G216">
        <v>116.36460287680001</v>
      </c>
      <c r="I216" s="9">
        <f t="shared" si="22"/>
        <v>124.00408084123001</v>
      </c>
      <c r="J216" s="9">
        <f t="shared" si="23"/>
        <v>522.89900074009006</v>
      </c>
      <c r="K216" s="9">
        <f t="shared" si="24"/>
        <v>124.00408084123001</v>
      </c>
      <c r="L216" s="10">
        <f t="shared" si="21"/>
        <v>0.23714728975522931</v>
      </c>
      <c r="M216" s="10">
        <f t="shared" si="20"/>
        <v>0.27785074177880476</v>
      </c>
      <c r="P216" s="8">
        <f t="shared" si="25"/>
        <v>-4.1146215024147201</v>
      </c>
    </row>
    <row r="217" spans="1:16" x14ac:dyDescent="0.2">
      <c r="A217" s="8">
        <v>107.5</v>
      </c>
      <c r="B217" s="8">
        <v>215</v>
      </c>
      <c r="D217">
        <v>670.13661883967995</v>
      </c>
      <c r="E217">
        <v>242.80286961946001</v>
      </c>
      <c r="F217">
        <v>137.77360850532</v>
      </c>
      <c r="G217">
        <v>116.08317698562</v>
      </c>
      <c r="I217" s="9">
        <f t="shared" si="22"/>
        <v>126.71969263384001</v>
      </c>
      <c r="J217" s="9">
        <f t="shared" si="23"/>
        <v>532.36301033435996</v>
      </c>
      <c r="K217" s="9">
        <f t="shared" si="24"/>
        <v>126.71969263384001</v>
      </c>
      <c r="L217" s="10">
        <f t="shared" si="21"/>
        <v>0.23803248943658104</v>
      </c>
      <c r="M217" s="10">
        <f t="shared" si="20"/>
        <v>0.27892614450699565</v>
      </c>
      <c r="P217" s="8">
        <f t="shared" si="25"/>
        <v>-3.7435035526486922</v>
      </c>
    </row>
    <row r="218" spans="1:16" x14ac:dyDescent="0.2">
      <c r="A218" s="8">
        <v>108</v>
      </c>
      <c r="B218" s="8">
        <v>216</v>
      </c>
      <c r="D218">
        <v>667.08296943231005</v>
      </c>
      <c r="E218">
        <v>240.23019338739999</v>
      </c>
      <c r="F218">
        <v>137.28142589117999</v>
      </c>
      <c r="G218">
        <v>116.03814884303</v>
      </c>
      <c r="I218" s="9">
        <f t="shared" si="22"/>
        <v>124.19204454436999</v>
      </c>
      <c r="J218" s="9">
        <f t="shared" si="23"/>
        <v>529.80154354113006</v>
      </c>
      <c r="K218" s="9">
        <f t="shared" si="24"/>
        <v>124.19204454436999</v>
      </c>
      <c r="L218" s="10">
        <f t="shared" si="21"/>
        <v>0.23441238716347493</v>
      </c>
      <c r="M218" s="10">
        <f t="shared" si="20"/>
        <v>0.27549624528072869</v>
      </c>
      <c r="P218" s="8">
        <f t="shared" si="25"/>
        <v>-4.9271505114932355</v>
      </c>
    </row>
    <row r="219" spans="1:16" x14ac:dyDescent="0.2">
      <c r="A219" s="8">
        <v>108.5</v>
      </c>
      <c r="B219" s="8">
        <v>217</v>
      </c>
      <c r="D219">
        <v>659.40174672489002</v>
      </c>
      <c r="E219">
        <v>239.38427947598001</v>
      </c>
      <c r="F219">
        <v>137.65103189492999</v>
      </c>
      <c r="G219">
        <v>116.26704190119</v>
      </c>
      <c r="I219" s="9">
        <f t="shared" si="22"/>
        <v>123.11723757479001</v>
      </c>
      <c r="J219" s="9">
        <f t="shared" si="23"/>
        <v>521.75071482996009</v>
      </c>
      <c r="K219" s="9">
        <f t="shared" si="24"/>
        <v>123.11723757479001</v>
      </c>
      <c r="L219" s="10">
        <f t="shared" si="21"/>
        <v>0.23596946602155444</v>
      </c>
      <c r="M219" s="10">
        <f t="shared" si="20"/>
        <v>0.27724352718564732</v>
      </c>
      <c r="P219" s="8">
        <f t="shared" si="25"/>
        <v>-4.3241692643584653</v>
      </c>
    </row>
    <row r="220" spans="1:16" x14ac:dyDescent="0.2">
      <c r="A220" s="8">
        <v>109</v>
      </c>
      <c r="B220" s="8">
        <v>218</v>
      </c>
      <c r="D220">
        <v>660.54210854647999</v>
      </c>
      <c r="E220">
        <v>240.082345602</v>
      </c>
      <c r="F220">
        <v>137.56910569106</v>
      </c>
      <c r="G220">
        <v>116.50844277674</v>
      </c>
      <c r="I220" s="9">
        <f t="shared" si="22"/>
        <v>123.57390282526001</v>
      </c>
      <c r="J220" s="9">
        <f t="shared" si="23"/>
        <v>522.97300285541996</v>
      </c>
      <c r="K220" s="9">
        <f t="shared" si="24"/>
        <v>123.57390282526001</v>
      </c>
      <c r="L220" s="10">
        <f t="shared" si="21"/>
        <v>0.23629117019530546</v>
      </c>
      <c r="M220" s="10">
        <f t="shared" si="20"/>
        <v>0.27775543440623746</v>
      </c>
      <c r="P220" s="8">
        <f t="shared" si="25"/>
        <v>-4.1475117636885273</v>
      </c>
    </row>
    <row r="221" spans="1:16" x14ac:dyDescent="0.2">
      <c r="A221" s="8">
        <v>109.5</v>
      </c>
      <c r="B221" s="8">
        <v>219</v>
      </c>
      <c r="D221">
        <v>664.89082969432002</v>
      </c>
      <c r="E221">
        <v>240.10043668122</v>
      </c>
      <c r="F221">
        <v>137.32207629768999</v>
      </c>
      <c r="G221">
        <v>115.98999374608999</v>
      </c>
      <c r="I221" s="9">
        <f t="shared" si="22"/>
        <v>124.11044293513001</v>
      </c>
      <c r="J221" s="9">
        <f t="shared" si="23"/>
        <v>527.56875339662997</v>
      </c>
      <c r="K221" s="9">
        <f t="shared" si="24"/>
        <v>124.11044293513001</v>
      </c>
      <c r="L221" s="10">
        <f t="shared" si="21"/>
        <v>0.23524979850696898</v>
      </c>
      <c r="M221" s="10">
        <f t="shared" si="20"/>
        <v>0.27690426576474014</v>
      </c>
      <c r="P221" s="8">
        <f t="shared" si="25"/>
        <v>-4.4412472665442948</v>
      </c>
    </row>
    <row r="222" spans="1:16" x14ac:dyDescent="0.2">
      <c r="A222" s="8">
        <v>110</v>
      </c>
      <c r="B222" s="8">
        <v>220</v>
      </c>
      <c r="D222">
        <v>661.58016219588001</v>
      </c>
      <c r="E222">
        <v>238.55084217093</v>
      </c>
      <c r="F222">
        <v>137.35897435896999</v>
      </c>
      <c r="G222">
        <v>116.35397123202</v>
      </c>
      <c r="I222" s="9">
        <f t="shared" si="22"/>
        <v>122.19687093891</v>
      </c>
      <c r="J222" s="9">
        <f t="shared" si="23"/>
        <v>524.22118783691008</v>
      </c>
      <c r="K222" s="9">
        <f t="shared" si="24"/>
        <v>122.19687093891</v>
      </c>
      <c r="L222" s="10">
        <f t="shared" si="21"/>
        <v>0.23310173982690402</v>
      </c>
      <c r="M222" s="10">
        <f t="shared" si="20"/>
        <v>0.27494641013151433</v>
      </c>
      <c r="P222" s="8">
        <f t="shared" si="25"/>
        <v>-5.1168968157721935</v>
      </c>
    </row>
    <row r="223" spans="1:16" x14ac:dyDescent="0.2">
      <c r="A223" s="8">
        <v>110.5</v>
      </c>
      <c r="B223" s="8">
        <v>221</v>
      </c>
      <c r="D223">
        <v>649.50842170930002</v>
      </c>
      <c r="E223">
        <v>239.38927011852999</v>
      </c>
      <c r="F223">
        <v>137.45465916198</v>
      </c>
      <c r="G223">
        <v>116.17010631645</v>
      </c>
      <c r="I223" s="9">
        <f t="shared" si="22"/>
        <v>123.21916380207999</v>
      </c>
      <c r="J223" s="9">
        <f t="shared" si="23"/>
        <v>512.05376254732005</v>
      </c>
      <c r="K223" s="9">
        <f t="shared" si="24"/>
        <v>123.21916380207999</v>
      </c>
      <c r="L223" s="10">
        <f t="shared" si="21"/>
        <v>0.24063716120178499</v>
      </c>
      <c r="M223" s="10">
        <f t="shared" si="20"/>
        <v>0.28267203455323442</v>
      </c>
      <c r="P223" s="8">
        <f t="shared" si="25"/>
        <v>-2.4508091995780821</v>
      </c>
    </row>
    <row r="224" spans="1:16" x14ac:dyDescent="0.2">
      <c r="A224" s="8">
        <v>111</v>
      </c>
      <c r="B224" s="8">
        <v>222</v>
      </c>
      <c r="D224">
        <v>667.63880224578998</v>
      </c>
      <c r="E224">
        <v>241.73487211478999</v>
      </c>
      <c r="F224">
        <v>137.63477173232999</v>
      </c>
      <c r="G224">
        <v>115.79362101312999</v>
      </c>
      <c r="I224" s="9">
        <f t="shared" si="22"/>
        <v>125.94125110166</v>
      </c>
      <c r="J224" s="9">
        <f t="shared" si="23"/>
        <v>530.00403051345995</v>
      </c>
      <c r="K224" s="9">
        <f t="shared" si="24"/>
        <v>125.94125110166</v>
      </c>
      <c r="L224" s="10">
        <f t="shared" si="21"/>
        <v>0.23762319501542281</v>
      </c>
      <c r="M224" s="10">
        <f t="shared" si="20"/>
        <v>0.27984827141371138</v>
      </c>
      <c r="P224" s="8">
        <f t="shared" si="25"/>
        <v>-3.4252805855002575</v>
      </c>
    </row>
    <row r="225" spans="1:16" x14ac:dyDescent="0.2">
      <c r="A225" s="8">
        <v>111.5</v>
      </c>
      <c r="B225" s="8">
        <v>223</v>
      </c>
      <c r="D225">
        <v>665.18301061835996</v>
      </c>
      <c r="E225">
        <v>244.27357901312001</v>
      </c>
      <c r="F225">
        <v>138.00938086304001</v>
      </c>
      <c r="G225">
        <v>116.05003126954</v>
      </c>
      <c r="I225" s="9">
        <f t="shared" si="22"/>
        <v>128.22354774358001</v>
      </c>
      <c r="J225" s="9">
        <f t="shared" si="23"/>
        <v>527.17362975532001</v>
      </c>
      <c r="K225" s="9">
        <f t="shared" si="24"/>
        <v>128.22354774358001</v>
      </c>
      <c r="L225" s="10">
        <f t="shared" si="21"/>
        <v>0.24322830374329063</v>
      </c>
      <c r="M225" s="10">
        <f t="shared" si="20"/>
        <v>0.28564358318841832</v>
      </c>
      <c r="P225" s="8">
        <f t="shared" si="25"/>
        <v>-1.425337524446042</v>
      </c>
    </row>
    <row r="226" spans="1:16" x14ac:dyDescent="0.2">
      <c r="A226" s="8">
        <v>112</v>
      </c>
      <c r="B226" s="8">
        <v>224</v>
      </c>
      <c r="D226">
        <v>669.96439725172002</v>
      </c>
      <c r="E226">
        <v>246.11992504685</v>
      </c>
      <c r="F226">
        <v>137.74233896185001</v>
      </c>
      <c r="G226">
        <v>115.94559099436999</v>
      </c>
      <c r="I226" s="9">
        <f t="shared" si="22"/>
        <v>130.17433405247999</v>
      </c>
      <c r="J226" s="9">
        <f t="shared" si="23"/>
        <v>532.22205828987001</v>
      </c>
      <c r="K226" s="9">
        <f t="shared" si="24"/>
        <v>130.17433405247999</v>
      </c>
      <c r="L226" s="10">
        <f t="shared" si="21"/>
        <v>0.24458650675012364</v>
      </c>
      <c r="M226" s="10">
        <f t="shared" si="20"/>
        <v>0.2871919892420905</v>
      </c>
      <c r="P226" s="8">
        <f t="shared" si="25"/>
        <v>-0.89098768044776688</v>
      </c>
    </row>
    <row r="227" spans="1:16" x14ac:dyDescent="0.2">
      <c r="A227" s="8">
        <v>112.5</v>
      </c>
      <c r="B227" s="8">
        <v>225</v>
      </c>
      <c r="D227">
        <v>701.16604244693997</v>
      </c>
      <c r="E227">
        <v>251.61610486891001</v>
      </c>
      <c r="F227">
        <v>137.24953095685001</v>
      </c>
      <c r="G227">
        <v>116.47717323326999</v>
      </c>
      <c r="I227" s="9">
        <f t="shared" si="22"/>
        <v>135.13893163564001</v>
      </c>
      <c r="J227" s="9">
        <f t="shared" si="23"/>
        <v>563.91651149008999</v>
      </c>
      <c r="K227" s="9">
        <f t="shared" si="24"/>
        <v>135.13893163564001</v>
      </c>
      <c r="L227" s="10">
        <f t="shared" si="21"/>
        <v>0.23964350906936491</v>
      </c>
      <c r="M227" s="10">
        <f t="shared" si="20"/>
        <v>0.28243919460817091</v>
      </c>
      <c r="P227" s="8">
        <f t="shared" si="25"/>
        <v>-2.5311614999492842</v>
      </c>
    </row>
    <row r="228" spans="1:16" x14ac:dyDescent="0.2">
      <c r="A228" s="8">
        <v>113</v>
      </c>
      <c r="B228" s="8">
        <v>226</v>
      </c>
      <c r="D228">
        <v>694.00249687890005</v>
      </c>
      <c r="E228">
        <v>254.24219725342999</v>
      </c>
      <c r="F228">
        <v>137.23327079424999</v>
      </c>
      <c r="G228">
        <v>115.80612883052</v>
      </c>
      <c r="I228" s="9">
        <f t="shared" si="22"/>
        <v>138.43606842291001</v>
      </c>
      <c r="J228" s="9">
        <f t="shared" si="23"/>
        <v>556.76922608465009</v>
      </c>
      <c r="K228" s="9">
        <f t="shared" si="24"/>
        <v>138.43606842291001</v>
      </c>
      <c r="L228" s="10">
        <f t="shared" si="21"/>
        <v>0.24864173869024592</v>
      </c>
      <c r="M228" s="10">
        <f t="shared" si="20"/>
        <v>0.29162762727589103</v>
      </c>
      <c r="P228" s="8">
        <f t="shared" si="25"/>
        <v>0.63973643792740875</v>
      </c>
    </row>
    <row r="229" spans="1:16" x14ac:dyDescent="0.2">
      <c r="A229" s="8">
        <v>113.5</v>
      </c>
      <c r="B229" s="8">
        <v>227</v>
      </c>
      <c r="D229">
        <v>729.84289276807999</v>
      </c>
      <c r="E229">
        <v>260.24438902742997</v>
      </c>
      <c r="F229">
        <v>136.97060662914001</v>
      </c>
      <c r="G229">
        <v>115.92432770482</v>
      </c>
      <c r="I229" s="9">
        <f t="shared" si="22"/>
        <v>144.32006132260997</v>
      </c>
      <c r="J229" s="9">
        <f t="shared" si="23"/>
        <v>592.87228613894001</v>
      </c>
      <c r="K229" s="9">
        <f t="shared" si="24"/>
        <v>144.32006132260997</v>
      </c>
      <c r="L229" s="10">
        <f t="shared" si="21"/>
        <v>0.24342521095477293</v>
      </c>
      <c r="M229" s="10">
        <f t="shared" si="20"/>
        <v>0.28660130258725719</v>
      </c>
      <c r="P229" s="8">
        <f t="shared" si="25"/>
        <v>-1.0948317051552963</v>
      </c>
    </row>
    <row r="230" spans="1:16" x14ac:dyDescent="0.2">
      <c r="A230" s="8">
        <v>114</v>
      </c>
      <c r="B230" s="8">
        <v>228</v>
      </c>
      <c r="D230">
        <v>720.86866791745001</v>
      </c>
      <c r="E230">
        <v>257.35459662289003</v>
      </c>
      <c r="F230">
        <v>137.3420888055</v>
      </c>
      <c r="G230">
        <v>116.13883677298</v>
      </c>
      <c r="I230" s="9">
        <f t="shared" si="22"/>
        <v>141.21575984991003</v>
      </c>
      <c r="J230" s="9">
        <f t="shared" si="23"/>
        <v>583.52657911195001</v>
      </c>
      <c r="K230" s="9">
        <f t="shared" si="24"/>
        <v>141.21575984991003</v>
      </c>
      <c r="L230" s="10">
        <f t="shared" si="21"/>
        <v>0.24200398902963713</v>
      </c>
      <c r="M230" s="10">
        <f t="shared" si="20"/>
        <v>0.2853702837089605</v>
      </c>
      <c r="P230" s="8">
        <f t="shared" si="25"/>
        <v>-1.5196522772634637</v>
      </c>
    </row>
    <row r="231" spans="1:16" x14ac:dyDescent="0.2">
      <c r="A231" s="8">
        <v>114.5</v>
      </c>
      <c r="B231" s="8">
        <v>229</v>
      </c>
      <c r="D231">
        <v>713.13445903690001</v>
      </c>
      <c r="E231">
        <v>255.21013133208001</v>
      </c>
      <c r="F231">
        <v>137.85053158224</v>
      </c>
      <c r="G231">
        <v>116.18761726079001</v>
      </c>
      <c r="I231" s="9">
        <f t="shared" si="22"/>
        <v>139.02251407129</v>
      </c>
      <c r="J231" s="9">
        <f t="shared" si="23"/>
        <v>575.28392745465999</v>
      </c>
      <c r="K231" s="9">
        <f t="shared" si="24"/>
        <v>139.02251407129</v>
      </c>
      <c r="L231" s="10">
        <f t="shared" si="21"/>
        <v>0.24165895731937831</v>
      </c>
      <c r="M231" s="10">
        <f t="shared" si="20"/>
        <v>0.28521545504554086</v>
      </c>
      <c r="P231" s="8">
        <f t="shared" si="25"/>
        <v>-1.5730831405364034</v>
      </c>
    </row>
    <row r="232" spans="1:16" x14ac:dyDescent="0.2">
      <c r="A232" s="8">
        <v>115</v>
      </c>
      <c r="B232" s="8">
        <v>230</v>
      </c>
      <c r="D232">
        <v>697.78799249531005</v>
      </c>
      <c r="E232">
        <v>249.43714821763999</v>
      </c>
      <c r="F232">
        <v>137.23327079424999</v>
      </c>
      <c r="G232">
        <v>115.70794246404</v>
      </c>
      <c r="I232" s="9">
        <f t="shared" si="22"/>
        <v>133.72920575359998</v>
      </c>
      <c r="J232" s="9">
        <f t="shared" si="23"/>
        <v>560.55472170106009</v>
      </c>
      <c r="K232" s="9">
        <f t="shared" si="24"/>
        <v>133.72920575359998</v>
      </c>
      <c r="L232" s="10">
        <f t="shared" si="21"/>
        <v>0.2385658359058776</v>
      </c>
      <c r="M232" s="10">
        <f t="shared" si="20"/>
        <v>0.28231253667887929</v>
      </c>
      <c r="P232" s="8">
        <f t="shared" si="25"/>
        <v>-2.5748707353902152</v>
      </c>
    </row>
    <row r="233" spans="1:16" x14ac:dyDescent="0.2">
      <c r="A233" s="8">
        <v>115.5</v>
      </c>
      <c r="B233" s="8">
        <v>231</v>
      </c>
      <c r="D233">
        <v>705.47888198758005</v>
      </c>
      <c r="E233">
        <v>254.00062111801</v>
      </c>
      <c r="F233">
        <v>137.75359599750001</v>
      </c>
      <c r="G233">
        <v>116.01313320826</v>
      </c>
      <c r="I233" s="9">
        <f t="shared" si="22"/>
        <v>137.98748790975</v>
      </c>
      <c r="J233" s="9">
        <f t="shared" si="23"/>
        <v>567.72528599008001</v>
      </c>
      <c r="K233" s="9">
        <f t="shared" si="24"/>
        <v>137.98748790975</v>
      </c>
      <c r="L233" s="10">
        <f t="shared" si="21"/>
        <v>0.2430532712121635</v>
      </c>
      <c r="M233" s="10">
        <f t="shared" si="20"/>
        <v>0.2869901750320043</v>
      </c>
      <c r="P233" s="8">
        <f t="shared" si="25"/>
        <v>-0.96063310156998594</v>
      </c>
    </row>
    <row r="234" spans="1:16" x14ac:dyDescent="0.2">
      <c r="A234" s="8">
        <v>116</v>
      </c>
      <c r="B234" s="8">
        <v>232</v>
      </c>
      <c r="D234">
        <v>703.01304347825999</v>
      </c>
      <c r="E234">
        <v>254.93167701863001</v>
      </c>
      <c r="F234">
        <v>137.74484052533001</v>
      </c>
      <c r="G234">
        <v>115.79111944966</v>
      </c>
      <c r="I234" s="9">
        <f t="shared" si="22"/>
        <v>139.14055756897</v>
      </c>
      <c r="J234" s="9">
        <f t="shared" si="23"/>
        <v>565.26820295292998</v>
      </c>
      <c r="K234" s="9">
        <f t="shared" si="24"/>
        <v>139.14055756897</v>
      </c>
      <c r="L234" s="10">
        <f t="shared" si="21"/>
        <v>0.24614962745490968</v>
      </c>
      <c r="M234" s="10">
        <f t="shared" si="20"/>
        <v>0.29027673432158962</v>
      </c>
      <c r="P234" s="8">
        <f t="shared" si="25"/>
        <v>0.17354771586874893</v>
      </c>
    </row>
    <row r="235" spans="1:16" x14ac:dyDescent="0.2">
      <c r="A235" s="8">
        <v>116.5</v>
      </c>
      <c r="B235" s="8">
        <v>233</v>
      </c>
      <c r="D235">
        <v>711.39875776398003</v>
      </c>
      <c r="E235">
        <v>256.56894409938002</v>
      </c>
      <c r="F235">
        <v>137.4296435272</v>
      </c>
      <c r="G235">
        <v>116.16885553471</v>
      </c>
      <c r="I235" s="9">
        <f t="shared" si="22"/>
        <v>140.40008856467</v>
      </c>
      <c r="J235" s="9">
        <f t="shared" si="23"/>
        <v>573.96911423678</v>
      </c>
      <c r="K235" s="9">
        <f t="shared" si="24"/>
        <v>140.40008856467</v>
      </c>
      <c r="L235" s="10">
        <f t="shared" si="21"/>
        <v>0.24461261953330579</v>
      </c>
      <c r="M235" s="10">
        <f t="shared" si="20"/>
        <v>0.28892992944682488</v>
      </c>
      <c r="P235" s="8">
        <f t="shared" si="25"/>
        <v>-0.29123022336747845</v>
      </c>
    </row>
    <row r="236" spans="1:16" x14ac:dyDescent="0.2">
      <c r="A236" s="8">
        <v>117</v>
      </c>
      <c r="B236" s="8">
        <v>234</v>
      </c>
      <c r="D236">
        <v>700.18910457106995</v>
      </c>
      <c r="E236">
        <v>254.23731997495</v>
      </c>
      <c r="F236">
        <v>137.92370231395</v>
      </c>
      <c r="G236">
        <v>115.78924327705001</v>
      </c>
      <c r="I236" s="9">
        <f t="shared" si="22"/>
        <v>138.44807669789998</v>
      </c>
      <c r="J236" s="9">
        <f t="shared" si="23"/>
        <v>562.26540225711994</v>
      </c>
      <c r="K236" s="9">
        <f t="shared" si="24"/>
        <v>138.44807669789998</v>
      </c>
      <c r="L236" s="10">
        <f t="shared" si="21"/>
        <v>0.2462326085548274</v>
      </c>
      <c r="M236" s="10">
        <f t="shared" si="20"/>
        <v>0.29074012151518563</v>
      </c>
      <c r="P236" s="8">
        <f t="shared" si="25"/>
        <v>0.33346111456775013</v>
      </c>
    </row>
    <row r="237" spans="1:16" x14ac:dyDescent="0.2">
      <c r="A237" s="8">
        <v>117.5</v>
      </c>
      <c r="B237" s="8">
        <v>235</v>
      </c>
      <c r="D237">
        <v>693.40951784595995</v>
      </c>
      <c r="E237">
        <v>251.76768941765999</v>
      </c>
      <c r="F237">
        <v>137.74421513446001</v>
      </c>
      <c r="G237">
        <v>116.13195747342</v>
      </c>
      <c r="I237" s="9">
        <f t="shared" si="22"/>
        <v>135.63573194423998</v>
      </c>
      <c r="J237" s="9">
        <f t="shared" si="23"/>
        <v>555.66530271149998</v>
      </c>
      <c r="K237" s="9">
        <f t="shared" si="24"/>
        <v>135.63573194423998</v>
      </c>
      <c r="L237" s="10">
        <f t="shared" si="21"/>
        <v>0.24409609756515913</v>
      </c>
      <c r="M237" s="10">
        <f t="shared" si="20"/>
        <v>0.28879381357235651</v>
      </c>
      <c r="P237" s="8">
        <f t="shared" si="25"/>
        <v>-0.33820336462804973</v>
      </c>
    </row>
    <row r="238" spans="1:16" x14ac:dyDescent="0.2">
      <c r="A238" s="8">
        <v>118</v>
      </c>
      <c r="B238" s="8">
        <v>236</v>
      </c>
      <c r="D238">
        <v>684.26048841577995</v>
      </c>
      <c r="E238">
        <v>249.91922354414999</v>
      </c>
      <c r="F238">
        <v>137.25015634772001</v>
      </c>
      <c r="G238">
        <v>116.24953095684999</v>
      </c>
      <c r="I238" s="9">
        <f t="shared" si="22"/>
        <v>133.66969258730001</v>
      </c>
      <c r="J238" s="9">
        <f t="shared" si="23"/>
        <v>547.01033206805994</v>
      </c>
      <c r="K238" s="9">
        <f t="shared" si="24"/>
        <v>133.66969258730001</v>
      </c>
      <c r="L238" s="10">
        <f t="shared" si="21"/>
        <v>0.24436410932484653</v>
      </c>
      <c r="M238" s="10">
        <f t="shared" si="20"/>
        <v>0.28925202837888303</v>
      </c>
      <c r="P238" s="8">
        <f t="shared" si="25"/>
        <v>-0.18007493972007929</v>
      </c>
    </row>
    <row r="239" spans="1:16" x14ac:dyDescent="0.2">
      <c r="A239" s="8">
        <v>118.5</v>
      </c>
      <c r="B239" s="8">
        <v>237</v>
      </c>
      <c r="D239">
        <v>700.74874999999997</v>
      </c>
      <c r="E239">
        <v>252.62125</v>
      </c>
      <c r="F239">
        <v>137.39337085679</v>
      </c>
      <c r="G239">
        <v>116.35459662289</v>
      </c>
      <c r="I239" s="9">
        <f t="shared" si="22"/>
        <v>136.26665337711</v>
      </c>
      <c r="J239" s="9">
        <f t="shared" si="23"/>
        <v>563.35537914321003</v>
      </c>
      <c r="K239" s="9">
        <f t="shared" si="24"/>
        <v>136.26665337711</v>
      </c>
      <c r="L239" s="10">
        <f t="shared" si="21"/>
        <v>0.24188400150603653</v>
      </c>
      <c r="M239" s="10">
        <f t="shared" si="20"/>
        <v>0.28696212360691215</v>
      </c>
      <c r="P239" s="8">
        <f t="shared" si="25"/>
        <v>-0.97031355624553772</v>
      </c>
    </row>
    <row r="240" spans="1:16" x14ac:dyDescent="0.2">
      <c r="A240" s="8">
        <v>119</v>
      </c>
      <c r="B240" s="8">
        <v>238</v>
      </c>
      <c r="D240">
        <v>694.65875000000005</v>
      </c>
      <c r="E240">
        <v>248.889375</v>
      </c>
      <c r="F240">
        <v>137.81738586617001</v>
      </c>
      <c r="G240">
        <v>115.91119449656</v>
      </c>
      <c r="I240" s="9">
        <f t="shared" si="22"/>
        <v>132.97818050344</v>
      </c>
      <c r="J240" s="9">
        <f t="shared" si="23"/>
        <v>556.84136413382998</v>
      </c>
      <c r="K240" s="9">
        <f t="shared" si="24"/>
        <v>132.97818050344</v>
      </c>
      <c r="L240" s="10">
        <f t="shared" si="21"/>
        <v>0.23880801439793961</v>
      </c>
      <c r="M240" s="10">
        <f t="shared" si="20"/>
        <v>0.28407633954565437</v>
      </c>
      <c r="P240" s="8">
        <f t="shared" si="25"/>
        <v>-1.9661881585753154</v>
      </c>
    </row>
    <row r="241" spans="1:16" x14ac:dyDescent="0.2">
      <c r="A241" s="8">
        <v>119.5</v>
      </c>
      <c r="B241" s="8">
        <v>239</v>
      </c>
      <c r="D241">
        <v>704.87108886108001</v>
      </c>
      <c r="E241">
        <v>253.48185231539</v>
      </c>
      <c r="F241">
        <v>137.63039399625001</v>
      </c>
      <c r="G241">
        <v>116.15384615385</v>
      </c>
      <c r="I241" s="9">
        <f t="shared" si="22"/>
        <v>137.32800616154</v>
      </c>
      <c r="J241" s="9">
        <f t="shared" si="23"/>
        <v>567.24069486482995</v>
      </c>
      <c r="K241" s="9">
        <f t="shared" si="24"/>
        <v>137.32800616154</v>
      </c>
      <c r="L241" s="10">
        <f t="shared" si="21"/>
        <v>0.24209829690421708</v>
      </c>
      <c r="M241" s="10">
        <f t="shared" si="20"/>
        <v>0.28755682509877101</v>
      </c>
      <c r="P241" s="8">
        <f t="shared" si="25"/>
        <v>-0.76508402446562451</v>
      </c>
    </row>
    <row r="242" spans="1:16" x14ac:dyDescent="0.2">
      <c r="A242" s="8">
        <v>120</v>
      </c>
      <c r="B242" s="8">
        <v>240</v>
      </c>
      <c r="D242">
        <v>708.27284105131002</v>
      </c>
      <c r="E242">
        <v>253.08260325406999</v>
      </c>
      <c r="F242">
        <v>137.71106941839</v>
      </c>
      <c r="G242">
        <v>116.26704190119</v>
      </c>
      <c r="I242" s="9">
        <f>E242-G242</f>
        <v>136.81556135288</v>
      </c>
      <c r="J242" s="9">
        <f>D242-F242</f>
        <v>570.56177163292</v>
      </c>
      <c r="K242" s="9">
        <f t="shared" si="24"/>
        <v>136.81556135288</v>
      </c>
      <c r="L242" s="10">
        <f t="shared" si="21"/>
        <v>0.23979097120601076</v>
      </c>
      <c r="M242" s="10">
        <f>L242+ABS($N$2)*A242</f>
        <v>0.2854397024474038</v>
      </c>
      <c r="O242" s="11"/>
      <c r="P242" s="8">
        <f>(M242-$O$2)/$O$2*100</f>
        <v>-1.4956960986049266</v>
      </c>
    </row>
    <row r="243" spans="1:16" x14ac:dyDescent="0.2">
      <c r="A243" s="8">
        <v>120.5</v>
      </c>
      <c r="B243" s="8">
        <v>241</v>
      </c>
      <c r="D243">
        <v>700.24530663329006</v>
      </c>
      <c r="E243">
        <v>250.63892365456999</v>
      </c>
      <c r="F243">
        <v>137.58223889931</v>
      </c>
      <c r="G243">
        <v>116.05753595998</v>
      </c>
      <c r="I243" s="9">
        <f t="shared" ref="I243:I274" si="26">E243-G243</f>
        <v>134.58138769458998</v>
      </c>
      <c r="J243" s="9">
        <f t="shared" ref="J243:J274" si="27">D243-F243</f>
        <v>562.66306773398003</v>
      </c>
      <c r="K243" s="9">
        <f t="shared" si="24"/>
        <v>134.58138769458998</v>
      </c>
      <c r="L243" s="10">
        <f t="shared" si="21"/>
        <v>0.2391864606230355</v>
      </c>
      <c r="M243" s="10">
        <f t="shared" ref="M243:M274" si="28">L243+ABS($N$2)*A243</f>
        <v>0.28502539491126766</v>
      </c>
      <c r="P243" s="8">
        <f t="shared" ref="P243:P274" si="29">(M243-$O$2)/$O$2*100</f>
        <v>-1.6386722686971456</v>
      </c>
    </row>
    <row r="244" spans="1:16" x14ac:dyDescent="0.2">
      <c r="A244" s="8">
        <v>121</v>
      </c>
      <c r="B244" s="8">
        <v>242</v>
      </c>
      <c r="D244">
        <v>655.13141426784</v>
      </c>
      <c r="E244">
        <v>236.1239048811</v>
      </c>
      <c r="F244">
        <v>137.69355847405001</v>
      </c>
      <c r="G244">
        <v>115.97873671044</v>
      </c>
      <c r="I244" s="9">
        <f t="shared" si="26"/>
        <v>120.14516817066</v>
      </c>
      <c r="J244" s="9">
        <f t="shared" si="27"/>
        <v>517.43785579379005</v>
      </c>
      <c r="K244" s="9">
        <f t="shared" si="24"/>
        <v>120.14516817066</v>
      </c>
      <c r="L244" s="10">
        <f t="shared" si="21"/>
        <v>0.23219245910477102</v>
      </c>
      <c r="M244" s="10">
        <f t="shared" si="28"/>
        <v>0.27822159643984234</v>
      </c>
      <c r="N244" s="1"/>
      <c r="P244" s="8">
        <f t="shared" si="29"/>
        <v>-3.9866407768153209</v>
      </c>
    </row>
    <row r="245" spans="1:16" x14ac:dyDescent="0.2">
      <c r="A245" s="8">
        <v>121.5</v>
      </c>
      <c r="B245" s="8">
        <v>243</v>
      </c>
      <c r="D245">
        <v>657.21714643304006</v>
      </c>
      <c r="E245">
        <v>236.69461827283999</v>
      </c>
      <c r="F245">
        <v>137.37523452158001</v>
      </c>
      <c r="G245">
        <v>116.36022514071</v>
      </c>
      <c r="I245" s="9">
        <f t="shared" si="26"/>
        <v>120.33439313212999</v>
      </c>
      <c r="J245" s="9">
        <f t="shared" si="27"/>
        <v>519.8419119114601</v>
      </c>
      <c r="K245" s="9">
        <f t="shared" si="24"/>
        <v>120.33439313212999</v>
      </c>
      <c r="L245" s="10">
        <f t="shared" si="21"/>
        <v>0.23148266881687185</v>
      </c>
      <c r="M245" s="10">
        <f t="shared" si="28"/>
        <v>0.2777020091987823</v>
      </c>
      <c r="P245" s="8">
        <f t="shared" si="29"/>
        <v>-4.1659486273274524</v>
      </c>
    </row>
    <row r="246" spans="1:16" x14ac:dyDescent="0.2">
      <c r="A246" s="8">
        <v>122</v>
      </c>
      <c r="B246" s="8">
        <v>244</v>
      </c>
      <c r="D246">
        <v>679.93178973716999</v>
      </c>
      <c r="E246">
        <v>241.68147684606001</v>
      </c>
      <c r="F246">
        <v>137.43339587241999</v>
      </c>
      <c r="G246">
        <v>115.83552220138</v>
      </c>
      <c r="I246" s="9">
        <f t="shared" si="26"/>
        <v>125.84595464468001</v>
      </c>
      <c r="J246" s="9">
        <f t="shared" si="27"/>
        <v>542.49839386475003</v>
      </c>
      <c r="K246" s="9">
        <f t="shared" si="24"/>
        <v>125.84595464468001</v>
      </c>
      <c r="L246" s="10">
        <f t="shared" si="21"/>
        <v>0.23197479673286295</v>
      </c>
      <c r="M246" s="10">
        <f t="shared" si="28"/>
        <v>0.27838434016161256</v>
      </c>
      <c r="P246" s="8">
        <f t="shared" si="29"/>
        <v>-3.930478452899461</v>
      </c>
    </row>
    <row r="247" spans="1:16" x14ac:dyDescent="0.2">
      <c r="A247" s="8">
        <v>122.5</v>
      </c>
      <c r="B247" s="8">
        <v>245</v>
      </c>
      <c r="D247">
        <v>678.25907384230004</v>
      </c>
      <c r="E247">
        <v>242.51251564456001</v>
      </c>
      <c r="F247">
        <v>137.41713570982</v>
      </c>
      <c r="G247">
        <v>116.19512195122</v>
      </c>
      <c r="I247" s="9">
        <f t="shared" si="26"/>
        <v>126.31739369334001</v>
      </c>
      <c r="J247" s="9">
        <f t="shared" si="27"/>
        <v>540.84193813247998</v>
      </c>
      <c r="K247" s="9">
        <f t="shared" si="24"/>
        <v>126.31739369334001</v>
      </c>
      <c r="L247" s="10">
        <f t="shared" si="21"/>
        <v>0.23355695035320723</v>
      </c>
      <c r="M247" s="10">
        <f t="shared" si="28"/>
        <v>0.28015669682879596</v>
      </c>
      <c r="P247" s="8">
        <f t="shared" si="29"/>
        <v>-3.3188439876552067</v>
      </c>
    </row>
    <row r="248" spans="1:16" x14ac:dyDescent="0.2">
      <c r="A248" s="8">
        <v>123</v>
      </c>
      <c r="B248" s="8">
        <v>246</v>
      </c>
      <c r="D248">
        <v>695.09198998748002</v>
      </c>
      <c r="E248">
        <v>248.65519399249001</v>
      </c>
      <c r="F248">
        <v>137.17135709818999</v>
      </c>
      <c r="G248">
        <v>116.01438398998999</v>
      </c>
      <c r="I248" s="9">
        <f t="shared" si="26"/>
        <v>132.64081000250002</v>
      </c>
      <c r="J248" s="9">
        <f t="shared" si="27"/>
        <v>557.92063288929</v>
      </c>
      <c r="K248" s="9">
        <f t="shared" si="24"/>
        <v>132.64081000250002</v>
      </c>
      <c r="L248" s="10">
        <f t="shared" si="21"/>
        <v>0.23774135994146028</v>
      </c>
      <c r="M248" s="10">
        <f t="shared" si="28"/>
        <v>0.28453130946388816</v>
      </c>
      <c r="P248" s="8">
        <f t="shared" si="29"/>
        <v>-1.8091795339606209</v>
      </c>
    </row>
    <row r="249" spans="1:16" x14ac:dyDescent="0.2">
      <c r="A249" s="8">
        <v>123.5</v>
      </c>
      <c r="B249" s="8">
        <v>247</v>
      </c>
      <c r="D249">
        <v>703.09324155193997</v>
      </c>
      <c r="E249">
        <v>250.30913642053</v>
      </c>
      <c r="F249">
        <v>137.47842401501001</v>
      </c>
      <c r="G249">
        <v>116.06066291432001</v>
      </c>
      <c r="I249" s="9">
        <f t="shared" si="26"/>
        <v>134.24847350620999</v>
      </c>
      <c r="J249" s="9">
        <f t="shared" si="27"/>
        <v>565.61481753692999</v>
      </c>
      <c r="K249" s="9">
        <f t="shared" si="24"/>
        <v>134.24847350620999</v>
      </c>
      <c r="L249" s="10">
        <f t="shared" si="21"/>
        <v>0.23734964032734993</v>
      </c>
      <c r="M249" s="10">
        <f t="shared" si="28"/>
        <v>0.28432979289661692</v>
      </c>
      <c r="P249" s="8">
        <f t="shared" si="29"/>
        <v>-1.8787222395248901</v>
      </c>
    </row>
    <row r="250" spans="1:16" x14ac:dyDescent="0.2">
      <c r="A250" s="8">
        <v>124</v>
      </c>
      <c r="B250" s="8">
        <v>248</v>
      </c>
      <c r="D250">
        <v>715.33979974968997</v>
      </c>
      <c r="E250">
        <v>254.35607008760999</v>
      </c>
      <c r="F250">
        <v>137.90619136961001</v>
      </c>
      <c r="G250">
        <v>116.07254534083999</v>
      </c>
      <c r="I250" s="9">
        <f t="shared" si="26"/>
        <v>138.28352474677001</v>
      </c>
      <c r="J250" s="9">
        <f t="shared" si="27"/>
        <v>577.43360838007993</v>
      </c>
      <c r="K250" s="9">
        <f t="shared" si="24"/>
        <v>138.28352474677001</v>
      </c>
      <c r="L250" s="10">
        <f t="shared" si="21"/>
        <v>0.23947952238995526</v>
      </c>
      <c r="M250" s="10">
        <f t="shared" si="28"/>
        <v>0.2866498780060614</v>
      </c>
      <c r="P250" s="8">
        <f t="shared" si="29"/>
        <v>-1.0780684876526119</v>
      </c>
    </row>
    <row r="251" spans="1:16" x14ac:dyDescent="0.2">
      <c r="A251" s="8">
        <v>124.5</v>
      </c>
      <c r="B251" s="8">
        <v>249</v>
      </c>
      <c r="D251">
        <v>713.42250000000001</v>
      </c>
      <c r="E251">
        <v>253.065</v>
      </c>
      <c r="F251">
        <v>137.9756097561</v>
      </c>
      <c r="G251">
        <v>116.35959974984</v>
      </c>
      <c r="I251" s="9">
        <f t="shared" si="26"/>
        <v>136.70540025015998</v>
      </c>
      <c r="J251" s="9">
        <f t="shared" si="27"/>
        <v>575.44689024390004</v>
      </c>
      <c r="K251" s="9">
        <f t="shared" si="24"/>
        <v>136.70540025015998</v>
      </c>
      <c r="L251" s="10">
        <f t="shared" si="21"/>
        <v>0.23756388742011994</v>
      </c>
      <c r="M251" s="10">
        <f t="shared" si="28"/>
        <v>0.28492444608306522</v>
      </c>
      <c r="P251" s="8">
        <f t="shared" si="29"/>
        <v>-1.6735093777835215</v>
      </c>
    </row>
    <row r="252" spans="1:16" x14ac:dyDescent="0.2">
      <c r="A252" s="8">
        <v>125</v>
      </c>
      <c r="B252" s="8">
        <v>250</v>
      </c>
      <c r="D252">
        <v>717.94875000000002</v>
      </c>
      <c r="E252">
        <v>254.64875000000001</v>
      </c>
      <c r="F252">
        <v>137.97373358349</v>
      </c>
      <c r="G252">
        <v>116.0325203252</v>
      </c>
      <c r="I252" s="9">
        <f t="shared" si="26"/>
        <v>138.61622967480002</v>
      </c>
      <c r="J252" s="9">
        <f t="shared" si="27"/>
        <v>579.97501641651002</v>
      </c>
      <c r="K252" s="9">
        <f t="shared" si="24"/>
        <v>138.61622967480002</v>
      </c>
      <c r="L252" s="10">
        <f t="shared" si="21"/>
        <v>0.23900379456216533</v>
      </c>
      <c r="M252" s="10">
        <f t="shared" si="28"/>
        <v>0.28655455627194976</v>
      </c>
      <c r="P252" s="8">
        <f t="shared" si="29"/>
        <v>-1.1109637050482064</v>
      </c>
    </row>
    <row r="253" spans="1:16" x14ac:dyDescent="0.2">
      <c r="A253" s="8">
        <v>125.5</v>
      </c>
      <c r="B253" s="8">
        <v>251</v>
      </c>
      <c r="D253">
        <v>716.31</v>
      </c>
      <c r="E253">
        <v>253.03375</v>
      </c>
      <c r="F253">
        <v>137.60100062538999</v>
      </c>
      <c r="G253">
        <v>116.06816760475</v>
      </c>
      <c r="I253" s="9">
        <f t="shared" si="26"/>
        <v>136.96558239525001</v>
      </c>
      <c r="J253" s="9">
        <f t="shared" si="27"/>
        <v>578.7089993746099</v>
      </c>
      <c r="K253" s="9">
        <f t="shared" si="24"/>
        <v>136.96558239525001</v>
      </c>
      <c r="L253" s="10">
        <f t="shared" si="21"/>
        <v>0.23667436059101174</v>
      </c>
      <c r="M253" s="10">
        <f t="shared" si="28"/>
        <v>0.28441532534763531</v>
      </c>
      <c r="P253" s="8">
        <f t="shared" si="29"/>
        <v>-1.8492052715757694</v>
      </c>
    </row>
    <row r="254" spans="1:16" x14ac:dyDescent="0.2">
      <c r="A254" s="8">
        <v>126</v>
      </c>
      <c r="B254" s="8">
        <v>252</v>
      </c>
      <c r="D254">
        <v>710.63125000000002</v>
      </c>
      <c r="E254">
        <v>252.0925</v>
      </c>
      <c r="F254">
        <v>138.01438398998999</v>
      </c>
      <c r="G254">
        <v>116.01375859912</v>
      </c>
      <c r="I254" s="9">
        <f t="shared" si="26"/>
        <v>136.07874140088001</v>
      </c>
      <c r="J254" s="9">
        <f t="shared" si="27"/>
        <v>572.61686601000997</v>
      </c>
      <c r="K254" s="9">
        <f t="shared" si="24"/>
        <v>136.07874140088001</v>
      </c>
      <c r="L254" s="10">
        <f t="shared" si="21"/>
        <v>0.23764361386886079</v>
      </c>
      <c r="M254" s="10">
        <f t="shared" si="28"/>
        <v>0.28557478167232347</v>
      </c>
      <c r="P254" s="8">
        <f t="shared" si="29"/>
        <v>-1.4490807016991494</v>
      </c>
    </row>
    <row r="255" spans="1:16" x14ac:dyDescent="0.2">
      <c r="A255" s="8">
        <v>126.5</v>
      </c>
      <c r="B255" s="8">
        <v>253</v>
      </c>
      <c r="D255">
        <v>730.68956901935996</v>
      </c>
      <c r="E255">
        <v>256.38850718301001</v>
      </c>
      <c r="F255">
        <v>137.52845528455001</v>
      </c>
      <c r="G255">
        <v>116.39086929331</v>
      </c>
      <c r="I255" s="9">
        <f t="shared" si="26"/>
        <v>139.9976378897</v>
      </c>
      <c r="J255" s="9">
        <f t="shared" si="27"/>
        <v>593.16111373480999</v>
      </c>
      <c r="K255" s="9">
        <f t="shared" si="24"/>
        <v>139.9976378897</v>
      </c>
      <c r="L255" s="10">
        <f t="shared" si="21"/>
        <v>0.23601958160778899</v>
      </c>
      <c r="M255" s="10">
        <f t="shared" si="28"/>
        <v>0.28414095245809085</v>
      </c>
      <c r="P255" s="8">
        <f t="shared" si="29"/>
        <v>-1.9438904546889055</v>
      </c>
    </row>
    <row r="256" spans="1:16" x14ac:dyDescent="0.2">
      <c r="A256" s="8">
        <v>127</v>
      </c>
      <c r="B256" s="8">
        <v>254</v>
      </c>
      <c r="D256">
        <v>720.70087064677</v>
      </c>
      <c r="E256">
        <v>253.75995024875999</v>
      </c>
      <c r="F256">
        <v>137.61663539712001</v>
      </c>
      <c r="G256">
        <v>116.21013133208</v>
      </c>
      <c r="I256" s="9">
        <f t="shared" si="26"/>
        <v>137.54981891668001</v>
      </c>
      <c r="J256" s="9">
        <f t="shared" si="27"/>
        <v>583.08423524964996</v>
      </c>
      <c r="K256" s="9">
        <f t="shared" si="24"/>
        <v>137.54981891668001</v>
      </c>
      <c r="L256" s="10">
        <f t="shared" si="21"/>
        <v>0.23590042501798641</v>
      </c>
      <c r="M256" s="10">
        <f t="shared" si="28"/>
        <v>0.28421199891512738</v>
      </c>
      <c r="P256" s="8">
        <f t="shared" si="29"/>
        <v>-1.9193725556894341</v>
      </c>
    </row>
    <row r="257" spans="1:16" x14ac:dyDescent="0.2">
      <c r="A257" s="8">
        <v>127.5</v>
      </c>
      <c r="B257" s="8">
        <v>255</v>
      </c>
      <c r="D257">
        <v>719.9507788162</v>
      </c>
      <c r="E257">
        <v>255.10280373832001</v>
      </c>
      <c r="F257">
        <v>137.69418386492001</v>
      </c>
      <c r="G257">
        <v>115.98061288305</v>
      </c>
      <c r="I257" s="9">
        <f t="shared" si="26"/>
        <v>139.12219085526999</v>
      </c>
      <c r="J257" s="9">
        <f t="shared" si="27"/>
        <v>582.25659495128002</v>
      </c>
      <c r="K257" s="9">
        <f t="shared" si="24"/>
        <v>139.12219085526999</v>
      </c>
      <c r="L257" s="10">
        <f t="shared" si="21"/>
        <v>0.23893622169605647</v>
      </c>
      <c r="M257" s="10">
        <f t="shared" si="28"/>
        <v>0.28743799864003661</v>
      </c>
      <c r="P257" s="8">
        <f t="shared" si="29"/>
        <v>-0.80609064513661111</v>
      </c>
    </row>
    <row r="258" spans="1:16" x14ac:dyDescent="0.2">
      <c r="A258" s="8">
        <v>128</v>
      </c>
      <c r="B258" s="8">
        <v>256</v>
      </c>
      <c r="D258">
        <v>738.99875544493</v>
      </c>
      <c r="E258">
        <v>256.82078406969998</v>
      </c>
      <c r="F258">
        <v>137.71419637272999</v>
      </c>
      <c r="G258">
        <v>116.32332707943</v>
      </c>
      <c r="I258" s="9">
        <f t="shared" si="26"/>
        <v>140.49745699027</v>
      </c>
      <c r="J258" s="9">
        <f t="shared" si="27"/>
        <v>601.28455907219995</v>
      </c>
      <c r="K258" s="9">
        <f t="shared" si="24"/>
        <v>140.49745699027</v>
      </c>
      <c r="L258" s="10">
        <f t="shared" ref="L258:L321" si="30">K258/J258</f>
        <v>0.23366217354236032</v>
      </c>
      <c r="M258" s="10">
        <f t="shared" si="28"/>
        <v>0.28235415353317955</v>
      </c>
      <c r="P258" s="8">
        <f t="shared" si="29"/>
        <v>-2.5605088956452042</v>
      </c>
    </row>
    <row r="259" spans="1:16" x14ac:dyDescent="0.2">
      <c r="A259" s="8">
        <v>128.5</v>
      </c>
      <c r="B259" s="8">
        <v>257</v>
      </c>
      <c r="D259">
        <v>761.20237351654998</v>
      </c>
      <c r="E259">
        <v>264.29231730168999</v>
      </c>
      <c r="F259">
        <v>137.46779237023</v>
      </c>
      <c r="G259">
        <v>116.30644152595001</v>
      </c>
      <c r="I259" s="9">
        <f t="shared" si="26"/>
        <v>147.98587577574</v>
      </c>
      <c r="J259" s="9">
        <f t="shared" si="27"/>
        <v>623.73458114632001</v>
      </c>
      <c r="K259" s="9">
        <f t="shared" ref="K259:K321" si="31">I259*1</f>
        <v>147.98587577574</v>
      </c>
      <c r="L259" s="10">
        <f t="shared" si="30"/>
        <v>0.23725776996966669</v>
      </c>
      <c r="M259" s="10">
        <f t="shared" si="28"/>
        <v>0.28613995300732509</v>
      </c>
      <c r="P259" s="8">
        <f t="shared" si="29"/>
        <v>-1.2540419300706147</v>
      </c>
    </row>
    <row r="260" spans="1:16" x14ac:dyDescent="0.2">
      <c r="A260" s="8">
        <v>129</v>
      </c>
      <c r="B260" s="8">
        <v>258</v>
      </c>
      <c r="D260">
        <v>736.26111458985997</v>
      </c>
      <c r="E260">
        <v>258.35629304947003</v>
      </c>
      <c r="F260">
        <v>137.74671669794</v>
      </c>
      <c r="G260">
        <v>116.15447154472</v>
      </c>
      <c r="I260" s="9">
        <f t="shared" si="26"/>
        <v>142.20182150475003</v>
      </c>
      <c r="J260" s="9">
        <f t="shared" si="27"/>
        <v>598.51439789192</v>
      </c>
      <c r="K260" s="9">
        <f t="shared" si="31"/>
        <v>142.20182150475003</v>
      </c>
      <c r="L260" s="10">
        <f t="shared" si="30"/>
        <v>0.23759131276642889</v>
      </c>
      <c r="M260" s="10">
        <f t="shared" si="28"/>
        <v>0.28666369885092641</v>
      </c>
      <c r="P260" s="8">
        <f t="shared" si="29"/>
        <v>-1.0732989594787667</v>
      </c>
    </row>
    <row r="261" spans="1:16" x14ac:dyDescent="0.2">
      <c r="A261" s="8">
        <v>129.5</v>
      </c>
      <c r="B261" s="8">
        <v>259</v>
      </c>
      <c r="D261">
        <v>714.93487789606002</v>
      </c>
      <c r="E261">
        <v>252.56856606137001</v>
      </c>
      <c r="F261">
        <v>137.60225140713001</v>
      </c>
      <c r="G261">
        <v>115.94809255785</v>
      </c>
      <c r="I261" s="9">
        <f t="shared" si="26"/>
        <v>136.62047350352</v>
      </c>
      <c r="J261" s="9">
        <f t="shared" si="27"/>
        <v>577.33262648893003</v>
      </c>
      <c r="K261" s="9">
        <f t="shared" si="31"/>
        <v>136.62047350352</v>
      </c>
      <c r="L261" s="10">
        <f t="shared" si="30"/>
        <v>0.23664083274555697</v>
      </c>
      <c r="M261" s="10">
        <f t="shared" si="28"/>
        <v>0.28590342187689366</v>
      </c>
      <c r="P261" s="8">
        <f t="shared" si="29"/>
        <v>-1.3356680463900537</v>
      </c>
    </row>
    <row r="262" spans="1:16" x14ac:dyDescent="0.2">
      <c r="A262" s="8">
        <v>130</v>
      </c>
      <c r="B262" s="8">
        <v>260</v>
      </c>
      <c r="D262">
        <v>742.05053025577001</v>
      </c>
      <c r="E262">
        <v>256.4466625078</v>
      </c>
      <c r="F262">
        <v>137.81738586617001</v>
      </c>
      <c r="G262">
        <v>116.25078173859001</v>
      </c>
      <c r="I262" s="9">
        <f t="shared" si="26"/>
        <v>140.19588076920999</v>
      </c>
      <c r="J262" s="9">
        <f t="shared" si="27"/>
        <v>604.23314438960006</v>
      </c>
      <c r="K262" s="9">
        <f t="shared" si="31"/>
        <v>140.19588076920999</v>
      </c>
      <c r="L262" s="10">
        <f t="shared" si="30"/>
        <v>0.23202282441959834</v>
      </c>
      <c r="M262" s="10">
        <f t="shared" si="28"/>
        <v>0.28147561659777415</v>
      </c>
      <c r="P262" s="8">
        <f t="shared" si="29"/>
        <v>-2.8636891068483759</v>
      </c>
    </row>
    <row r="263" spans="1:16" x14ac:dyDescent="0.2">
      <c r="A263" s="8">
        <v>130.5</v>
      </c>
      <c r="B263" s="8">
        <v>261</v>
      </c>
      <c r="D263">
        <v>724.073125</v>
      </c>
      <c r="E263">
        <v>251.61937499999999</v>
      </c>
      <c r="F263">
        <v>137.70544090056001</v>
      </c>
      <c r="G263">
        <v>116.12570356473</v>
      </c>
      <c r="I263" s="9">
        <f t="shared" si="26"/>
        <v>135.49367143526999</v>
      </c>
      <c r="J263" s="9">
        <f t="shared" si="27"/>
        <v>586.36768409944</v>
      </c>
      <c r="K263" s="9">
        <f t="shared" si="31"/>
        <v>135.49367143526999</v>
      </c>
      <c r="L263" s="10">
        <f t="shared" si="30"/>
        <v>0.23107288329397788</v>
      </c>
      <c r="M263" s="10">
        <f t="shared" si="28"/>
        <v>0.28071587851899282</v>
      </c>
      <c r="P263" s="8">
        <f t="shared" si="29"/>
        <v>-3.1258722227781837</v>
      </c>
    </row>
    <row r="264" spans="1:16" x14ac:dyDescent="0.2">
      <c r="A264" s="8">
        <v>131</v>
      </c>
      <c r="B264" s="8">
        <v>262</v>
      </c>
      <c r="D264">
        <v>715.81375000000003</v>
      </c>
      <c r="E264">
        <v>249.736875</v>
      </c>
      <c r="F264">
        <v>137.68042526579001</v>
      </c>
      <c r="G264">
        <v>115.98373983739999</v>
      </c>
      <c r="I264" s="9">
        <f t="shared" si="26"/>
        <v>133.75313516260002</v>
      </c>
      <c r="J264" s="9">
        <f t="shared" si="27"/>
        <v>578.13332473420996</v>
      </c>
      <c r="K264" s="9">
        <f t="shared" si="31"/>
        <v>133.75313516260002</v>
      </c>
      <c r="L264" s="10">
        <f t="shared" si="30"/>
        <v>0.2313534429520932</v>
      </c>
      <c r="M264" s="10">
        <f t="shared" si="28"/>
        <v>0.28118664122394726</v>
      </c>
      <c r="P264" s="8">
        <f t="shared" si="29"/>
        <v>-2.9634135593313222</v>
      </c>
    </row>
    <row r="265" spans="1:16" x14ac:dyDescent="0.2">
      <c r="A265" s="8">
        <v>131.5</v>
      </c>
      <c r="B265" s="8">
        <v>263</v>
      </c>
      <c r="D265">
        <v>704.22687499999995</v>
      </c>
      <c r="E265">
        <v>246.140625</v>
      </c>
      <c r="F265">
        <v>137.42589118199001</v>
      </c>
      <c r="G265">
        <v>115.73170731707</v>
      </c>
      <c r="I265" s="9">
        <f t="shared" si="26"/>
        <v>130.40891768293</v>
      </c>
      <c r="J265" s="9">
        <f t="shared" si="27"/>
        <v>566.80098381800997</v>
      </c>
      <c r="K265" s="9">
        <f t="shared" si="31"/>
        <v>130.40891768293</v>
      </c>
      <c r="L265" s="10">
        <f t="shared" si="30"/>
        <v>0.23007884849543955</v>
      </c>
      <c r="M265" s="10">
        <f t="shared" si="28"/>
        <v>0.28010224981413279</v>
      </c>
      <c r="P265" s="8">
        <f t="shared" si="29"/>
        <v>-3.337633473605897</v>
      </c>
    </row>
    <row r="266" spans="1:16" x14ac:dyDescent="0.2">
      <c r="A266" s="8">
        <v>132</v>
      </c>
      <c r="B266" s="8">
        <v>264</v>
      </c>
      <c r="D266">
        <v>692.99625000000003</v>
      </c>
      <c r="E266">
        <v>243.83125000000001</v>
      </c>
      <c r="F266">
        <v>137.12320200125001</v>
      </c>
      <c r="G266">
        <v>116.00625390869</v>
      </c>
      <c r="I266" s="9">
        <f t="shared" si="26"/>
        <v>127.82499609131001</v>
      </c>
      <c r="J266" s="9">
        <f t="shared" si="27"/>
        <v>555.87304799875005</v>
      </c>
      <c r="K266" s="9">
        <f t="shared" si="31"/>
        <v>127.82499609131001</v>
      </c>
      <c r="L266" s="10">
        <f t="shared" si="30"/>
        <v>0.22995357762263272</v>
      </c>
      <c r="M266" s="10">
        <f t="shared" si="28"/>
        <v>0.28016718198816504</v>
      </c>
      <c r="P266" s="8">
        <f t="shared" si="29"/>
        <v>-3.3152255935912742</v>
      </c>
    </row>
    <row r="267" spans="1:16" x14ac:dyDescent="0.2">
      <c r="A267" s="8">
        <v>132.5</v>
      </c>
      <c r="B267" s="8">
        <v>265</v>
      </c>
      <c r="D267">
        <v>672.59375</v>
      </c>
      <c r="E267">
        <v>239.97375</v>
      </c>
      <c r="F267">
        <v>136.92120075047001</v>
      </c>
      <c r="G267">
        <v>116.43902439023999</v>
      </c>
      <c r="I267" s="9">
        <f t="shared" si="26"/>
        <v>123.53472560976</v>
      </c>
      <c r="J267" s="9">
        <f t="shared" si="27"/>
        <v>535.67254924952999</v>
      </c>
      <c r="K267" s="9">
        <f t="shared" si="31"/>
        <v>123.53472560976</v>
      </c>
      <c r="L267" s="10">
        <f t="shared" si="30"/>
        <v>0.23061612132790915</v>
      </c>
      <c r="M267" s="10">
        <f t="shared" si="28"/>
        <v>0.28101992874028064</v>
      </c>
      <c r="P267" s="8">
        <f t="shared" si="29"/>
        <v>-3.0209454899438102</v>
      </c>
    </row>
    <row r="268" spans="1:16" x14ac:dyDescent="0.2">
      <c r="A268" s="8">
        <v>133</v>
      </c>
      <c r="B268" s="8">
        <v>266</v>
      </c>
      <c r="D268">
        <v>662.85312499999998</v>
      </c>
      <c r="E268">
        <v>238.8075</v>
      </c>
      <c r="F268">
        <v>137.70168855534999</v>
      </c>
      <c r="G268">
        <v>116.26266416510001</v>
      </c>
      <c r="I268" s="9">
        <f t="shared" si="26"/>
        <v>122.5448358349</v>
      </c>
      <c r="J268" s="9">
        <f t="shared" si="27"/>
        <v>525.15143644465002</v>
      </c>
      <c r="K268" s="9">
        <f t="shared" si="31"/>
        <v>122.5448358349</v>
      </c>
      <c r="L268" s="10">
        <f t="shared" si="30"/>
        <v>0.23335142461866995</v>
      </c>
      <c r="M268" s="10">
        <f t="shared" si="28"/>
        <v>0.28394543507788056</v>
      </c>
      <c r="P268" s="8">
        <f t="shared" si="29"/>
        <v>-2.011362860500383</v>
      </c>
    </row>
    <row r="269" spans="1:16" x14ac:dyDescent="0.2">
      <c r="A269" s="8">
        <v>133.5</v>
      </c>
      <c r="B269" s="8">
        <v>267</v>
      </c>
      <c r="D269">
        <v>657.03562499999998</v>
      </c>
      <c r="E269">
        <v>238.143125</v>
      </c>
      <c r="F269">
        <v>137.7617260788</v>
      </c>
      <c r="G269">
        <v>116.16260162602001</v>
      </c>
      <c r="I269" s="9">
        <f t="shared" si="26"/>
        <v>121.98052337397999</v>
      </c>
      <c r="J269" s="9">
        <f t="shared" si="27"/>
        <v>519.27389892120004</v>
      </c>
      <c r="K269" s="9">
        <f t="shared" si="31"/>
        <v>121.98052337397999</v>
      </c>
      <c r="L269" s="10">
        <f t="shared" si="30"/>
        <v>0.23490594005860205</v>
      </c>
      <c r="M269" s="10">
        <f t="shared" si="28"/>
        <v>0.28569015356465183</v>
      </c>
      <c r="P269" s="8">
        <f t="shared" si="29"/>
        <v>-1.4092662405497398</v>
      </c>
    </row>
    <row r="270" spans="1:16" x14ac:dyDescent="0.2">
      <c r="A270" s="8">
        <v>134</v>
      </c>
      <c r="B270" s="8">
        <v>268</v>
      </c>
      <c r="D270">
        <v>661.69687499999998</v>
      </c>
      <c r="E270">
        <v>237.50312500000001</v>
      </c>
      <c r="F270">
        <v>137.45653533458</v>
      </c>
      <c r="G270">
        <v>115.95559724828</v>
      </c>
      <c r="I270" s="9">
        <f t="shared" si="26"/>
        <v>121.54752775172001</v>
      </c>
      <c r="J270" s="9">
        <f t="shared" si="27"/>
        <v>524.24033966541992</v>
      </c>
      <c r="K270" s="9">
        <f t="shared" si="31"/>
        <v>121.54752775172001</v>
      </c>
      <c r="L270" s="10">
        <f t="shared" si="30"/>
        <v>0.23185458759105401</v>
      </c>
      <c r="M270" s="10">
        <f t="shared" si="28"/>
        <v>0.28282900414394291</v>
      </c>
      <c r="P270" s="8">
        <f t="shared" si="29"/>
        <v>-2.3966395093287876</v>
      </c>
    </row>
    <row r="271" spans="1:16" x14ac:dyDescent="0.2">
      <c r="A271" s="8">
        <v>134.5</v>
      </c>
      <c r="B271" s="8">
        <v>269</v>
      </c>
      <c r="D271">
        <v>652.20875000000001</v>
      </c>
      <c r="E271">
        <v>235.298125</v>
      </c>
      <c r="F271">
        <v>137.29268292683</v>
      </c>
      <c r="G271">
        <v>115.96435272044999</v>
      </c>
      <c r="I271" s="9">
        <f t="shared" si="26"/>
        <v>119.33377227955</v>
      </c>
      <c r="J271" s="9">
        <f t="shared" si="27"/>
        <v>514.91606707316998</v>
      </c>
      <c r="K271" s="9">
        <f t="shared" si="31"/>
        <v>119.33377227955</v>
      </c>
      <c r="L271" s="10">
        <f t="shared" si="30"/>
        <v>0.23175383312052017</v>
      </c>
      <c r="M271" s="10">
        <f t="shared" si="28"/>
        <v>0.28291845272024818</v>
      </c>
      <c r="P271" s="8">
        <f t="shared" si="29"/>
        <v>-2.3657710994041197</v>
      </c>
    </row>
    <row r="272" spans="1:16" x14ac:dyDescent="0.2">
      <c r="A272" s="8">
        <v>135</v>
      </c>
      <c r="B272" s="8">
        <v>270</v>
      </c>
      <c r="D272">
        <v>632.97</v>
      </c>
      <c r="E272">
        <v>232.05812499999999</v>
      </c>
      <c r="F272">
        <v>137.35084427767001</v>
      </c>
      <c r="G272">
        <v>116.07817385865999</v>
      </c>
      <c r="I272" s="9">
        <f t="shared" si="26"/>
        <v>115.97995114134</v>
      </c>
      <c r="J272" s="9">
        <f t="shared" si="27"/>
        <v>495.61915572232999</v>
      </c>
      <c r="K272" s="9">
        <f t="shared" si="31"/>
        <v>115.97995114134</v>
      </c>
      <c r="L272" s="10">
        <f t="shared" si="30"/>
        <v>0.2340102270105105</v>
      </c>
      <c r="M272" s="10">
        <f t="shared" si="28"/>
        <v>0.28536504965707765</v>
      </c>
      <c r="P272" s="8">
        <f t="shared" si="29"/>
        <v>-1.5214585313790738</v>
      </c>
    </row>
    <row r="273" spans="1:16" x14ac:dyDescent="0.2">
      <c r="A273" s="8">
        <v>135.5</v>
      </c>
      <c r="B273" s="8">
        <v>271</v>
      </c>
      <c r="D273">
        <v>630.12374999999997</v>
      </c>
      <c r="E273">
        <v>230.333125</v>
      </c>
      <c r="F273">
        <v>137.59599749844</v>
      </c>
      <c r="G273">
        <v>116.19136960599999</v>
      </c>
      <c r="I273" s="9">
        <f t="shared" si="26"/>
        <v>114.141755394</v>
      </c>
      <c r="J273" s="9">
        <f t="shared" si="27"/>
        <v>492.52775250155997</v>
      </c>
      <c r="K273" s="9">
        <f t="shared" si="31"/>
        <v>114.141755394</v>
      </c>
      <c r="L273" s="10">
        <f t="shared" si="30"/>
        <v>0.23174685043486656</v>
      </c>
      <c r="M273" s="10">
        <f t="shared" si="28"/>
        <v>0.28329187612827289</v>
      </c>
      <c r="P273" s="8">
        <f t="shared" si="29"/>
        <v>-2.2369039076554924</v>
      </c>
    </row>
    <row r="274" spans="1:16" x14ac:dyDescent="0.2">
      <c r="A274" s="8">
        <v>136</v>
      </c>
      <c r="B274" s="8">
        <v>272</v>
      </c>
      <c r="D274">
        <v>638.85500000000002</v>
      </c>
      <c r="E274">
        <v>231.15437499999999</v>
      </c>
      <c r="F274">
        <v>137.84490306442001</v>
      </c>
      <c r="G274">
        <v>116.05440900563001</v>
      </c>
      <c r="I274" s="9">
        <f t="shared" si="26"/>
        <v>115.09996599436998</v>
      </c>
      <c r="J274" s="9">
        <f t="shared" si="27"/>
        <v>501.01009693558001</v>
      </c>
      <c r="K274" s="9">
        <f t="shared" si="31"/>
        <v>115.09996599436998</v>
      </c>
      <c r="L274" s="10">
        <f t="shared" si="30"/>
        <v>0.22973582109098603</v>
      </c>
      <c r="M274" s="10">
        <f t="shared" si="28"/>
        <v>0.2814710498312315</v>
      </c>
      <c r="P274" s="8">
        <f t="shared" si="29"/>
        <v>-2.8652650829845143</v>
      </c>
    </row>
    <row r="275" spans="1:16" x14ac:dyDescent="0.2">
      <c r="A275" s="8">
        <v>136.5</v>
      </c>
      <c r="B275" s="8">
        <v>273</v>
      </c>
      <c r="D275">
        <v>640.12312499999996</v>
      </c>
      <c r="E275">
        <v>231.765625</v>
      </c>
      <c r="F275">
        <v>137.63852407754999</v>
      </c>
      <c r="G275">
        <v>116.00938086303999</v>
      </c>
      <c r="I275" s="9">
        <f>E275-G275</f>
        <v>115.75624413696001</v>
      </c>
      <c r="J275" s="9">
        <f>D275-F275</f>
        <v>502.48460092245</v>
      </c>
      <c r="K275" s="9">
        <f t="shared" si="31"/>
        <v>115.75624413696001</v>
      </c>
      <c r="L275" s="10">
        <f t="shared" si="30"/>
        <v>0.23036774445317784</v>
      </c>
      <c r="M275" s="10">
        <f>L275+ABS($N$2)*A275</f>
        <v>0.28229317624026246</v>
      </c>
      <c r="O275" s="11"/>
      <c r="P275" s="8">
        <f>(M275-$O$2)/$O$2*100</f>
        <v>-2.5815519591752221</v>
      </c>
    </row>
    <row r="276" spans="1:16" x14ac:dyDescent="0.2">
      <c r="A276" s="8">
        <v>137</v>
      </c>
      <c r="B276" s="8">
        <v>274</v>
      </c>
      <c r="D276">
        <v>646.93875000000003</v>
      </c>
      <c r="E276">
        <v>231.36125000000001</v>
      </c>
      <c r="F276">
        <v>137.86804252658001</v>
      </c>
      <c r="G276">
        <v>115.88868042527</v>
      </c>
      <c r="I276" s="9">
        <f t="shared" ref="I276:I291" si="32">E276-G276</f>
        <v>115.47256957473002</v>
      </c>
      <c r="J276" s="9">
        <f t="shared" ref="J276:J291" si="33">D276-F276</f>
        <v>509.07070747342004</v>
      </c>
      <c r="K276" s="9">
        <f t="shared" si="31"/>
        <v>115.47256957473002</v>
      </c>
      <c r="L276" s="10">
        <f t="shared" si="30"/>
        <v>0.22683011982330401</v>
      </c>
      <c r="M276" s="10">
        <f t="shared" ref="M276:M291" si="34">L276+ABS($N$2)*A276</f>
        <v>0.27894575465722771</v>
      </c>
      <c r="P276" s="8">
        <f t="shared" ref="P276:P291" si="35">(M276-$O$2)/$O$2*100</f>
        <v>-3.7367361542053517</v>
      </c>
    </row>
    <row r="277" spans="1:16" x14ac:dyDescent="0.2">
      <c r="A277" s="8">
        <v>137.5</v>
      </c>
      <c r="B277" s="8">
        <v>275</v>
      </c>
      <c r="D277">
        <v>652.38279301746002</v>
      </c>
      <c r="E277">
        <v>233.60660847880001</v>
      </c>
      <c r="F277">
        <v>137.08818011257</v>
      </c>
      <c r="G277">
        <v>116.20450281426</v>
      </c>
      <c r="I277" s="9">
        <f t="shared" si="32"/>
        <v>117.40210566454002</v>
      </c>
      <c r="J277" s="9">
        <f t="shared" si="33"/>
        <v>515.29461290489007</v>
      </c>
      <c r="K277" s="9">
        <f t="shared" si="31"/>
        <v>117.40210566454002</v>
      </c>
      <c r="L277" s="10">
        <f t="shared" si="30"/>
        <v>0.2278349175876391</v>
      </c>
      <c r="M277" s="10">
        <f t="shared" si="34"/>
        <v>0.28014075546840195</v>
      </c>
      <c r="N277" s="1"/>
      <c r="P277" s="8">
        <f t="shared" si="35"/>
        <v>-3.3243452987741202</v>
      </c>
    </row>
    <row r="278" spans="1:16" x14ac:dyDescent="0.2">
      <c r="A278" s="8">
        <v>138</v>
      </c>
      <c r="B278" s="8">
        <v>276</v>
      </c>
      <c r="D278">
        <v>663.34850374065002</v>
      </c>
      <c r="E278">
        <v>235.73753117206999</v>
      </c>
      <c r="F278">
        <v>137.11507191995</v>
      </c>
      <c r="G278">
        <v>116.20450281426</v>
      </c>
      <c r="I278" s="9">
        <f t="shared" si="32"/>
        <v>119.53302835781</v>
      </c>
      <c r="J278" s="9">
        <f t="shared" si="33"/>
        <v>526.23343182070005</v>
      </c>
      <c r="K278" s="9">
        <f t="shared" si="31"/>
        <v>119.53302835781</v>
      </c>
      <c r="L278" s="10">
        <f t="shared" si="30"/>
        <v>0.22714829794116478</v>
      </c>
      <c r="M278" s="10">
        <f t="shared" si="34"/>
        <v>0.27964433886876677</v>
      </c>
      <c r="P278" s="8">
        <f t="shared" si="35"/>
        <v>-3.4956570370252864</v>
      </c>
    </row>
    <row r="279" spans="1:16" x14ac:dyDescent="0.2">
      <c r="A279" s="8">
        <v>138.5</v>
      </c>
      <c r="B279" s="8">
        <v>277</v>
      </c>
      <c r="D279">
        <v>661.54052369076999</v>
      </c>
      <c r="E279">
        <v>234.60349127181999</v>
      </c>
      <c r="F279">
        <v>137.16635397123</v>
      </c>
      <c r="G279">
        <v>116.02689180738</v>
      </c>
      <c r="I279" s="9">
        <f t="shared" si="32"/>
        <v>118.57659946443999</v>
      </c>
      <c r="J279" s="9">
        <f t="shared" si="33"/>
        <v>524.37416971953996</v>
      </c>
      <c r="K279" s="9">
        <f t="shared" si="31"/>
        <v>118.57659946443999</v>
      </c>
      <c r="L279" s="10">
        <f t="shared" si="30"/>
        <v>0.22612974915957504</v>
      </c>
      <c r="M279" s="10">
        <f t="shared" si="34"/>
        <v>0.27881599313401617</v>
      </c>
      <c r="P279" s="8">
        <f t="shared" si="35"/>
        <v>-3.7815164297155266</v>
      </c>
    </row>
    <row r="280" spans="1:16" x14ac:dyDescent="0.2">
      <c r="A280" s="8">
        <v>139</v>
      </c>
      <c r="B280" s="8">
        <v>278</v>
      </c>
      <c r="D280">
        <v>647.60473815461</v>
      </c>
      <c r="E280">
        <v>232.89152119701001</v>
      </c>
      <c r="F280">
        <v>136.99312070043999</v>
      </c>
      <c r="G280">
        <v>115.97686053784</v>
      </c>
      <c r="I280" s="9">
        <f t="shared" si="32"/>
        <v>116.91466065917001</v>
      </c>
      <c r="J280" s="9">
        <f t="shared" si="33"/>
        <v>510.61161745417002</v>
      </c>
      <c r="K280" s="9">
        <f t="shared" si="31"/>
        <v>116.91466065917001</v>
      </c>
      <c r="L280" s="10">
        <f t="shared" si="30"/>
        <v>0.22896984060427042</v>
      </c>
      <c r="M280" s="10">
        <f t="shared" si="34"/>
        <v>0.2818462876255507</v>
      </c>
      <c r="P280" s="8">
        <f t="shared" si="35"/>
        <v>-2.7357717524842911</v>
      </c>
    </row>
    <row r="281" spans="1:16" x14ac:dyDescent="0.2">
      <c r="A281" s="8">
        <v>139.5</v>
      </c>
      <c r="B281" s="8">
        <v>279</v>
      </c>
      <c r="D281">
        <v>655.35411471322004</v>
      </c>
      <c r="E281">
        <v>233.58541147131999</v>
      </c>
      <c r="F281">
        <v>137.18261413382999</v>
      </c>
      <c r="G281">
        <v>115.92182614134001</v>
      </c>
      <c r="I281" s="9">
        <f t="shared" si="32"/>
        <v>117.66358532997998</v>
      </c>
      <c r="J281" s="9">
        <f t="shared" si="33"/>
        <v>518.17150057939011</v>
      </c>
      <c r="K281" s="9">
        <f t="shared" si="31"/>
        <v>117.66358532997998</v>
      </c>
      <c r="L281" s="10">
        <f t="shared" si="30"/>
        <v>0.22707459827183704</v>
      </c>
      <c r="M281" s="10">
        <f t="shared" si="34"/>
        <v>0.28014124833995646</v>
      </c>
      <c r="P281" s="8">
        <f t="shared" si="35"/>
        <v>-3.3241752104192979</v>
      </c>
    </row>
    <row r="282" spans="1:16" x14ac:dyDescent="0.2">
      <c r="A282" s="8">
        <v>140</v>
      </c>
      <c r="B282" s="8">
        <v>280</v>
      </c>
      <c r="D282">
        <v>656.05610972569002</v>
      </c>
      <c r="E282">
        <v>233.99750623441</v>
      </c>
      <c r="F282">
        <v>137.64790494059</v>
      </c>
      <c r="G282">
        <v>115.87617260787999</v>
      </c>
      <c r="I282" s="9">
        <f t="shared" si="32"/>
        <v>118.12133362653</v>
      </c>
      <c r="J282" s="9">
        <f t="shared" si="33"/>
        <v>518.4082047851</v>
      </c>
      <c r="K282" s="9">
        <f t="shared" si="31"/>
        <v>118.12133362653</v>
      </c>
      <c r="L282" s="10">
        <f t="shared" si="30"/>
        <v>0.22785390457987795</v>
      </c>
      <c r="M282" s="10">
        <f t="shared" si="34"/>
        <v>0.28111075769483651</v>
      </c>
      <c r="P282" s="8">
        <f t="shared" si="35"/>
        <v>-2.9896007160181659</v>
      </c>
    </row>
    <row r="283" spans="1:16" x14ac:dyDescent="0.2">
      <c r="A283" s="8">
        <v>140.5</v>
      </c>
      <c r="B283" s="8">
        <v>281</v>
      </c>
      <c r="D283">
        <v>664.35895846249002</v>
      </c>
      <c r="E283">
        <v>236.45505269684</v>
      </c>
      <c r="F283">
        <v>137.65103189492999</v>
      </c>
      <c r="G283">
        <v>115.97498436523</v>
      </c>
      <c r="I283" s="9">
        <f t="shared" si="32"/>
        <v>120.48006833161</v>
      </c>
      <c r="J283" s="9">
        <f t="shared" si="33"/>
        <v>526.70792656755998</v>
      </c>
      <c r="K283" s="9">
        <f t="shared" si="31"/>
        <v>120.48006833161</v>
      </c>
      <c r="L283" s="10">
        <f t="shared" si="30"/>
        <v>0.22874170342708183</v>
      </c>
      <c r="M283" s="10">
        <f t="shared" si="34"/>
        <v>0.28218875958887951</v>
      </c>
      <c r="P283" s="8">
        <f t="shared" si="35"/>
        <v>-2.6175858026525036</v>
      </c>
    </row>
    <row r="284" spans="1:16" x14ac:dyDescent="0.2">
      <c r="A284" s="8">
        <v>141</v>
      </c>
      <c r="B284" s="8">
        <v>282</v>
      </c>
      <c r="D284">
        <v>676.14507129571996</v>
      </c>
      <c r="E284">
        <v>239.8059516429</v>
      </c>
      <c r="F284">
        <v>137.50969355846999</v>
      </c>
      <c r="G284">
        <v>115.86491557223</v>
      </c>
      <c r="I284" s="9">
        <f t="shared" si="32"/>
        <v>123.94103607066999</v>
      </c>
      <c r="J284" s="9">
        <f t="shared" si="33"/>
        <v>538.63537773725</v>
      </c>
      <c r="K284" s="9">
        <f t="shared" si="31"/>
        <v>123.94103607066999</v>
      </c>
      <c r="L284" s="10">
        <f t="shared" si="30"/>
        <v>0.2301019227354377</v>
      </c>
      <c r="M284" s="10">
        <f t="shared" si="34"/>
        <v>0.28373918194407455</v>
      </c>
      <c r="P284" s="8">
        <f t="shared" si="35"/>
        <v>-2.0825401396204315</v>
      </c>
    </row>
    <row r="285" spans="1:16" x14ac:dyDescent="0.2">
      <c r="A285" s="8">
        <v>141.5</v>
      </c>
      <c r="B285" s="8">
        <v>283</v>
      </c>
      <c r="D285">
        <v>681.76379417235</v>
      </c>
      <c r="E285">
        <v>243.26162430254001</v>
      </c>
      <c r="F285">
        <v>137.26891807379999</v>
      </c>
      <c r="G285">
        <v>115.98311444653</v>
      </c>
      <c r="I285" s="9">
        <f t="shared" si="32"/>
        <v>127.27850985601002</v>
      </c>
      <c r="J285" s="9">
        <f t="shared" si="33"/>
        <v>544.49487609854998</v>
      </c>
      <c r="K285" s="9">
        <f t="shared" si="31"/>
        <v>127.27850985601002</v>
      </c>
      <c r="L285" s="10">
        <f t="shared" si="30"/>
        <v>0.23375520219399357</v>
      </c>
      <c r="M285" s="10">
        <f t="shared" si="34"/>
        <v>0.28758266444946956</v>
      </c>
      <c r="P285" s="8">
        <f t="shared" si="35"/>
        <v>-0.75616694939862672</v>
      </c>
    </row>
    <row r="286" spans="1:16" x14ac:dyDescent="0.2">
      <c r="A286" s="8">
        <v>142</v>
      </c>
      <c r="B286" s="8">
        <v>284</v>
      </c>
      <c r="D286">
        <v>696.73697426240005</v>
      </c>
      <c r="E286">
        <v>245.4475831764</v>
      </c>
      <c r="F286">
        <v>137.26704190119</v>
      </c>
      <c r="G286">
        <v>115.76985616010001</v>
      </c>
      <c r="I286" s="9">
        <f t="shared" si="32"/>
        <v>129.6777270163</v>
      </c>
      <c r="J286" s="9">
        <f t="shared" si="33"/>
        <v>559.46993236121011</v>
      </c>
      <c r="K286" s="9">
        <f t="shared" si="31"/>
        <v>129.6777270163</v>
      </c>
      <c r="L286" s="10">
        <f t="shared" si="30"/>
        <v>0.23178676728703318</v>
      </c>
      <c r="M286" s="10">
        <f t="shared" si="34"/>
        <v>0.28580443258934829</v>
      </c>
      <c r="P286" s="8">
        <f t="shared" si="35"/>
        <v>-1.3698289244310069</v>
      </c>
    </row>
    <row r="287" spans="1:16" x14ac:dyDescent="0.2">
      <c r="A287" s="8">
        <v>142.5</v>
      </c>
      <c r="B287" s="8">
        <v>285</v>
      </c>
      <c r="D287">
        <v>688.23979912115999</v>
      </c>
      <c r="E287">
        <v>242.73885750157001</v>
      </c>
      <c r="F287">
        <v>137.80550343965001</v>
      </c>
      <c r="G287">
        <v>116.15697310819</v>
      </c>
      <c r="I287" s="9">
        <f t="shared" si="32"/>
        <v>126.58188439338001</v>
      </c>
      <c r="J287" s="9">
        <f t="shared" si="33"/>
        <v>550.43429568150998</v>
      </c>
      <c r="K287" s="9">
        <f t="shared" si="31"/>
        <v>126.58188439338001</v>
      </c>
      <c r="L287" s="10">
        <f t="shared" si="30"/>
        <v>0.22996729198469548</v>
      </c>
      <c r="M287" s="10">
        <f t="shared" si="34"/>
        <v>0.28417516033384971</v>
      </c>
      <c r="P287" s="8">
        <f t="shared" si="35"/>
        <v>-1.932085429106688</v>
      </c>
    </row>
    <row r="288" spans="1:16" x14ac:dyDescent="0.2">
      <c r="A288" s="8">
        <v>143</v>
      </c>
      <c r="B288" s="8">
        <v>286</v>
      </c>
      <c r="D288">
        <v>698.46013810421005</v>
      </c>
      <c r="E288">
        <v>244.74450721907999</v>
      </c>
      <c r="F288">
        <v>137.57535959974999</v>
      </c>
      <c r="G288">
        <v>115.87179487180001</v>
      </c>
      <c r="I288" s="9">
        <f t="shared" si="32"/>
        <v>128.87271234727999</v>
      </c>
      <c r="J288" s="9">
        <f t="shared" si="33"/>
        <v>560.88477850446009</v>
      </c>
      <c r="K288" s="9">
        <f t="shared" si="31"/>
        <v>128.87271234727999</v>
      </c>
      <c r="L288" s="10">
        <f t="shared" si="30"/>
        <v>0.22976682072012267</v>
      </c>
      <c r="M288" s="10">
        <f t="shared" si="34"/>
        <v>0.28416489211611606</v>
      </c>
      <c r="P288" s="8">
        <f t="shared" si="35"/>
        <v>-1.9356289573246903</v>
      </c>
    </row>
    <row r="289" spans="1:16" x14ac:dyDescent="0.2">
      <c r="A289" s="8">
        <v>143.5</v>
      </c>
      <c r="B289" s="8">
        <v>287</v>
      </c>
      <c r="D289">
        <v>754.29755178907999</v>
      </c>
      <c r="E289">
        <v>255.75768989328</v>
      </c>
      <c r="F289">
        <v>137.70106316447999</v>
      </c>
      <c r="G289">
        <v>116.05628517824</v>
      </c>
      <c r="I289" s="9">
        <f t="shared" si="32"/>
        <v>139.70140471503998</v>
      </c>
      <c r="J289" s="9">
        <f t="shared" si="33"/>
        <v>616.59648862459994</v>
      </c>
      <c r="K289" s="9">
        <f t="shared" si="31"/>
        <v>139.70140471503998</v>
      </c>
      <c r="L289" s="10">
        <f t="shared" si="30"/>
        <v>0.22656860246911631</v>
      </c>
      <c r="M289" s="10">
        <f t="shared" si="34"/>
        <v>0.28115687691194885</v>
      </c>
      <c r="P289" s="8">
        <f t="shared" si="35"/>
        <v>-2.9736851256529278</v>
      </c>
    </row>
    <row r="290" spans="1:16" x14ac:dyDescent="0.2">
      <c r="A290" s="8">
        <v>144</v>
      </c>
      <c r="B290" s="8">
        <v>288</v>
      </c>
      <c r="D290">
        <v>773.34965473949001</v>
      </c>
      <c r="E290">
        <v>262.65097300691002</v>
      </c>
      <c r="F290">
        <v>137.69293308318001</v>
      </c>
      <c r="G290">
        <v>116.1976235147</v>
      </c>
      <c r="I290" s="9">
        <f t="shared" si="32"/>
        <v>146.45334949221001</v>
      </c>
      <c r="J290" s="9">
        <f t="shared" si="33"/>
        <v>635.65672165630997</v>
      </c>
      <c r="K290" s="9">
        <f t="shared" si="31"/>
        <v>146.45334949221001</v>
      </c>
      <c r="L290" s="10">
        <f t="shared" si="30"/>
        <v>0.23039691786881653</v>
      </c>
      <c r="M290" s="10">
        <f t="shared" si="34"/>
        <v>0.28517539535848818</v>
      </c>
      <c r="P290" s="8">
        <f t="shared" si="35"/>
        <v>-1.586907606978168</v>
      </c>
    </row>
    <row r="291" spans="1:16" x14ac:dyDescent="0.2">
      <c r="A291" s="8">
        <v>144.5</v>
      </c>
      <c r="B291" s="8">
        <v>289</v>
      </c>
      <c r="D291">
        <v>768.12826899128004</v>
      </c>
      <c r="E291">
        <v>261.07285180573001</v>
      </c>
      <c r="F291">
        <v>137.03126954346999</v>
      </c>
      <c r="G291">
        <v>115.90556597874</v>
      </c>
      <c r="I291" s="9">
        <f t="shared" si="32"/>
        <v>145.16728582699</v>
      </c>
      <c r="J291" s="9">
        <f t="shared" si="33"/>
        <v>631.09699944781005</v>
      </c>
      <c r="K291" s="9">
        <f t="shared" si="31"/>
        <v>145.16728582699</v>
      </c>
      <c r="L291" s="10">
        <f t="shared" si="30"/>
        <v>0.23002373003517176</v>
      </c>
      <c r="M291" s="10">
        <f t="shared" si="34"/>
        <v>0.28499241057168256</v>
      </c>
      <c r="P291" s="8">
        <f t="shared" si="35"/>
        <v>-1.6500550559640144</v>
      </c>
    </row>
    <row r="292" spans="1:16" x14ac:dyDescent="0.2">
      <c r="A292" s="8">
        <v>145</v>
      </c>
      <c r="B292" s="8">
        <v>290</v>
      </c>
      <c r="D292">
        <v>776.29825653798002</v>
      </c>
      <c r="E292">
        <v>260.45828144458</v>
      </c>
      <c r="F292">
        <v>137.58411507192</v>
      </c>
      <c r="G292">
        <v>116.27267041901</v>
      </c>
      <c r="I292" s="9">
        <f>E292-G292</f>
        <v>144.18561102556998</v>
      </c>
      <c r="J292" s="9">
        <f>D292-F292</f>
        <v>638.71414146606003</v>
      </c>
      <c r="K292" s="9">
        <f t="shared" si="31"/>
        <v>144.18561102556998</v>
      </c>
      <c r="L292" s="10">
        <f t="shared" si="30"/>
        <v>0.22574357081654142</v>
      </c>
      <c r="M292" s="10">
        <f>L292+ABS($N$2)*A292</f>
        <v>0.28090245439989137</v>
      </c>
      <c r="O292" s="11"/>
      <c r="P292" s="8">
        <f>(M292-$O$2)/$O$2*100</f>
        <v>-3.06148549901439</v>
      </c>
    </row>
    <row r="293" spans="1:16" x14ac:dyDescent="0.2">
      <c r="A293" s="8">
        <v>145.5</v>
      </c>
      <c r="B293" s="8">
        <v>291</v>
      </c>
      <c r="D293">
        <v>767.43773349937999</v>
      </c>
      <c r="E293">
        <v>260.20423412204002</v>
      </c>
      <c r="F293">
        <v>136.83489681051</v>
      </c>
      <c r="G293">
        <v>116.27579737336001</v>
      </c>
      <c r="I293" s="9">
        <f t="shared" ref="I293:I301" si="36">E293-G293</f>
        <v>143.92843674868001</v>
      </c>
      <c r="J293" s="9">
        <f t="shared" ref="J293:J301" si="37">D293-F293</f>
        <v>630.60283668886996</v>
      </c>
      <c r="K293" s="9">
        <f t="shared" si="31"/>
        <v>143.92843674868001</v>
      </c>
      <c r="L293" s="10">
        <f t="shared" si="30"/>
        <v>0.22823943752681239</v>
      </c>
      <c r="M293" s="10">
        <f t="shared" ref="M293:M301" si="38">L293+ABS($N$2)*A293</f>
        <v>0.28358852415700148</v>
      </c>
      <c r="P293" s="8">
        <f t="shared" ref="P293:P301" si="39">(M293-$O$2)/$O$2*100</f>
        <v>-2.1345316471637528</v>
      </c>
    </row>
    <row r="294" spans="1:16" x14ac:dyDescent="0.2">
      <c r="A294" s="8">
        <v>146</v>
      </c>
      <c r="B294" s="8">
        <v>292</v>
      </c>
      <c r="D294">
        <v>759.02552926526005</v>
      </c>
      <c r="E294">
        <v>254.71668742217</v>
      </c>
      <c r="F294">
        <v>137.31957473420999</v>
      </c>
      <c r="G294">
        <v>115.95684803002</v>
      </c>
      <c r="I294" s="9">
        <f t="shared" si="36"/>
        <v>138.75983939215001</v>
      </c>
      <c r="J294" s="9">
        <f t="shared" si="37"/>
        <v>621.70595453105011</v>
      </c>
      <c r="K294" s="9">
        <f t="shared" si="31"/>
        <v>138.75983939215001</v>
      </c>
      <c r="L294" s="10">
        <f t="shared" si="30"/>
        <v>0.22319207075443875</v>
      </c>
      <c r="M294" s="10">
        <f t="shared" si="38"/>
        <v>0.27873136043146696</v>
      </c>
      <c r="N294" s="1"/>
      <c r="P294" s="8">
        <f t="shared" si="39"/>
        <v>-3.8107228974228011</v>
      </c>
    </row>
    <row r="295" spans="1:16" x14ac:dyDescent="0.2">
      <c r="A295" s="8">
        <v>146.5</v>
      </c>
      <c r="B295" s="8">
        <v>293</v>
      </c>
      <c r="D295">
        <v>754.05816135084001</v>
      </c>
      <c r="E295">
        <v>256.22263914947001</v>
      </c>
      <c r="F295">
        <v>137.07754846779</v>
      </c>
      <c r="G295">
        <v>115.86241400876</v>
      </c>
      <c r="I295" s="9">
        <f t="shared" si="36"/>
        <v>140.36022514071001</v>
      </c>
      <c r="J295" s="9">
        <f t="shared" si="37"/>
        <v>616.98061288305007</v>
      </c>
      <c r="K295" s="9">
        <f t="shared" si="31"/>
        <v>140.36022514071001</v>
      </c>
      <c r="L295" s="10">
        <f t="shared" si="30"/>
        <v>0.22749535756857822</v>
      </c>
      <c r="M295" s="10">
        <f t="shared" si="38"/>
        <v>0.2832248502924456</v>
      </c>
      <c r="P295" s="8">
        <f t="shared" si="39"/>
        <v>-2.2600343034797858</v>
      </c>
    </row>
    <row r="296" spans="1:16" x14ac:dyDescent="0.2">
      <c r="A296" s="8">
        <v>147</v>
      </c>
      <c r="B296" s="8">
        <v>294</v>
      </c>
      <c r="D296">
        <v>750.09818636648004</v>
      </c>
      <c r="E296">
        <v>253.17886178862</v>
      </c>
      <c r="F296">
        <v>137.31394621639001</v>
      </c>
      <c r="G296">
        <v>115.96247654784</v>
      </c>
      <c r="I296" s="9">
        <f t="shared" si="36"/>
        <v>137.21638524078</v>
      </c>
      <c r="J296" s="9">
        <f t="shared" si="37"/>
        <v>612.78424015009</v>
      </c>
      <c r="K296" s="9">
        <f t="shared" si="31"/>
        <v>137.21638524078</v>
      </c>
      <c r="L296" s="10">
        <f t="shared" si="30"/>
        <v>0.22392283653896095</v>
      </c>
      <c r="M296" s="10">
        <f t="shared" si="38"/>
        <v>0.27984253230966744</v>
      </c>
      <c r="P296" s="8">
        <f t="shared" si="39"/>
        <v>-3.4272611314580175</v>
      </c>
    </row>
    <row r="297" spans="1:16" x14ac:dyDescent="0.2">
      <c r="A297" s="8">
        <v>147.5</v>
      </c>
      <c r="B297" s="8">
        <v>295</v>
      </c>
      <c r="D297">
        <v>749.79649342516996</v>
      </c>
      <c r="E297">
        <v>254.90544771447</v>
      </c>
      <c r="F297">
        <v>137.52095059412</v>
      </c>
      <c r="G297">
        <v>116.26328955597</v>
      </c>
      <c r="I297" s="9">
        <f t="shared" si="36"/>
        <v>138.6421581585</v>
      </c>
      <c r="J297" s="9">
        <f t="shared" si="37"/>
        <v>612.27554283104996</v>
      </c>
      <c r="K297" s="9">
        <f t="shared" si="31"/>
        <v>138.6421581585</v>
      </c>
      <c r="L297" s="10">
        <f t="shared" si="30"/>
        <v>0.22643752438231332</v>
      </c>
      <c r="M297" s="10">
        <f t="shared" si="38"/>
        <v>0.28254742319985893</v>
      </c>
      <c r="P297" s="8">
        <f t="shared" si="39"/>
        <v>-2.4938121683915231</v>
      </c>
    </row>
    <row r="298" spans="1:16" x14ac:dyDescent="0.2">
      <c r="A298" s="8">
        <v>148</v>
      </c>
      <c r="B298" s="8">
        <v>296</v>
      </c>
      <c r="D298">
        <v>742.44020037569999</v>
      </c>
      <c r="E298">
        <v>253.04946775203999</v>
      </c>
      <c r="F298">
        <v>137.00250156348</v>
      </c>
      <c r="G298">
        <v>116.02126328956</v>
      </c>
      <c r="I298" s="9">
        <f t="shared" si="36"/>
        <v>137.02820446248001</v>
      </c>
      <c r="J298" s="9">
        <f t="shared" si="37"/>
        <v>605.43769881221999</v>
      </c>
      <c r="K298" s="9">
        <f t="shared" si="31"/>
        <v>137.02820446248001</v>
      </c>
      <c r="L298" s="10">
        <f t="shared" si="30"/>
        <v>0.22632915778338425</v>
      </c>
      <c r="M298" s="10">
        <f t="shared" si="38"/>
        <v>0.28262925964776903</v>
      </c>
      <c r="P298" s="8">
        <f t="shared" si="39"/>
        <v>-2.4655706789770204</v>
      </c>
    </row>
    <row r="299" spans="1:16" x14ac:dyDescent="0.2">
      <c r="A299" s="8">
        <v>148.5</v>
      </c>
      <c r="B299" s="8">
        <v>297</v>
      </c>
      <c r="D299">
        <v>723.23857232311002</v>
      </c>
      <c r="E299">
        <v>247.99812147777001</v>
      </c>
      <c r="F299">
        <v>137.47217010631999</v>
      </c>
      <c r="G299">
        <v>116.26704190119</v>
      </c>
      <c r="I299" s="9">
        <f t="shared" si="36"/>
        <v>131.73107957658002</v>
      </c>
      <c r="J299" s="9">
        <f t="shared" si="37"/>
        <v>585.76640221679008</v>
      </c>
      <c r="K299" s="9">
        <f t="shared" si="31"/>
        <v>131.73107957658002</v>
      </c>
      <c r="L299" s="10">
        <f t="shared" si="30"/>
        <v>0.22488671094493196</v>
      </c>
      <c r="M299" s="10">
        <f t="shared" si="38"/>
        <v>0.28137701585615582</v>
      </c>
      <c r="P299" s="8">
        <f t="shared" si="39"/>
        <v>-2.8977158989659308</v>
      </c>
    </row>
    <row r="300" spans="1:16" x14ac:dyDescent="0.2">
      <c r="A300" s="8">
        <v>149</v>
      </c>
      <c r="B300" s="8">
        <v>298</v>
      </c>
      <c r="D300">
        <v>726.07031736153999</v>
      </c>
      <c r="E300">
        <v>249.68326073429</v>
      </c>
      <c r="F300">
        <v>137.57786116323001</v>
      </c>
      <c r="G300">
        <v>115.90494058787</v>
      </c>
      <c r="I300" s="9">
        <f t="shared" si="36"/>
        <v>133.77832014642001</v>
      </c>
      <c r="J300" s="9">
        <f t="shared" si="37"/>
        <v>588.49245619831004</v>
      </c>
      <c r="K300" s="9">
        <f t="shared" si="31"/>
        <v>133.77832014642001</v>
      </c>
      <c r="L300" s="10">
        <f t="shared" si="30"/>
        <v>0.22732376386034664</v>
      </c>
      <c r="M300" s="10">
        <f t="shared" si="38"/>
        <v>0.28400427181840965</v>
      </c>
      <c r="P300" s="8">
        <f t="shared" si="39"/>
        <v>-1.9910584945696734</v>
      </c>
    </row>
    <row r="301" spans="1:16" x14ac:dyDescent="0.2">
      <c r="A301" s="8">
        <v>149.5</v>
      </c>
      <c r="B301" s="8">
        <v>299</v>
      </c>
      <c r="D301">
        <v>725.49688667497003</v>
      </c>
      <c r="E301">
        <v>251.38169364882</v>
      </c>
      <c r="F301">
        <v>137.47217010631999</v>
      </c>
      <c r="G301">
        <v>116.44215134459</v>
      </c>
      <c r="I301" s="9">
        <f t="shared" si="36"/>
        <v>134.93954230423</v>
      </c>
      <c r="J301" s="9">
        <f t="shared" si="37"/>
        <v>588.02471656865009</v>
      </c>
      <c r="K301" s="9">
        <f t="shared" si="31"/>
        <v>134.93954230423</v>
      </c>
      <c r="L301" s="10">
        <f t="shared" si="30"/>
        <v>0.22947937136325497</v>
      </c>
      <c r="M301" s="10">
        <f t="shared" si="38"/>
        <v>0.28635008236815712</v>
      </c>
      <c r="P301" s="8">
        <f t="shared" si="39"/>
        <v>-1.181526977733812</v>
      </c>
    </row>
    <row r="302" spans="1:16" x14ac:dyDescent="0.2">
      <c r="A302" s="8">
        <v>150</v>
      </c>
      <c r="B302" s="8">
        <v>300</v>
      </c>
      <c r="D302">
        <v>728.87858032378995</v>
      </c>
      <c r="E302">
        <v>251.65877957659001</v>
      </c>
      <c r="F302">
        <v>137.23952470294</v>
      </c>
      <c r="G302">
        <v>115.67979987491999</v>
      </c>
      <c r="I302" s="9">
        <f>E302-G302</f>
        <v>135.97897970167003</v>
      </c>
      <c r="J302" s="9">
        <f>D302-F302</f>
        <v>591.63905562084994</v>
      </c>
      <c r="K302" s="9">
        <f t="shared" si="31"/>
        <v>135.97897970167003</v>
      </c>
      <c r="L302" s="10">
        <f t="shared" si="30"/>
        <v>0.22983435324258197</v>
      </c>
      <c r="M302" s="10">
        <f>L302+ABS($N$2)*A302</f>
        <v>0.2868952672943233</v>
      </c>
      <c r="O302" s="11"/>
      <c r="P302" s="8">
        <f>(M302-$O$2)/$O$2*100</f>
        <v>-0.99338545015697433</v>
      </c>
    </row>
    <row r="303" spans="1:16" x14ac:dyDescent="0.2">
      <c r="A303" s="8">
        <v>150.5</v>
      </c>
      <c r="B303" s="8">
        <v>301</v>
      </c>
      <c r="D303">
        <v>717.67350746269005</v>
      </c>
      <c r="E303">
        <v>250.18718905473</v>
      </c>
      <c r="F303">
        <v>137.56660412758001</v>
      </c>
      <c r="G303">
        <v>116.23514696685</v>
      </c>
      <c r="I303" s="9">
        <f t="shared" ref="I303:I309" si="40">E303-G303</f>
        <v>133.95204208787999</v>
      </c>
      <c r="J303" s="9">
        <f t="shared" ref="J303:J309" si="41">D303-F303</f>
        <v>580.10690333511002</v>
      </c>
      <c r="K303" s="9">
        <f t="shared" si="31"/>
        <v>133.95204208787999</v>
      </c>
      <c r="L303" s="10">
        <f t="shared" si="30"/>
        <v>0.23090923641448202</v>
      </c>
      <c r="M303" s="10">
        <f t="shared" ref="M303:M309" si="42">L303+ABS($N$2)*A303</f>
        <v>0.28816035351306246</v>
      </c>
      <c r="P303" s="8">
        <f t="shared" ref="P303:P309" si="43">(M303-$O$2)/$O$2*100</f>
        <v>-0.55680835074274093</v>
      </c>
    </row>
    <row r="304" spans="1:16" x14ac:dyDescent="0.2">
      <c r="A304" s="8">
        <v>151</v>
      </c>
      <c r="B304" s="8">
        <v>302</v>
      </c>
      <c r="D304">
        <v>712.22450248756002</v>
      </c>
      <c r="E304">
        <v>244.44838308458</v>
      </c>
      <c r="F304">
        <v>137.59287054409</v>
      </c>
      <c r="G304">
        <v>116.00312695434999</v>
      </c>
      <c r="I304" s="9">
        <f t="shared" si="40"/>
        <v>128.44525613023001</v>
      </c>
      <c r="J304" s="9">
        <f t="shared" si="41"/>
        <v>574.63163194346998</v>
      </c>
      <c r="K304" s="9">
        <f t="shared" si="31"/>
        <v>128.44525613023001</v>
      </c>
      <c r="L304" s="10">
        <f t="shared" si="30"/>
        <v>0.22352625402088194</v>
      </c>
      <c r="M304" s="10">
        <f t="shared" si="42"/>
        <v>0.28096757416630153</v>
      </c>
      <c r="N304" s="1"/>
      <c r="P304" s="8">
        <f t="shared" si="43"/>
        <v>-3.0390128814862232</v>
      </c>
    </row>
    <row r="305" spans="1:16" x14ac:dyDescent="0.2">
      <c r="A305" s="8">
        <v>151.5</v>
      </c>
      <c r="B305" s="8">
        <v>303</v>
      </c>
      <c r="D305">
        <v>702.96685428393005</v>
      </c>
      <c r="E305">
        <v>244.03189493433001</v>
      </c>
      <c r="F305">
        <v>137.40150093809001</v>
      </c>
      <c r="G305">
        <v>116.2851782364</v>
      </c>
      <c r="I305" s="9">
        <f t="shared" si="40"/>
        <v>127.74671669793001</v>
      </c>
      <c r="J305" s="9">
        <f t="shared" si="41"/>
        <v>565.56535334584009</v>
      </c>
      <c r="K305" s="9">
        <f t="shared" si="31"/>
        <v>127.74671669793001</v>
      </c>
      <c r="L305" s="10">
        <f t="shared" si="30"/>
        <v>0.22587436790848395</v>
      </c>
      <c r="M305" s="10">
        <f t="shared" si="42"/>
        <v>0.28350589110074265</v>
      </c>
      <c r="P305" s="8">
        <f t="shared" si="43"/>
        <v>-2.1630480435032586</v>
      </c>
    </row>
    <row r="306" spans="1:16" x14ac:dyDescent="0.2">
      <c r="A306" s="8">
        <v>152</v>
      </c>
      <c r="B306" s="8">
        <v>304</v>
      </c>
      <c r="D306">
        <v>683.93120700437998</v>
      </c>
      <c r="E306">
        <v>240.2138836773</v>
      </c>
      <c r="F306">
        <v>137.70168855534999</v>
      </c>
      <c r="G306">
        <v>115.99499687305</v>
      </c>
      <c r="I306" s="9">
        <f t="shared" si="40"/>
        <v>124.21888680425</v>
      </c>
      <c r="J306" s="9">
        <f t="shared" si="41"/>
        <v>546.22951844903002</v>
      </c>
      <c r="K306" s="9">
        <f t="shared" si="31"/>
        <v>124.21888680425</v>
      </c>
      <c r="L306" s="10">
        <f t="shared" si="30"/>
        <v>0.22741152319442284</v>
      </c>
      <c r="M306" s="10">
        <f t="shared" si="42"/>
        <v>0.28523324943352069</v>
      </c>
      <c r="P306" s="8">
        <f t="shared" si="43"/>
        <v>-1.5669423556831559</v>
      </c>
    </row>
    <row r="307" spans="1:16" x14ac:dyDescent="0.2">
      <c r="A307" s="8">
        <v>152.5</v>
      </c>
      <c r="B307" s="8">
        <v>305</v>
      </c>
      <c r="D307">
        <v>671.51997503121004</v>
      </c>
      <c r="E307">
        <v>236.73408239700001</v>
      </c>
      <c r="F307">
        <v>137.57535959974999</v>
      </c>
      <c r="G307">
        <v>115.99061913696001</v>
      </c>
      <c r="I307" s="9">
        <f t="shared" si="40"/>
        <v>120.74346326004</v>
      </c>
      <c r="J307" s="9">
        <f t="shared" si="41"/>
        <v>533.94461543146008</v>
      </c>
      <c r="K307" s="9">
        <f t="shared" si="31"/>
        <v>120.74346326004</v>
      </c>
      <c r="L307" s="10">
        <f t="shared" si="30"/>
        <v>0.2261348083124162</v>
      </c>
      <c r="M307" s="10">
        <f t="shared" si="42"/>
        <v>0.28414673759835318</v>
      </c>
      <c r="P307" s="8">
        <f t="shared" si="43"/>
        <v>-1.9418940217833656</v>
      </c>
    </row>
    <row r="308" spans="1:16" x14ac:dyDescent="0.2">
      <c r="A308" s="8">
        <v>153</v>
      </c>
      <c r="B308" s="8">
        <v>306</v>
      </c>
      <c r="D308">
        <v>668.39887640449001</v>
      </c>
      <c r="E308">
        <v>236.54619225968</v>
      </c>
      <c r="F308">
        <v>137.43151969981</v>
      </c>
      <c r="G308">
        <v>115.89806128831</v>
      </c>
      <c r="I308" s="9">
        <f t="shared" si="40"/>
        <v>120.64813097136999</v>
      </c>
      <c r="J308" s="9">
        <f t="shared" si="41"/>
        <v>530.96735670468001</v>
      </c>
      <c r="K308" s="9">
        <f t="shared" si="31"/>
        <v>120.64813097136999</v>
      </c>
      <c r="L308" s="10">
        <f t="shared" si="30"/>
        <v>0.22722325477811542</v>
      </c>
      <c r="M308" s="10">
        <f t="shared" si="42"/>
        <v>0.28542538711089155</v>
      </c>
      <c r="P308" s="8">
        <f t="shared" si="43"/>
        <v>-1.5006362742222732</v>
      </c>
    </row>
    <row r="309" spans="1:16" x14ac:dyDescent="0.2">
      <c r="A309" s="8">
        <v>153.5</v>
      </c>
      <c r="B309" s="8">
        <v>307</v>
      </c>
      <c r="D309">
        <v>666.20848938826998</v>
      </c>
      <c r="E309">
        <v>236.57116104868999</v>
      </c>
      <c r="F309">
        <v>137.75797373358</v>
      </c>
      <c r="G309">
        <v>116.16697936209999</v>
      </c>
      <c r="I309" s="9">
        <f t="shared" si="40"/>
        <v>120.40418168658999</v>
      </c>
      <c r="J309" s="9">
        <f t="shared" si="41"/>
        <v>528.45051565468998</v>
      </c>
      <c r="K309" s="9">
        <f t="shared" si="31"/>
        <v>120.40418168658999</v>
      </c>
      <c r="L309" s="10">
        <f t="shared" si="30"/>
        <v>0.22784381530486905</v>
      </c>
      <c r="M309" s="10">
        <f t="shared" si="42"/>
        <v>0.28623615068448433</v>
      </c>
      <c r="P309" s="8">
        <f t="shared" si="43"/>
        <v>-1.2208444276059816</v>
      </c>
    </row>
    <row r="310" spans="1:16" x14ac:dyDescent="0.2">
      <c r="A310" s="8">
        <v>154</v>
      </c>
      <c r="B310" s="8">
        <v>308</v>
      </c>
      <c r="D310">
        <v>660.51310861422996</v>
      </c>
      <c r="E310">
        <v>236.88826466916001</v>
      </c>
      <c r="F310">
        <v>137.26203877423001</v>
      </c>
      <c r="G310">
        <v>115.53595997498</v>
      </c>
      <c r="I310" s="9">
        <f>E310-G310</f>
        <v>121.35230469418001</v>
      </c>
      <c r="J310" s="9">
        <f>D310-F310</f>
        <v>523.2510698399999</v>
      </c>
      <c r="K310" s="9">
        <f t="shared" si="31"/>
        <v>121.35230469418001</v>
      </c>
      <c r="L310" s="10">
        <f t="shared" si="30"/>
        <v>0.23191984056771675</v>
      </c>
      <c r="M310" s="10">
        <f>L310+ABS($N$2)*A310</f>
        <v>0.29050237899417114</v>
      </c>
      <c r="O310" s="11"/>
      <c r="P310" s="8">
        <f>(M310-$O$2)/$O$2*100</f>
        <v>0.25141695133642533</v>
      </c>
    </row>
    <row r="311" spans="1:16" x14ac:dyDescent="0.2">
      <c r="A311" s="8">
        <v>154.5</v>
      </c>
      <c r="B311" s="8">
        <v>309</v>
      </c>
      <c r="D311">
        <v>651.25905118601997</v>
      </c>
      <c r="E311">
        <v>233.6722846442</v>
      </c>
      <c r="F311">
        <v>137.33333333332999</v>
      </c>
      <c r="G311">
        <v>115.8736710444</v>
      </c>
      <c r="I311" s="9">
        <f t="shared" ref="I311:I319" si="44">E311-G311</f>
        <v>117.79861359980001</v>
      </c>
      <c r="J311" s="9">
        <f t="shared" ref="J311:J319" si="45">D311-F311</f>
        <v>513.92571785269001</v>
      </c>
      <c r="K311" s="9">
        <f t="shared" si="31"/>
        <v>117.79861359980001</v>
      </c>
      <c r="L311" s="10">
        <f t="shared" si="30"/>
        <v>0.22921330750286642</v>
      </c>
      <c r="M311" s="10">
        <f t="shared" ref="M311:M319" si="46">L311+ABS($N$2)*A311</f>
        <v>0.28798604897615998</v>
      </c>
      <c r="P311" s="8">
        <f t="shared" ref="P311:P319" si="47">(M311-$O$2)/$O$2*100</f>
        <v>-0.6169602739938439</v>
      </c>
    </row>
    <row r="312" spans="1:16" x14ac:dyDescent="0.2">
      <c r="A312" s="8">
        <v>155</v>
      </c>
      <c r="B312" s="8">
        <v>310</v>
      </c>
      <c r="D312">
        <v>642.17852684144998</v>
      </c>
      <c r="E312">
        <v>233.49313358302001</v>
      </c>
      <c r="F312">
        <v>137.17573483427</v>
      </c>
      <c r="G312">
        <v>115.66041275796999</v>
      </c>
      <c r="I312" s="9">
        <f t="shared" si="44"/>
        <v>117.83272082505002</v>
      </c>
      <c r="J312" s="9">
        <f t="shared" si="45"/>
        <v>505.00279200718001</v>
      </c>
      <c r="K312" s="9">
        <f t="shared" si="31"/>
        <v>117.83272082505002</v>
      </c>
      <c r="L312" s="10">
        <f t="shared" si="30"/>
        <v>0.23333083042316072</v>
      </c>
      <c r="M312" s="10">
        <f t="shared" si="46"/>
        <v>0.29229377494329339</v>
      </c>
      <c r="N312" s="1"/>
      <c r="P312" s="8">
        <f t="shared" si="47"/>
        <v>0.86962181025082885</v>
      </c>
    </row>
    <row r="313" spans="1:16" x14ac:dyDescent="0.2">
      <c r="A313" s="8">
        <v>155.5</v>
      </c>
      <c r="B313" s="8">
        <v>311</v>
      </c>
      <c r="D313">
        <v>637.44943820225001</v>
      </c>
      <c r="E313">
        <v>232.25780274657001</v>
      </c>
      <c r="F313">
        <v>137.28330206378999</v>
      </c>
      <c r="G313">
        <v>115.93746091307</v>
      </c>
      <c r="I313" s="9">
        <f t="shared" si="44"/>
        <v>116.32034183350001</v>
      </c>
      <c r="J313" s="9">
        <f t="shared" si="45"/>
        <v>500.16613613846005</v>
      </c>
      <c r="K313" s="9">
        <f t="shared" si="31"/>
        <v>116.32034183350001</v>
      </c>
      <c r="L313" s="10">
        <f t="shared" si="30"/>
        <v>0.23256340929346578</v>
      </c>
      <c r="M313" s="10">
        <f t="shared" si="46"/>
        <v>0.29171655686043763</v>
      </c>
      <c r="P313" s="8">
        <f t="shared" si="47"/>
        <v>0.67042574550057854</v>
      </c>
    </row>
    <row r="314" spans="1:16" x14ac:dyDescent="0.2">
      <c r="A314" s="8">
        <v>156</v>
      </c>
      <c r="B314" s="8">
        <v>312</v>
      </c>
      <c r="D314">
        <v>651.36204744070005</v>
      </c>
      <c r="E314">
        <v>234.98127340824001</v>
      </c>
      <c r="F314">
        <v>137.31707317073</v>
      </c>
      <c r="G314">
        <v>115.97811131957999</v>
      </c>
      <c r="I314" s="9">
        <f t="shared" si="44"/>
        <v>119.00316208866002</v>
      </c>
      <c r="J314" s="9">
        <f t="shared" si="45"/>
        <v>514.04497426997</v>
      </c>
      <c r="K314" s="9">
        <f t="shared" si="31"/>
        <v>119.00316208866002</v>
      </c>
      <c r="L314" s="10">
        <f t="shared" si="30"/>
        <v>0.23150340543191664</v>
      </c>
      <c r="M314" s="10">
        <f t="shared" si="46"/>
        <v>0.29084675604572763</v>
      </c>
      <c r="P314" s="8">
        <f t="shared" si="47"/>
        <v>0.37026034085907739</v>
      </c>
    </row>
    <row r="315" spans="1:16" x14ac:dyDescent="0.2">
      <c r="A315" s="8">
        <v>156.5</v>
      </c>
      <c r="B315" s="8">
        <v>313</v>
      </c>
      <c r="D315">
        <v>644.23595505618005</v>
      </c>
      <c r="E315">
        <v>234.43570536829</v>
      </c>
      <c r="F315">
        <v>137.32582864290001</v>
      </c>
      <c r="G315">
        <v>115.904315197</v>
      </c>
      <c r="I315" s="9">
        <f t="shared" si="44"/>
        <v>118.53139017129</v>
      </c>
      <c r="J315" s="9">
        <f t="shared" si="45"/>
        <v>506.91012641328007</v>
      </c>
      <c r="K315" s="9">
        <f t="shared" si="31"/>
        <v>118.53139017129</v>
      </c>
      <c r="L315" s="10">
        <f t="shared" si="30"/>
        <v>0.23383117439372722</v>
      </c>
      <c r="M315" s="10">
        <f t="shared" si="46"/>
        <v>0.2933647280543773</v>
      </c>
      <c r="P315" s="8">
        <f t="shared" si="47"/>
        <v>1.2392042117662319</v>
      </c>
    </row>
    <row r="316" spans="1:16" x14ac:dyDescent="0.2">
      <c r="A316" s="8">
        <v>157</v>
      </c>
      <c r="B316" s="8">
        <v>314</v>
      </c>
      <c r="D316">
        <v>637.19071518193005</v>
      </c>
      <c r="E316">
        <v>235.51693851945001</v>
      </c>
      <c r="F316">
        <v>137.44965603502001</v>
      </c>
      <c r="G316">
        <v>115.79049405879</v>
      </c>
      <c r="I316" s="9">
        <f t="shared" si="44"/>
        <v>119.72644446066001</v>
      </c>
      <c r="J316" s="9">
        <f t="shared" si="45"/>
        <v>499.74105914691006</v>
      </c>
      <c r="K316" s="9">
        <f t="shared" si="31"/>
        <v>119.72644446066001</v>
      </c>
      <c r="L316" s="10">
        <f t="shared" si="30"/>
        <v>0.23957696144687551</v>
      </c>
      <c r="M316" s="10">
        <f t="shared" si="46"/>
        <v>0.29930071815436476</v>
      </c>
      <c r="P316" s="8">
        <f t="shared" si="47"/>
        <v>3.2876949008727361</v>
      </c>
    </row>
    <row r="317" spans="1:16" x14ac:dyDescent="0.2">
      <c r="A317" s="8">
        <v>157.5</v>
      </c>
      <c r="B317" s="8">
        <v>315</v>
      </c>
      <c r="D317">
        <v>652.93084112149995</v>
      </c>
      <c r="E317">
        <v>236.32585669782</v>
      </c>
      <c r="F317">
        <v>137.37836147592</v>
      </c>
      <c r="G317">
        <v>115.97185741088001</v>
      </c>
      <c r="I317" s="9">
        <f t="shared" si="44"/>
        <v>120.35399928694</v>
      </c>
      <c r="J317" s="9">
        <f t="shared" si="45"/>
        <v>515.55247964557998</v>
      </c>
      <c r="K317" s="9">
        <f t="shared" si="31"/>
        <v>120.35399928694</v>
      </c>
      <c r="L317" s="10">
        <f t="shared" si="30"/>
        <v>0.23344665002809833</v>
      </c>
      <c r="M317" s="10">
        <f t="shared" si="46"/>
        <v>0.29336060978242673</v>
      </c>
      <c r="P317" s="8">
        <f t="shared" si="47"/>
        <v>1.2377830096409166</v>
      </c>
    </row>
    <row r="318" spans="1:16" x14ac:dyDescent="0.2">
      <c r="A318" s="8">
        <v>158</v>
      </c>
      <c r="B318" s="8">
        <v>316</v>
      </c>
      <c r="D318">
        <v>655.75264797507998</v>
      </c>
      <c r="E318">
        <v>237.79563862928001</v>
      </c>
      <c r="F318">
        <v>137.18323952470001</v>
      </c>
      <c r="G318">
        <v>115.79987492183</v>
      </c>
      <c r="I318" s="9">
        <f t="shared" si="44"/>
        <v>121.99576370745001</v>
      </c>
      <c r="J318" s="9">
        <f t="shared" si="45"/>
        <v>518.56940845038002</v>
      </c>
      <c r="K318" s="9">
        <f t="shared" si="31"/>
        <v>121.99576370745001</v>
      </c>
      <c r="L318" s="10">
        <f t="shared" si="30"/>
        <v>0.23525445527534108</v>
      </c>
      <c r="M318" s="10">
        <f t="shared" si="46"/>
        <v>0.29535861807650859</v>
      </c>
      <c r="P318" s="8">
        <f t="shared" si="47"/>
        <v>1.9272891102647898</v>
      </c>
    </row>
    <row r="319" spans="1:16" x14ac:dyDescent="0.2">
      <c r="A319" s="8">
        <v>158.5</v>
      </c>
      <c r="B319" s="8">
        <v>317</v>
      </c>
      <c r="D319">
        <v>637.03862928348997</v>
      </c>
      <c r="E319">
        <v>232.41619937695</v>
      </c>
      <c r="F319">
        <v>137.57911194497001</v>
      </c>
      <c r="G319">
        <v>115.89868667917</v>
      </c>
      <c r="I319" s="9">
        <f t="shared" si="44"/>
        <v>116.51751269778001</v>
      </c>
      <c r="J319" s="9">
        <f t="shared" si="45"/>
        <v>499.45951733851996</v>
      </c>
      <c r="K319" s="9">
        <f t="shared" si="31"/>
        <v>116.51751269778001</v>
      </c>
      <c r="L319" s="10">
        <f t="shared" si="30"/>
        <v>0.23328720076988269</v>
      </c>
      <c r="M319" s="10">
        <f t="shared" si="46"/>
        <v>0.29358156661788931</v>
      </c>
      <c r="P319" s="8">
        <f t="shared" si="47"/>
        <v>1.3140344879141861</v>
      </c>
    </row>
    <row r="320" spans="1:16" x14ac:dyDescent="0.2">
      <c r="A320" s="8">
        <v>159</v>
      </c>
      <c r="B320" s="8">
        <v>318</v>
      </c>
      <c r="D320">
        <v>628.12</v>
      </c>
      <c r="E320">
        <v>231.23374999999999</v>
      </c>
      <c r="F320">
        <v>137.04002501564</v>
      </c>
      <c r="G320">
        <v>115.93308317699</v>
      </c>
      <c r="I320" s="9">
        <f>E320-G320</f>
        <v>115.30066682300999</v>
      </c>
      <c r="J320" s="9">
        <f>D320-F320</f>
        <v>491.07997498435998</v>
      </c>
      <c r="K320" s="9">
        <f t="shared" si="31"/>
        <v>115.30066682300999</v>
      </c>
      <c r="L320" s="10">
        <f t="shared" si="30"/>
        <v>0.23478999897457051</v>
      </c>
      <c r="M320" s="10">
        <f>L320+ABS($N$2)*A320</f>
        <v>0.2952745678694163</v>
      </c>
      <c r="O320" s="11"/>
      <c r="P320" s="8">
        <f>(M320-$O$2)/$O$2*100</f>
        <v>1.8982836598267252</v>
      </c>
    </row>
    <row r="321" spans="1:16" x14ac:dyDescent="0.2">
      <c r="A321" s="8">
        <v>159.5</v>
      </c>
      <c r="B321" s="8">
        <v>319</v>
      </c>
      <c r="D321">
        <v>628.49874999999997</v>
      </c>
      <c r="E321">
        <v>230.59687500000001</v>
      </c>
      <c r="F321">
        <v>137.60600375235001</v>
      </c>
      <c r="G321">
        <v>116.04377736085</v>
      </c>
      <c r="I321" s="9">
        <f t="shared" ref="I321:I322" si="48">E321-G321</f>
        <v>114.55309763915001</v>
      </c>
      <c r="J321" s="9">
        <f t="shared" ref="J321:J322" si="49">D321-F321</f>
        <v>490.89274624764994</v>
      </c>
      <c r="K321" s="9">
        <f t="shared" si="31"/>
        <v>114.55309763915001</v>
      </c>
      <c r="L321" s="10">
        <f t="shared" si="30"/>
        <v>0.2333566721341595</v>
      </c>
      <c r="M321" s="10">
        <f t="shared" ref="M321:M322" si="50">L321+ABS($N$2)*A321</f>
        <v>0.29403144407584442</v>
      </c>
      <c r="P321" s="8">
        <f t="shared" ref="P321:P322" si="51">(M321-$O$2)/$O$2*100</f>
        <v>1.4692857212108663</v>
      </c>
    </row>
    <row r="322" spans="1:16" x14ac:dyDescent="0.2">
      <c r="A322" s="8">
        <v>160</v>
      </c>
      <c r="B322" s="8">
        <v>320</v>
      </c>
      <c r="D322">
        <v>631.60500000000002</v>
      </c>
      <c r="E322">
        <v>229.91062500000001</v>
      </c>
      <c r="F322">
        <v>137.60350218887001</v>
      </c>
      <c r="G322">
        <v>115.9918699187</v>
      </c>
      <c r="I322" s="9">
        <f t="shared" si="48"/>
        <v>113.91875508130001</v>
      </c>
      <c r="J322" s="9">
        <f t="shared" si="49"/>
        <v>494.00149781112998</v>
      </c>
      <c r="K322" s="9">
        <f t="shared" ref="K322" si="52">I322*1</f>
        <v>113.91875508130001</v>
      </c>
      <c r="L322" s="10">
        <f t="shared" ref="L322" si="53">K322/J322</f>
        <v>0.23060406817805681</v>
      </c>
      <c r="M322" s="10">
        <f t="shared" si="50"/>
        <v>0.2914690431665809</v>
      </c>
      <c r="P322" s="8">
        <f t="shared" si="51"/>
        <v>0.58500958261093128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C1" zoomScale="75" zoomScaleNormal="70" workbookViewId="0">
      <selection activeCell="E2" sqref="E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1161.2544169611001</v>
      </c>
      <c r="E2">
        <v>433.05418138987</v>
      </c>
      <c r="F2">
        <v>138.6858147714</v>
      </c>
      <c r="G2">
        <v>117.97538100820999</v>
      </c>
      <c r="H2" s="4"/>
      <c r="I2" s="5">
        <f>E2-G2</f>
        <v>315.07880038166002</v>
      </c>
      <c r="J2" s="5">
        <f>D2-F2</f>
        <v>1022.5686021897001</v>
      </c>
      <c r="K2" s="9">
        <f>I2*1</f>
        <v>315.07880038166002</v>
      </c>
      <c r="L2" s="6">
        <f t="shared" ref="L2:L65" si="0">K2/J2</f>
        <v>0.30812485314624272</v>
      </c>
      <c r="M2" s="6">
        <f>L2+ABS($N$2)*A2</f>
        <v>0.30812485314624272</v>
      </c>
      <c r="N2" s="4">
        <f>LINEST(V64:V103,U64:U103)</f>
        <v>1.1967992069166745E-4</v>
      </c>
      <c r="O2" s="7">
        <f>AVERAGE(M62:M81)</f>
        <v>0.23929296125905455</v>
      </c>
      <c r="P2" s="4">
        <f>(M2-$O$2)/$O$2*100</f>
        <v>28.764695595317534</v>
      </c>
    </row>
    <row r="3" spans="1:16" x14ac:dyDescent="0.2">
      <c r="A3" s="8">
        <v>0.5</v>
      </c>
      <c r="B3" s="8">
        <v>1</v>
      </c>
      <c r="D3">
        <v>1035.8271028037</v>
      </c>
      <c r="E3">
        <v>400.55724299065002</v>
      </c>
      <c r="F3">
        <v>138.36694021101999</v>
      </c>
      <c r="G3">
        <v>117.94255568582</v>
      </c>
      <c r="I3" s="9">
        <f t="shared" ref="I3:I66" si="1">E3-G3</f>
        <v>282.61468730483</v>
      </c>
      <c r="J3" s="9">
        <f t="shared" ref="J3:J66" si="2">D3-F3</f>
        <v>897.46016259268004</v>
      </c>
      <c r="K3" s="9">
        <f t="shared" ref="K3:K66" si="3">I3*1</f>
        <v>282.61468730483</v>
      </c>
      <c r="L3" s="10">
        <f t="shared" si="0"/>
        <v>0.31490499420986234</v>
      </c>
      <c r="M3" s="10">
        <f t="shared" ref="M3:M66" si="4">L3+ABS($N$2)*A3</f>
        <v>0.31496483417020815</v>
      </c>
      <c r="P3" s="8">
        <f t="shared" ref="P3:P66" si="5">(M3-$O$2)/$O$2*100</f>
        <v>31.623108558229802</v>
      </c>
    </row>
    <row r="4" spans="1:16" ht="16" x14ac:dyDescent="0.2">
      <c r="A4" s="8">
        <v>1</v>
      </c>
      <c r="B4" s="8">
        <v>2</v>
      </c>
      <c r="D4">
        <v>1158.8913551401999</v>
      </c>
      <c r="E4">
        <v>438.30257009346002</v>
      </c>
      <c r="F4">
        <v>138.34466588511</v>
      </c>
      <c r="G4">
        <v>117.53810082063001</v>
      </c>
      <c r="I4" s="9">
        <f t="shared" si="1"/>
        <v>320.76446927283001</v>
      </c>
      <c r="J4" s="9">
        <f t="shared" si="2"/>
        <v>1020.54668925509</v>
      </c>
      <c r="K4" s="9">
        <f t="shared" si="3"/>
        <v>320.76446927283001</v>
      </c>
      <c r="L4" s="10">
        <f t="shared" si="0"/>
        <v>0.31430651105924423</v>
      </c>
      <c r="M4" s="10">
        <f t="shared" si="4"/>
        <v>0.3144261909799359</v>
      </c>
      <c r="N4" s="1" t="s">
        <v>7</v>
      </c>
      <c r="P4" s="8">
        <f t="shared" si="5"/>
        <v>31.398010758679767</v>
      </c>
    </row>
    <row r="5" spans="1:16" x14ac:dyDescent="0.2">
      <c r="A5" s="8">
        <v>1.5</v>
      </c>
      <c r="B5" s="8">
        <v>3</v>
      </c>
      <c r="D5">
        <v>1031.0023364486001</v>
      </c>
      <c r="E5">
        <v>402.35046728971997</v>
      </c>
      <c r="F5">
        <v>138.65064478311999</v>
      </c>
      <c r="G5">
        <v>117.78429073856999</v>
      </c>
      <c r="I5" s="9">
        <f t="shared" si="1"/>
        <v>284.56617655114997</v>
      </c>
      <c r="J5" s="9">
        <f t="shared" si="2"/>
        <v>892.35169166548008</v>
      </c>
      <c r="K5" s="9">
        <f t="shared" si="3"/>
        <v>284.56617655114997</v>
      </c>
      <c r="L5" s="10">
        <f t="shared" si="0"/>
        <v>0.31889464569741249</v>
      </c>
      <c r="M5" s="10">
        <f t="shared" si="4"/>
        <v>0.31907416557844998</v>
      </c>
      <c r="N5" s="8">
        <f>RSQ(V64:V83,U64:U83)</f>
        <v>7.6321721486779885E-4</v>
      </c>
      <c r="P5" s="8">
        <f t="shared" si="5"/>
        <v>33.340389077732056</v>
      </c>
    </row>
    <row r="6" spans="1:16" x14ac:dyDescent="0.2">
      <c r="A6" s="8">
        <v>2</v>
      </c>
      <c r="B6" s="8">
        <v>4</v>
      </c>
      <c r="D6">
        <v>967.93341121494996</v>
      </c>
      <c r="E6">
        <v>377.31191588784998</v>
      </c>
      <c r="F6">
        <v>138.80890973036</v>
      </c>
      <c r="G6">
        <v>117.70222743259001</v>
      </c>
      <c r="I6" s="9">
        <f t="shared" si="1"/>
        <v>259.60968845525997</v>
      </c>
      <c r="J6" s="9">
        <f t="shared" si="2"/>
        <v>829.12450148458993</v>
      </c>
      <c r="K6" s="9">
        <f t="shared" si="3"/>
        <v>259.60968845525997</v>
      </c>
      <c r="L6" s="10">
        <f t="shared" si="0"/>
        <v>0.31311303427943032</v>
      </c>
      <c r="M6" s="10">
        <f t="shared" si="4"/>
        <v>0.31335239412081367</v>
      </c>
      <c r="P6" s="8">
        <f t="shared" si="5"/>
        <v>30.949273422874988</v>
      </c>
    </row>
    <row r="7" spans="1:16" x14ac:dyDescent="0.2">
      <c r="A7" s="8">
        <v>2.5</v>
      </c>
      <c r="B7" s="8">
        <v>5</v>
      </c>
      <c r="D7">
        <v>1107.7127784290999</v>
      </c>
      <c r="E7">
        <v>408.87924970692001</v>
      </c>
      <c r="F7">
        <v>138.51465416177999</v>
      </c>
      <c r="G7">
        <v>117.61547479484</v>
      </c>
      <c r="I7" s="9">
        <f t="shared" si="1"/>
        <v>291.26377491208001</v>
      </c>
      <c r="J7" s="9">
        <f t="shared" si="2"/>
        <v>969.19812426731994</v>
      </c>
      <c r="K7" s="9">
        <f t="shared" si="3"/>
        <v>291.26377491208001</v>
      </c>
      <c r="L7" s="10">
        <f t="shared" si="0"/>
        <v>0.30052036587696174</v>
      </c>
      <c r="M7" s="10">
        <f t="shared" si="4"/>
        <v>0.30081956567869089</v>
      </c>
      <c r="P7" s="8">
        <f t="shared" si="5"/>
        <v>25.711832097321352</v>
      </c>
    </row>
    <row r="8" spans="1:16" x14ac:dyDescent="0.2">
      <c r="A8" s="8">
        <v>3</v>
      </c>
      <c r="B8" s="8">
        <v>6</v>
      </c>
      <c r="D8">
        <v>1094.4232121923001</v>
      </c>
      <c r="E8">
        <v>405.43259085580002</v>
      </c>
      <c r="F8">
        <v>139.37280187573</v>
      </c>
      <c r="G8">
        <v>117.50058616647</v>
      </c>
      <c r="I8" s="9">
        <f t="shared" si="1"/>
        <v>287.93200468933003</v>
      </c>
      <c r="J8" s="9">
        <f t="shared" si="2"/>
        <v>955.05041031657004</v>
      </c>
      <c r="K8" s="9">
        <f t="shared" si="3"/>
        <v>287.93200468933003</v>
      </c>
      <c r="L8" s="10">
        <f t="shared" si="0"/>
        <v>0.30148356733744491</v>
      </c>
      <c r="M8" s="10">
        <f t="shared" si="4"/>
        <v>0.30184260709951993</v>
      </c>
      <c r="P8" s="8">
        <f t="shared" si="5"/>
        <v>26.139358847563503</v>
      </c>
    </row>
    <row r="9" spans="1:16" x14ac:dyDescent="0.2">
      <c r="A9" s="8">
        <v>3.5</v>
      </c>
      <c r="B9" s="8">
        <v>7</v>
      </c>
      <c r="D9">
        <v>893.09196740395998</v>
      </c>
      <c r="E9">
        <v>356.13504074504999</v>
      </c>
      <c r="F9">
        <v>138.89331770223001</v>
      </c>
      <c r="G9">
        <v>117.85228604924001</v>
      </c>
      <c r="I9" s="9">
        <f t="shared" si="1"/>
        <v>238.28275469580998</v>
      </c>
      <c r="J9" s="9">
        <f t="shared" si="2"/>
        <v>754.19864970173001</v>
      </c>
      <c r="K9" s="9">
        <f t="shared" si="3"/>
        <v>238.28275469580998</v>
      </c>
      <c r="L9" s="10">
        <f t="shared" si="0"/>
        <v>0.3159416352575623</v>
      </c>
      <c r="M9" s="10">
        <f t="shared" si="4"/>
        <v>0.31636051497998313</v>
      </c>
      <c r="P9" s="8">
        <f t="shared" si="5"/>
        <v>32.206360486089068</v>
      </c>
    </row>
    <row r="10" spans="1:16" x14ac:dyDescent="0.2">
      <c r="A10" s="8">
        <v>4</v>
      </c>
      <c r="B10" s="8">
        <v>8</v>
      </c>
      <c r="D10">
        <v>845.49364161849996</v>
      </c>
      <c r="E10">
        <v>342.48439306358</v>
      </c>
      <c r="F10">
        <v>138.82180539273</v>
      </c>
      <c r="G10">
        <v>117.84642438453</v>
      </c>
      <c r="I10" s="9">
        <f t="shared" si="1"/>
        <v>224.63796867905</v>
      </c>
      <c r="J10" s="9">
        <f t="shared" si="2"/>
        <v>706.67183622576999</v>
      </c>
      <c r="K10" s="9">
        <f t="shared" si="3"/>
        <v>224.63796867905</v>
      </c>
      <c r="L10" s="10">
        <f t="shared" si="0"/>
        <v>0.31788159250665521</v>
      </c>
      <c r="M10" s="10">
        <f t="shared" si="4"/>
        <v>0.3183603121894219</v>
      </c>
      <c r="P10" s="8">
        <f t="shared" si="5"/>
        <v>33.042071323096863</v>
      </c>
    </row>
    <row r="11" spans="1:16" x14ac:dyDescent="0.2">
      <c r="A11" s="8">
        <v>4.5</v>
      </c>
      <c r="B11" s="8">
        <v>9</v>
      </c>
      <c r="D11">
        <v>924.47141190197999</v>
      </c>
      <c r="E11">
        <v>356.39556592766002</v>
      </c>
      <c r="F11">
        <v>139.04689331770001</v>
      </c>
      <c r="G11">
        <v>117.96717467761</v>
      </c>
      <c r="I11" s="9">
        <f t="shared" si="1"/>
        <v>238.42839125005003</v>
      </c>
      <c r="J11" s="9">
        <f t="shared" si="2"/>
        <v>785.42451858428001</v>
      </c>
      <c r="K11" s="9">
        <f t="shared" si="3"/>
        <v>238.42839125005003</v>
      </c>
      <c r="L11" s="10">
        <f t="shared" si="0"/>
        <v>0.30356626971591727</v>
      </c>
      <c r="M11" s="10">
        <f t="shared" si="4"/>
        <v>0.30410482935902977</v>
      </c>
      <c r="P11" s="8">
        <f t="shared" si="5"/>
        <v>27.084736533395553</v>
      </c>
    </row>
    <row r="12" spans="1:16" x14ac:dyDescent="0.2">
      <c r="A12" s="8">
        <v>5</v>
      </c>
      <c r="B12" s="8">
        <v>10</v>
      </c>
      <c r="D12">
        <v>873.92052194542998</v>
      </c>
      <c r="E12">
        <v>346.61209964413001</v>
      </c>
      <c r="F12">
        <v>139.54044548652001</v>
      </c>
      <c r="G12">
        <v>117.59906213364999</v>
      </c>
      <c r="I12" s="9">
        <f t="shared" si="1"/>
        <v>229.01303751048002</v>
      </c>
      <c r="J12" s="9">
        <f t="shared" si="2"/>
        <v>734.38007645891003</v>
      </c>
      <c r="K12" s="9">
        <f t="shared" si="3"/>
        <v>229.01303751048002</v>
      </c>
      <c r="L12" s="10">
        <f t="shared" si="0"/>
        <v>0.31184538476963125</v>
      </c>
      <c r="M12" s="10">
        <f t="shared" si="4"/>
        <v>0.31244378437308956</v>
      </c>
      <c r="P12" s="8">
        <f t="shared" si="5"/>
        <v>30.569567416085903</v>
      </c>
    </row>
    <row r="13" spans="1:16" x14ac:dyDescent="0.2">
      <c r="A13" s="8">
        <v>5.5</v>
      </c>
      <c r="B13" s="8">
        <v>11</v>
      </c>
      <c r="D13">
        <v>944.37722419929003</v>
      </c>
      <c r="E13">
        <v>363.60023724792001</v>
      </c>
      <c r="F13">
        <v>139.19109026964</v>
      </c>
      <c r="G13">
        <v>117.90269636577</v>
      </c>
      <c r="I13" s="9">
        <f t="shared" si="1"/>
        <v>245.69754088215001</v>
      </c>
      <c r="J13" s="9">
        <f t="shared" si="2"/>
        <v>805.18613392965005</v>
      </c>
      <c r="K13" s="9">
        <f t="shared" si="3"/>
        <v>245.69754088215001</v>
      </c>
      <c r="L13" s="10">
        <f t="shared" si="0"/>
        <v>0.30514378046109875</v>
      </c>
      <c r="M13" s="10">
        <f t="shared" si="4"/>
        <v>0.30580202002490292</v>
      </c>
      <c r="P13" s="8">
        <f t="shared" si="5"/>
        <v>27.793988764193848</v>
      </c>
    </row>
    <row r="14" spans="1:16" x14ac:dyDescent="0.2">
      <c r="A14" s="8">
        <v>6</v>
      </c>
      <c r="B14" s="8">
        <v>12</v>
      </c>
      <c r="D14">
        <v>916.09662398137004</v>
      </c>
      <c r="E14">
        <v>349.10011641443998</v>
      </c>
      <c r="F14">
        <v>138.81711606095999</v>
      </c>
      <c r="G14">
        <v>117.82063305979</v>
      </c>
      <c r="I14" s="9">
        <f t="shared" si="1"/>
        <v>231.27948335464998</v>
      </c>
      <c r="J14" s="9">
        <f t="shared" si="2"/>
        <v>777.27950792041008</v>
      </c>
      <c r="K14" s="9">
        <f t="shared" si="3"/>
        <v>231.27948335464998</v>
      </c>
      <c r="L14" s="10">
        <f t="shared" si="0"/>
        <v>0.29754995596555978</v>
      </c>
      <c r="M14" s="10">
        <f t="shared" si="4"/>
        <v>0.29826803548970976</v>
      </c>
      <c r="P14" s="8">
        <f t="shared" si="5"/>
        <v>24.64555326673808</v>
      </c>
    </row>
    <row r="15" spans="1:16" x14ac:dyDescent="0.2">
      <c r="A15" s="8">
        <v>6.5</v>
      </c>
      <c r="B15" s="8">
        <v>13</v>
      </c>
      <c r="D15">
        <v>994.57126030623999</v>
      </c>
      <c r="E15">
        <v>364.99057714959002</v>
      </c>
      <c r="F15">
        <v>138.76905041032001</v>
      </c>
      <c r="G15">
        <v>117.83001172333</v>
      </c>
      <c r="I15" s="9">
        <f t="shared" si="1"/>
        <v>247.16056542626001</v>
      </c>
      <c r="J15" s="9">
        <f t="shared" si="2"/>
        <v>855.80220989591999</v>
      </c>
      <c r="K15" s="9">
        <f t="shared" si="3"/>
        <v>247.16056542626001</v>
      </c>
      <c r="L15" s="10">
        <f t="shared" si="0"/>
        <v>0.28880571067503891</v>
      </c>
      <c r="M15" s="10">
        <f t="shared" si="4"/>
        <v>0.28958363015953476</v>
      </c>
      <c r="P15" s="8">
        <f t="shared" si="5"/>
        <v>21.0163594599159</v>
      </c>
    </row>
    <row r="16" spans="1:16" x14ac:dyDescent="0.2">
      <c r="A16" s="8">
        <v>7</v>
      </c>
      <c r="B16" s="8">
        <v>14</v>
      </c>
      <c r="D16">
        <v>953.44051825677002</v>
      </c>
      <c r="E16">
        <v>351.41224970553998</v>
      </c>
      <c r="F16">
        <v>138.97655334115001</v>
      </c>
      <c r="G16">
        <v>117.92145369284999</v>
      </c>
      <c r="I16" s="9">
        <f t="shared" si="1"/>
        <v>233.49079601269</v>
      </c>
      <c r="J16" s="9">
        <f t="shared" si="2"/>
        <v>814.46396491561995</v>
      </c>
      <c r="K16" s="9">
        <f t="shared" si="3"/>
        <v>233.49079601269</v>
      </c>
      <c r="L16" s="10">
        <f t="shared" si="0"/>
        <v>0.28668032727129933</v>
      </c>
      <c r="M16" s="10">
        <f t="shared" si="4"/>
        <v>0.28751808671614099</v>
      </c>
      <c r="P16" s="8">
        <f t="shared" si="5"/>
        <v>20.15317341694757</v>
      </c>
    </row>
    <row r="17" spans="1:16" x14ac:dyDescent="0.2">
      <c r="A17" s="8">
        <v>7.5</v>
      </c>
      <c r="B17" s="8">
        <v>15</v>
      </c>
      <c r="D17">
        <v>922.25490196077999</v>
      </c>
      <c r="E17">
        <v>344.86159169550001</v>
      </c>
      <c r="F17">
        <v>139.68698710434001</v>
      </c>
      <c r="G17">
        <v>118.28370457210001</v>
      </c>
      <c r="I17" s="9">
        <f t="shared" si="1"/>
        <v>226.57788712339999</v>
      </c>
      <c r="J17" s="9">
        <f t="shared" si="2"/>
        <v>782.56791485643998</v>
      </c>
      <c r="K17" s="9">
        <f t="shared" si="3"/>
        <v>226.57788712339999</v>
      </c>
      <c r="L17" s="10">
        <f t="shared" si="0"/>
        <v>0.28953127622791064</v>
      </c>
      <c r="M17" s="10">
        <f t="shared" si="4"/>
        <v>0.29042887563309816</v>
      </c>
      <c r="P17" s="8">
        <f t="shared" si="5"/>
        <v>21.369585676481609</v>
      </c>
    </row>
    <row r="18" spans="1:16" x14ac:dyDescent="0.2">
      <c r="A18" s="8">
        <v>8</v>
      </c>
      <c r="B18" s="8">
        <v>16</v>
      </c>
      <c r="D18">
        <v>860.68512110726999</v>
      </c>
      <c r="E18">
        <v>324.55478662053002</v>
      </c>
      <c r="F18">
        <v>138.89097303634</v>
      </c>
      <c r="G18">
        <v>117.6776084408</v>
      </c>
      <c r="I18" s="9">
        <f t="shared" si="1"/>
        <v>206.87717817973004</v>
      </c>
      <c r="J18" s="9">
        <f t="shared" si="2"/>
        <v>721.79414807092996</v>
      </c>
      <c r="K18" s="9">
        <f t="shared" si="3"/>
        <v>206.87717817973004</v>
      </c>
      <c r="L18" s="10">
        <f t="shared" si="0"/>
        <v>0.28661520564087539</v>
      </c>
      <c r="M18" s="10">
        <f t="shared" si="4"/>
        <v>0.28757264500640872</v>
      </c>
      <c r="P18" s="8">
        <f t="shared" si="5"/>
        <v>20.175973205951255</v>
      </c>
    </row>
    <row r="19" spans="1:16" x14ac:dyDescent="0.2">
      <c r="A19" s="8">
        <v>8.5</v>
      </c>
      <c r="B19" s="8">
        <v>17</v>
      </c>
      <c r="D19">
        <v>826.96176129779997</v>
      </c>
      <c r="E19">
        <v>315.82387022016002</v>
      </c>
      <c r="F19">
        <v>139.12543962485</v>
      </c>
      <c r="G19">
        <v>117.85932004689001</v>
      </c>
      <c r="I19" s="9">
        <f t="shared" si="1"/>
        <v>197.96455017327003</v>
      </c>
      <c r="J19" s="9">
        <f t="shared" si="2"/>
        <v>687.83632167294991</v>
      </c>
      <c r="K19" s="9">
        <f t="shared" si="3"/>
        <v>197.96455017327003</v>
      </c>
      <c r="L19" s="10">
        <f t="shared" si="0"/>
        <v>0.28780764250975038</v>
      </c>
      <c r="M19" s="10">
        <f t="shared" si="4"/>
        <v>0.28882492183562958</v>
      </c>
      <c r="P19" s="8">
        <f t="shared" si="5"/>
        <v>20.699296927063624</v>
      </c>
    </row>
    <row r="20" spans="1:16" x14ac:dyDescent="0.2">
      <c r="A20" s="8">
        <v>9</v>
      </c>
      <c r="B20" s="8">
        <v>18</v>
      </c>
      <c r="D20">
        <v>898.16917728853002</v>
      </c>
      <c r="E20">
        <v>331.30590961760998</v>
      </c>
      <c r="F20">
        <v>138.61313012895999</v>
      </c>
      <c r="G20">
        <v>118.0550996483</v>
      </c>
      <c r="I20" s="9">
        <f t="shared" si="1"/>
        <v>213.25080996930998</v>
      </c>
      <c r="J20" s="9">
        <f t="shared" si="2"/>
        <v>759.55604715956997</v>
      </c>
      <c r="K20" s="9">
        <f t="shared" si="3"/>
        <v>213.25080996930998</v>
      </c>
      <c r="L20" s="10">
        <f t="shared" si="0"/>
        <v>0.28075717488759533</v>
      </c>
      <c r="M20" s="10">
        <f t="shared" si="4"/>
        <v>0.28183429417382033</v>
      </c>
      <c r="P20" s="8">
        <f t="shared" si="5"/>
        <v>17.777929066919459</v>
      </c>
    </row>
    <row r="21" spans="1:16" x14ac:dyDescent="0.2">
      <c r="A21" s="8">
        <v>9.5</v>
      </c>
      <c r="B21" s="8">
        <v>19</v>
      </c>
      <c r="D21">
        <v>818.90961761298001</v>
      </c>
      <c r="E21">
        <v>308.88412514484003</v>
      </c>
      <c r="F21">
        <v>139.43728018757</v>
      </c>
      <c r="G21">
        <v>117.63892145369</v>
      </c>
      <c r="I21" s="9">
        <f t="shared" si="1"/>
        <v>191.24520369115004</v>
      </c>
      <c r="J21" s="9">
        <f t="shared" si="2"/>
        <v>679.47233742541005</v>
      </c>
      <c r="K21" s="9">
        <f t="shared" si="3"/>
        <v>191.24520369115004</v>
      </c>
      <c r="L21" s="10">
        <f t="shared" si="0"/>
        <v>0.28146135340225564</v>
      </c>
      <c r="M21" s="10">
        <f t="shared" si="4"/>
        <v>0.28259831264882651</v>
      </c>
      <c r="P21" s="8">
        <f t="shared" si="5"/>
        <v>18.097210700188672</v>
      </c>
    </row>
    <row r="22" spans="1:16" x14ac:dyDescent="0.2">
      <c r="A22" s="8">
        <v>10</v>
      </c>
      <c r="B22" s="8">
        <v>20</v>
      </c>
      <c r="D22">
        <v>824.57508731082999</v>
      </c>
      <c r="E22">
        <v>308.37019790454002</v>
      </c>
      <c r="F22">
        <v>139.04220398593</v>
      </c>
      <c r="G22">
        <v>117.78663540446</v>
      </c>
      <c r="I22" s="9">
        <f t="shared" si="1"/>
        <v>190.58356250008001</v>
      </c>
      <c r="J22" s="9">
        <f t="shared" si="2"/>
        <v>685.53288332490001</v>
      </c>
      <c r="K22" s="9">
        <f t="shared" si="3"/>
        <v>190.58356250008001</v>
      </c>
      <c r="L22" s="10">
        <f t="shared" si="0"/>
        <v>0.27800790762323685</v>
      </c>
      <c r="M22" s="10">
        <f t="shared" si="4"/>
        <v>0.27920470683015353</v>
      </c>
      <c r="P22" s="8">
        <f t="shared" si="5"/>
        <v>16.679030323792592</v>
      </c>
    </row>
    <row r="23" spans="1:16" x14ac:dyDescent="0.2">
      <c r="A23" s="8">
        <v>10.5</v>
      </c>
      <c r="B23" s="8">
        <v>21</v>
      </c>
      <c r="D23">
        <v>840.73690337602</v>
      </c>
      <c r="E23">
        <v>310.25145518044002</v>
      </c>
      <c r="F23">
        <v>139.03634232121999</v>
      </c>
      <c r="G23">
        <v>117.97303634232</v>
      </c>
      <c r="I23" s="9">
        <f t="shared" si="1"/>
        <v>192.27841883812002</v>
      </c>
      <c r="J23" s="9">
        <f t="shared" si="2"/>
        <v>701.7005610548</v>
      </c>
      <c r="K23" s="9">
        <f t="shared" si="3"/>
        <v>192.27841883812002</v>
      </c>
      <c r="L23" s="10">
        <f t="shared" si="0"/>
        <v>0.27401776414299295</v>
      </c>
      <c r="M23" s="10">
        <f t="shared" si="4"/>
        <v>0.27527440331025543</v>
      </c>
      <c r="P23" s="8">
        <f t="shared" si="5"/>
        <v>15.036565163422411</v>
      </c>
    </row>
    <row r="24" spans="1:16" x14ac:dyDescent="0.2">
      <c r="A24" s="8">
        <v>11</v>
      </c>
      <c r="B24" s="8">
        <v>22</v>
      </c>
      <c r="D24">
        <v>718.94889663182005</v>
      </c>
      <c r="E24">
        <v>282.96864111498002</v>
      </c>
      <c r="F24">
        <v>139.40211019930001</v>
      </c>
      <c r="G24">
        <v>117.81711606096</v>
      </c>
      <c r="I24" s="9">
        <f t="shared" si="1"/>
        <v>165.15152505402</v>
      </c>
      <c r="J24" s="9">
        <f t="shared" si="2"/>
        <v>579.54678643252009</v>
      </c>
      <c r="K24" s="9">
        <f t="shared" si="3"/>
        <v>165.15152505402</v>
      </c>
      <c r="L24" s="10">
        <f t="shared" si="0"/>
        <v>0.28496668244963086</v>
      </c>
      <c r="M24" s="10">
        <f t="shared" si="4"/>
        <v>0.28628316157723921</v>
      </c>
      <c r="P24" s="8">
        <f t="shared" si="5"/>
        <v>19.637100928896047</v>
      </c>
    </row>
    <row r="25" spans="1:16" x14ac:dyDescent="0.2">
      <c r="A25" s="8">
        <v>11.5</v>
      </c>
      <c r="B25" s="8">
        <v>23</v>
      </c>
      <c r="D25">
        <v>728.64126611958</v>
      </c>
      <c r="E25">
        <v>280.94255568582003</v>
      </c>
      <c r="F25">
        <v>140.01992966002001</v>
      </c>
      <c r="G25">
        <v>117.91559202814</v>
      </c>
      <c r="I25" s="9">
        <f t="shared" si="1"/>
        <v>163.02696365768003</v>
      </c>
      <c r="J25" s="9">
        <f t="shared" si="2"/>
        <v>588.62133645955998</v>
      </c>
      <c r="K25" s="9">
        <f t="shared" si="3"/>
        <v>163.02696365768003</v>
      </c>
      <c r="L25" s="10">
        <f t="shared" si="0"/>
        <v>0.2769640744561771</v>
      </c>
      <c r="M25" s="10">
        <f t="shared" si="4"/>
        <v>0.27834039354413126</v>
      </c>
      <c r="P25" s="8">
        <f t="shared" si="5"/>
        <v>16.31783571051411</v>
      </c>
    </row>
    <row r="26" spans="1:16" x14ac:dyDescent="0.2">
      <c r="A26" s="8">
        <v>12</v>
      </c>
      <c r="B26" s="8">
        <v>24</v>
      </c>
      <c r="D26">
        <v>918.78780773740004</v>
      </c>
      <c r="E26">
        <v>322.78898007034002</v>
      </c>
      <c r="F26">
        <v>139.60844079719001</v>
      </c>
      <c r="G26">
        <v>117.79953106681999</v>
      </c>
      <c r="I26" s="9">
        <f t="shared" si="1"/>
        <v>204.98944900352001</v>
      </c>
      <c r="J26" s="9">
        <f t="shared" si="2"/>
        <v>779.17936694021</v>
      </c>
      <c r="K26" s="9">
        <f t="shared" si="3"/>
        <v>204.98944900352001</v>
      </c>
      <c r="L26" s="10">
        <f t="shared" si="0"/>
        <v>0.26308377467501626</v>
      </c>
      <c r="M26" s="10">
        <f t="shared" si="4"/>
        <v>0.26451993372331628</v>
      </c>
      <c r="P26" s="8">
        <f t="shared" si="5"/>
        <v>10.542296075709235</v>
      </c>
    </row>
    <row r="27" spans="1:16" x14ac:dyDescent="0.2">
      <c r="A27" s="8">
        <v>12.5</v>
      </c>
      <c r="B27" s="8">
        <v>25</v>
      </c>
      <c r="D27">
        <v>943.12252042007003</v>
      </c>
      <c r="E27">
        <v>324.29054842474</v>
      </c>
      <c r="F27">
        <v>138.69988276671</v>
      </c>
      <c r="G27">
        <v>118.09964830011999</v>
      </c>
      <c r="I27" s="9">
        <f t="shared" si="1"/>
        <v>206.19090012461999</v>
      </c>
      <c r="J27" s="9">
        <f t="shared" si="2"/>
        <v>804.42263765335997</v>
      </c>
      <c r="K27" s="9">
        <f t="shared" si="3"/>
        <v>206.19090012461999</v>
      </c>
      <c r="L27" s="10">
        <f t="shared" si="0"/>
        <v>0.25632160318873487</v>
      </c>
      <c r="M27" s="10">
        <f t="shared" si="4"/>
        <v>0.2578176021973807</v>
      </c>
      <c r="P27" s="8">
        <f t="shared" si="5"/>
        <v>7.741406534006523</v>
      </c>
    </row>
    <row r="28" spans="1:16" x14ac:dyDescent="0.2">
      <c r="A28" s="8">
        <v>13</v>
      </c>
      <c r="B28" s="8">
        <v>26</v>
      </c>
      <c r="D28">
        <v>1003.154025671</v>
      </c>
      <c r="E28">
        <v>339.52158693116002</v>
      </c>
      <c r="F28">
        <v>139.59554513481999</v>
      </c>
      <c r="G28">
        <v>117.59437280188</v>
      </c>
      <c r="I28" s="9">
        <f t="shared" si="1"/>
        <v>221.92721412928</v>
      </c>
      <c r="J28" s="9">
        <f t="shared" si="2"/>
        <v>863.55848053618001</v>
      </c>
      <c r="K28" s="9">
        <f t="shared" si="3"/>
        <v>221.92721412928</v>
      </c>
      <c r="L28" s="10">
        <f t="shared" si="0"/>
        <v>0.25699152880935899</v>
      </c>
      <c r="M28" s="10">
        <f t="shared" si="4"/>
        <v>0.25854736777835069</v>
      </c>
      <c r="P28" s="8">
        <f t="shared" si="5"/>
        <v>8.0463739585100615</v>
      </c>
    </row>
    <row r="29" spans="1:16" x14ac:dyDescent="0.2">
      <c r="A29" s="8">
        <v>13.5</v>
      </c>
      <c r="B29" s="8">
        <v>27</v>
      </c>
      <c r="D29">
        <v>992.90081680280002</v>
      </c>
      <c r="E29">
        <v>334.38739789965001</v>
      </c>
      <c r="F29">
        <v>139.49355216882</v>
      </c>
      <c r="G29">
        <v>118.01289566237</v>
      </c>
      <c r="I29" s="9">
        <f t="shared" si="1"/>
        <v>216.37450223728001</v>
      </c>
      <c r="J29" s="9">
        <f t="shared" si="2"/>
        <v>853.40726463398005</v>
      </c>
      <c r="K29" s="9">
        <f t="shared" si="3"/>
        <v>216.37450223728001</v>
      </c>
      <c r="L29" s="10">
        <f t="shared" si="0"/>
        <v>0.25354190338429028</v>
      </c>
      <c r="M29" s="10">
        <f t="shared" si="4"/>
        <v>0.25515758231362778</v>
      </c>
      <c r="P29" s="8">
        <f t="shared" si="5"/>
        <v>6.629790099591963</v>
      </c>
    </row>
    <row r="30" spans="1:16" x14ac:dyDescent="0.2">
      <c r="A30" s="8">
        <v>14</v>
      </c>
      <c r="B30" s="8">
        <v>28</v>
      </c>
      <c r="D30">
        <v>946.15704387991002</v>
      </c>
      <c r="E30">
        <v>319.98845265589</v>
      </c>
      <c r="F30">
        <v>139.05744431419001</v>
      </c>
      <c r="G30">
        <v>118.42555685815</v>
      </c>
      <c r="I30" s="9">
        <f t="shared" si="1"/>
        <v>201.56289579774</v>
      </c>
      <c r="J30" s="9">
        <f t="shared" si="2"/>
        <v>807.09959956572004</v>
      </c>
      <c r="K30" s="9">
        <f t="shared" si="3"/>
        <v>201.56289579774</v>
      </c>
      <c r="L30" s="10">
        <f t="shared" si="0"/>
        <v>0.24973732598330603</v>
      </c>
      <c r="M30" s="10">
        <f t="shared" si="4"/>
        <v>0.25141284487298937</v>
      </c>
      <c r="P30" s="8">
        <f t="shared" si="5"/>
        <v>5.0648725938971664</v>
      </c>
    </row>
    <row r="31" spans="1:16" x14ac:dyDescent="0.2">
      <c r="A31" s="8">
        <v>14.5</v>
      </c>
      <c r="B31" s="8">
        <v>29</v>
      </c>
      <c r="D31">
        <v>850.53403755868999</v>
      </c>
      <c r="E31">
        <v>300.3544600939</v>
      </c>
      <c r="F31">
        <v>139.22274325909001</v>
      </c>
      <c r="G31">
        <v>118.40797186400999</v>
      </c>
      <c r="I31" s="9">
        <f t="shared" si="1"/>
        <v>181.94648822989001</v>
      </c>
      <c r="J31" s="9">
        <f t="shared" si="2"/>
        <v>711.31129429959992</v>
      </c>
      <c r="K31" s="9">
        <f t="shared" si="3"/>
        <v>181.94648822989001</v>
      </c>
      <c r="L31" s="10">
        <f t="shared" si="0"/>
        <v>0.25579024217385093</v>
      </c>
      <c r="M31" s="10">
        <f t="shared" si="4"/>
        <v>0.25752560102388011</v>
      </c>
      <c r="P31" s="8">
        <f t="shared" si="5"/>
        <v>7.6193798885238442</v>
      </c>
    </row>
    <row r="32" spans="1:16" x14ac:dyDescent="0.2">
      <c r="A32" s="8">
        <v>15</v>
      </c>
      <c r="B32" s="8">
        <v>30</v>
      </c>
      <c r="D32">
        <v>756.86178861789006</v>
      </c>
      <c r="E32">
        <v>280.09407665505</v>
      </c>
      <c r="F32">
        <v>139.80070339976999</v>
      </c>
      <c r="G32">
        <v>117.97420867526</v>
      </c>
      <c r="I32" s="9">
        <f t="shared" si="1"/>
        <v>162.11986797979</v>
      </c>
      <c r="J32" s="9">
        <f t="shared" si="2"/>
        <v>617.06108521812007</v>
      </c>
      <c r="K32" s="9">
        <f t="shared" si="3"/>
        <v>162.11986797979</v>
      </c>
      <c r="L32" s="10">
        <f t="shared" si="0"/>
        <v>0.26272904233214373</v>
      </c>
      <c r="M32" s="10">
        <f t="shared" si="4"/>
        <v>0.26452424114251871</v>
      </c>
      <c r="P32" s="8">
        <f t="shared" si="5"/>
        <v>10.544096136680425</v>
      </c>
    </row>
    <row r="33" spans="1:16" x14ac:dyDescent="0.2">
      <c r="A33" s="8">
        <v>15.5</v>
      </c>
      <c r="B33" s="8">
        <v>31</v>
      </c>
      <c r="D33">
        <v>801.60162601625996</v>
      </c>
      <c r="E33">
        <v>290.43902439023998</v>
      </c>
      <c r="F33">
        <v>139.48886283704999</v>
      </c>
      <c r="G33">
        <v>117.8898007034</v>
      </c>
      <c r="I33" s="9">
        <f t="shared" si="1"/>
        <v>172.54922368683998</v>
      </c>
      <c r="J33" s="9">
        <f t="shared" si="2"/>
        <v>662.11276317920999</v>
      </c>
      <c r="K33" s="9">
        <f t="shared" si="3"/>
        <v>172.54922368683998</v>
      </c>
      <c r="L33" s="10">
        <f t="shared" si="0"/>
        <v>0.2606039836150042</v>
      </c>
      <c r="M33" s="10">
        <f t="shared" si="4"/>
        <v>0.26245902238572505</v>
      </c>
      <c r="P33" s="8">
        <f t="shared" si="5"/>
        <v>9.6810457795251672</v>
      </c>
    </row>
    <row r="34" spans="1:16" x14ac:dyDescent="0.2">
      <c r="A34" s="8">
        <v>16</v>
      </c>
      <c r="B34" s="8">
        <v>32</v>
      </c>
      <c r="D34">
        <v>899.44023668638999</v>
      </c>
      <c r="E34">
        <v>304.67692307691999</v>
      </c>
      <c r="F34">
        <v>139.81828839389999</v>
      </c>
      <c r="G34">
        <v>118.13012895662</v>
      </c>
      <c r="I34" s="9">
        <f t="shared" si="1"/>
        <v>186.54679412029998</v>
      </c>
      <c r="J34" s="9">
        <f t="shared" si="2"/>
        <v>759.62194829249006</v>
      </c>
      <c r="K34" s="9">
        <f t="shared" si="3"/>
        <v>186.54679412029998</v>
      </c>
      <c r="L34" s="10">
        <f t="shared" si="0"/>
        <v>0.24557846773599373</v>
      </c>
      <c r="M34" s="10">
        <f t="shared" si="4"/>
        <v>0.24749334646706042</v>
      </c>
      <c r="P34" s="8">
        <f t="shared" si="5"/>
        <v>3.4269228667901634</v>
      </c>
    </row>
    <row r="35" spans="1:16" x14ac:dyDescent="0.2">
      <c r="A35" s="8">
        <v>16.5</v>
      </c>
      <c r="B35" s="8">
        <v>33</v>
      </c>
      <c r="D35">
        <v>945.37278106508995</v>
      </c>
      <c r="E35">
        <v>313.17159763313998</v>
      </c>
      <c r="F35">
        <v>139.43610785463</v>
      </c>
      <c r="G35">
        <v>118.16647127784</v>
      </c>
      <c r="I35" s="9">
        <f t="shared" si="1"/>
        <v>195.00512635529998</v>
      </c>
      <c r="J35" s="9">
        <f t="shared" si="2"/>
        <v>805.93667321045996</v>
      </c>
      <c r="K35" s="9">
        <f t="shared" si="3"/>
        <v>195.00512635529998</v>
      </c>
      <c r="L35" s="10">
        <f t="shared" si="0"/>
        <v>0.24196085478837231</v>
      </c>
      <c r="M35" s="10">
        <f t="shared" si="4"/>
        <v>0.24393557347978484</v>
      </c>
      <c r="P35" s="8">
        <f t="shared" si="5"/>
        <v>1.9401373932199664</v>
      </c>
    </row>
    <row r="36" spans="1:16" x14ac:dyDescent="0.2">
      <c r="A36" s="8">
        <v>17</v>
      </c>
      <c r="B36" s="8">
        <v>34</v>
      </c>
      <c r="D36">
        <v>843.58685446008997</v>
      </c>
      <c r="E36">
        <v>293.91901408451002</v>
      </c>
      <c r="F36">
        <v>139.65650644783</v>
      </c>
      <c r="G36">
        <v>118.49706916764001</v>
      </c>
      <c r="I36" s="9">
        <f t="shared" si="1"/>
        <v>175.42194491687002</v>
      </c>
      <c r="J36" s="9">
        <f t="shared" si="2"/>
        <v>703.93034801225997</v>
      </c>
      <c r="K36" s="9">
        <f t="shared" si="3"/>
        <v>175.42194491687002</v>
      </c>
      <c r="L36" s="10">
        <f t="shared" si="0"/>
        <v>0.24920355460198854</v>
      </c>
      <c r="M36" s="10">
        <f t="shared" si="4"/>
        <v>0.2512381132537469</v>
      </c>
      <c r="P36" s="8">
        <f t="shared" si="5"/>
        <v>4.9918526361336308</v>
      </c>
    </row>
    <row r="37" spans="1:16" x14ac:dyDescent="0.2">
      <c r="A37" s="8">
        <v>17.5</v>
      </c>
      <c r="B37" s="8">
        <v>35</v>
      </c>
      <c r="D37">
        <v>850.87323943662</v>
      </c>
      <c r="E37">
        <v>296.44600938967</v>
      </c>
      <c r="F37">
        <v>139.32356389214999</v>
      </c>
      <c r="G37">
        <v>117.95427901524</v>
      </c>
      <c r="I37" s="9">
        <f t="shared" si="1"/>
        <v>178.49173037443001</v>
      </c>
      <c r="J37" s="9">
        <f t="shared" si="2"/>
        <v>711.54967554447001</v>
      </c>
      <c r="K37" s="9">
        <f t="shared" si="3"/>
        <v>178.49173037443001</v>
      </c>
      <c r="L37" s="10">
        <f t="shared" si="0"/>
        <v>0.25084928924723365</v>
      </c>
      <c r="M37" s="10">
        <f t="shared" si="4"/>
        <v>0.25294368785933785</v>
      </c>
      <c r="P37" s="8">
        <f t="shared" si="5"/>
        <v>5.7046084968229591</v>
      </c>
    </row>
    <row r="38" spans="1:16" x14ac:dyDescent="0.2">
      <c r="A38" s="8">
        <v>18</v>
      </c>
      <c r="B38" s="8">
        <v>36</v>
      </c>
      <c r="D38">
        <v>719.71627906977005</v>
      </c>
      <c r="E38">
        <v>265.50813953488</v>
      </c>
      <c r="F38">
        <v>139.69871043376</v>
      </c>
      <c r="G38">
        <v>118.41969519344001</v>
      </c>
      <c r="I38" s="9">
        <f t="shared" si="1"/>
        <v>147.08844434143998</v>
      </c>
      <c r="J38" s="9">
        <f t="shared" si="2"/>
        <v>580.01756863601008</v>
      </c>
      <c r="K38" s="9">
        <f t="shared" si="3"/>
        <v>147.08844434143998</v>
      </c>
      <c r="L38" s="10">
        <f t="shared" si="0"/>
        <v>0.25359308458076257</v>
      </c>
      <c r="M38" s="10">
        <f t="shared" si="4"/>
        <v>0.25574732315321258</v>
      </c>
      <c r="P38" s="8">
        <f t="shared" si="5"/>
        <v>6.8762414939337937</v>
      </c>
    </row>
    <row r="39" spans="1:16" x14ac:dyDescent="0.2">
      <c r="A39" s="8">
        <v>18.5</v>
      </c>
      <c r="B39" s="8">
        <v>37</v>
      </c>
      <c r="D39">
        <v>751.16279069766995</v>
      </c>
      <c r="E39">
        <v>272.82790697674</v>
      </c>
      <c r="F39">
        <v>139.44548651816999</v>
      </c>
      <c r="G39">
        <v>118.73505275498</v>
      </c>
      <c r="I39" s="9">
        <f t="shared" si="1"/>
        <v>154.09285422175998</v>
      </c>
      <c r="J39" s="9">
        <f t="shared" si="2"/>
        <v>611.71730417949993</v>
      </c>
      <c r="K39" s="9">
        <f t="shared" si="3"/>
        <v>154.09285422175998</v>
      </c>
      <c r="L39" s="10">
        <f t="shared" si="0"/>
        <v>0.25190206843738977</v>
      </c>
      <c r="M39" s="10">
        <f t="shared" si="4"/>
        <v>0.25411614697018564</v>
      </c>
      <c r="P39" s="8">
        <f t="shared" si="5"/>
        <v>6.1945765697152098</v>
      </c>
    </row>
    <row r="40" spans="1:16" x14ac:dyDescent="0.2">
      <c r="A40" s="8">
        <v>19</v>
      </c>
      <c r="B40" s="8">
        <v>38</v>
      </c>
      <c r="D40">
        <v>809.10477299185004</v>
      </c>
      <c r="E40">
        <v>287.24097788125999</v>
      </c>
      <c r="F40">
        <v>139.01055099647999</v>
      </c>
      <c r="G40">
        <v>118.4876905041</v>
      </c>
      <c r="I40" s="9">
        <f t="shared" si="1"/>
        <v>168.75328737716001</v>
      </c>
      <c r="J40" s="9">
        <f t="shared" si="2"/>
        <v>670.09422199537005</v>
      </c>
      <c r="K40" s="9">
        <f t="shared" si="3"/>
        <v>168.75328737716001</v>
      </c>
      <c r="L40" s="10">
        <f t="shared" si="0"/>
        <v>0.25183516263527189</v>
      </c>
      <c r="M40" s="10">
        <f t="shared" si="4"/>
        <v>0.25410908112841357</v>
      </c>
      <c r="P40" s="8">
        <f t="shared" si="5"/>
        <v>6.191623770044508</v>
      </c>
    </row>
    <row r="41" spans="1:16" x14ac:dyDescent="0.2">
      <c r="A41" s="8">
        <v>19.5</v>
      </c>
      <c r="B41" s="8">
        <v>39</v>
      </c>
      <c r="D41">
        <v>809.42543352601001</v>
      </c>
      <c r="E41">
        <v>287.86936416185</v>
      </c>
      <c r="F41">
        <v>139.75849941383001</v>
      </c>
      <c r="G41">
        <v>117.75967174678</v>
      </c>
      <c r="I41" s="9">
        <f t="shared" si="1"/>
        <v>170.10969241507001</v>
      </c>
      <c r="J41" s="9">
        <f t="shared" si="2"/>
        <v>669.66693411218</v>
      </c>
      <c r="K41" s="9">
        <f t="shared" si="3"/>
        <v>170.10969241507001</v>
      </c>
      <c r="L41" s="10">
        <f t="shared" si="0"/>
        <v>0.25402134068422422</v>
      </c>
      <c r="M41" s="10">
        <f t="shared" si="4"/>
        <v>0.25635509913771171</v>
      </c>
      <c r="P41" s="8">
        <f t="shared" si="5"/>
        <v>7.1302297355023194</v>
      </c>
    </row>
    <row r="42" spans="1:16" x14ac:dyDescent="0.2">
      <c r="A42" s="8">
        <v>20</v>
      </c>
      <c r="B42" s="8">
        <v>40</v>
      </c>
      <c r="D42">
        <v>805.07861271675995</v>
      </c>
      <c r="E42">
        <v>286.02774566474</v>
      </c>
      <c r="F42">
        <v>138.74443141852001</v>
      </c>
      <c r="G42">
        <v>118.58851113716</v>
      </c>
      <c r="I42" s="9">
        <f t="shared" si="1"/>
        <v>167.43923452758</v>
      </c>
      <c r="J42" s="9">
        <f t="shared" si="2"/>
        <v>666.33418129823997</v>
      </c>
      <c r="K42" s="9">
        <f t="shared" si="3"/>
        <v>167.43923452758</v>
      </c>
      <c r="L42" s="10">
        <f t="shared" si="0"/>
        <v>0.25128417425825705</v>
      </c>
      <c r="M42" s="10">
        <f t="shared" si="4"/>
        <v>0.25367777267209041</v>
      </c>
      <c r="P42" s="8">
        <f t="shared" si="5"/>
        <v>6.011380918748837</v>
      </c>
    </row>
    <row r="43" spans="1:16" x14ac:dyDescent="0.2">
      <c r="A43" s="8">
        <v>20.5</v>
      </c>
      <c r="B43" s="8">
        <v>41</v>
      </c>
      <c r="D43">
        <v>788.44739884393005</v>
      </c>
      <c r="E43">
        <v>285.52716763005998</v>
      </c>
      <c r="F43">
        <v>139.31066822977999</v>
      </c>
      <c r="G43">
        <v>118.49355216882</v>
      </c>
      <c r="I43" s="9">
        <f t="shared" si="1"/>
        <v>167.03361546123998</v>
      </c>
      <c r="J43" s="9">
        <f t="shared" si="2"/>
        <v>649.13673061415011</v>
      </c>
      <c r="K43" s="9">
        <f t="shared" si="3"/>
        <v>167.03361546123998</v>
      </c>
      <c r="L43" s="10">
        <f t="shared" si="0"/>
        <v>0.257316536846111</v>
      </c>
      <c r="M43" s="10">
        <f t="shared" si="4"/>
        <v>0.25976997522029016</v>
      </c>
      <c r="P43" s="8">
        <f t="shared" si="5"/>
        <v>8.5572989082063025</v>
      </c>
    </row>
    <row r="44" spans="1:16" x14ac:dyDescent="0.2">
      <c r="A44" s="8">
        <v>21</v>
      </c>
      <c r="B44" s="8">
        <v>42</v>
      </c>
      <c r="D44">
        <v>885.96812278631</v>
      </c>
      <c r="E44">
        <v>305.39079102715999</v>
      </c>
      <c r="F44">
        <v>139.77256740914001</v>
      </c>
      <c r="G44">
        <v>117.97772567409</v>
      </c>
      <c r="I44" s="9">
        <f t="shared" si="1"/>
        <v>187.41306535307001</v>
      </c>
      <c r="J44" s="9">
        <f t="shared" si="2"/>
        <v>746.19555537716997</v>
      </c>
      <c r="K44" s="9">
        <f t="shared" si="3"/>
        <v>187.41306535307001</v>
      </c>
      <c r="L44" s="10">
        <f t="shared" si="0"/>
        <v>0.25115810996534377</v>
      </c>
      <c r="M44" s="10">
        <f t="shared" si="4"/>
        <v>0.25367138829986879</v>
      </c>
      <c r="P44" s="8">
        <f t="shared" si="5"/>
        <v>6.0087129036981564</v>
      </c>
    </row>
    <row r="45" spans="1:16" x14ac:dyDescent="0.2">
      <c r="A45" s="8">
        <v>21.5</v>
      </c>
      <c r="B45" s="8">
        <v>43</v>
      </c>
      <c r="D45">
        <v>851.28335301062998</v>
      </c>
      <c r="E45">
        <v>299.57733175915001</v>
      </c>
      <c r="F45">
        <v>139.26260257913</v>
      </c>
      <c r="G45">
        <v>118.19812426729</v>
      </c>
      <c r="I45" s="9">
        <f t="shared" si="1"/>
        <v>181.37920749186003</v>
      </c>
      <c r="J45" s="9">
        <f t="shared" si="2"/>
        <v>712.02075043150001</v>
      </c>
      <c r="K45" s="9">
        <f t="shared" si="3"/>
        <v>181.37920749186003</v>
      </c>
      <c r="L45" s="10">
        <f t="shared" si="0"/>
        <v>0.25473865386920297</v>
      </c>
      <c r="M45" s="10">
        <f t="shared" si="4"/>
        <v>0.2573117721640738</v>
      </c>
      <c r="P45" s="8">
        <f t="shared" si="5"/>
        <v>7.5300212802801108</v>
      </c>
    </row>
    <row r="46" spans="1:16" x14ac:dyDescent="0.2">
      <c r="A46" s="8">
        <v>22</v>
      </c>
      <c r="B46" s="8">
        <v>44</v>
      </c>
      <c r="D46">
        <v>914.42621015348004</v>
      </c>
      <c r="E46">
        <v>313.45572609209</v>
      </c>
      <c r="F46">
        <v>139.80422039858999</v>
      </c>
      <c r="G46">
        <v>118.19460726846</v>
      </c>
      <c r="I46" s="9">
        <f t="shared" si="1"/>
        <v>195.26111882363</v>
      </c>
      <c r="J46" s="9">
        <f t="shared" si="2"/>
        <v>774.62198975489002</v>
      </c>
      <c r="K46" s="9">
        <f t="shared" si="3"/>
        <v>195.26111882363</v>
      </c>
      <c r="L46" s="10">
        <f t="shared" si="0"/>
        <v>0.25207278053830562</v>
      </c>
      <c r="M46" s="10">
        <f t="shared" si="4"/>
        <v>0.25470573879352232</v>
      </c>
      <c r="P46" s="8">
        <f t="shared" si="5"/>
        <v>6.440965690496073</v>
      </c>
    </row>
    <row r="47" spans="1:16" x14ac:dyDescent="0.2">
      <c r="A47" s="8">
        <v>22.5</v>
      </c>
      <c r="B47" s="8">
        <v>45</v>
      </c>
      <c r="D47">
        <v>900.59554513481999</v>
      </c>
      <c r="E47">
        <v>305.26025791324997</v>
      </c>
      <c r="F47">
        <v>139.27315357562</v>
      </c>
      <c r="G47">
        <v>118.50293083235999</v>
      </c>
      <c r="I47" s="9">
        <f t="shared" si="1"/>
        <v>186.75732708088998</v>
      </c>
      <c r="J47" s="9">
        <f t="shared" si="2"/>
        <v>761.32239155920001</v>
      </c>
      <c r="K47" s="9">
        <f t="shared" si="3"/>
        <v>186.75732708088998</v>
      </c>
      <c r="L47" s="10">
        <f t="shared" si="0"/>
        <v>0.24530649453040268</v>
      </c>
      <c r="M47" s="10">
        <f t="shared" si="4"/>
        <v>0.24799929274596519</v>
      </c>
      <c r="P47" s="8">
        <f t="shared" si="5"/>
        <v>3.6383566992951817</v>
      </c>
    </row>
    <row r="48" spans="1:16" x14ac:dyDescent="0.2">
      <c r="A48" s="8">
        <v>23</v>
      </c>
      <c r="B48" s="8">
        <v>46</v>
      </c>
      <c r="D48">
        <v>924.29073856975003</v>
      </c>
      <c r="E48">
        <v>308.65885111372</v>
      </c>
      <c r="F48">
        <v>139.51465416177999</v>
      </c>
      <c r="G48">
        <v>118.21805392732</v>
      </c>
      <c r="I48" s="9">
        <f t="shared" si="1"/>
        <v>190.4407971864</v>
      </c>
      <c r="J48" s="9">
        <f t="shared" si="2"/>
        <v>784.77608440797007</v>
      </c>
      <c r="K48" s="9">
        <f t="shared" si="3"/>
        <v>190.4407971864</v>
      </c>
      <c r="L48" s="10">
        <f t="shared" si="0"/>
        <v>0.24266896121084944</v>
      </c>
      <c r="M48" s="10">
        <f t="shared" si="4"/>
        <v>0.24542159938675778</v>
      </c>
      <c r="P48" s="8">
        <f t="shared" si="5"/>
        <v>2.5611443376591705</v>
      </c>
    </row>
    <row r="49" spans="1:25" x14ac:dyDescent="0.2">
      <c r="A49" s="8">
        <v>23.5</v>
      </c>
      <c r="B49" s="8">
        <v>47</v>
      </c>
      <c r="D49">
        <v>782.69907407407004</v>
      </c>
      <c r="E49">
        <v>276.39814814815003</v>
      </c>
      <c r="F49">
        <v>139.41031652989</v>
      </c>
      <c r="G49">
        <v>117.86166471278</v>
      </c>
      <c r="I49" s="9">
        <f t="shared" si="1"/>
        <v>158.53648343537003</v>
      </c>
      <c r="J49" s="9">
        <f t="shared" si="2"/>
        <v>643.28875754418004</v>
      </c>
      <c r="K49" s="9">
        <f t="shared" si="3"/>
        <v>158.53648343537003</v>
      </c>
      <c r="L49" s="10">
        <f t="shared" si="0"/>
        <v>0.24644684300188785</v>
      </c>
      <c r="M49" s="10">
        <f t="shared" si="4"/>
        <v>0.24925932113814203</v>
      </c>
      <c r="P49" s="8">
        <f t="shared" si="5"/>
        <v>4.1649197814465024</v>
      </c>
    </row>
    <row r="50" spans="1:25" x14ac:dyDescent="0.2">
      <c r="A50" s="8">
        <v>24</v>
      </c>
      <c r="B50" s="8">
        <v>48</v>
      </c>
      <c r="D50">
        <v>733.07870370369994</v>
      </c>
      <c r="E50">
        <v>264.18518518518999</v>
      </c>
      <c r="F50">
        <v>140.17702227433</v>
      </c>
      <c r="G50">
        <v>118.38804220399</v>
      </c>
      <c r="I50" s="9">
        <f t="shared" si="1"/>
        <v>145.79714298120001</v>
      </c>
      <c r="J50" s="9">
        <f t="shared" si="2"/>
        <v>592.90168142937</v>
      </c>
      <c r="K50" s="9">
        <f t="shared" si="3"/>
        <v>145.79714298120001</v>
      </c>
      <c r="L50" s="10">
        <f t="shared" si="0"/>
        <v>0.24590441813170713</v>
      </c>
      <c r="M50" s="10">
        <f t="shared" si="4"/>
        <v>0.24877673622830715</v>
      </c>
      <c r="P50" s="8">
        <f t="shared" si="5"/>
        <v>3.9632486134791152</v>
      </c>
    </row>
    <row r="51" spans="1:25" x14ac:dyDescent="0.2">
      <c r="A51" s="8">
        <v>24.5</v>
      </c>
      <c r="B51" s="8">
        <v>49</v>
      </c>
      <c r="D51">
        <v>875.78861788617996</v>
      </c>
      <c r="E51">
        <v>294.34610917537998</v>
      </c>
      <c r="F51">
        <v>140.04337631888001</v>
      </c>
      <c r="G51">
        <v>118.32473622509001</v>
      </c>
      <c r="I51" s="9">
        <f t="shared" si="1"/>
        <v>176.02137295028996</v>
      </c>
      <c r="J51" s="9">
        <f t="shared" si="2"/>
        <v>735.7452415672999</v>
      </c>
      <c r="K51" s="9">
        <f t="shared" si="3"/>
        <v>176.02137295028996</v>
      </c>
      <c r="L51" s="10">
        <f t="shared" si="0"/>
        <v>0.23924228524444896</v>
      </c>
      <c r="M51" s="10">
        <f t="shared" si="4"/>
        <v>0.24217444330139482</v>
      </c>
      <c r="P51" s="8">
        <f t="shared" si="5"/>
        <v>1.2041649813597388</v>
      </c>
    </row>
    <row r="52" spans="1:25" x14ac:dyDescent="0.2">
      <c r="A52" s="8">
        <v>25</v>
      </c>
      <c r="B52" s="8">
        <v>50</v>
      </c>
      <c r="D52">
        <v>944.07259953161997</v>
      </c>
      <c r="E52">
        <v>306.27166276346998</v>
      </c>
      <c r="F52">
        <v>139.83235638922</v>
      </c>
      <c r="G52">
        <v>117.92145369284999</v>
      </c>
      <c r="I52" s="9">
        <f t="shared" si="1"/>
        <v>188.35020907062</v>
      </c>
      <c r="J52" s="9">
        <f t="shared" si="2"/>
        <v>804.2402431424</v>
      </c>
      <c r="K52" s="9">
        <f t="shared" si="3"/>
        <v>188.35020907062</v>
      </c>
      <c r="L52" s="10">
        <f t="shared" si="0"/>
        <v>0.23419644897982358</v>
      </c>
      <c r="M52" s="10">
        <f t="shared" si="4"/>
        <v>0.23718844699711528</v>
      </c>
      <c r="P52" s="8">
        <f t="shared" si="5"/>
        <v>-0.87947186196628901</v>
      </c>
    </row>
    <row r="53" spans="1:25" x14ac:dyDescent="0.2">
      <c r="A53" s="8">
        <v>25.5</v>
      </c>
      <c r="B53" s="8">
        <v>51</v>
      </c>
      <c r="D53">
        <v>887.29039812645999</v>
      </c>
      <c r="E53">
        <v>294.96955503512999</v>
      </c>
      <c r="F53">
        <v>139.83821805393001</v>
      </c>
      <c r="G53">
        <v>117.98241500586001</v>
      </c>
      <c r="I53" s="9">
        <f t="shared" si="1"/>
        <v>176.98714002926999</v>
      </c>
      <c r="J53" s="9">
        <f t="shared" si="2"/>
        <v>747.45218007252993</v>
      </c>
      <c r="K53" s="9">
        <f t="shared" si="3"/>
        <v>176.98714002926999</v>
      </c>
      <c r="L53" s="10">
        <f t="shared" si="0"/>
        <v>0.23678724170969148</v>
      </c>
      <c r="M53" s="10">
        <f t="shared" si="4"/>
        <v>0.23983907968732901</v>
      </c>
      <c r="P53" s="8">
        <f t="shared" si="5"/>
        <v>0.22822168500110504</v>
      </c>
      <c r="S53" s="11"/>
      <c r="U53" s="12"/>
    </row>
    <row r="54" spans="1:25" x14ac:dyDescent="0.2">
      <c r="A54" s="8">
        <v>26</v>
      </c>
      <c r="B54" s="8">
        <v>52</v>
      </c>
      <c r="D54">
        <v>913.97921478060005</v>
      </c>
      <c r="E54">
        <v>300.94572748268001</v>
      </c>
      <c r="F54">
        <v>139.6307151231</v>
      </c>
      <c r="G54">
        <v>118.19343493552</v>
      </c>
      <c r="I54" s="9">
        <f t="shared" si="1"/>
        <v>182.75229254716001</v>
      </c>
      <c r="J54" s="9">
        <f t="shared" si="2"/>
        <v>774.34849965750004</v>
      </c>
      <c r="K54" s="9">
        <f t="shared" si="3"/>
        <v>182.75229254716001</v>
      </c>
      <c r="L54" s="10">
        <f t="shared" si="0"/>
        <v>0.23600780866495211</v>
      </c>
      <c r="M54" s="10">
        <f t="shared" si="4"/>
        <v>0.23911948660293547</v>
      </c>
      <c r="P54" s="8">
        <f t="shared" si="5"/>
        <v>-7.2494675650439114E-2</v>
      </c>
      <c r="S54" s="11"/>
    </row>
    <row r="55" spans="1:25" x14ac:dyDescent="0.2">
      <c r="A55" s="8">
        <v>26.5</v>
      </c>
      <c r="B55" s="8">
        <v>53</v>
      </c>
      <c r="D55">
        <v>916.03233256350995</v>
      </c>
      <c r="E55">
        <v>301.97344110854999</v>
      </c>
      <c r="F55">
        <v>139.56740914420001</v>
      </c>
      <c r="G55">
        <v>118.29542790152</v>
      </c>
      <c r="I55" s="9">
        <f t="shared" si="1"/>
        <v>183.67801320703001</v>
      </c>
      <c r="J55" s="9">
        <f t="shared" si="2"/>
        <v>776.46492341930991</v>
      </c>
      <c r="K55" s="9">
        <f t="shared" si="3"/>
        <v>183.67801320703001</v>
      </c>
      <c r="L55" s="10">
        <f t="shared" si="0"/>
        <v>0.23655674283156178</v>
      </c>
      <c r="M55" s="10">
        <f t="shared" si="4"/>
        <v>0.23972826072989095</v>
      </c>
      <c r="P55" s="8">
        <f t="shared" si="5"/>
        <v>0.18191068744606734</v>
      </c>
      <c r="S55" s="11"/>
    </row>
    <row r="56" spans="1:25" x14ac:dyDescent="0.2">
      <c r="A56" s="8">
        <v>27</v>
      </c>
      <c r="B56" s="8">
        <v>54</v>
      </c>
      <c r="D56">
        <v>908.45727482679001</v>
      </c>
      <c r="E56">
        <v>300.15704387991002</v>
      </c>
      <c r="F56">
        <v>140.32356389214999</v>
      </c>
      <c r="G56">
        <v>118.42907385698</v>
      </c>
      <c r="I56" s="9">
        <f t="shared" si="1"/>
        <v>181.72797002293004</v>
      </c>
      <c r="J56" s="9">
        <f t="shared" si="2"/>
        <v>768.13371093464002</v>
      </c>
      <c r="K56" s="9">
        <f t="shared" si="3"/>
        <v>181.72797002293004</v>
      </c>
      <c r="L56" s="10">
        <f t="shared" si="0"/>
        <v>0.23658377107523296</v>
      </c>
      <c r="M56" s="10">
        <f t="shared" si="4"/>
        <v>0.23981512893390797</v>
      </c>
      <c r="P56" s="8">
        <f t="shared" si="5"/>
        <v>0.21821271804485851</v>
      </c>
      <c r="S56" s="11"/>
    </row>
    <row r="57" spans="1:25" x14ac:dyDescent="0.2">
      <c r="A57" s="8">
        <v>27.5</v>
      </c>
      <c r="B57" s="8">
        <v>55</v>
      </c>
      <c r="D57">
        <v>858.92494226327995</v>
      </c>
      <c r="E57">
        <v>288.87990762125003</v>
      </c>
      <c r="F57">
        <v>140.50762016413</v>
      </c>
      <c r="G57">
        <v>117.89331770222999</v>
      </c>
      <c r="I57" s="9">
        <f t="shared" si="1"/>
        <v>170.98658991902005</v>
      </c>
      <c r="J57" s="9">
        <f t="shared" si="2"/>
        <v>718.41732209914994</v>
      </c>
      <c r="K57" s="9">
        <f t="shared" si="3"/>
        <v>170.98658991902005</v>
      </c>
      <c r="L57" s="10">
        <f t="shared" si="0"/>
        <v>0.23800454785724379</v>
      </c>
      <c r="M57" s="10">
        <f t="shared" si="4"/>
        <v>0.24129574567626463</v>
      </c>
      <c r="P57" s="8">
        <f t="shared" si="5"/>
        <v>0.83695918453777618</v>
      </c>
      <c r="S57" s="11"/>
    </row>
    <row r="58" spans="1:25" x14ac:dyDescent="0.2">
      <c r="A58" s="8">
        <v>28</v>
      </c>
      <c r="B58" s="8">
        <v>56</v>
      </c>
      <c r="D58">
        <v>905.70900692840996</v>
      </c>
      <c r="E58">
        <v>303.31524249423001</v>
      </c>
      <c r="F58">
        <v>139.75146541618</v>
      </c>
      <c r="G58">
        <v>118.43141852286</v>
      </c>
      <c r="I58" s="9">
        <f t="shared" si="1"/>
        <v>184.88382397137002</v>
      </c>
      <c r="J58" s="9">
        <f t="shared" si="2"/>
        <v>765.95754151222991</v>
      </c>
      <c r="K58" s="9">
        <f t="shared" si="3"/>
        <v>184.88382397137002</v>
      </c>
      <c r="L58" s="10">
        <f t="shared" si="0"/>
        <v>0.24137607367420641</v>
      </c>
      <c r="M58" s="10">
        <f t="shared" si="4"/>
        <v>0.24472711145357309</v>
      </c>
      <c r="P58" s="8">
        <f t="shared" si="5"/>
        <v>2.2709193642497567</v>
      </c>
      <c r="S58" s="11"/>
    </row>
    <row r="59" spans="1:25" x14ac:dyDescent="0.2">
      <c r="A59" s="8">
        <v>28.5</v>
      </c>
      <c r="B59" s="8">
        <v>57</v>
      </c>
      <c r="D59">
        <v>900.16628175519998</v>
      </c>
      <c r="E59">
        <v>299.67090069284001</v>
      </c>
      <c r="F59">
        <v>140.23094958967999</v>
      </c>
      <c r="G59">
        <v>117.81008206331001</v>
      </c>
      <c r="I59" s="9">
        <f t="shared" si="1"/>
        <v>181.86081862953</v>
      </c>
      <c r="J59" s="9">
        <f t="shared" si="2"/>
        <v>759.93533216551998</v>
      </c>
      <c r="K59" s="9">
        <f t="shared" si="3"/>
        <v>181.86081862953</v>
      </c>
      <c r="L59" s="10">
        <f t="shared" si="0"/>
        <v>0.23931091361589601</v>
      </c>
      <c r="M59" s="10">
        <f t="shared" si="4"/>
        <v>0.24272179135560853</v>
      </c>
      <c r="P59" s="8">
        <f t="shared" si="5"/>
        <v>1.4329005243250708</v>
      </c>
      <c r="R59" s="1"/>
      <c r="S59" s="11"/>
    </row>
    <row r="60" spans="1:25" x14ac:dyDescent="0.2">
      <c r="A60" s="8">
        <v>29</v>
      </c>
      <c r="B60" s="8">
        <v>58</v>
      </c>
      <c r="D60">
        <v>886.69168591224002</v>
      </c>
      <c r="E60">
        <v>294.76789838336998</v>
      </c>
      <c r="F60">
        <v>139.90973036342001</v>
      </c>
      <c r="G60">
        <v>118.17116060961</v>
      </c>
      <c r="I60" s="9">
        <f t="shared" si="1"/>
        <v>176.59673777375997</v>
      </c>
      <c r="J60" s="9">
        <f t="shared" si="2"/>
        <v>746.78195554881995</v>
      </c>
      <c r="K60" s="9">
        <f t="shared" si="3"/>
        <v>176.59673777375997</v>
      </c>
      <c r="L60" s="10">
        <f t="shared" si="0"/>
        <v>0.23647697492098171</v>
      </c>
      <c r="M60" s="10">
        <f t="shared" si="4"/>
        <v>0.23994769262104007</v>
      </c>
      <c r="P60" s="8">
        <f t="shared" si="5"/>
        <v>0.27361079011292583</v>
      </c>
      <c r="S60" s="11"/>
    </row>
    <row r="61" spans="1:25" x14ac:dyDescent="0.2">
      <c r="A61" s="8">
        <v>29.5</v>
      </c>
      <c r="B61" s="8">
        <v>59</v>
      </c>
      <c r="C61" s="2"/>
      <c r="D61">
        <v>918.81986143186998</v>
      </c>
      <c r="E61">
        <v>302</v>
      </c>
      <c r="F61">
        <v>139.76553341149</v>
      </c>
      <c r="G61">
        <v>118.27901524033</v>
      </c>
      <c r="I61" s="9">
        <f t="shared" si="1"/>
        <v>183.72098475966999</v>
      </c>
      <c r="J61" s="9">
        <f t="shared" si="2"/>
        <v>779.05432802038001</v>
      </c>
      <c r="K61" s="9">
        <f t="shared" si="3"/>
        <v>183.72098475966999</v>
      </c>
      <c r="L61" s="10">
        <f t="shared" si="0"/>
        <v>0.23582563904948084</v>
      </c>
      <c r="M61" s="10">
        <f t="shared" si="4"/>
        <v>0.23935619670988503</v>
      </c>
      <c r="P61" s="8">
        <f t="shared" si="5"/>
        <v>2.6425955238199104E-2</v>
      </c>
      <c r="S61" s="11"/>
    </row>
    <row r="62" spans="1:25" x14ac:dyDescent="0.2">
      <c r="A62" s="8">
        <v>30</v>
      </c>
      <c r="B62" s="8">
        <v>60</v>
      </c>
      <c r="D62">
        <v>1015.6200923788</v>
      </c>
      <c r="E62">
        <v>323.67090069284001</v>
      </c>
      <c r="F62">
        <v>139.97069167644</v>
      </c>
      <c r="G62">
        <v>118.30832356389</v>
      </c>
      <c r="I62" s="9">
        <f t="shared" si="1"/>
        <v>205.36257712895002</v>
      </c>
      <c r="J62" s="9">
        <f t="shared" si="2"/>
        <v>875.64940070236003</v>
      </c>
      <c r="K62" s="9">
        <f t="shared" si="3"/>
        <v>205.36257712895002</v>
      </c>
      <c r="L62" s="10">
        <f t="shared" si="0"/>
        <v>0.2345260294408108</v>
      </c>
      <c r="M62" s="10">
        <f t="shared" si="4"/>
        <v>0.23811642706156083</v>
      </c>
      <c r="P62" s="8">
        <f t="shared" si="5"/>
        <v>-0.49167104260121819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986.66628175519998</v>
      </c>
      <c r="E63">
        <v>317.43648960739</v>
      </c>
      <c r="F63">
        <v>140.40914419695</v>
      </c>
      <c r="G63">
        <v>118.31535756155</v>
      </c>
      <c r="I63" s="9">
        <f t="shared" si="1"/>
        <v>199.12113204584</v>
      </c>
      <c r="J63" s="9">
        <f t="shared" si="2"/>
        <v>846.25713755824995</v>
      </c>
      <c r="K63" s="9">
        <f t="shared" si="3"/>
        <v>199.12113204584</v>
      </c>
      <c r="L63" s="10">
        <f t="shared" si="0"/>
        <v>0.2352962512320719</v>
      </c>
      <c r="M63" s="10">
        <f t="shared" si="4"/>
        <v>0.23894648881316777</v>
      </c>
      <c r="P63" s="8">
        <f t="shared" si="5"/>
        <v>-0.14479006990585946</v>
      </c>
    </row>
    <row r="64" spans="1:25" x14ac:dyDescent="0.2">
      <c r="A64" s="8">
        <v>31</v>
      </c>
      <c r="B64" s="8">
        <v>62</v>
      </c>
      <c r="D64">
        <v>937.37182448037004</v>
      </c>
      <c r="E64">
        <v>306.18013856813002</v>
      </c>
      <c r="F64">
        <v>139.53223915592</v>
      </c>
      <c r="G64">
        <v>118.7080890973</v>
      </c>
      <c r="I64" s="9">
        <f t="shared" si="1"/>
        <v>187.47204947083003</v>
      </c>
      <c r="J64" s="9">
        <f t="shared" si="2"/>
        <v>797.83958532445001</v>
      </c>
      <c r="K64" s="9">
        <f t="shared" si="3"/>
        <v>187.47204947083003</v>
      </c>
      <c r="L64" s="10">
        <f t="shared" si="0"/>
        <v>0.23497461509708434</v>
      </c>
      <c r="M64" s="10">
        <f t="shared" si="4"/>
        <v>0.23868469263852604</v>
      </c>
      <c r="P64" s="8">
        <f t="shared" si="5"/>
        <v>-0.2541941130771545</v>
      </c>
      <c r="U64" s="8">
        <v>30.5</v>
      </c>
      <c r="V64" s="10">
        <f>L62</f>
        <v>0.2345260294408108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949.95034642031999</v>
      </c>
      <c r="E65">
        <v>309.72632794457002</v>
      </c>
      <c r="F65">
        <v>140.52168815944</v>
      </c>
      <c r="G65">
        <v>118.60726846423999</v>
      </c>
      <c r="I65" s="9">
        <f t="shared" si="1"/>
        <v>191.11905948033001</v>
      </c>
      <c r="J65" s="9">
        <f t="shared" si="2"/>
        <v>809.42865826087996</v>
      </c>
      <c r="K65" s="9">
        <f t="shared" si="3"/>
        <v>191.11905948033001</v>
      </c>
      <c r="L65" s="10">
        <f t="shared" si="0"/>
        <v>0.23611600297296625</v>
      </c>
      <c r="M65" s="10">
        <f t="shared" si="4"/>
        <v>0.23988592047475377</v>
      </c>
      <c r="P65" s="8">
        <f t="shared" si="5"/>
        <v>0.24779634661183567</v>
      </c>
      <c r="U65" s="8">
        <v>31</v>
      </c>
      <c r="V65" s="10">
        <f t="shared" ref="V65:V83" si="6">L63</f>
        <v>0.2352962512320719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916.18436406067997</v>
      </c>
      <c r="E66">
        <v>300.79579929988</v>
      </c>
      <c r="F66">
        <v>140.1652989449</v>
      </c>
      <c r="G66">
        <v>118.25439624854</v>
      </c>
      <c r="I66" s="9">
        <f t="shared" si="1"/>
        <v>182.54140305134001</v>
      </c>
      <c r="J66" s="9">
        <f t="shared" si="2"/>
        <v>776.01906511577999</v>
      </c>
      <c r="K66" s="9">
        <f t="shared" si="3"/>
        <v>182.54140305134001</v>
      </c>
      <c r="L66" s="10">
        <f t="shared" ref="L66:L129" si="7">K66/J66</f>
        <v>0.23522798763211483</v>
      </c>
      <c r="M66" s="10">
        <f t="shared" si="4"/>
        <v>0.23905774509424818</v>
      </c>
      <c r="P66" s="8">
        <f t="shared" si="5"/>
        <v>-9.8296315766568748E-2</v>
      </c>
      <c r="U66" s="8">
        <v>31.5</v>
      </c>
      <c r="V66" s="10">
        <f t="shared" si="6"/>
        <v>0.23497461509708434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1019.8996499417</v>
      </c>
      <c r="E67">
        <v>324.37922987165001</v>
      </c>
      <c r="F67">
        <v>140.10199296600001</v>
      </c>
      <c r="G67">
        <v>118.47831184056</v>
      </c>
      <c r="I67" s="9">
        <f t="shared" ref="I67:I130" si="8">E67-G67</f>
        <v>205.90091803109001</v>
      </c>
      <c r="J67" s="9">
        <f t="shared" ref="J67:J130" si="9">D67-F67</f>
        <v>879.79765697569997</v>
      </c>
      <c r="K67" s="9">
        <f t="shared" ref="K67:K130" si="10">I67*1</f>
        <v>205.90091803109001</v>
      </c>
      <c r="L67" s="10">
        <f t="shared" si="7"/>
        <v>0.23403212818146549</v>
      </c>
      <c r="M67" s="10">
        <f t="shared" ref="M67:M130" si="11">L67+ABS($N$2)*A67</f>
        <v>0.23792172560394467</v>
      </c>
      <c r="P67" s="8">
        <f t="shared" ref="P67:P130" si="12">(M67-$O$2)/$O$2*100</f>
        <v>-0.57303635171508638</v>
      </c>
      <c r="U67" s="8">
        <v>32</v>
      </c>
      <c r="V67" s="10">
        <f t="shared" si="6"/>
        <v>0.23611600297296625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895.67097532314995</v>
      </c>
      <c r="E68">
        <v>298.75558166862999</v>
      </c>
      <c r="F68">
        <v>140.72098475966999</v>
      </c>
      <c r="G68">
        <v>118.347010551</v>
      </c>
      <c r="I68" s="9">
        <f t="shared" si="8"/>
        <v>180.40857111763</v>
      </c>
      <c r="J68" s="9">
        <f t="shared" si="9"/>
        <v>754.94999056348001</v>
      </c>
      <c r="K68" s="9">
        <f t="shared" si="10"/>
        <v>180.40857111763</v>
      </c>
      <c r="L68" s="10">
        <f t="shared" si="7"/>
        <v>0.23896757847890898</v>
      </c>
      <c r="M68" s="10">
        <f t="shared" si="11"/>
        <v>0.242917015861734</v>
      </c>
      <c r="P68" s="8">
        <f t="shared" si="12"/>
        <v>1.5144844142557576</v>
      </c>
      <c r="U68" s="8">
        <v>32.5</v>
      </c>
      <c r="V68" s="10">
        <f t="shared" si="6"/>
        <v>0.23522798763211483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920.00705052879005</v>
      </c>
      <c r="E69">
        <v>303.31022326674997</v>
      </c>
      <c r="F69">
        <v>140.55803048065999</v>
      </c>
      <c r="G69">
        <v>118.65416178194999</v>
      </c>
      <c r="I69" s="9">
        <f t="shared" si="8"/>
        <v>184.65606148479998</v>
      </c>
      <c r="J69" s="9">
        <f t="shared" si="9"/>
        <v>779.44902004813002</v>
      </c>
      <c r="K69" s="9">
        <f t="shared" si="10"/>
        <v>184.65606148479998</v>
      </c>
      <c r="L69" s="10">
        <f t="shared" si="7"/>
        <v>0.23690588702439794</v>
      </c>
      <c r="M69" s="10">
        <f t="shared" si="11"/>
        <v>0.2409151643675688</v>
      </c>
      <c r="P69" s="8">
        <f t="shared" si="12"/>
        <v>0.67791509619794954</v>
      </c>
      <c r="U69" s="8">
        <v>33</v>
      </c>
      <c r="V69" s="10">
        <f t="shared" si="6"/>
        <v>0.23403212818146549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860.84253819035996</v>
      </c>
      <c r="E70">
        <v>288.82256169213002</v>
      </c>
      <c r="F70">
        <v>140.31418522861</v>
      </c>
      <c r="G70">
        <v>118.43610785463</v>
      </c>
      <c r="I70" s="9">
        <f t="shared" si="8"/>
        <v>170.38645383750003</v>
      </c>
      <c r="J70" s="9">
        <f t="shared" si="9"/>
        <v>720.52835296174999</v>
      </c>
      <c r="K70" s="9">
        <f t="shared" si="10"/>
        <v>170.38645383750003</v>
      </c>
      <c r="L70" s="10">
        <f t="shared" si="7"/>
        <v>0.23647432212365024</v>
      </c>
      <c r="M70" s="10">
        <f t="shared" si="11"/>
        <v>0.24054343942716694</v>
      </c>
      <c r="P70" s="8">
        <f t="shared" si="12"/>
        <v>0.52257206460771644</v>
      </c>
      <c r="U70" s="8">
        <v>33.5</v>
      </c>
      <c r="V70" s="10">
        <f t="shared" si="6"/>
        <v>0.23896757847890898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932.00237247923997</v>
      </c>
      <c r="E71">
        <v>301.70106761566001</v>
      </c>
      <c r="F71">
        <v>140.4654161782</v>
      </c>
      <c r="G71">
        <v>118.18757327081001</v>
      </c>
      <c r="I71" s="9">
        <f t="shared" si="8"/>
        <v>183.51349434485002</v>
      </c>
      <c r="J71" s="9">
        <f t="shared" si="9"/>
        <v>791.53695630103994</v>
      </c>
      <c r="K71" s="9">
        <f t="shared" si="10"/>
        <v>183.51349434485002</v>
      </c>
      <c r="L71" s="10">
        <f t="shared" si="7"/>
        <v>0.23184450565951284</v>
      </c>
      <c r="M71" s="10">
        <f t="shared" si="11"/>
        <v>0.23597346292337537</v>
      </c>
      <c r="P71" s="8">
        <f t="shared" si="12"/>
        <v>-1.387211022929149</v>
      </c>
      <c r="U71" s="8">
        <v>34</v>
      </c>
      <c r="V71" s="10">
        <f t="shared" si="6"/>
        <v>0.23690588702439794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906.97983392645006</v>
      </c>
      <c r="E72">
        <v>294.57532621590002</v>
      </c>
      <c r="F72">
        <v>139.85814771394999</v>
      </c>
      <c r="G72">
        <v>118.25322391559</v>
      </c>
      <c r="I72" s="9">
        <f t="shared" si="8"/>
        <v>176.32210230031001</v>
      </c>
      <c r="J72" s="9">
        <f t="shared" si="9"/>
        <v>767.12168621250009</v>
      </c>
      <c r="K72" s="9">
        <f t="shared" si="10"/>
        <v>176.32210230031001</v>
      </c>
      <c r="L72" s="10">
        <f t="shared" si="7"/>
        <v>0.22984893462061126</v>
      </c>
      <c r="M72" s="10">
        <f t="shared" si="11"/>
        <v>0.23403773184481963</v>
      </c>
      <c r="P72" s="8">
        <f t="shared" si="12"/>
        <v>-2.1961487653394456</v>
      </c>
      <c r="U72" s="8">
        <v>34.5</v>
      </c>
      <c r="V72" s="10">
        <f t="shared" si="6"/>
        <v>0.23647432212365024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868.31492361926996</v>
      </c>
      <c r="E73">
        <v>290.88249118684001</v>
      </c>
      <c r="F73">
        <v>140.64712778429001</v>
      </c>
      <c r="G73">
        <v>118.75263774912</v>
      </c>
      <c r="I73" s="9">
        <f t="shared" si="8"/>
        <v>172.12985343772002</v>
      </c>
      <c r="J73" s="9">
        <f t="shared" si="9"/>
        <v>727.66779583497998</v>
      </c>
      <c r="K73" s="9">
        <f t="shared" si="10"/>
        <v>172.12985343772002</v>
      </c>
      <c r="L73" s="10">
        <f t="shared" si="7"/>
        <v>0.23655004993069051</v>
      </c>
      <c r="M73" s="10">
        <f t="shared" si="11"/>
        <v>0.24079868711524471</v>
      </c>
      <c r="P73" s="8">
        <f t="shared" si="12"/>
        <v>0.62923950970713516</v>
      </c>
      <c r="U73" s="8">
        <v>35</v>
      </c>
      <c r="V73" s="10">
        <f t="shared" si="6"/>
        <v>0.23184450565951284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947.75205640422996</v>
      </c>
      <c r="E74">
        <v>309.51351351351002</v>
      </c>
      <c r="F74">
        <v>140.17116060961001</v>
      </c>
      <c r="G74">
        <v>118.34583821805001</v>
      </c>
      <c r="I74" s="9">
        <f t="shared" si="8"/>
        <v>191.16767529546001</v>
      </c>
      <c r="J74" s="9">
        <f t="shared" si="9"/>
        <v>807.58089579461989</v>
      </c>
      <c r="K74" s="9">
        <f t="shared" si="10"/>
        <v>191.16767529546001</v>
      </c>
      <c r="L74" s="10">
        <f t="shared" si="7"/>
        <v>0.23671644078127979</v>
      </c>
      <c r="M74" s="10">
        <f t="shared" si="11"/>
        <v>0.24102491792617983</v>
      </c>
      <c r="P74" s="8">
        <f t="shared" si="12"/>
        <v>0.72378086593624913</v>
      </c>
      <c r="U74" s="8">
        <v>35.5</v>
      </c>
      <c r="V74" s="10">
        <f t="shared" si="6"/>
        <v>0.22984893462061126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906.11008111240005</v>
      </c>
      <c r="E75">
        <v>294.84820393975002</v>
      </c>
      <c r="F75">
        <v>139.95896834701</v>
      </c>
      <c r="G75">
        <v>118.31535756155</v>
      </c>
      <c r="I75" s="9">
        <f t="shared" si="8"/>
        <v>176.53284637820002</v>
      </c>
      <c r="J75" s="9">
        <f t="shared" si="9"/>
        <v>766.15111276539005</v>
      </c>
      <c r="K75" s="9">
        <f t="shared" si="10"/>
        <v>176.53284637820002</v>
      </c>
      <c r="L75" s="10">
        <f t="shared" si="7"/>
        <v>0.23041517976918702</v>
      </c>
      <c r="M75" s="10">
        <f t="shared" si="11"/>
        <v>0.23478349687443287</v>
      </c>
      <c r="P75" s="8">
        <f t="shared" si="12"/>
        <v>-1.884495206584792</v>
      </c>
      <c r="U75" s="8">
        <v>36</v>
      </c>
      <c r="V75" s="10">
        <f t="shared" si="6"/>
        <v>0.23655004993069051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876.26303592120996</v>
      </c>
      <c r="E76">
        <v>291.58053302433001</v>
      </c>
      <c r="F76">
        <v>140.50644783118</v>
      </c>
      <c r="G76">
        <v>118.36694021101999</v>
      </c>
      <c r="I76" s="9">
        <f t="shared" si="8"/>
        <v>173.21359281331002</v>
      </c>
      <c r="J76" s="9">
        <f t="shared" si="9"/>
        <v>735.75658809002994</v>
      </c>
      <c r="K76" s="9">
        <f t="shared" si="10"/>
        <v>173.21359281331002</v>
      </c>
      <c r="L76" s="10">
        <f t="shared" si="7"/>
        <v>0.23542241499047908</v>
      </c>
      <c r="M76" s="10">
        <f t="shared" si="11"/>
        <v>0.23985057205607077</v>
      </c>
      <c r="P76" s="8">
        <f t="shared" si="12"/>
        <v>0.23302432051587044</v>
      </c>
      <c r="U76" s="8">
        <v>36.5</v>
      </c>
      <c r="V76" s="10">
        <f t="shared" si="6"/>
        <v>0.23671644078127979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942.94438006952998</v>
      </c>
      <c r="E77">
        <v>307.53534183082002</v>
      </c>
      <c r="F77">
        <v>140.38921453693001</v>
      </c>
      <c r="G77">
        <v>118.54161781946</v>
      </c>
      <c r="I77" s="9">
        <f t="shared" si="8"/>
        <v>188.99372401136003</v>
      </c>
      <c r="J77" s="9">
        <f t="shared" si="9"/>
        <v>802.55516553259997</v>
      </c>
      <c r="K77" s="9">
        <f t="shared" si="10"/>
        <v>188.99372401136003</v>
      </c>
      <c r="L77" s="10">
        <f t="shared" si="7"/>
        <v>0.23549001006795348</v>
      </c>
      <c r="M77" s="10">
        <f t="shared" si="11"/>
        <v>0.239978007093891</v>
      </c>
      <c r="P77" s="8">
        <f t="shared" si="12"/>
        <v>0.28627914136380556</v>
      </c>
      <c r="U77" s="8">
        <v>37</v>
      </c>
      <c r="V77" s="10">
        <f t="shared" si="6"/>
        <v>0.23041517976918702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948.82502896870994</v>
      </c>
      <c r="E78">
        <v>308.41251448435997</v>
      </c>
      <c r="F78">
        <v>140.01524032825</v>
      </c>
      <c r="G78">
        <v>118.50762016413</v>
      </c>
      <c r="I78" s="9">
        <f t="shared" si="8"/>
        <v>189.90489432022997</v>
      </c>
      <c r="J78" s="9">
        <f t="shared" si="9"/>
        <v>808.80978864045994</v>
      </c>
      <c r="K78" s="9">
        <f t="shared" si="10"/>
        <v>189.90489432022997</v>
      </c>
      <c r="L78" s="10">
        <f t="shared" si="7"/>
        <v>0.23479549454939691</v>
      </c>
      <c r="M78" s="10">
        <f t="shared" si="11"/>
        <v>0.23934333153568027</v>
      </c>
      <c r="P78" s="8">
        <f t="shared" si="12"/>
        <v>2.10496273524679E-2</v>
      </c>
      <c r="U78" s="8">
        <v>37.5</v>
      </c>
      <c r="V78" s="10">
        <f t="shared" si="6"/>
        <v>0.23542241499047908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960.19351100811002</v>
      </c>
      <c r="E79">
        <v>312.93626882965998</v>
      </c>
      <c r="F79">
        <v>140.24032825322001</v>
      </c>
      <c r="G79">
        <v>118.40093786635001</v>
      </c>
      <c r="I79" s="9">
        <f t="shared" si="8"/>
        <v>194.53533096330997</v>
      </c>
      <c r="J79" s="9">
        <f t="shared" si="9"/>
        <v>819.95318275489001</v>
      </c>
      <c r="K79" s="9">
        <f t="shared" si="10"/>
        <v>194.53533096330997</v>
      </c>
      <c r="L79" s="10">
        <f t="shared" si="7"/>
        <v>0.23725175419126673</v>
      </c>
      <c r="M79" s="10">
        <f t="shared" si="11"/>
        <v>0.24185943113789593</v>
      </c>
      <c r="P79" s="8">
        <f t="shared" si="12"/>
        <v>1.0725220939795881</v>
      </c>
      <c r="U79" s="8">
        <v>38</v>
      </c>
      <c r="V79" s="10">
        <f t="shared" si="6"/>
        <v>0.23549001006795348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999.75413711583997</v>
      </c>
      <c r="E80">
        <v>316.63238770686002</v>
      </c>
      <c r="F80">
        <v>140.20750293083</v>
      </c>
      <c r="G80">
        <v>118.64830011722999</v>
      </c>
      <c r="I80" s="9">
        <f t="shared" si="8"/>
        <v>197.98408758963001</v>
      </c>
      <c r="J80" s="9">
        <f t="shared" si="9"/>
        <v>859.54663418500991</v>
      </c>
      <c r="K80" s="9">
        <f t="shared" si="10"/>
        <v>197.98408758963001</v>
      </c>
      <c r="L80" s="10">
        <f t="shared" si="7"/>
        <v>0.23033548118927968</v>
      </c>
      <c r="M80" s="10">
        <f t="shared" si="11"/>
        <v>0.23500299809625472</v>
      </c>
      <c r="P80" s="8">
        <f t="shared" si="12"/>
        <v>-1.7927661307829252</v>
      </c>
      <c r="U80" s="8">
        <v>38.5</v>
      </c>
      <c r="V80" s="10">
        <f t="shared" si="6"/>
        <v>0.23479549454939691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842.21976744185997</v>
      </c>
      <c r="E81">
        <v>287.78604651162999</v>
      </c>
      <c r="F81">
        <v>141.16412661196</v>
      </c>
      <c r="G81">
        <v>118.4876905041</v>
      </c>
      <c r="I81" s="9">
        <f t="shared" si="8"/>
        <v>169.29835600753</v>
      </c>
      <c r="J81" s="9">
        <f t="shared" si="9"/>
        <v>701.05564082989997</v>
      </c>
      <c r="K81" s="9">
        <f t="shared" si="10"/>
        <v>169.29835600753</v>
      </c>
      <c r="L81" s="10">
        <f t="shared" si="7"/>
        <v>0.24149061236725369</v>
      </c>
      <c r="M81" s="10">
        <f t="shared" si="11"/>
        <v>0.24621796923457456</v>
      </c>
      <c r="P81" s="8">
        <f t="shared" si="12"/>
        <v>2.8939455381736496</v>
      </c>
      <c r="U81" s="8">
        <v>39</v>
      </c>
      <c r="V81" s="10">
        <f t="shared" si="6"/>
        <v>0.23725175419126673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1024.511627907</v>
      </c>
      <c r="E82">
        <v>329.42325581394999</v>
      </c>
      <c r="F82">
        <v>140.67174677608</v>
      </c>
      <c r="G82">
        <v>118.69988276671</v>
      </c>
      <c r="H82" s="13"/>
      <c r="I82" s="14">
        <f t="shared" si="8"/>
        <v>210.72337304723999</v>
      </c>
      <c r="J82" s="14">
        <f t="shared" si="9"/>
        <v>883.83988113092005</v>
      </c>
      <c r="K82" s="9">
        <f t="shared" si="10"/>
        <v>210.72337304723999</v>
      </c>
      <c r="L82" s="15">
        <f t="shared" si="7"/>
        <v>0.23841804103431974</v>
      </c>
      <c r="M82" s="15">
        <f t="shared" si="11"/>
        <v>0.24320523786198645</v>
      </c>
      <c r="N82" s="13"/>
      <c r="O82" s="13"/>
      <c r="P82" s="13">
        <f t="shared" si="12"/>
        <v>1.6349317515848389</v>
      </c>
      <c r="U82" s="8">
        <v>39.5</v>
      </c>
      <c r="V82" s="10">
        <f t="shared" si="6"/>
        <v>0.23033548118927968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910.55620608899005</v>
      </c>
      <c r="E83">
        <v>305.99882903981</v>
      </c>
      <c r="F83">
        <v>141.18522860492001</v>
      </c>
      <c r="G83">
        <v>118.85228604924001</v>
      </c>
      <c r="I83" s="9">
        <f t="shared" si="8"/>
        <v>187.14654299057</v>
      </c>
      <c r="J83" s="9">
        <f t="shared" si="9"/>
        <v>769.37097748407007</v>
      </c>
      <c r="K83" s="9">
        <f t="shared" si="10"/>
        <v>187.14654299057</v>
      </c>
      <c r="L83" s="10">
        <f t="shared" si="7"/>
        <v>0.24324616923107797</v>
      </c>
      <c r="M83" s="10">
        <f t="shared" si="11"/>
        <v>0.24809320601909052</v>
      </c>
      <c r="P83" s="8">
        <f t="shared" si="12"/>
        <v>3.6776028487143697</v>
      </c>
      <c r="U83" s="8">
        <v>40</v>
      </c>
      <c r="V83" s="10">
        <f t="shared" si="6"/>
        <v>0.24149061236725369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999.24941451991003</v>
      </c>
      <c r="E84">
        <v>327.33723653395998</v>
      </c>
      <c r="F84">
        <v>140.71395076202</v>
      </c>
      <c r="G84">
        <v>119.09847596717999</v>
      </c>
      <c r="I84" s="9">
        <f t="shared" si="8"/>
        <v>208.23876056678</v>
      </c>
      <c r="J84" s="9">
        <f t="shared" si="9"/>
        <v>858.53546375789006</v>
      </c>
      <c r="K84" s="9">
        <f t="shared" si="10"/>
        <v>208.23876056678</v>
      </c>
      <c r="L84" s="10">
        <f t="shared" si="7"/>
        <v>0.24255114594253271</v>
      </c>
      <c r="M84" s="10">
        <f t="shared" si="11"/>
        <v>0.24745802269089107</v>
      </c>
      <c r="P84" s="8">
        <f t="shared" si="12"/>
        <v>3.4121611387462227</v>
      </c>
      <c r="U84" s="8">
        <v>150.5</v>
      </c>
      <c r="V84" s="10">
        <f>L302</f>
        <v>0.24686233307049552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1020.8887587822001</v>
      </c>
      <c r="E85">
        <v>335.28688524590001</v>
      </c>
      <c r="F85">
        <v>141.33411488863001</v>
      </c>
      <c r="G85">
        <v>118.94138335287001</v>
      </c>
      <c r="I85" s="9">
        <f t="shared" si="8"/>
        <v>216.34550189303002</v>
      </c>
      <c r="J85" s="9">
        <f t="shared" si="9"/>
        <v>879.55464389357007</v>
      </c>
      <c r="K85" s="9">
        <f t="shared" si="10"/>
        <v>216.34550189303002</v>
      </c>
      <c r="L85" s="10">
        <f t="shared" si="7"/>
        <v>0.24597164416678216</v>
      </c>
      <c r="M85" s="10">
        <f t="shared" si="11"/>
        <v>0.25093836087548638</v>
      </c>
      <c r="P85" s="8">
        <f t="shared" si="12"/>
        <v>4.8665867793013389</v>
      </c>
      <c r="U85" s="8">
        <v>151</v>
      </c>
      <c r="V85" s="10">
        <f t="shared" ref="V85:V103" si="13">L303</f>
        <v>0.25824003226144121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988.45518044237997</v>
      </c>
      <c r="E86">
        <v>322.75552968568002</v>
      </c>
      <c r="F86">
        <v>140.64595545135001</v>
      </c>
      <c r="G86">
        <v>118.56623681124999</v>
      </c>
      <c r="I86" s="9">
        <f t="shared" si="8"/>
        <v>204.18929287443001</v>
      </c>
      <c r="J86" s="9">
        <f t="shared" si="9"/>
        <v>847.80922499102996</v>
      </c>
      <c r="K86" s="9">
        <f t="shared" si="10"/>
        <v>204.18929287443001</v>
      </c>
      <c r="L86" s="10">
        <f t="shared" si="7"/>
        <v>0.24084344314204695</v>
      </c>
      <c r="M86" s="10">
        <f t="shared" si="11"/>
        <v>0.24586999981109697</v>
      </c>
      <c r="P86" s="8">
        <f t="shared" si="12"/>
        <v>2.7485298846388662</v>
      </c>
      <c r="U86" s="8">
        <v>151.5</v>
      </c>
      <c r="V86" s="10">
        <f t="shared" si="13"/>
        <v>0.25446373337230427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1006.091967404</v>
      </c>
      <c r="E87">
        <v>329.43655413271</v>
      </c>
      <c r="F87">
        <v>140.64830011723001</v>
      </c>
      <c r="G87">
        <v>118.85814771395</v>
      </c>
      <c r="I87" s="9">
        <f t="shared" si="8"/>
        <v>210.57840641875998</v>
      </c>
      <c r="J87" s="9">
        <f t="shared" si="9"/>
        <v>865.44366728677005</v>
      </c>
      <c r="K87" s="9">
        <f t="shared" si="10"/>
        <v>210.57840641875998</v>
      </c>
      <c r="L87" s="10">
        <f t="shared" si="7"/>
        <v>0.24331844391321145</v>
      </c>
      <c r="M87" s="10">
        <f t="shared" si="11"/>
        <v>0.24840484054260731</v>
      </c>
      <c r="P87" s="8">
        <f t="shared" si="12"/>
        <v>3.807834227805968</v>
      </c>
      <c r="U87" s="8">
        <v>152</v>
      </c>
      <c r="V87" s="10">
        <f t="shared" si="13"/>
        <v>0.25265527169560714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892.91385331780998</v>
      </c>
      <c r="E88">
        <v>302.45634458672998</v>
      </c>
      <c r="F88">
        <v>141.10785463072</v>
      </c>
      <c r="G88">
        <v>119.19695193435</v>
      </c>
      <c r="I88" s="9">
        <f t="shared" si="8"/>
        <v>183.25939265237997</v>
      </c>
      <c r="J88" s="9">
        <f t="shared" si="9"/>
        <v>751.80599868708998</v>
      </c>
      <c r="K88" s="9">
        <f t="shared" si="10"/>
        <v>183.25939265237997</v>
      </c>
      <c r="L88" s="10">
        <f t="shared" si="7"/>
        <v>0.24375888589930575</v>
      </c>
      <c r="M88" s="10">
        <f t="shared" si="11"/>
        <v>0.24890512248904745</v>
      </c>
      <c r="P88" s="8">
        <f t="shared" si="12"/>
        <v>4.0169009482844453</v>
      </c>
      <c r="U88" s="8">
        <v>152.5</v>
      </c>
      <c r="V88" s="10">
        <f t="shared" si="13"/>
        <v>0.25573122579504692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981.52619324796001</v>
      </c>
      <c r="E89">
        <v>326.29918509894998</v>
      </c>
      <c r="F89">
        <v>140.81711606095999</v>
      </c>
      <c r="G89">
        <v>119.04806565065</v>
      </c>
      <c r="I89" s="9">
        <f t="shared" si="8"/>
        <v>207.25111944829996</v>
      </c>
      <c r="J89" s="9">
        <f t="shared" si="9"/>
        <v>840.70907718700005</v>
      </c>
      <c r="K89" s="9">
        <f t="shared" si="10"/>
        <v>207.25111944829996</v>
      </c>
      <c r="L89" s="10">
        <f t="shared" si="7"/>
        <v>0.24651942636537136</v>
      </c>
      <c r="M89" s="10">
        <f t="shared" si="11"/>
        <v>0.25172550291545887</v>
      </c>
      <c r="P89" s="8">
        <f t="shared" si="12"/>
        <v>5.1955316992985221</v>
      </c>
      <c r="U89" s="8">
        <v>153</v>
      </c>
      <c r="V89" s="10">
        <f t="shared" si="13"/>
        <v>0.25678500923774483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944.78164924505995</v>
      </c>
      <c r="E90">
        <v>326.42276422764002</v>
      </c>
      <c r="F90">
        <v>140.83939038687001</v>
      </c>
      <c r="G90">
        <v>118.45017584994</v>
      </c>
      <c r="I90" s="9">
        <f t="shared" si="8"/>
        <v>207.97258837770002</v>
      </c>
      <c r="J90" s="9">
        <f t="shared" si="9"/>
        <v>803.94225885818992</v>
      </c>
      <c r="K90" s="9">
        <f t="shared" si="10"/>
        <v>207.97258837770002</v>
      </c>
      <c r="L90" s="10">
        <f t="shared" si="7"/>
        <v>0.25869095210031123</v>
      </c>
      <c r="M90" s="10">
        <f t="shared" si="11"/>
        <v>0.26395686861074458</v>
      </c>
      <c r="P90" s="8">
        <f t="shared" si="12"/>
        <v>10.306992408769304</v>
      </c>
      <c r="U90" s="8">
        <v>153.5</v>
      </c>
      <c r="V90" s="10">
        <f t="shared" si="13"/>
        <v>0.25903966602051431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876.85598141696005</v>
      </c>
      <c r="E91">
        <v>306.70615563298998</v>
      </c>
      <c r="F91">
        <v>140.88159437280001</v>
      </c>
      <c r="G91">
        <v>118.61078546307</v>
      </c>
      <c r="I91" s="9">
        <f t="shared" si="8"/>
        <v>188.09537016991999</v>
      </c>
      <c r="J91" s="9">
        <f t="shared" si="9"/>
        <v>735.97438704416004</v>
      </c>
      <c r="K91" s="9">
        <f t="shared" si="10"/>
        <v>188.09537016991999</v>
      </c>
      <c r="L91" s="10">
        <f t="shared" si="7"/>
        <v>0.25557325564732442</v>
      </c>
      <c r="M91" s="10">
        <f t="shared" si="11"/>
        <v>0.26089901211810362</v>
      </c>
      <c r="P91" s="8">
        <f t="shared" si="12"/>
        <v>9.029120934175209</v>
      </c>
      <c r="U91" s="8">
        <v>154</v>
      </c>
      <c r="V91" s="10">
        <f t="shared" si="13"/>
        <v>0.25861904055700508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972.43042452830002</v>
      </c>
      <c r="E92">
        <v>330.80896226415001</v>
      </c>
      <c r="F92">
        <v>140.91441969518999</v>
      </c>
      <c r="G92">
        <v>118.70339976552999</v>
      </c>
      <c r="I92" s="9">
        <f t="shared" si="8"/>
        <v>212.10556249862003</v>
      </c>
      <c r="J92" s="9">
        <f t="shared" si="9"/>
        <v>831.51600483311006</v>
      </c>
      <c r="K92" s="9">
        <f t="shared" si="10"/>
        <v>212.10556249862003</v>
      </c>
      <c r="L92" s="10">
        <f t="shared" si="7"/>
        <v>0.25508295843468559</v>
      </c>
      <c r="M92" s="10">
        <f t="shared" si="11"/>
        <v>0.26046855486581061</v>
      </c>
      <c r="P92" s="8">
        <f t="shared" si="12"/>
        <v>8.8492337991637413</v>
      </c>
      <c r="U92" s="8">
        <v>154.5</v>
      </c>
      <c r="V92" s="10">
        <f t="shared" si="13"/>
        <v>0.26265682564614484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918.84715639809997</v>
      </c>
      <c r="E93">
        <v>322.61137440758</v>
      </c>
      <c r="F93">
        <v>140.57913247362001</v>
      </c>
      <c r="G93">
        <v>118.87104337632</v>
      </c>
      <c r="I93" s="9">
        <f t="shared" si="8"/>
        <v>203.74033103125998</v>
      </c>
      <c r="J93" s="9">
        <f t="shared" si="9"/>
        <v>778.26802392447996</v>
      </c>
      <c r="K93" s="9">
        <f t="shared" si="10"/>
        <v>203.74033103125998</v>
      </c>
      <c r="L93" s="10">
        <f t="shared" si="7"/>
        <v>0.26178684562149007</v>
      </c>
      <c r="M93" s="10">
        <f t="shared" si="11"/>
        <v>0.26723228201296095</v>
      </c>
      <c r="P93" s="8">
        <f t="shared" si="12"/>
        <v>11.675780435371752</v>
      </c>
      <c r="U93" s="8">
        <v>155</v>
      </c>
      <c r="V93" s="10">
        <f t="shared" si="13"/>
        <v>0.25871756452819827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961.45307068366003</v>
      </c>
      <c r="E94">
        <v>324.11819235226</v>
      </c>
      <c r="F94">
        <v>140.42086752637999</v>
      </c>
      <c r="G94">
        <v>118.62837045721</v>
      </c>
      <c r="I94" s="9">
        <f t="shared" si="8"/>
        <v>205.48982189505</v>
      </c>
      <c r="J94" s="9">
        <f t="shared" si="9"/>
        <v>821.03220315728004</v>
      </c>
      <c r="K94" s="9">
        <f t="shared" si="10"/>
        <v>205.48982189505</v>
      </c>
      <c r="L94" s="10">
        <f t="shared" si="7"/>
        <v>0.25028229234473232</v>
      </c>
      <c r="M94" s="10">
        <f t="shared" si="11"/>
        <v>0.25578756869654901</v>
      </c>
      <c r="P94" s="8">
        <f t="shared" si="12"/>
        <v>6.89306001760648</v>
      </c>
      <c r="U94" s="8">
        <v>155.5</v>
      </c>
      <c r="V94" s="10">
        <f t="shared" si="13"/>
        <v>0.24706892979469705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830.94438006952998</v>
      </c>
      <c r="E95">
        <v>291.27694090381999</v>
      </c>
      <c r="F95">
        <v>141.01055099647999</v>
      </c>
      <c r="G95">
        <v>118.45955451348</v>
      </c>
      <c r="I95" s="9">
        <f t="shared" si="8"/>
        <v>172.81738639034</v>
      </c>
      <c r="J95" s="9">
        <f t="shared" si="9"/>
        <v>689.93382907304999</v>
      </c>
      <c r="K95" s="9">
        <f t="shared" si="10"/>
        <v>172.81738639034</v>
      </c>
      <c r="L95" s="10">
        <f t="shared" si="7"/>
        <v>0.25048400166509616</v>
      </c>
      <c r="M95" s="10">
        <f t="shared" si="11"/>
        <v>0.25604911797725871</v>
      </c>
      <c r="P95" s="8">
        <f t="shared" si="12"/>
        <v>7.0023608843488807</v>
      </c>
      <c r="U95" s="8">
        <v>156</v>
      </c>
      <c r="V95" s="10">
        <f t="shared" si="13"/>
        <v>0.24525620181157817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1065.2653534183</v>
      </c>
      <c r="E96">
        <v>353.46002317496999</v>
      </c>
      <c r="F96">
        <v>140.96131301290001</v>
      </c>
      <c r="G96">
        <v>118.65767878077</v>
      </c>
      <c r="I96" s="9">
        <f t="shared" si="8"/>
        <v>234.80234439419999</v>
      </c>
      <c r="J96" s="9">
        <f t="shared" si="9"/>
        <v>924.30404040539997</v>
      </c>
      <c r="K96" s="9">
        <f t="shared" si="10"/>
        <v>234.80234439419999</v>
      </c>
      <c r="L96" s="10">
        <f t="shared" si="7"/>
        <v>0.25403150276311204</v>
      </c>
      <c r="M96" s="10">
        <f t="shared" si="11"/>
        <v>0.2596564590356204</v>
      </c>
      <c r="P96" s="8">
        <f t="shared" si="12"/>
        <v>8.5098607453483197</v>
      </c>
      <c r="U96" s="8">
        <v>156.5</v>
      </c>
      <c r="V96" s="10">
        <f t="shared" si="13"/>
        <v>0.24896496419773897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973.36268829664004</v>
      </c>
      <c r="E97">
        <v>334.54461181924</v>
      </c>
      <c r="F97">
        <v>141.37749120749999</v>
      </c>
      <c r="G97">
        <v>118.88745603752</v>
      </c>
      <c r="I97" s="9">
        <f t="shared" si="8"/>
        <v>215.65715578172001</v>
      </c>
      <c r="J97" s="9">
        <f t="shared" si="9"/>
        <v>831.98519708914</v>
      </c>
      <c r="K97" s="9">
        <f t="shared" si="10"/>
        <v>215.65715578172001</v>
      </c>
      <c r="L97" s="10">
        <f t="shared" si="7"/>
        <v>0.25920792405470433</v>
      </c>
      <c r="M97" s="10">
        <f t="shared" si="11"/>
        <v>0.26489272028755856</v>
      </c>
      <c r="P97" s="8">
        <f t="shared" si="12"/>
        <v>10.698082757557643</v>
      </c>
      <c r="U97" s="8">
        <v>157</v>
      </c>
      <c r="V97" s="10">
        <f t="shared" si="13"/>
        <v>0.24453751938919541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967.73001158749003</v>
      </c>
      <c r="E98">
        <v>331.25724217844999</v>
      </c>
      <c r="F98">
        <v>141.05744431419001</v>
      </c>
      <c r="G98">
        <v>118.74208675264001</v>
      </c>
      <c r="I98" s="9">
        <f t="shared" si="8"/>
        <v>212.51515542580998</v>
      </c>
      <c r="J98" s="9">
        <f t="shared" si="9"/>
        <v>826.67256727330005</v>
      </c>
      <c r="K98" s="9">
        <f t="shared" si="10"/>
        <v>212.51515542580998</v>
      </c>
      <c r="L98" s="10">
        <f t="shared" si="7"/>
        <v>0.25707294984611717</v>
      </c>
      <c r="M98" s="10">
        <f t="shared" si="11"/>
        <v>0.26281758603931721</v>
      </c>
      <c r="P98" s="8">
        <f t="shared" si="12"/>
        <v>9.8308887384260704</v>
      </c>
      <c r="U98" s="8">
        <v>157.5</v>
      </c>
      <c r="V98" s="10">
        <f t="shared" si="13"/>
        <v>0.24427263593521101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898.12993039442995</v>
      </c>
      <c r="E99">
        <v>324.05916473318001</v>
      </c>
      <c r="F99">
        <v>140.83352872216</v>
      </c>
      <c r="G99">
        <v>118.92731535756</v>
      </c>
      <c r="I99" s="9">
        <f t="shared" si="8"/>
        <v>205.13184937561999</v>
      </c>
      <c r="J99" s="9">
        <f t="shared" si="9"/>
        <v>757.29640167226989</v>
      </c>
      <c r="K99" s="9">
        <f t="shared" si="10"/>
        <v>205.13184937561999</v>
      </c>
      <c r="L99" s="10">
        <f t="shared" si="7"/>
        <v>0.27087392587980835</v>
      </c>
      <c r="M99" s="10">
        <f t="shared" si="11"/>
        <v>0.2766784020333542</v>
      </c>
      <c r="P99" s="8">
        <f t="shared" si="12"/>
        <v>15.623293128888479</v>
      </c>
      <c r="U99" s="8">
        <v>158</v>
      </c>
      <c r="V99" s="10">
        <f t="shared" si="13"/>
        <v>0.2421014507650405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996.46055684454996</v>
      </c>
      <c r="E100">
        <v>343.24477958236997</v>
      </c>
      <c r="F100">
        <v>141.70222743259001</v>
      </c>
      <c r="G100">
        <v>118.92497069168</v>
      </c>
      <c r="I100" s="9">
        <f t="shared" si="8"/>
        <v>224.31980889068996</v>
      </c>
      <c r="J100" s="9">
        <f t="shared" si="9"/>
        <v>854.75832941195995</v>
      </c>
      <c r="K100" s="9">
        <f t="shared" si="10"/>
        <v>224.31980889068996</v>
      </c>
      <c r="L100" s="10">
        <f t="shared" si="7"/>
        <v>0.26243652874960943</v>
      </c>
      <c r="M100" s="10">
        <f t="shared" si="11"/>
        <v>0.26830084486350114</v>
      </c>
      <c r="P100" s="8">
        <f t="shared" si="12"/>
        <v>12.122330490550091</v>
      </c>
      <c r="U100" s="8">
        <v>158.5</v>
      </c>
      <c r="V100" s="10">
        <f t="shared" si="13"/>
        <v>0.24362266161329185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929.97660818713996</v>
      </c>
      <c r="E101">
        <v>329.33567251462</v>
      </c>
      <c r="F101">
        <v>141.13950762016</v>
      </c>
      <c r="G101">
        <v>119.08206330598</v>
      </c>
      <c r="I101" s="9">
        <f t="shared" si="8"/>
        <v>210.25360920864</v>
      </c>
      <c r="J101" s="9">
        <f t="shared" si="9"/>
        <v>788.83710056697998</v>
      </c>
      <c r="K101" s="9">
        <f t="shared" si="10"/>
        <v>210.25360920864</v>
      </c>
      <c r="L101" s="10">
        <f t="shared" si="7"/>
        <v>0.26653615690428267</v>
      </c>
      <c r="M101" s="10">
        <f t="shared" si="11"/>
        <v>0.27246031297852019</v>
      </c>
      <c r="P101" s="8">
        <f t="shared" si="12"/>
        <v>13.860563029081</v>
      </c>
      <c r="U101" s="8">
        <v>159</v>
      </c>
      <c r="V101" s="10">
        <f t="shared" si="13"/>
        <v>0.23749812405882245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970.91618160652001</v>
      </c>
      <c r="E102">
        <v>334.63445867287999</v>
      </c>
      <c r="F102">
        <v>140.5205158265</v>
      </c>
      <c r="G102">
        <v>118.6858147714</v>
      </c>
      <c r="I102" s="9">
        <f t="shared" si="8"/>
        <v>215.94864390147998</v>
      </c>
      <c r="J102" s="9">
        <f t="shared" si="9"/>
        <v>830.39566578001995</v>
      </c>
      <c r="K102" s="9">
        <f t="shared" si="10"/>
        <v>215.94864390147998</v>
      </c>
      <c r="L102" s="10">
        <f t="shared" si="7"/>
        <v>0.26005511926490105</v>
      </c>
      <c r="M102" s="10">
        <f t="shared" si="11"/>
        <v>0.26603911529948443</v>
      </c>
      <c r="P102" s="8">
        <f t="shared" si="12"/>
        <v>11.177158701076435</v>
      </c>
      <c r="U102" s="8">
        <v>159.5</v>
      </c>
      <c r="V102" s="10">
        <f t="shared" si="13"/>
        <v>0.24100408505216725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966.10710128055996</v>
      </c>
      <c r="E103">
        <v>331.92665890569998</v>
      </c>
      <c r="F103">
        <v>141.44783118405999</v>
      </c>
      <c r="G103">
        <v>119.1817116061</v>
      </c>
      <c r="I103" s="9">
        <f t="shared" si="8"/>
        <v>212.74494729959997</v>
      </c>
      <c r="J103" s="9">
        <f t="shared" si="9"/>
        <v>824.65927009649999</v>
      </c>
      <c r="K103" s="9">
        <f t="shared" si="10"/>
        <v>212.74494729959997</v>
      </c>
      <c r="L103" s="10">
        <f t="shared" si="7"/>
        <v>0.25797921034065985</v>
      </c>
      <c r="M103" s="10">
        <f t="shared" si="11"/>
        <v>0.26402304633558904</v>
      </c>
      <c r="P103" s="8">
        <f t="shared" si="12"/>
        <v>10.334647933819545</v>
      </c>
      <c r="U103" s="8">
        <v>160</v>
      </c>
      <c r="V103" s="10">
        <f t="shared" si="13"/>
        <v>0.23787161140383417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938.18160651921005</v>
      </c>
      <c r="E104">
        <v>324.94994179278001</v>
      </c>
      <c r="F104">
        <v>141.52989449003999</v>
      </c>
      <c r="G104">
        <v>118.54747948417</v>
      </c>
      <c r="I104" s="9">
        <f t="shared" si="8"/>
        <v>206.40246230861001</v>
      </c>
      <c r="J104" s="9">
        <f t="shared" si="9"/>
        <v>796.65171202917008</v>
      </c>
      <c r="K104" s="9">
        <f t="shared" si="10"/>
        <v>206.40246230861001</v>
      </c>
      <c r="L104" s="10">
        <f t="shared" si="7"/>
        <v>0.25908745213498319</v>
      </c>
      <c r="M104" s="10">
        <f t="shared" si="11"/>
        <v>0.26519112809025824</v>
      </c>
      <c r="P104" s="8">
        <f t="shared" si="12"/>
        <v>10.822786719232734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1005.2863795111</v>
      </c>
      <c r="E105">
        <v>340.53667054714998</v>
      </c>
      <c r="F105">
        <v>141.22977725673999</v>
      </c>
      <c r="G105">
        <v>119.13364595545001</v>
      </c>
      <c r="I105" s="9">
        <f t="shared" si="8"/>
        <v>221.40302459169999</v>
      </c>
      <c r="J105" s="9">
        <f t="shared" si="9"/>
        <v>864.05660225435997</v>
      </c>
      <c r="K105" s="9">
        <f t="shared" si="10"/>
        <v>221.40302459169999</v>
      </c>
      <c r="L105" s="10">
        <f t="shared" si="7"/>
        <v>0.25623671413892352</v>
      </c>
      <c r="M105" s="10">
        <f t="shared" si="11"/>
        <v>0.26240023005454438</v>
      </c>
      <c r="P105" s="8">
        <f t="shared" si="12"/>
        <v>9.6564765941754072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959.84400465657995</v>
      </c>
      <c r="E106">
        <v>327.40395809080002</v>
      </c>
      <c r="F106">
        <v>141.37631887456001</v>
      </c>
      <c r="G106">
        <v>118.83587338804</v>
      </c>
      <c r="I106" s="9">
        <f t="shared" si="8"/>
        <v>208.56808470276002</v>
      </c>
      <c r="J106" s="9">
        <f t="shared" si="9"/>
        <v>818.46768578202</v>
      </c>
      <c r="K106" s="9">
        <f t="shared" si="10"/>
        <v>208.56808470276002</v>
      </c>
      <c r="L106" s="10">
        <f t="shared" si="7"/>
        <v>0.25482751283391208</v>
      </c>
      <c r="M106" s="10">
        <f t="shared" si="11"/>
        <v>0.26105086870987881</v>
      </c>
      <c r="P106" s="8">
        <f t="shared" si="12"/>
        <v>9.0925814684826918</v>
      </c>
      <c r="X106" s="8">
        <v>-13</v>
      </c>
    </row>
    <row r="107" spans="1:25" x14ac:dyDescent="0.2">
      <c r="A107" s="8">
        <v>52.5</v>
      </c>
      <c r="B107" s="8">
        <v>105</v>
      </c>
      <c r="D107">
        <v>1003.9417927823</v>
      </c>
      <c r="E107">
        <v>339.06053550640002</v>
      </c>
      <c r="F107">
        <v>140.82532239156001</v>
      </c>
      <c r="G107">
        <v>118.90035169988001</v>
      </c>
      <c r="I107" s="9">
        <f t="shared" si="8"/>
        <v>220.16018380652002</v>
      </c>
      <c r="J107" s="9">
        <f t="shared" si="9"/>
        <v>863.11647039074001</v>
      </c>
      <c r="K107" s="9">
        <f t="shared" si="10"/>
        <v>220.16018380652002</v>
      </c>
      <c r="L107" s="10">
        <f t="shared" si="7"/>
        <v>0.25507586908502822</v>
      </c>
      <c r="M107" s="10">
        <f t="shared" si="11"/>
        <v>0.26135906492134076</v>
      </c>
      <c r="P107" s="8">
        <f t="shared" si="12"/>
        <v>9.2213759845605363</v>
      </c>
      <c r="X107" s="8">
        <v>-13</v>
      </c>
    </row>
    <row r="108" spans="1:25" x14ac:dyDescent="0.2">
      <c r="A108" s="8">
        <v>53</v>
      </c>
      <c r="B108" s="8">
        <v>106</v>
      </c>
      <c r="D108">
        <v>961.86845168801005</v>
      </c>
      <c r="E108">
        <v>332.56577415599997</v>
      </c>
      <c r="F108">
        <v>141.38452520516</v>
      </c>
      <c r="G108">
        <v>119.13012895662</v>
      </c>
      <c r="I108" s="9">
        <f t="shared" si="8"/>
        <v>213.43564519937996</v>
      </c>
      <c r="J108" s="9">
        <f t="shared" si="9"/>
        <v>820.48392648285005</v>
      </c>
      <c r="K108" s="9">
        <f t="shared" si="10"/>
        <v>213.43564519937996</v>
      </c>
      <c r="L108" s="10">
        <f t="shared" si="7"/>
        <v>0.26013385309607434</v>
      </c>
      <c r="M108" s="10">
        <f t="shared" si="11"/>
        <v>0.26647688889273269</v>
      </c>
      <c r="P108" s="8">
        <f t="shared" si="12"/>
        <v>11.360103318813991</v>
      </c>
      <c r="X108" s="8">
        <v>-13</v>
      </c>
    </row>
    <row r="109" spans="1:25" x14ac:dyDescent="0.2">
      <c r="A109" s="8">
        <v>53.5</v>
      </c>
      <c r="B109" s="8">
        <v>107</v>
      </c>
      <c r="D109">
        <v>1057.7600950118999</v>
      </c>
      <c r="E109">
        <v>356.80997624703002</v>
      </c>
      <c r="F109">
        <v>141.22743259085999</v>
      </c>
      <c r="G109">
        <v>118.88393903869</v>
      </c>
      <c r="I109" s="9">
        <f t="shared" si="8"/>
        <v>237.92603720834001</v>
      </c>
      <c r="J109" s="9">
        <f t="shared" si="9"/>
        <v>916.53266242103996</v>
      </c>
      <c r="K109" s="9">
        <f t="shared" si="10"/>
        <v>237.92603720834001</v>
      </c>
      <c r="L109" s="10">
        <f t="shared" si="7"/>
        <v>0.25959362602512548</v>
      </c>
      <c r="M109" s="10">
        <f t="shared" si="11"/>
        <v>0.26599650178212969</v>
      </c>
      <c r="P109" s="8">
        <f t="shared" si="12"/>
        <v>11.159350606291477</v>
      </c>
      <c r="X109" s="8">
        <v>-13</v>
      </c>
    </row>
    <row r="110" spans="1:25" x14ac:dyDescent="0.2">
      <c r="A110" s="8">
        <v>54</v>
      </c>
      <c r="B110" s="8">
        <v>108</v>
      </c>
      <c r="D110">
        <v>974.78281068524996</v>
      </c>
      <c r="E110">
        <v>342.10104529617001</v>
      </c>
      <c r="F110">
        <v>141.04806565064999</v>
      </c>
      <c r="G110">
        <v>119.26143024619</v>
      </c>
      <c r="I110" s="9">
        <f t="shared" si="8"/>
        <v>222.83961504998001</v>
      </c>
      <c r="J110" s="9">
        <f t="shared" si="9"/>
        <v>833.7347450346</v>
      </c>
      <c r="K110" s="9">
        <f t="shared" si="10"/>
        <v>222.83961504998001</v>
      </c>
      <c r="L110" s="10">
        <f t="shared" si="7"/>
        <v>0.2672787914587057</v>
      </c>
      <c r="M110" s="10">
        <f t="shared" si="11"/>
        <v>0.27374150717605572</v>
      </c>
      <c r="P110" s="8">
        <f t="shared" si="12"/>
        <v>14.395971254544234</v>
      </c>
      <c r="X110" s="8">
        <v>-13</v>
      </c>
    </row>
    <row r="111" spans="1:25" x14ac:dyDescent="0.2">
      <c r="A111" s="8">
        <v>54.5</v>
      </c>
      <c r="B111" s="8">
        <v>109</v>
      </c>
      <c r="D111">
        <v>862.12192262603003</v>
      </c>
      <c r="E111">
        <v>319.35638921454</v>
      </c>
      <c r="F111">
        <v>141.14888628371</v>
      </c>
      <c r="G111">
        <v>119.06096131301</v>
      </c>
      <c r="I111" s="9">
        <f t="shared" si="8"/>
        <v>200.29542790152999</v>
      </c>
      <c r="J111" s="9">
        <f t="shared" si="9"/>
        <v>720.97303634232003</v>
      </c>
      <c r="K111" s="9">
        <f t="shared" si="10"/>
        <v>200.29542790152999</v>
      </c>
      <c r="L111" s="10">
        <f t="shared" si="7"/>
        <v>0.2778126473601284</v>
      </c>
      <c r="M111" s="10">
        <f t="shared" si="11"/>
        <v>0.28433520303782428</v>
      </c>
      <c r="P111" s="8">
        <f t="shared" si="12"/>
        <v>18.82305335759866</v>
      </c>
      <c r="X111" s="8">
        <v>-13</v>
      </c>
    </row>
    <row r="112" spans="1:25" x14ac:dyDescent="0.2">
      <c r="A112" s="8">
        <v>55</v>
      </c>
      <c r="B112" s="8">
        <v>110</v>
      </c>
      <c r="D112">
        <v>779.82180539272997</v>
      </c>
      <c r="E112">
        <v>297.28956623681</v>
      </c>
      <c r="F112">
        <v>141.70808909729999</v>
      </c>
      <c r="G112">
        <v>119.01875732708</v>
      </c>
      <c r="I112" s="9">
        <f t="shared" si="8"/>
        <v>178.27080890973002</v>
      </c>
      <c r="J112" s="9">
        <f t="shared" si="9"/>
        <v>638.11371629542998</v>
      </c>
      <c r="K112" s="9">
        <f t="shared" si="10"/>
        <v>178.27080890973002</v>
      </c>
      <c r="L112" s="10">
        <f t="shared" si="7"/>
        <v>0.27937153575804863</v>
      </c>
      <c r="M112" s="10">
        <f t="shared" si="11"/>
        <v>0.28595393139609032</v>
      </c>
      <c r="P112" s="8">
        <f t="shared" si="12"/>
        <v>19.49951636334233</v>
      </c>
      <c r="X112" s="8">
        <v>-13</v>
      </c>
    </row>
    <row r="113" spans="1:24" x14ac:dyDescent="0.2">
      <c r="A113" s="8">
        <v>55.5</v>
      </c>
      <c r="B113" s="8">
        <v>111</v>
      </c>
      <c r="D113">
        <v>844.75547866205</v>
      </c>
      <c r="E113">
        <v>323.37139561706999</v>
      </c>
      <c r="F113">
        <v>140.68112543962999</v>
      </c>
      <c r="G113">
        <v>118.85932004689001</v>
      </c>
      <c r="I113" s="9">
        <f t="shared" si="8"/>
        <v>204.51207557018</v>
      </c>
      <c r="J113" s="9">
        <f t="shared" si="9"/>
        <v>704.07435322241997</v>
      </c>
      <c r="K113" s="9">
        <f t="shared" si="10"/>
        <v>204.51207557018</v>
      </c>
      <c r="L113" s="10">
        <f t="shared" si="7"/>
        <v>0.2904694293069553</v>
      </c>
      <c r="M113" s="10">
        <f t="shared" si="11"/>
        <v>0.29711166490534285</v>
      </c>
      <c r="P113" s="8">
        <f t="shared" si="12"/>
        <v>24.16230855352855</v>
      </c>
      <c r="X113" s="8">
        <v>-13</v>
      </c>
    </row>
    <row r="114" spans="1:24" x14ac:dyDescent="0.2">
      <c r="A114" s="8">
        <v>56</v>
      </c>
      <c r="B114" s="8">
        <v>112</v>
      </c>
      <c r="D114">
        <v>865.19146482122005</v>
      </c>
      <c r="E114">
        <v>326.73125720876999</v>
      </c>
      <c r="F114">
        <v>141.08675263775001</v>
      </c>
      <c r="G114">
        <v>119.5592028136</v>
      </c>
      <c r="I114" s="9">
        <f t="shared" si="8"/>
        <v>207.17205439516999</v>
      </c>
      <c r="J114" s="9">
        <f t="shared" si="9"/>
        <v>724.10471218347004</v>
      </c>
      <c r="K114" s="9">
        <f t="shared" si="10"/>
        <v>207.17205439516999</v>
      </c>
      <c r="L114" s="10">
        <f t="shared" si="7"/>
        <v>0.2861078665963408</v>
      </c>
      <c r="M114" s="10">
        <f t="shared" si="11"/>
        <v>0.29280994215507417</v>
      </c>
      <c r="P114" s="8">
        <f t="shared" si="12"/>
        <v>22.364628117114997</v>
      </c>
      <c r="X114" s="8">
        <v>-13</v>
      </c>
    </row>
    <row r="115" spans="1:24" x14ac:dyDescent="0.2">
      <c r="A115" s="8">
        <v>56.5</v>
      </c>
      <c r="B115" s="8">
        <v>113</v>
      </c>
      <c r="D115">
        <v>825.94579008074004</v>
      </c>
      <c r="E115">
        <v>317.53287197231998</v>
      </c>
      <c r="F115">
        <v>141.30128956624</v>
      </c>
      <c r="G115">
        <v>119.24384525204999</v>
      </c>
      <c r="I115" s="9">
        <f t="shared" si="8"/>
        <v>198.28902672026999</v>
      </c>
      <c r="J115" s="9">
        <f t="shared" si="9"/>
        <v>684.64450051450001</v>
      </c>
      <c r="K115" s="9">
        <f t="shared" si="10"/>
        <v>198.28902672026999</v>
      </c>
      <c r="L115" s="10">
        <f t="shared" si="7"/>
        <v>0.28962333966205639</v>
      </c>
      <c r="M115" s="10">
        <f t="shared" si="11"/>
        <v>0.29638525518113562</v>
      </c>
      <c r="P115" s="8">
        <f t="shared" si="12"/>
        <v>23.858743534154314</v>
      </c>
      <c r="X115" s="8">
        <v>-13</v>
      </c>
    </row>
    <row r="116" spans="1:24" x14ac:dyDescent="0.2">
      <c r="A116" s="8">
        <v>57</v>
      </c>
      <c r="B116" s="8">
        <v>114</v>
      </c>
      <c r="D116">
        <v>855.11534025374999</v>
      </c>
      <c r="E116">
        <v>321.25490196077999</v>
      </c>
      <c r="F116">
        <v>141.24970691676</v>
      </c>
      <c r="G116">
        <v>118.75967174678</v>
      </c>
      <c r="I116" s="9">
        <f t="shared" si="8"/>
        <v>202.495230214</v>
      </c>
      <c r="J116" s="9">
        <f t="shared" si="9"/>
        <v>713.86563333698996</v>
      </c>
      <c r="K116" s="9">
        <f t="shared" si="10"/>
        <v>202.495230214</v>
      </c>
      <c r="L116" s="10">
        <f t="shared" si="7"/>
        <v>0.28366014661250599</v>
      </c>
      <c r="M116" s="10">
        <f t="shared" si="11"/>
        <v>0.29048190209193103</v>
      </c>
      <c r="P116" s="8">
        <f t="shared" si="12"/>
        <v>21.391745316511919</v>
      </c>
      <c r="X116" s="8">
        <v>-13</v>
      </c>
    </row>
    <row r="117" spans="1:24" x14ac:dyDescent="0.2">
      <c r="A117" s="8">
        <v>57.5</v>
      </c>
      <c r="B117" s="8">
        <v>115</v>
      </c>
      <c r="D117">
        <v>846.10477299185004</v>
      </c>
      <c r="E117">
        <v>318.62165308497998</v>
      </c>
      <c r="F117">
        <v>141.15123094959</v>
      </c>
      <c r="G117">
        <v>119.29777256740999</v>
      </c>
      <c r="I117" s="9">
        <f t="shared" si="8"/>
        <v>199.32388051756999</v>
      </c>
      <c r="J117" s="9">
        <f t="shared" si="9"/>
        <v>704.9535420422601</v>
      </c>
      <c r="K117" s="9">
        <f t="shared" si="10"/>
        <v>199.32388051756999</v>
      </c>
      <c r="L117" s="10">
        <f t="shared" si="7"/>
        <v>0.28274754097997151</v>
      </c>
      <c r="M117" s="10">
        <f t="shared" si="11"/>
        <v>0.28962913641974242</v>
      </c>
      <c r="P117" s="8">
        <f t="shared" si="12"/>
        <v>21.035376425550087</v>
      </c>
      <c r="X117" s="8">
        <v>-13</v>
      </c>
    </row>
    <row r="118" spans="1:24" x14ac:dyDescent="0.2">
      <c r="A118" s="8">
        <v>58</v>
      </c>
      <c r="B118" s="8">
        <v>116</v>
      </c>
      <c r="D118">
        <v>908.60809248554995</v>
      </c>
      <c r="E118">
        <v>340.89017341041</v>
      </c>
      <c r="F118">
        <v>141.38218053927</v>
      </c>
      <c r="G118">
        <v>118.7796014068</v>
      </c>
      <c r="I118" s="9">
        <f t="shared" si="8"/>
        <v>222.11057200361</v>
      </c>
      <c r="J118" s="9">
        <f t="shared" si="9"/>
        <v>767.22591194627989</v>
      </c>
      <c r="K118" s="9">
        <f t="shared" si="10"/>
        <v>222.11057200361</v>
      </c>
      <c r="L118" s="10">
        <f t="shared" si="7"/>
        <v>0.28949826712729937</v>
      </c>
      <c r="M118" s="10">
        <f t="shared" si="11"/>
        <v>0.29643970252741608</v>
      </c>
      <c r="P118" s="8">
        <f t="shared" si="12"/>
        <v>23.881496959910752</v>
      </c>
      <c r="X118" s="8">
        <v>-13</v>
      </c>
    </row>
    <row r="119" spans="1:24" x14ac:dyDescent="0.2">
      <c r="A119" s="8">
        <v>58.5</v>
      </c>
      <c r="B119" s="8">
        <v>117</v>
      </c>
      <c r="D119">
        <v>849.11282660332995</v>
      </c>
      <c r="E119">
        <v>328.62351543942998</v>
      </c>
      <c r="F119">
        <v>141.69167643610999</v>
      </c>
      <c r="G119">
        <v>119.29073856975</v>
      </c>
      <c r="I119" s="9">
        <f t="shared" si="8"/>
        <v>209.33277686967998</v>
      </c>
      <c r="J119" s="9">
        <f t="shared" si="9"/>
        <v>707.42115016721993</v>
      </c>
      <c r="K119" s="9">
        <f t="shared" si="10"/>
        <v>209.33277686967998</v>
      </c>
      <c r="L119" s="10">
        <f t="shared" si="7"/>
        <v>0.29590969512319215</v>
      </c>
      <c r="M119" s="10">
        <f t="shared" si="11"/>
        <v>0.30291097048365467</v>
      </c>
      <c r="P119" s="8">
        <f t="shared" si="12"/>
        <v>26.585825546171549</v>
      </c>
      <c r="X119" s="8">
        <v>-13</v>
      </c>
    </row>
    <row r="120" spans="1:24" x14ac:dyDescent="0.2">
      <c r="A120" s="8">
        <v>59</v>
      </c>
      <c r="B120" s="8">
        <v>118</v>
      </c>
      <c r="D120">
        <v>853.50712589073999</v>
      </c>
      <c r="E120">
        <v>334.84441805225998</v>
      </c>
      <c r="F120">
        <v>141.43962485346</v>
      </c>
      <c r="G120">
        <v>119.03634232122</v>
      </c>
      <c r="I120" s="9">
        <f t="shared" si="8"/>
        <v>215.80807573103999</v>
      </c>
      <c r="J120" s="9">
        <f t="shared" si="9"/>
        <v>712.06750103727995</v>
      </c>
      <c r="K120" s="9">
        <f t="shared" si="10"/>
        <v>215.80807573103999</v>
      </c>
      <c r="L120" s="10">
        <f t="shared" si="7"/>
        <v>0.30307249722346402</v>
      </c>
      <c r="M120" s="10">
        <f t="shared" si="11"/>
        <v>0.31013361254427241</v>
      </c>
      <c r="P120" s="8">
        <f t="shared" si="12"/>
        <v>29.604151711143288</v>
      </c>
      <c r="X120" s="8">
        <v>-13</v>
      </c>
    </row>
    <row r="121" spans="1:24" x14ac:dyDescent="0.2">
      <c r="A121" s="8">
        <v>59.5</v>
      </c>
      <c r="B121" s="8">
        <v>119</v>
      </c>
      <c r="D121">
        <v>814.15083135392001</v>
      </c>
      <c r="E121">
        <v>321.02256532067003</v>
      </c>
      <c r="F121">
        <v>141.38921453693001</v>
      </c>
      <c r="G121">
        <v>119.23563892145</v>
      </c>
      <c r="I121" s="9">
        <f t="shared" si="8"/>
        <v>201.78692639922002</v>
      </c>
      <c r="J121" s="9">
        <f t="shared" si="9"/>
        <v>672.76161681699</v>
      </c>
      <c r="K121" s="9">
        <f t="shared" si="10"/>
        <v>201.78692639922002</v>
      </c>
      <c r="L121" s="10">
        <f t="shared" si="7"/>
        <v>0.29993822678815479</v>
      </c>
      <c r="M121" s="10">
        <f t="shared" si="11"/>
        <v>0.30705918206930899</v>
      </c>
      <c r="P121" s="8">
        <f t="shared" si="12"/>
        <v>28.319354005942472</v>
      </c>
      <c r="X121" s="8">
        <v>-13</v>
      </c>
    </row>
    <row r="122" spans="1:24" x14ac:dyDescent="0.2">
      <c r="A122" s="8">
        <v>60</v>
      </c>
      <c r="B122" s="8">
        <v>120</v>
      </c>
      <c r="D122">
        <v>970.62351543942998</v>
      </c>
      <c r="E122">
        <v>358.87529691211</v>
      </c>
      <c r="F122">
        <v>141.58264947244999</v>
      </c>
      <c r="G122">
        <v>119.11723329426</v>
      </c>
      <c r="I122" s="9">
        <f t="shared" si="8"/>
        <v>239.75806361784998</v>
      </c>
      <c r="J122" s="9">
        <f t="shared" si="9"/>
        <v>829.04086596697994</v>
      </c>
      <c r="K122" s="9">
        <f t="shared" si="10"/>
        <v>239.75806361784998</v>
      </c>
      <c r="L122" s="10">
        <f t="shared" si="7"/>
        <v>0.28919933076905691</v>
      </c>
      <c r="M122" s="10">
        <f t="shared" si="11"/>
        <v>0.29638012601055697</v>
      </c>
      <c r="P122" s="8">
        <f t="shared" si="12"/>
        <v>23.856600065097947</v>
      </c>
      <c r="X122" s="8">
        <v>-13</v>
      </c>
    </row>
    <row r="123" spans="1:24" x14ac:dyDescent="0.2">
      <c r="A123" s="8">
        <v>60.5</v>
      </c>
      <c r="B123" s="8">
        <v>121</v>
      </c>
      <c r="D123">
        <v>908.22441860465005</v>
      </c>
      <c r="E123">
        <v>346.16046511628002</v>
      </c>
      <c r="F123">
        <v>141.78077373974</v>
      </c>
      <c r="G123">
        <v>119.57092614302999</v>
      </c>
      <c r="I123" s="9">
        <f t="shared" si="8"/>
        <v>226.58953897325003</v>
      </c>
      <c r="J123" s="9">
        <f t="shared" si="9"/>
        <v>766.44364486491008</v>
      </c>
      <c r="K123" s="9">
        <f t="shared" si="10"/>
        <v>226.58953897325003</v>
      </c>
      <c r="L123" s="10">
        <f t="shared" si="7"/>
        <v>0.29563757295317866</v>
      </c>
      <c r="M123" s="10">
        <f t="shared" si="11"/>
        <v>0.30287820815502453</v>
      </c>
      <c r="P123" s="8">
        <f t="shared" si="12"/>
        <v>26.572134241396949</v>
      </c>
      <c r="X123" s="8">
        <v>-13</v>
      </c>
    </row>
    <row r="124" spans="1:24" x14ac:dyDescent="0.2">
      <c r="A124" s="8">
        <v>61</v>
      </c>
      <c r="B124" s="8">
        <v>122</v>
      </c>
      <c r="D124">
        <v>896.29069767442002</v>
      </c>
      <c r="E124">
        <v>344.44767441861001</v>
      </c>
      <c r="F124">
        <v>141.29425556858001</v>
      </c>
      <c r="G124">
        <v>119.29073856975</v>
      </c>
      <c r="I124" s="9">
        <f t="shared" si="8"/>
        <v>225.15693584886</v>
      </c>
      <c r="J124" s="9">
        <f t="shared" si="9"/>
        <v>754.99644210584006</v>
      </c>
      <c r="K124" s="9">
        <f t="shared" si="10"/>
        <v>225.15693584886</v>
      </c>
      <c r="L124" s="10">
        <f t="shared" si="7"/>
        <v>0.29822251244105347</v>
      </c>
      <c r="M124" s="10">
        <f t="shared" si="11"/>
        <v>0.3055229876032452</v>
      </c>
      <c r="P124" s="8">
        <f t="shared" si="12"/>
        <v>27.6773817314631</v>
      </c>
      <c r="X124" s="8">
        <v>-13</v>
      </c>
    </row>
    <row r="125" spans="1:24" x14ac:dyDescent="0.2">
      <c r="A125" s="8">
        <v>61.5</v>
      </c>
      <c r="B125" s="8">
        <v>123</v>
      </c>
      <c r="D125">
        <v>917.94412107101004</v>
      </c>
      <c r="E125">
        <v>356.68102444702998</v>
      </c>
      <c r="F125">
        <v>141.56623681125001</v>
      </c>
      <c r="G125">
        <v>118.9917936694</v>
      </c>
      <c r="I125" s="9">
        <f t="shared" si="8"/>
        <v>237.68923077762997</v>
      </c>
      <c r="J125" s="9">
        <f t="shared" si="9"/>
        <v>776.37788425976009</v>
      </c>
      <c r="K125" s="9">
        <f t="shared" si="10"/>
        <v>237.68923077762997</v>
      </c>
      <c r="L125" s="10">
        <f t="shared" si="7"/>
        <v>0.30615147030399442</v>
      </c>
      <c r="M125" s="10">
        <f t="shared" si="11"/>
        <v>0.31351178542653196</v>
      </c>
      <c r="P125" s="8">
        <f t="shared" si="12"/>
        <v>31.015882697497883</v>
      </c>
      <c r="X125" s="8">
        <v>-13</v>
      </c>
    </row>
    <row r="126" spans="1:24" x14ac:dyDescent="0.2">
      <c r="A126" s="8">
        <v>62</v>
      </c>
      <c r="B126" s="8">
        <v>124</v>
      </c>
      <c r="D126">
        <v>915.15715948777995</v>
      </c>
      <c r="E126">
        <v>352.95576251454997</v>
      </c>
      <c r="F126">
        <v>141.77842907386</v>
      </c>
      <c r="G126">
        <v>119.00703399766</v>
      </c>
      <c r="I126" s="9">
        <f t="shared" si="8"/>
        <v>233.94872851688996</v>
      </c>
      <c r="J126" s="9">
        <f t="shared" si="9"/>
        <v>773.37873041391993</v>
      </c>
      <c r="K126" s="9">
        <f t="shared" si="10"/>
        <v>233.94872851688996</v>
      </c>
      <c r="L126" s="10">
        <f t="shared" si="7"/>
        <v>0.30250214974450912</v>
      </c>
      <c r="M126" s="10">
        <f t="shared" si="11"/>
        <v>0.30992230482739253</v>
      </c>
      <c r="P126" s="8">
        <f t="shared" si="12"/>
        <v>29.515846682960234</v>
      </c>
      <c r="X126" s="8">
        <v>-13</v>
      </c>
    </row>
    <row r="127" spans="1:24" x14ac:dyDescent="0.2">
      <c r="A127" s="8">
        <v>62.5</v>
      </c>
      <c r="B127" s="8">
        <v>125</v>
      </c>
      <c r="D127">
        <v>904.49186046512</v>
      </c>
      <c r="E127">
        <v>354.30348837208999</v>
      </c>
      <c r="F127">
        <v>141.57209847596999</v>
      </c>
      <c r="G127">
        <v>118.74677608441</v>
      </c>
      <c r="I127" s="9">
        <f t="shared" si="8"/>
        <v>235.55671228768</v>
      </c>
      <c r="J127" s="9">
        <f t="shared" si="9"/>
        <v>762.91976198914995</v>
      </c>
      <c r="K127" s="9">
        <f t="shared" si="10"/>
        <v>235.55671228768</v>
      </c>
      <c r="L127" s="10">
        <f t="shared" si="7"/>
        <v>0.30875686281020731</v>
      </c>
      <c r="M127" s="10">
        <f t="shared" si="11"/>
        <v>0.31623685785343653</v>
      </c>
      <c r="P127" s="8">
        <f t="shared" si="12"/>
        <v>32.154684446018365</v>
      </c>
      <c r="X127" s="8">
        <v>-13</v>
      </c>
    </row>
    <row r="128" spans="1:24" x14ac:dyDescent="0.2">
      <c r="A128" s="8">
        <v>63</v>
      </c>
      <c r="B128" s="8">
        <v>126</v>
      </c>
      <c r="D128">
        <v>976.43372093023004</v>
      </c>
      <c r="E128">
        <v>372.24651162791002</v>
      </c>
      <c r="F128">
        <v>141.17350527549999</v>
      </c>
      <c r="G128">
        <v>118.5427901524</v>
      </c>
      <c r="I128" s="9">
        <f t="shared" si="8"/>
        <v>253.70372147551001</v>
      </c>
      <c r="J128" s="9">
        <f t="shared" si="9"/>
        <v>835.26021565473002</v>
      </c>
      <c r="K128" s="9">
        <f t="shared" si="10"/>
        <v>253.70372147551001</v>
      </c>
      <c r="L128" s="10">
        <f t="shared" si="7"/>
        <v>0.30374213534956995</v>
      </c>
      <c r="M128" s="10">
        <f t="shared" si="11"/>
        <v>0.31128197035314498</v>
      </c>
      <c r="P128" s="8">
        <f t="shared" si="12"/>
        <v>30.084047903171012</v>
      </c>
      <c r="X128" s="8">
        <v>-13</v>
      </c>
    </row>
    <row r="129" spans="1:24" x14ac:dyDescent="0.2">
      <c r="A129" s="8">
        <v>63.5</v>
      </c>
      <c r="B129" s="8">
        <v>127</v>
      </c>
      <c r="D129">
        <v>978.05902777777999</v>
      </c>
      <c r="E129">
        <v>372.62384259258999</v>
      </c>
      <c r="F129">
        <v>140.80539273154</v>
      </c>
      <c r="G129">
        <v>119.60023446659</v>
      </c>
      <c r="I129" s="9">
        <f t="shared" si="8"/>
        <v>253.023608126</v>
      </c>
      <c r="J129" s="9">
        <f t="shared" si="9"/>
        <v>837.25363504623999</v>
      </c>
      <c r="K129" s="9">
        <f t="shared" si="10"/>
        <v>253.023608126</v>
      </c>
      <c r="L129" s="10">
        <f t="shared" si="7"/>
        <v>0.30220664029965777</v>
      </c>
      <c r="M129" s="10">
        <f t="shared" si="11"/>
        <v>0.30980631526357866</v>
      </c>
      <c r="P129" s="8">
        <f t="shared" si="12"/>
        <v>29.467374900420712</v>
      </c>
      <c r="X129" s="8">
        <v>-13</v>
      </c>
    </row>
    <row r="130" spans="1:24" x14ac:dyDescent="0.2">
      <c r="A130" s="8">
        <v>64</v>
      </c>
      <c r="B130" s="8">
        <v>128</v>
      </c>
      <c r="D130">
        <v>986.69467455620997</v>
      </c>
      <c r="E130">
        <v>380.63668639052997</v>
      </c>
      <c r="F130">
        <v>141.82649472450001</v>
      </c>
      <c r="G130">
        <v>119.01875732708</v>
      </c>
      <c r="I130" s="9">
        <f t="shared" si="8"/>
        <v>261.61792906344999</v>
      </c>
      <c r="J130" s="9">
        <f t="shared" si="9"/>
        <v>844.86817983170999</v>
      </c>
      <c r="K130" s="9">
        <f t="shared" si="10"/>
        <v>261.61792906344999</v>
      </c>
      <c r="L130" s="10">
        <f t="shared" ref="L130:L193" si="14">K130/J130</f>
        <v>0.30965532293518488</v>
      </c>
      <c r="M130" s="10">
        <f t="shared" si="11"/>
        <v>0.31731483785945158</v>
      </c>
      <c r="P130" s="8">
        <f t="shared" si="12"/>
        <v>32.605169909670614</v>
      </c>
      <c r="X130" s="8">
        <v>-13</v>
      </c>
    </row>
    <row r="131" spans="1:24" x14ac:dyDescent="0.2">
      <c r="A131" s="8">
        <v>64.5</v>
      </c>
      <c r="B131" s="8">
        <v>129</v>
      </c>
      <c r="D131">
        <v>908.77633136095005</v>
      </c>
      <c r="E131">
        <v>351.26390532544002</v>
      </c>
      <c r="F131">
        <v>141.82883939038999</v>
      </c>
      <c r="G131">
        <v>119.35638921454</v>
      </c>
      <c r="I131" s="9">
        <f t="shared" ref="I131:I194" si="15">E131-G131</f>
        <v>231.90751611090002</v>
      </c>
      <c r="J131" s="9">
        <f t="shared" ref="J131:J194" si="16">D131-F131</f>
        <v>766.94749197056012</v>
      </c>
      <c r="K131" s="9">
        <f t="shared" ref="K131:K194" si="17">I131*1</f>
        <v>231.90751611090002</v>
      </c>
      <c r="L131" s="10">
        <f t="shared" si="14"/>
        <v>0.30237730553762859</v>
      </c>
      <c r="M131" s="10">
        <f t="shared" ref="M131:M181" si="18">L131+ABS($N$2)*A131</f>
        <v>0.31009666042224115</v>
      </c>
      <c r="P131" s="8">
        <f t="shared" ref="P131:P194" si="19">(M131-$O$2)/$O$2*100</f>
        <v>29.588709500960082</v>
      </c>
      <c r="X131" s="8">
        <v>-13</v>
      </c>
    </row>
    <row r="132" spans="1:24" x14ac:dyDescent="0.2">
      <c r="A132" s="8">
        <v>65</v>
      </c>
      <c r="B132" s="8">
        <v>130</v>
      </c>
      <c r="D132">
        <v>898.06783625730998</v>
      </c>
      <c r="E132">
        <v>357</v>
      </c>
      <c r="F132">
        <v>141.35169988276999</v>
      </c>
      <c r="G132">
        <v>118.49472450176</v>
      </c>
      <c r="I132" s="9">
        <f t="shared" si="15"/>
        <v>238.50527549824</v>
      </c>
      <c r="J132" s="9">
        <f t="shared" si="16"/>
        <v>756.71613637453993</v>
      </c>
      <c r="K132" s="9">
        <f t="shared" si="17"/>
        <v>238.50527549824</v>
      </c>
      <c r="L132" s="10">
        <f t="shared" si="14"/>
        <v>0.31518460362287132</v>
      </c>
      <c r="M132" s="10">
        <f t="shared" si="18"/>
        <v>0.32296379846782969</v>
      </c>
      <c r="P132" s="8">
        <f t="shared" si="19"/>
        <v>34.965858071435072</v>
      </c>
      <c r="X132" s="8">
        <v>-13</v>
      </c>
    </row>
    <row r="133" spans="1:24" x14ac:dyDescent="0.2">
      <c r="A133" s="8">
        <v>65.5</v>
      </c>
      <c r="B133" s="8">
        <v>131</v>
      </c>
      <c r="D133">
        <v>875.20350877193005</v>
      </c>
      <c r="E133">
        <v>346.23391812865998</v>
      </c>
      <c r="F133">
        <v>141.19226260258</v>
      </c>
      <c r="G133">
        <v>119.09378663539999</v>
      </c>
      <c r="I133" s="9">
        <f t="shared" si="15"/>
        <v>227.14013149325999</v>
      </c>
      <c r="J133" s="9">
        <f t="shared" si="16"/>
        <v>734.01124616934999</v>
      </c>
      <c r="K133" s="9">
        <f t="shared" si="17"/>
        <v>227.14013149325999</v>
      </c>
      <c r="L133" s="10">
        <f t="shared" si="14"/>
        <v>0.30945047869314873</v>
      </c>
      <c r="M133" s="10">
        <f t="shared" si="18"/>
        <v>0.31728951349845297</v>
      </c>
      <c r="P133" s="8">
        <f t="shared" si="19"/>
        <v>32.594586915141498</v>
      </c>
      <c r="X133" s="8">
        <v>-13</v>
      </c>
    </row>
    <row r="134" spans="1:24" x14ac:dyDescent="0.2">
      <c r="A134" s="8">
        <v>66</v>
      </c>
      <c r="B134" s="8">
        <v>132</v>
      </c>
      <c r="D134">
        <v>924.09005847952994</v>
      </c>
      <c r="E134">
        <v>363.12046783625999</v>
      </c>
      <c r="F134">
        <v>141.15826494724999</v>
      </c>
      <c r="G134">
        <v>118.6694021102</v>
      </c>
      <c r="I134" s="9">
        <f t="shared" si="15"/>
        <v>244.45106572605999</v>
      </c>
      <c r="J134" s="9">
        <f t="shared" si="16"/>
        <v>782.93179353227993</v>
      </c>
      <c r="K134" s="9">
        <f t="shared" si="17"/>
        <v>244.45106572605999</v>
      </c>
      <c r="L134" s="10">
        <f t="shared" si="14"/>
        <v>0.3122252381950068</v>
      </c>
      <c r="M134" s="10">
        <f t="shared" si="18"/>
        <v>0.32012411296065685</v>
      </c>
      <c r="P134" s="8">
        <f t="shared" si="19"/>
        <v>33.779159769808622</v>
      </c>
      <c r="X134" s="8">
        <v>-13</v>
      </c>
    </row>
    <row r="135" spans="1:24" x14ac:dyDescent="0.2">
      <c r="A135" s="8">
        <v>66.5</v>
      </c>
      <c r="B135" s="8">
        <v>133</v>
      </c>
      <c r="D135">
        <v>996.93107476635998</v>
      </c>
      <c r="E135">
        <v>386.51285046728998</v>
      </c>
      <c r="F135">
        <v>141.16881594373001</v>
      </c>
      <c r="G135">
        <v>119.18874560374999</v>
      </c>
      <c r="I135" s="9">
        <f t="shared" si="15"/>
        <v>267.32410486354001</v>
      </c>
      <c r="J135" s="9">
        <f t="shared" si="16"/>
        <v>855.76225882262997</v>
      </c>
      <c r="K135" s="9">
        <f t="shared" si="17"/>
        <v>267.32410486354001</v>
      </c>
      <c r="L135" s="10">
        <f t="shared" si="14"/>
        <v>0.31238127424704187</v>
      </c>
      <c r="M135" s="10">
        <f t="shared" si="18"/>
        <v>0.32033998897303778</v>
      </c>
      <c r="P135" s="8">
        <f t="shared" si="19"/>
        <v>33.869373878591887</v>
      </c>
      <c r="X135" s="8">
        <v>-13</v>
      </c>
    </row>
    <row r="136" spans="1:24" x14ac:dyDescent="0.2">
      <c r="A136" s="8">
        <v>67</v>
      </c>
      <c r="B136" s="8">
        <v>134</v>
      </c>
      <c r="D136">
        <v>869.60256410256</v>
      </c>
      <c r="E136">
        <v>357.01981351980999</v>
      </c>
      <c r="F136">
        <v>141.40328253224001</v>
      </c>
      <c r="G136">
        <v>118.72098475967</v>
      </c>
      <c r="I136" s="9">
        <f t="shared" si="15"/>
        <v>238.29882876014</v>
      </c>
      <c r="J136" s="9">
        <f t="shared" si="16"/>
        <v>728.19928157031995</v>
      </c>
      <c r="K136" s="9">
        <f t="shared" si="17"/>
        <v>238.29882876014</v>
      </c>
      <c r="L136" s="10">
        <f t="shared" si="14"/>
        <v>0.32724397673980432</v>
      </c>
      <c r="M136" s="10">
        <f t="shared" si="18"/>
        <v>0.33526253142614604</v>
      </c>
      <c r="P136" s="8">
        <f t="shared" si="19"/>
        <v>40.105471411336843</v>
      </c>
      <c r="X136" s="8">
        <v>-13</v>
      </c>
    </row>
    <row r="137" spans="1:24" x14ac:dyDescent="0.2">
      <c r="A137" s="8">
        <v>67.5</v>
      </c>
      <c r="B137" s="8">
        <v>135</v>
      </c>
      <c r="D137">
        <v>879.59324009323996</v>
      </c>
      <c r="E137">
        <v>356.58275058275001</v>
      </c>
      <c r="F137">
        <v>141.71746776084001</v>
      </c>
      <c r="G137">
        <v>119.01172332943</v>
      </c>
      <c r="I137" s="9">
        <f t="shared" si="15"/>
        <v>237.57102725332001</v>
      </c>
      <c r="J137" s="9">
        <f t="shared" si="16"/>
        <v>737.87577233239995</v>
      </c>
      <c r="K137" s="9">
        <f t="shared" si="17"/>
        <v>237.57102725332001</v>
      </c>
      <c r="L137" s="10">
        <f t="shared" si="14"/>
        <v>0.32196615766684705</v>
      </c>
      <c r="M137" s="10">
        <f t="shared" si="18"/>
        <v>0.33004455231353458</v>
      </c>
      <c r="P137" s="8">
        <f t="shared" si="19"/>
        <v>37.924889464773628</v>
      </c>
      <c r="X137" s="8">
        <v>-13</v>
      </c>
    </row>
    <row r="138" spans="1:24" x14ac:dyDescent="0.2">
      <c r="A138" s="8">
        <v>68</v>
      </c>
      <c r="B138" s="8">
        <v>136</v>
      </c>
      <c r="D138">
        <v>933.01169590642996</v>
      </c>
      <c r="E138">
        <v>365.43742690059003</v>
      </c>
      <c r="F138">
        <v>140.79132473623</v>
      </c>
      <c r="G138">
        <v>118.71277842907</v>
      </c>
      <c r="I138" s="9">
        <f t="shared" si="15"/>
        <v>246.72464847152003</v>
      </c>
      <c r="J138" s="9">
        <f t="shared" si="16"/>
        <v>792.2203711702</v>
      </c>
      <c r="K138" s="9">
        <f t="shared" si="17"/>
        <v>246.72464847152003</v>
      </c>
      <c r="L138" s="10">
        <f t="shared" si="14"/>
        <v>0.3114343652979783</v>
      </c>
      <c r="M138" s="10">
        <f t="shared" si="18"/>
        <v>0.31957259990501169</v>
      </c>
      <c r="P138" s="8">
        <f t="shared" si="19"/>
        <v>33.548683681944055</v>
      </c>
      <c r="X138" s="8">
        <v>-13</v>
      </c>
    </row>
    <row r="139" spans="1:24" x14ac:dyDescent="0.2">
      <c r="A139" s="8">
        <v>68.5</v>
      </c>
      <c r="B139" s="8">
        <v>137</v>
      </c>
      <c r="D139">
        <v>959.47264260767997</v>
      </c>
      <c r="E139">
        <v>370.88707799767002</v>
      </c>
      <c r="F139">
        <v>141.67174677608</v>
      </c>
      <c r="G139">
        <v>118.95779601407</v>
      </c>
      <c r="I139" s="9">
        <f t="shared" si="15"/>
        <v>251.92928198360002</v>
      </c>
      <c r="J139" s="9">
        <f t="shared" si="16"/>
        <v>817.80089583159997</v>
      </c>
      <c r="K139" s="9">
        <f t="shared" si="17"/>
        <v>251.92928198360002</v>
      </c>
      <c r="L139" s="10">
        <f t="shared" si="14"/>
        <v>0.30805698950405264</v>
      </c>
      <c r="M139" s="10">
        <f t="shared" si="18"/>
        <v>0.31625506407143184</v>
      </c>
      <c r="P139" s="8">
        <f t="shared" si="19"/>
        <v>32.162292784307766</v>
      </c>
      <c r="X139" s="8">
        <v>-13</v>
      </c>
    </row>
    <row r="140" spans="1:24" x14ac:dyDescent="0.2">
      <c r="A140" s="8">
        <v>69</v>
      </c>
      <c r="B140" s="8">
        <v>138</v>
      </c>
      <c r="D140">
        <v>950.30500582072</v>
      </c>
      <c r="E140">
        <v>372.31199068684998</v>
      </c>
      <c r="F140">
        <v>141.69050410317001</v>
      </c>
      <c r="G140">
        <v>119.09613130129</v>
      </c>
      <c r="I140" s="9">
        <f t="shared" si="15"/>
        <v>253.21585938555998</v>
      </c>
      <c r="J140" s="9">
        <f t="shared" si="16"/>
        <v>808.61450171754996</v>
      </c>
      <c r="K140" s="9">
        <f t="shared" si="17"/>
        <v>253.21585938555998</v>
      </c>
      <c r="L140" s="10">
        <f t="shared" si="14"/>
        <v>0.31314780881088944</v>
      </c>
      <c r="M140" s="10">
        <f t="shared" si="18"/>
        <v>0.3214057233386145</v>
      </c>
      <c r="P140" s="8">
        <f t="shared" si="19"/>
        <v>34.314741916151078</v>
      </c>
      <c r="X140" s="8">
        <v>-13</v>
      </c>
    </row>
    <row r="141" spans="1:24" x14ac:dyDescent="0.2">
      <c r="A141" s="8">
        <v>69.5</v>
      </c>
      <c r="B141" s="8">
        <v>139</v>
      </c>
      <c r="D141">
        <v>918.23282887078005</v>
      </c>
      <c r="E141">
        <v>359.48428405122002</v>
      </c>
      <c r="F141">
        <v>141.72098475966999</v>
      </c>
      <c r="G141">
        <v>119.32942555686</v>
      </c>
      <c r="I141" s="9">
        <f t="shared" si="15"/>
        <v>240.15485849436001</v>
      </c>
      <c r="J141" s="9">
        <f t="shared" si="16"/>
        <v>776.51184411111012</v>
      </c>
      <c r="K141" s="9">
        <f t="shared" si="17"/>
        <v>240.15485849436001</v>
      </c>
      <c r="L141" s="10">
        <f t="shared" si="14"/>
        <v>0.30927391554377442</v>
      </c>
      <c r="M141" s="10">
        <f t="shared" si="18"/>
        <v>0.3175916700318453</v>
      </c>
      <c r="P141" s="8">
        <f t="shared" si="19"/>
        <v>32.720857463093481</v>
      </c>
      <c r="X141" s="8">
        <v>-13</v>
      </c>
    </row>
    <row r="142" spans="1:24" x14ac:dyDescent="0.2">
      <c r="A142" s="8">
        <v>70</v>
      </c>
      <c r="B142" s="8">
        <v>140</v>
      </c>
      <c r="D142">
        <v>969.84866123399001</v>
      </c>
      <c r="E142">
        <v>376.39231664725997</v>
      </c>
      <c r="F142">
        <v>140.67057444314</v>
      </c>
      <c r="G142">
        <v>118.80187573271</v>
      </c>
      <c r="I142" s="9">
        <f t="shared" si="15"/>
        <v>257.59044091454996</v>
      </c>
      <c r="J142" s="9">
        <f t="shared" si="16"/>
        <v>829.17808679084999</v>
      </c>
      <c r="K142" s="9">
        <f t="shared" si="17"/>
        <v>257.59044091454996</v>
      </c>
      <c r="L142" s="10">
        <f t="shared" si="14"/>
        <v>0.31065755959795882</v>
      </c>
      <c r="M142" s="10">
        <f t="shared" si="18"/>
        <v>0.31903515404637556</v>
      </c>
      <c r="P142" s="8">
        <f t="shared" si="19"/>
        <v>33.324086244640284</v>
      </c>
      <c r="X142" s="8">
        <v>-13</v>
      </c>
    </row>
    <row r="143" spans="1:24" x14ac:dyDescent="0.2">
      <c r="A143" s="8">
        <v>70.5</v>
      </c>
      <c r="B143" s="8">
        <v>141</v>
      </c>
      <c r="D143">
        <v>936.21303841676001</v>
      </c>
      <c r="E143">
        <v>359.97206053551002</v>
      </c>
      <c r="F143">
        <v>141.32942555686</v>
      </c>
      <c r="G143">
        <v>119.01641266119999</v>
      </c>
      <c r="I143" s="9">
        <f t="shared" si="15"/>
        <v>240.95564787431005</v>
      </c>
      <c r="J143" s="9">
        <f t="shared" si="16"/>
        <v>794.88361285990004</v>
      </c>
      <c r="K143" s="9">
        <f t="shared" si="17"/>
        <v>240.95564787431005</v>
      </c>
      <c r="L143" s="10">
        <f t="shared" si="14"/>
        <v>0.30313324362969224</v>
      </c>
      <c r="M143" s="10">
        <f t="shared" si="18"/>
        <v>0.31157067803845478</v>
      </c>
      <c r="P143" s="8">
        <f t="shared" si="19"/>
        <v>30.204698207212864</v>
      </c>
      <c r="X143" s="8">
        <v>-13</v>
      </c>
    </row>
    <row r="144" spans="1:24" x14ac:dyDescent="0.2">
      <c r="A144" s="8">
        <v>71</v>
      </c>
      <c r="B144" s="8">
        <v>142</v>
      </c>
      <c r="D144">
        <v>999.12456344586997</v>
      </c>
      <c r="E144">
        <v>385.83701979044997</v>
      </c>
      <c r="F144">
        <v>141.34935521688001</v>
      </c>
      <c r="G144">
        <v>118.54630715123</v>
      </c>
      <c r="I144" s="9">
        <f t="shared" si="15"/>
        <v>267.29071263921998</v>
      </c>
      <c r="J144" s="9">
        <f t="shared" si="16"/>
        <v>857.77520822898998</v>
      </c>
      <c r="K144" s="9">
        <f t="shared" si="17"/>
        <v>267.29071263921998</v>
      </c>
      <c r="L144" s="10">
        <f t="shared" si="14"/>
        <v>0.31160927720338655</v>
      </c>
      <c r="M144" s="10">
        <f t="shared" si="18"/>
        <v>0.32010655157249496</v>
      </c>
      <c r="P144" s="8">
        <f t="shared" si="19"/>
        <v>33.771820904482418</v>
      </c>
    </row>
    <row r="145" spans="1:16" x14ac:dyDescent="0.2">
      <c r="A145" s="8">
        <v>71.5</v>
      </c>
      <c r="B145" s="8">
        <v>143</v>
      </c>
      <c r="D145">
        <v>937.44935972061</v>
      </c>
      <c r="E145">
        <v>359.62165308497998</v>
      </c>
      <c r="F145">
        <v>141.10550996482999</v>
      </c>
      <c r="G145">
        <v>118.98944900351999</v>
      </c>
      <c r="I145" s="9">
        <f t="shared" si="15"/>
        <v>240.63220408145997</v>
      </c>
      <c r="J145" s="9">
        <f t="shared" si="16"/>
        <v>796.34384975577996</v>
      </c>
      <c r="K145" s="9">
        <f t="shared" si="17"/>
        <v>240.63220408145997</v>
      </c>
      <c r="L145" s="10">
        <f t="shared" si="14"/>
        <v>0.30217123439234977</v>
      </c>
      <c r="M145" s="10">
        <f t="shared" si="18"/>
        <v>0.31072834872180399</v>
      </c>
      <c r="P145" s="8">
        <f t="shared" si="19"/>
        <v>29.852690646180218</v>
      </c>
    </row>
    <row r="146" spans="1:16" x14ac:dyDescent="0.2">
      <c r="A146" s="8">
        <v>72</v>
      </c>
      <c r="B146" s="8">
        <v>144</v>
      </c>
      <c r="D146">
        <v>932.90909090908997</v>
      </c>
      <c r="E146">
        <v>362.72018890201002</v>
      </c>
      <c r="F146">
        <v>141.3305978898</v>
      </c>
      <c r="G146">
        <v>118.79601406800001</v>
      </c>
      <c r="I146" s="9">
        <f t="shared" si="15"/>
        <v>243.92417483401002</v>
      </c>
      <c r="J146" s="9">
        <f t="shared" si="16"/>
        <v>791.57849301928991</v>
      </c>
      <c r="K146" s="9">
        <f t="shared" si="17"/>
        <v>243.92417483401002</v>
      </c>
      <c r="L146" s="10">
        <f t="shared" si="14"/>
        <v>0.30814906795107411</v>
      </c>
      <c r="M146" s="10">
        <f t="shared" si="18"/>
        <v>0.31676602224087419</v>
      </c>
      <c r="P146" s="8">
        <f t="shared" si="19"/>
        <v>32.375821074799013</v>
      </c>
    </row>
    <row r="147" spans="1:16" x14ac:dyDescent="0.2">
      <c r="A147" s="8">
        <v>72.5</v>
      </c>
      <c r="B147" s="8">
        <v>145</v>
      </c>
      <c r="D147">
        <v>975.20512820512999</v>
      </c>
      <c r="E147">
        <v>374.22727272727002</v>
      </c>
      <c r="F147">
        <v>140.93786635404999</v>
      </c>
      <c r="G147">
        <v>119.52168815944</v>
      </c>
      <c r="I147" s="9">
        <f t="shared" si="15"/>
        <v>254.70558456783002</v>
      </c>
      <c r="J147" s="9">
        <f t="shared" si="16"/>
        <v>834.26726185107998</v>
      </c>
      <c r="K147" s="9">
        <f t="shared" si="17"/>
        <v>254.70558456783002</v>
      </c>
      <c r="L147" s="10">
        <f t="shared" si="14"/>
        <v>0.30530454233897047</v>
      </c>
      <c r="M147" s="10">
        <f t="shared" si="18"/>
        <v>0.31398133658911637</v>
      </c>
      <c r="P147" s="8">
        <f t="shared" si="19"/>
        <v>31.212107091276049</v>
      </c>
    </row>
    <row r="148" spans="1:16" x14ac:dyDescent="0.2">
      <c r="A148" s="8">
        <v>73</v>
      </c>
      <c r="B148" s="8">
        <v>146</v>
      </c>
      <c r="D148">
        <v>1015.0070011669</v>
      </c>
      <c r="E148">
        <v>390.68961493581998</v>
      </c>
      <c r="F148">
        <v>141.13247362250999</v>
      </c>
      <c r="G148">
        <v>118.81946072685</v>
      </c>
      <c r="I148" s="9">
        <f t="shared" si="15"/>
        <v>271.87015420897001</v>
      </c>
      <c r="J148" s="9">
        <f t="shared" si="16"/>
        <v>873.87452754438993</v>
      </c>
      <c r="K148" s="9">
        <f t="shared" si="17"/>
        <v>271.87015420897001</v>
      </c>
      <c r="L148" s="10">
        <f t="shared" si="14"/>
        <v>0.31110891282405517</v>
      </c>
      <c r="M148" s="10">
        <f t="shared" si="18"/>
        <v>0.31984554703454687</v>
      </c>
      <c r="P148" s="8">
        <f t="shared" si="19"/>
        <v>33.662747684536967</v>
      </c>
    </row>
    <row r="149" spans="1:16" x14ac:dyDescent="0.2">
      <c r="A149" s="8">
        <v>73.5</v>
      </c>
      <c r="B149" s="8">
        <v>147</v>
      </c>
      <c r="D149">
        <v>932.97082847140996</v>
      </c>
      <c r="E149">
        <v>362.13185530921999</v>
      </c>
      <c r="F149">
        <v>141.32590855802999</v>
      </c>
      <c r="G149">
        <v>119.39155920281</v>
      </c>
      <c r="I149" s="9">
        <f t="shared" si="15"/>
        <v>242.74029610640997</v>
      </c>
      <c r="J149" s="9">
        <f t="shared" si="16"/>
        <v>791.64491991337991</v>
      </c>
      <c r="K149" s="9">
        <f t="shared" si="17"/>
        <v>242.74029610640997</v>
      </c>
      <c r="L149" s="10">
        <f t="shared" si="14"/>
        <v>0.30662774433387396</v>
      </c>
      <c r="M149" s="10">
        <f t="shared" si="18"/>
        <v>0.31542421850471153</v>
      </c>
      <c r="P149" s="8">
        <f t="shared" si="19"/>
        <v>31.81508425700769</v>
      </c>
    </row>
    <row r="150" spans="1:16" x14ac:dyDescent="0.2">
      <c r="A150" s="8">
        <v>74</v>
      </c>
      <c r="B150" s="8">
        <v>148</v>
      </c>
      <c r="D150">
        <v>912.54876615746002</v>
      </c>
      <c r="E150">
        <v>373.86016451234002</v>
      </c>
      <c r="F150">
        <v>141.47596717467999</v>
      </c>
      <c r="G150">
        <v>118.80304806565</v>
      </c>
      <c r="I150" s="9">
        <f t="shared" si="15"/>
        <v>255.05711644669003</v>
      </c>
      <c r="J150" s="9">
        <f t="shared" si="16"/>
        <v>771.07279898278</v>
      </c>
      <c r="K150" s="9">
        <f t="shared" si="17"/>
        <v>255.05711644669003</v>
      </c>
      <c r="L150" s="10">
        <f t="shared" si="14"/>
        <v>0.33078214765605563</v>
      </c>
      <c r="M150" s="10">
        <f t="shared" si="18"/>
        <v>0.339638461787239</v>
      </c>
      <c r="P150" s="8">
        <f t="shared" si="19"/>
        <v>41.934163044416536</v>
      </c>
    </row>
    <row r="151" spans="1:16" x14ac:dyDescent="0.2">
      <c r="A151" s="8">
        <v>74.5</v>
      </c>
      <c r="B151" s="8">
        <v>149</v>
      </c>
      <c r="D151">
        <v>941.52996474736005</v>
      </c>
      <c r="E151">
        <v>384.77908343126001</v>
      </c>
      <c r="F151">
        <v>141.07268464244001</v>
      </c>
      <c r="G151">
        <v>119.32590855802999</v>
      </c>
      <c r="I151" s="9">
        <f t="shared" si="15"/>
        <v>265.45317487323001</v>
      </c>
      <c r="J151" s="9">
        <f t="shared" si="16"/>
        <v>800.45728010492007</v>
      </c>
      <c r="K151" s="9">
        <f t="shared" si="17"/>
        <v>265.45317487323001</v>
      </c>
      <c r="L151" s="10">
        <f t="shared" si="14"/>
        <v>0.33162691060594224</v>
      </c>
      <c r="M151" s="10">
        <f t="shared" si="18"/>
        <v>0.34054306469747148</v>
      </c>
      <c r="P151" s="8">
        <f t="shared" si="19"/>
        <v>42.312194602667503</v>
      </c>
    </row>
    <row r="152" spans="1:16" x14ac:dyDescent="0.2">
      <c r="A152" s="8">
        <v>75</v>
      </c>
      <c r="B152" s="8">
        <v>150</v>
      </c>
      <c r="D152">
        <v>901.83078730905004</v>
      </c>
      <c r="E152">
        <v>373.97062279671002</v>
      </c>
      <c r="F152">
        <v>141.59671746775999</v>
      </c>
      <c r="G152">
        <v>118.57209847596999</v>
      </c>
      <c r="I152" s="9">
        <f t="shared" si="15"/>
        <v>255.39852432074002</v>
      </c>
      <c r="J152" s="9">
        <f t="shared" si="16"/>
        <v>760.23406984129008</v>
      </c>
      <c r="K152" s="9">
        <f t="shared" si="17"/>
        <v>255.39852432074002</v>
      </c>
      <c r="L152" s="10">
        <f t="shared" si="14"/>
        <v>0.33594722264165061</v>
      </c>
      <c r="M152" s="10">
        <f t="shared" si="18"/>
        <v>0.34492321669352566</v>
      </c>
      <c r="P152" s="8">
        <f t="shared" si="19"/>
        <v>44.142650447673454</v>
      </c>
    </row>
    <row r="153" spans="1:16" x14ac:dyDescent="0.2">
      <c r="A153" s="8">
        <v>75.5</v>
      </c>
      <c r="B153" s="8">
        <v>151</v>
      </c>
      <c r="D153">
        <v>853.73795534664998</v>
      </c>
      <c r="E153">
        <v>350.4347826087</v>
      </c>
      <c r="F153">
        <v>141.69988276671</v>
      </c>
      <c r="G153">
        <v>118.91793669402</v>
      </c>
      <c r="I153" s="9">
        <f t="shared" si="15"/>
        <v>231.51684591468</v>
      </c>
      <c r="J153" s="9">
        <f t="shared" si="16"/>
        <v>712.03807257994004</v>
      </c>
      <c r="K153" s="9">
        <f t="shared" si="17"/>
        <v>231.51684591468</v>
      </c>
      <c r="L153" s="10">
        <f t="shared" si="14"/>
        <v>0.32514672294954811</v>
      </c>
      <c r="M153" s="10">
        <f t="shared" si="18"/>
        <v>0.33418255696176902</v>
      </c>
      <c r="P153" s="8">
        <f t="shared" si="19"/>
        <v>39.654152467940158</v>
      </c>
    </row>
    <row r="154" spans="1:16" x14ac:dyDescent="0.2">
      <c r="A154" s="8">
        <v>76</v>
      </c>
      <c r="B154" s="8">
        <v>152</v>
      </c>
      <c r="D154">
        <v>837.33607520563999</v>
      </c>
      <c r="E154">
        <v>344.24911868390001</v>
      </c>
      <c r="F154">
        <v>140.75732708089001</v>
      </c>
      <c r="G154">
        <v>118.75967174678</v>
      </c>
      <c r="I154" s="9">
        <f t="shared" si="15"/>
        <v>225.48944693712002</v>
      </c>
      <c r="J154" s="9">
        <f t="shared" si="16"/>
        <v>696.57874812474995</v>
      </c>
      <c r="K154" s="9">
        <f t="shared" si="17"/>
        <v>225.48944693712002</v>
      </c>
      <c r="L154" s="10">
        <f t="shared" si="14"/>
        <v>0.32370991441263036</v>
      </c>
      <c r="M154" s="10">
        <f t="shared" si="18"/>
        <v>0.33280558838519708</v>
      </c>
      <c r="P154" s="8">
        <f t="shared" si="19"/>
        <v>39.078720341007994</v>
      </c>
    </row>
    <row r="155" spans="1:16" x14ac:dyDescent="0.2">
      <c r="A155" s="8">
        <v>76.5</v>
      </c>
      <c r="B155" s="8">
        <v>153</v>
      </c>
      <c r="D155">
        <v>892.21386603994995</v>
      </c>
      <c r="E155">
        <v>359.55581668625001</v>
      </c>
      <c r="F155">
        <v>141.26025791325</v>
      </c>
      <c r="G155">
        <v>119.04806565065</v>
      </c>
      <c r="I155" s="9">
        <f t="shared" si="15"/>
        <v>240.50775103559999</v>
      </c>
      <c r="J155" s="9">
        <f t="shared" si="16"/>
        <v>750.95360812669992</v>
      </c>
      <c r="K155" s="9">
        <f t="shared" si="17"/>
        <v>240.50775103559999</v>
      </c>
      <c r="L155" s="10">
        <f t="shared" si="14"/>
        <v>0.32026978555381258</v>
      </c>
      <c r="M155" s="10">
        <f t="shared" si="18"/>
        <v>0.32942529948672516</v>
      </c>
      <c r="P155" s="8">
        <f t="shared" si="19"/>
        <v>37.666105076151759</v>
      </c>
    </row>
    <row r="156" spans="1:16" x14ac:dyDescent="0.2">
      <c r="A156" s="8">
        <v>77</v>
      </c>
      <c r="B156" s="8">
        <v>154</v>
      </c>
      <c r="D156">
        <v>837.23604651162998</v>
      </c>
      <c r="E156">
        <v>344.53837209301997</v>
      </c>
      <c r="F156">
        <v>141.94958968347001</v>
      </c>
      <c r="G156">
        <v>118.97420867526</v>
      </c>
      <c r="I156" s="9">
        <f t="shared" si="15"/>
        <v>225.56416341775997</v>
      </c>
      <c r="J156" s="9">
        <f t="shared" si="16"/>
        <v>695.28645682816</v>
      </c>
      <c r="K156" s="9">
        <f t="shared" si="17"/>
        <v>225.56416341775997</v>
      </c>
      <c r="L156" s="10">
        <f t="shared" si="14"/>
        <v>0.3244190379412325</v>
      </c>
      <c r="M156" s="10">
        <f t="shared" si="18"/>
        <v>0.3336343918344909</v>
      </c>
      <c r="P156" s="8">
        <f t="shared" si="19"/>
        <v>39.425075471945824</v>
      </c>
    </row>
    <row r="157" spans="1:16" x14ac:dyDescent="0.2">
      <c r="A157" s="8">
        <v>77.5</v>
      </c>
      <c r="B157" s="8">
        <v>155</v>
      </c>
      <c r="D157">
        <v>900.68372093023004</v>
      </c>
      <c r="E157">
        <v>359.72441860465</v>
      </c>
      <c r="F157">
        <v>141.66354044549001</v>
      </c>
      <c r="G157">
        <v>119.11137162954</v>
      </c>
      <c r="I157" s="9">
        <f t="shared" si="15"/>
        <v>240.61304697511</v>
      </c>
      <c r="J157" s="9">
        <f t="shared" si="16"/>
        <v>759.02018048473997</v>
      </c>
      <c r="K157" s="9">
        <f t="shared" si="17"/>
        <v>240.61304697511</v>
      </c>
      <c r="L157" s="10">
        <f t="shared" si="14"/>
        <v>0.31700480851700819</v>
      </c>
      <c r="M157" s="10">
        <f t="shared" si="18"/>
        <v>0.32628000237061239</v>
      </c>
      <c r="P157" s="8">
        <f t="shared" si="19"/>
        <v>36.351692358132972</v>
      </c>
    </row>
    <row r="158" spans="1:16" x14ac:dyDescent="0.2">
      <c r="A158" s="8">
        <v>78</v>
      </c>
      <c r="B158" s="8">
        <v>156</v>
      </c>
      <c r="D158">
        <v>858.47114252060999</v>
      </c>
      <c r="E158">
        <v>342.21319199058001</v>
      </c>
      <c r="F158">
        <v>141.35052754981999</v>
      </c>
      <c r="G158">
        <v>118.60609613130001</v>
      </c>
      <c r="I158" s="9">
        <f t="shared" si="15"/>
        <v>223.60709585928001</v>
      </c>
      <c r="J158" s="9">
        <f t="shared" si="16"/>
        <v>717.12061497079003</v>
      </c>
      <c r="K158" s="9">
        <f t="shared" si="17"/>
        <v>223.60709585928001</v>
      </c>
      <c r="L158" s="10">
        <f t="shared" si="14"/>
        <v>0.31181239416522427</v>
      </c>
      <c r="M158" s="10">
        <f t="shared" si="18"/>
        <v>0.32114742797917434</v>
      </c>
      <c r="P158" s="8">
        <f t="shared" si="19"/>
        <v>34.206800855920498</v>
      </c>
    </row>
    <row r="159" spans="1:16" x14ac:dyDescent="0.2">
      <c r="A159" s="8">
        <v>78.5</v>
      </c>
      <c r="B159" s="8">
        <v>157</v>
      </c>
      <c r="D159">
        <v>812.65606595994996</v>
      </c>
      <c r="E159">
        <v>326.57832744404999</v>
      </c>
      <c r="F159">
        <v>141.62368112543999</v>
      </c>
      <c r="G159">
        <v>119.25205158265</v>
      </c>
      <c r="I159" s="9">
        <f t="shared" si="15"/>
        <v>207.32627586140001</v>
      </c>
      <c r="J159" s="9">
        <f t="shared" si="16"/>
        <v>671.03238483450991</v>
      </c>
      <c r="K159" s="9">
        <f t="shared" si="17"/>
        <v>207.32627586140001</v>
      </c>
      <c r="L159" s="10">
        <f t="shared" si="14"/>
        <v>0.30896612525270423</v>
      </c>
      <c r="M159" s="10">
        <f t="shared" si="18"/>
        <v>0.3183609990270001</v>
      </c>
      <c r="P159" s="8">
        <f t="shared" si="19"/>
        <v>33.04235835100382</v>
      </c>
    </row>
    <row r="160" spans="1:16" x14ac:dyDescent="0.2">
      <c r="A160" s="8">
        <v>79</v>
      </c>
      <c r="B160" s="8">
        <v>158</v>
      </c>
      <c r="D160">
        <v>855.88004750593996</v>
      </c>
      <c r="E160">
        <v>337.12232779097002</v>
      </c>
      <c r="F160">
        <v>140.94958968347001</v>
      </c>
      <c r="G160">
        <v>119.10082063306</v>
      </c>
      <c r="I160" s="9">
        <f t="shared" si="15"/>
        <v>218.02150715791004</v>
      </c>
      <c r="J160" s="9">
        <f t="shared" si="16"/>
        <v>714.93045782246998</v>
      </c>
      <c r="K160" s="9">
        <f t="shared" si="17"/>
        <v>218.02150715791004</v>
      </c>
      <c r="L160" s="10">
        <f t="shared" si="14"/>
        <v>0.30495484528937034</v>
      </c>
      <c r="M160" s="10">
        <f t="shared" si="18"/>
        <v>0.31440955902401208</v>
      </c>
      <c r="P160" s="8">
        <f t="shared" si="19"/>
        <v>31.391060301033068</v>
      </c>
    </row>
    <row r="161" spans="1:16" x14ac:dyDescent="0.2">
      <c r="A161" s="8">
        <v>79.5</v>
      </c>
      <c r="B161" s="8">
        <v>159</v>
      </c>
      <c r="D161">
        <v>953.96819787985999</v>
      </c>
      <c r="E161">
        <v>364.22614840989002</v>
      </c>
      <c r="F161">
        <v>141.44314185229001</v>
      </c>
      <c r="G161">
        <v>118.97303634232</v>
      </c>
      <c r="I161" s="9">
        <f t="shared" si="15"/>
        <v>245.25311206757002</v>
      </c>
      <c r="J161" s="9">
        <f t="shared" si="16"/>
        <v>812.52505602756992</v>
      </c>
      <c r="K161" s="9">
        <f t="shared" si="17"/>
        <v>245.25311206757002</v>
      </c>
      <c r="L161" s="10">
        <f t="shared" si="14"/>
        <v>0.30184067586372165</v>
      </c>
      <c r="M161" s="10">
        <f t="shared" si="18"/>
        <v>0.3113552295587092</v>
      </c>
      <c r="P161" s="8">
        <f t="shared" si="19"/>
        <v>30.114662763373655</v>
      </c>
    </row>
    <row r="162" spans="1:16" x14ac:dyDescent="0.2">
      <c r="A162" s="8">
        <v>80</v>
      </c>
      <c r="B162" s="4">
        <v>160</v>
      </c>
      <c r="C162" s="4" t="s">
        <v>6</v>
      </c>
      <c r="D162">
        <v>798.29398148148005</v>
      </c>
      <c r="E162">
        <v>327.39699074074002</v>
      </c>
      <c r="F162">
        <v>141.28370457209999</v>
      </c>
      <c r="G162">
        <v>118.49706916764001</v>
      </c>
      <c r="H162" s="4"/>
      <c r="I162" s="5">
        <f t="shared" si="15"/>
        <v>208.89992157310002</v>
      </c>
      <c r="J162" s="5">
        <f t="shared" si="16"/>
        <v>657.01027690938008</v>
      </c>
      <c r="K162" s="9">
        <f t="shared" si="17"/>
        <v>208.89992157310002</v>
      </c>
      <c r="L162" s="6">
        <f t="shared" si="14"/>
        <v>0.31795533329520981</v>
      </c>
      <c r="M162" s="6">
        <f t="shared" si="18"/>
        <v>0.32752972695054322</v>
      </c>
      <c r="N162" s="4"/>
      <c r="O162" s="4"/>
      <c r="P162" s="4">
        <f t="shared" si="19"/>
        <v>36.873949499904022</v>
      </c>
    </row>
    <row r="163" spans="1:16" x14ac:dyDescent="0.2">
      <c r="A163" s="8">
        <v>80.5</v>
      </c>
      <c r="B163" s="8">
        <v>161</v>
      </c>
      <c r="D163">
        <v>839.34606481482001</v>
      </c>
      <c r="E163">
        <v>331.38425925925998</v>
      </c>
      <c r="F163">
        <v>140.96014067995</v>
      </c>
      <c r="G163">
        <v>118.74325908557999</v>
      </c>
      <c r="I163" s="9">
        <f t="shared" si="15"/>
        <v>212.64100017367997</v>
      </c>
      <c r="J163" s="9">
        <f t="shared" si="16"/>
        <v>698.38592413487004</v>
      </c>
      <c r="K163" s="9">
        <f t="shared" si="17"/>
        <v>212.64100017367997</v>
      </c>
      <c r="L163" s="10">
        <f t="shared" si="14"/>
        <v>0.30447492256819231</v>
      </c>
      <c r="M163" s="10">
        <f t="shared" si="18"/>
        <v>0.31410915618387153</v>
      </c>
      <c r="P163" s="8">
        <f t="shared" si="19"/>
        <v>31.265522617617748</v>
      </c>
    </row>
    <row r="164" spans="1:16" x14ac:dyDescent="0.2">
      <c r="A164" s="8">
        <v>81</v>
      </c>
      <c r="B164" s="8">
        <v>162</v>
      </c>
      <c r="D164">
        <v>899.91319444444002</v>
      </c>
      <c r="E164">
        <v>348.66319444444002</v>
      </c>
      <c r="F164">
        <v>141.15123094959</v>
      </c>
      <c r="G164">
        <v>118.83939038686999</v>
      </c>
      <c r="I164" s="9">
        <f t="shared" si="15"/>
        <v>229.82380405757004</v>
      </c>
      <c r="J164" s="9">
        <f t="shared" si="16"/>
        <v>758.76196349485008</v>
      </c>
      <c r="K164" s="9">
        <f t="shared" si="17"/>
        <v>229.82380405757004</v>
      </c>
      <c r="L164" s="10">
        <f t="shared" si="14"/>
        <v>0.30289315373559828</v>
      </c>
      <c r="M164" s="10">
        <f t="shared" si="18"/>
        <v>0.31258722731162336</v>
      </c>
      <c r="P164" s="8">
        <f t="shared" si="19"/>
        <v>30.629511903286478</v>
      </c>
    </row>
    <row r="165" spans="1:16" x14ac:dyDescent="0.2">
      <c r="A165" s="8">
        <v>81.5</v>
      </c>
      <c r="B165" s="8">
        <v>163</v>
      </c>
      <c r="D165">
        <v>922.75029036005003</v>
      </c>
      <c r="E165">
        <v>347.52961672473998</v>
      </c>
      <c r="F165">
        <v>141.86400937866</v>
      </c>
      <c r="G165">
        <v>118.79366940211</v>
      </c>
      <c r="I165" s="9">
        <f t="shared" si="15"/>
        <v>228.73594732262998</v>
      </c>
      <c r="J165" s="9">
        <f t="shared" si="16"/>
        <v>780.88628098138997</v>
      </c>
      <c r="K165" s="9">
        <f t="shared" si="17"/>
        <v>228.73594732262998</v>
      </c>
      <c r="L165" s="10">
        <f t="shared" si="14"/>
        <v>0.29291838375641949</v>
      </c>
      <c r="M165" s="10">
        <f t="shared" si="18"/>
        <v>0.30267229729279038</v>
      </c>
      <c r="P165" s="8">
        <f t="shared" si="19"/>
        <v>26.48608454685068</v>
      </c>
    </row>
    <row r="166" spans="1:16" x14ac:dyDescent="0.2">
      <c r="A166" s="8">
        <v>82</v>
      </c>
      <c r="B166" s="8">
        <v>164</v>
      </c>
      <c r="D166">
        <v>968.39372822300004</v>
      </c>
      <c r="E166">
        <v>365.72009291521999</v>
      </c>
      <c r="F166">
        <v>141.06096131301001</v>
      </c>
      <c r="G166">
        <v>119.14654161782001</v>
      </c>
      <c r="I166" s="9">
        <f t="shared" si="15"/>
        <v>246.5735512974</v>
      </c>
      <c r="J166" s="9">
        <f t="shared" si="16"/>
        <v>827.33276690999003</v>
      </c>
      <c r="K166" s="9">
        <f t="shared" si="17"/>
        <v>246.5735512974</v>
      </c>
      <c r="L166" s="10">
        <f t="shared" si="14"/>
        <v>0.29803431117363938</v>
      </c>
      <c r="M166" s="10">
        <f t="shared" si="18"/>
        <v>0.30784806467035608</v>
      </c>
      <c r="P166" s="8">
        <f t="shared" si="19"/>
        <v>28.649026302568476</v>
      </c>
    </row>
    <row r="167" spans="1:16" x14ac:dyDescent="0.2">
      <c r="A167" s="8">
        <v>82.5</v>
      </c>
      <c r="B167" s="8">
        <v>165</v>
      </c>
      <c r="D167">
        <v>940.28687572590002</v>
      </c>
      <c r="E167">
        <v>360.65737514518003</v>
      </c>
      <c r="F167">
        <v>141.39038686987001</v>
      </c>
      <c r="G167">
        <v>119.21805392732</v>
      </c>
      <c r="I167" s="9">
        <f t="shared" si="15"/>
        <v>241.43932121786003</v>
      </c>
      <c r="J167" s="9">
        <f t="shared" si="16"/>
        <v>798.89648885603003</v>
      </c>
      <c r="K167" s="9">
        <f t="shared" si="17"/>
        <v>241.43932121786003</v>
      </c>
      <c r="L167" s="10">
        <f t="shared" si="14"/>
        <v>0.30221602496161432</v>
      </c>
      <c r="M167" s="10">
        <f t="shared" si="18"/>
        <v>0.31208961841867688</v>
      </c>
      <c r="P167" s="8">
        <f t="shared" si="19"/>
        <v>30.421562245959205</v>
      </c>
    </row>
    <row r="168" spans="1:16" x14ac:dyDescent="0.2">
      <c r="A168" s="8">
        <v>83</v>
      </c>
      <c r="B168" s="8">
        <v>166</v>
      </c>
      <c r="D168">
        <v>915.74272409778996</v>
      </c>
      <c r="E168">
        <v>354.98952270081998</v>
      </c>
      <c r="F168">
        <v>141.27080890972999</v>
      </c>
      <c r="G168">
        <v>118.75732708088999</v>
      </c>
      <c r="I168" s="9">
        <f t="shared" si="15"/>
        <v>236.23219561993</v>
      </c>
      <c r="J168" s="9">
        <f t="shared" si="16"/>
        <v>774.47191518805994</v>
      </c>
      <c r="K168" s="9">
        <f t="shared" si="17"/>
        <v>236.23219561993</v>
      </c>
      <c r="L168" s="10">
        <f t="shared" si="14"/>
        <v>0.30502357927668339</v>
      </c>
      <c r="M168" s="10">
        <f t="shared" si="18"/>
        <v>0.31495701269409176</v>
      </c>
      <c r="P168" s="8">
        <f t="shared" si="19"/>
        <v>31.619839980635529</v>
      </c>
    </row>
    <row r="169" spans="1:16" x14ac:dyDescent="0.2">
      <c r="A169" s="8">
        <v>83.5</v>
      </c>
      <c r="B169" s="8">
        <v>167</v>
      </c>
      <c r="D169">
        <v>848.28521536670996</v>
      </c>
      <c r="E169">
        <v>333.32712456345001</v>
      </c>
      <c r="F169">
        <v>141.58499413833999</v>
      </c>
      <c r="G169">
        <v>118.51934349355</v>
      </c>
      <c r="I169" s="9">
        <f t="shared" si="15"/>
        <v>214.80778106990002</v>
      </c>
      <c r="J169" s="9">
        <f t="shared" si="16"/>
        <v>706.70022122836997</v>
      </c>
      <c r="K169" s="9">
        <f t="shared" si="17"/>
        <v>214.80778106990002</v>
      </c>
      <c r="L169" s="10">
        <f t="shared" si="14"/>
        <v>0.30395884226062092</v>
      </c>
      <c r="M169" s="10">
        <f t="shared" si="18"/>
        <v>0.31395211563837516</v>
      </c>
      <c r="P169" s="8">
        <f t="shared" si="19"/>
        <v>31.199895720499633</v>
      </c>
    </row>
    <row r="170" spans="1:16" x14ac:dyDescent="0.2">
      <c r="A170" s="8">
        <v>84</v>
      </c>
      <c r="B170" s="8">
        <v>168</v>
      </c>
      <c r="D170">
        <v>976.05471478463005</v>
      </c>
      <c r="E170">
        <v>368.3434225844</v>
      </c>
      <c r="F170">
        <v>141.70222743259001</v>
      </c>
      <c r="G170">
        <v>119.45017584994</v>
      </c>
      <c r="I170" s="9">
        <f t="shared" si="15"/>
        <v>248.89324673446001</v>
      </c>
      <c r="J170" s="9">
        <f t="shared" si="16"/>
        <v>834.35248735204004</v>
      </c>
      <c r="K170" s="9">
        <f t="shared" si="17"/>
        <v>248.89324673446001</v>
      </c>
      <c r="L170" s="10">
        <f t="shared" si="14"/>
        <v>0.29830707106101545</v>
      </c>
      <c r="M170" s="10">
        <f t="shared" si="18"/>
        <v>0.3083601843991155</v>
      </c>
      <c r="P170" s="8">
        <f t="shared" si="19"/>
        <v>28.863040006132866</v>
      </c>
    </row>
    <row r="171" spans="1:16" x14ac:dyDescent="0.2">
      <c r="A171" s="8">
        <v>84.5</v>
      </c>
      <c r="B171" s="8">
        <v>169</v>
      </c>
      <c r="D171">
        <v>921.16357308584998</v>
      </c>
      <c r="E171">
        <v>351.30394431554998</v>
      </c>
      <c r="F171">
        <v>141.44783118405999</v>
      </c>
      <c r="G171">
        <v>118.48300117233001</v>
      </c>
      <c r="I171" s="9">
        <f t="shared" si="15"/>
        <v>232.82094314321998</v>
      </c>
      <c r="J171" s="9">
        <f t="shared" si="16"/>
        <v>779.71574190179001</v>
      </c>
      <c r="K171" s="9">
        <f t="shared" si="17"/>
        <v>232.82094314321998</v>
      </c>
      <c r="L171" s="10">
        <f t="shared" si="14"/>
        <v>0.29859720745838836</v>
      </c>
      <c r="M171" s="10">
        <f t="shared" si="18"/>
        <v>0.30871016075683427</v>
      </c>
      <c r="P171" s="8">
        <f t="shared" si="19"/>
        <v>29.009294353054464</v>
      </c>
    </row>
    <row r="172" spans="1:16" x14ac:dyDescent="0.2">
      <c r="A172" s="8">
        <v>85</v>
      </c>
      <c r="B172" s="8">
        <v>170</v>
      </c>
      <c r="D172">
        <v>1019.1555555556</v>
      </c>
      <c r="E172">
        <v>370.59298245614002</v>
      </c>
      <c r="F172">
        <v>141.90152403283</v>
      </c>
      <c r="G172">
        <v>118.80539273154</v>
      </c>
      <c r="I172" s="9">
        <f t="shared" si="15"/>
        <v>251.78758972460002</v>
      </c>
      <c r="J172" s="9">
        <f t="shared" si="16"/>
        <v>877.25403152276999</v>
      </c>
      <c r="K172" s="9">
        <f t="shared" si="17"/>
        <v>251.78758972460002</v>
      </c>
      <c r="L172" s="10">
        <f t="shared" si="14"/>
        <v>0.28701787700825704</v>
      </c>
      <c r="M172" s="10">
        <f t="shared" si="18"/>
        <v>0.29719067026704876</v>
      </c>
      <c r="P172" s="8">
        <f t="shared" si="19"/>
        <v>24.195324719691659</v>
      </c>
    </row>
    <row r="173" spans="1:16" x14ac:dyDescent="0.2">
      <c r="A173" s="8">
        <v>85.5</v>
      </c>
      <c r="B173" s="8">
        <v>171</v>
      </c>
      <c r="D173">
        <v>954.47455621302004</v>
      </c>
      <c r="E173">
        <v>350.11242603549999</v>
      </c>
      <c r="F173">
        <v>140.87924970692001</v>
      </c>
      <c r="G173">
        <v>118.96483001172</v>
      </c>
      <c r="I173" s="9">
        <f t="shared" si="15"/>
        <v>231.14759602378001</v>
      </c>
      <c r="J173" s="9">
        <f t="shared" si="16"/>
        <v>813.59530650610009</v>
      </c>
      <c r="K173" s="9">
        <f t="shared" si="17"/>
        <v>231.14759602378001</v>
      </c>
      <c r="L173" s="10">
        <f t="shared" si="14"/>
        <v>0.28410635382893146</v>
      </c>
      <c r="M173" s="10">
        <f t="shared" si="18"/>
        <v>0.29433898704806905</v>
      </c>
      <c r="P173" s="8">
        <f t="shared" si="19"/>
        <v>23.003612600799649</v>
      </c>
    </row>
    <row r="174" spans="1:16" x14ac:dyDescent="0.2">
      <c r="A174" s="8">
        <v>86</v>
      </c>
      <c r="B174" s="8">
        <v>172</v>
      </c>
      <c r="D174">
        <v>917.02</v>
      </c>
      <c r="E174">
        <v>336.75529411765001</v>
      </c>
      <c r="F174">
        <v>142.20633059789</v>
      </c>
      <c r="G174">
        <v>118.89566236811</v>
      </c>
      <c r="I174" s="9">
        <f t="shared" si="15"/>
        <v>217.85963174954003</v>
      </c>
      <c r="J174" s="9">
        <f t="shared" si="16"/>
        <v>774.81366940211001</v>
      </c>
      <c r="K174" s="9">
        <f t="shared" si="17"/>
        <v>217.85963174954003</v>
      </c>
      <c r="L174" s="10">
        <f t="shared" si="14"/>
        <v>0.28117680463440048</v>
      </c>
      <c r="M174" s="10">
        <f t="shared" si="18"/>
        <v>0.29146927781388388</v>
      </c>
      <c r="P174" s="8">
        <f t="shared" si="19"/>
        <v>21.804367449966115</v>
      </c>
    </row>
    <row r="175" spans="1:16" x14ac:dyDescent="0.2">
      <c r="A175" s="8">
        <v>86.5</v>
      </c>
      <c r="B175" s="8">
        <v>173</v>
      </c>
      <c r="D175">
        <v>925.46823529411995</v>
      </c>
      <c r="E175">
        <v>337.38117647058999</v>
      </c>
      <c r="F175">
        <v>142.28722157093</v>
      </c>
      <c r="G175">
        <v>119.30832356389</v>
      </c>
      <c r="I175" s="9">
        <f t="shared" si="15"/>
        <v>218.07285290670001</v>
      </c>
      <c r="J175" s="9">
        <f t="shared" si="16"/>
        <v>783.18101372318995</v>
      </c>
      <c r="K175" s="9">
        <f t="shared" si="17"/>
        <v>218.07285290670001</v>
      </c>
      <c r="L175" s="10">
        <f t="shared" si="14"/>
        <v>0.27844501984285386</v>
      </c>
      <c r="M175" s="10">
        <f t="shared" si="18"/>
        <v>0.28879733298268312</v>
      </c>
      <c r="P175" s="8">
        <f t="shared" si="19"/>
        <v>20.687767606350928</v>
      </c>
    </row>
    <row r="176" spans="1:16" x14ac:dyDescent="0.2">
      <c r="A176" s="8">
        <v>87</v>
      </c>
      <c r="B176" s="8">
        <v>174</v>
      </c>
      <c r="D176">
        <v>807.52235294117997</v>
      </c>
      <c r="E176">
        <v>306.10352941177001</v>
      </c>
      <c r="F176">
        <v>141.43845252052</v>
      </c>
      <c r="G176">
        <v>119.101992966</v>
      </c>
      <c r="I176" s="9">
        <f t="shared" si="15"/>
        <v>187.00153644577</v>
      </c>
      <c r="J176" s="9">
        <f t="shared" si="16"/>
        <v>666.08390042066003</v>
      </c>
      <c r="K176" s="9">
        <f t="shared" si="17"/>
        <v>187.00153644577</v>
      </c>
      <c r="L176" s="10">
        <f t="shared" si="14"/>
        <v>0.28074772011104104</v>
      </c>
      <c r="M176" s="10">
        <f t="shared" si="18"/>
        <v>0.29115987321121611</v>
      </c>
      <c r="P176" s="8">
        <f t="shared" si="19"/>
        <v>21.675067949872254</v>
      </c>
    </row>
    <row r="177" spans="1:16" x14ac:dyDescent="0.2">
      <c r="A177" s="8">
        <v>87.5</v>
      </c>
      <c r="B177" s="8">
        <v>175</v>
      </c>
      <c r="D177">
        <v>845.44235294118005</v>
      </c>
      <c r="E177">
        <v>312.39294117647</v>
      </c>
      <c r="F177">
        <v>140.77491207502999</v>
      </c>
      <c r="G177">
        <v>119.16295427902</v>
      </c>
      <c r="I177" s="9">
        <f t="shared" si="15"/>
        <v>193.22998689745</v>
      </c>
      <c r="J177" s="9">
        <f t="shared" si="16"/>
        <v>704.66744086615006</v>
      </c>
      <c r="K177" s="9">
        <f t="shared" si="17"/>
        <v>193.22998689745</v>
      </c>
      <c r="L177" s="10">
        <f t="shared" si="14"/>
        <v>0.27421443888473002</v>
      </c>
      <c r="M177" s="10">
        <f t="shared" si="18"/>
        <v>0.2846864319452509</v>
      </c>
      <c r="P177" s="8">
        <f t="shared" si="19"/>
        <v>18.969831142276739</v>
      </c>
    </row>
    <row r="178" spans="1:16" x14ac:dyDescent="0.2">
      <c r="A178" s="8">
        <v>88</v>
      </c>
      <c r="B178" s="8">
        <v>176</v>
      </c>
      <c r="D178">
        <v>848.66472642608005</v>
      </c>
      <c r="E178">
        <v>320.32828870780003</v>
      </c>
      <c r="F178">
        <v>141.87573270809</v>
      </c>
      <c r="G178">
        <v>119.32590855802999</v>
      </c>
      <c r="I178" s="9">
        <f t="shared" si="15"/>
        <v>201.00238014977003</v>
      </c>
      <c r="J178" s="9">
        <f t="shared" si="16"/>
        <v>706.78899371799002</v>
      </c>
      <c r="K178" s="9">
        <f t="shared" si="17"/>
        <v>201.00238014977003</v>
      </c>
      <c r="L178" s="10">
        <f t="shared" si="14"/>
        <v>0.28438810159227002</v>
      </c>
      <c r="M178" s="10">
        <f t="shared" si="18"/>
        <v>0.29491993461313676</v>
      </c>
      <c r="P178" s="8">
        <f t="shared" si="19"/>
        <v>23.2463893051419</v>
      </c>
    </row>
    <row r="179" spans="1:16" x14ac:dyDescent="0.2">
      <c r="A179" s="8">
        <v>88.5</v>
      </c>
      <c r="B179" s="8">
        <v>177</v>
      </c>
      <c r="D179">
        <v>896.72254335260004</v>
      </c>
      <c r="E179">
        <v>324.64277456647</v>
      </c>
      <c r="F179">
        <v>141.75263774912</v>
      </c>
      <c r="G179">
        <v>119.03634232122</v>
      </c>
      <c r="I179" s="9">
        <f t="shared" si="15"/>
        <v>205.60643224525001</v>
      </c>
      <c r="J179" s="9">
        <f t="shared" si="16"/>
        <v>754.96990560348002</v>
      </c>
      <c r="K179" s="9">
        <f t="shared" si="17"/>
        <v>205.60643224525001</v>
      </c>
      <c r="L179" s="10">
        <f t="shared" si="14"/>
        <v>0.27233725572266343</v>
      </c>
      <c r="M179" s="10">
        <f t="shared" si="18"/>
        <v>0.28292892870387598</v>
      </c>
      <c r="P179" s="8">
        <f t="shared" si="19"/>
        <v>18.235374419384556</v>
      </c>
    </row>
    <row r="180" spans="1:16" x14ac:dyDescent="0.2">
      <c r="A180" s="8">
        <v>89</v>
      </c>
      <c r="B180" s="8">
        <v>178</v>
      </c>
      <c r="D180">
        <v>894.63815028902002</v>
      </c>
      <c r="E180">
        <v>323.72947976878999</v>
      </c>
      <c r="F180">
        <v>141.65416178194999</v>
      </c>
      <c r="G180">
        <v>118.75615474795001</v>
      </c>
      <c r="I180" s="9">
        <f t="shared" si="15"/>
        <v>204.97332502083998</v>
      </c>
      <c r="J180" s="9">
        <f t="shared" si="16"/>
        <v>752.98398850707008</v>
      </c>
      <c r="K180" s="9">
        <f t="shared" si="17"/>
        <v>204.97332502083998</v>
      </c>
      <c r="L180" s="10">
        <f t="shared" si="14"/>
        <v>0.27221471923624496</v>
      </c>
      <c r="M180" s="10">
        <f t="shared" si="18"/>
        <v>0.28286623217780338</v>
      </c>
      <c r="P180" s="8">
        <f t="shared" si="19"/>
        <v>18.209173679612388</v>
      </c>
    </row>
    <row r="181" spans="1:16" x14ac:dyDescent="0.2">
      <c r="A181" s="8">
        <v>89.5</v>
      </c>
      <c r="B181" s="8">
        <v>179</v>
      </c>
      <c r="D181">
        <v>1020.9593023256</v>
      </c>
      <c r="E181">
        <v>349.31627906977002</v>
      </c>
      <c r="F181">
        <v>142.36342321219001</v>
      </c>
      <c r="G181">
        <v>119.51348182884</v>
      </c>
      <c r="I181" s="9">
        <f t="shared" si="15"/>
        <v>229.80279724093003</v>
      </c>
      <c r="J181" s="9">
        <f t="shared" si="16"/>
        <v>878.59587911340998</v>
      </c>
      <c r="K181" s="9">
        <f t="shared" si="17"/>
        <v>229.80279724093003</v>
      </c>
      <c r="L181" s="10">
        <f t="shared" si="14"/>
        <v>0.26155688036327207</v>
      </c>
      <c r="M181" s="10">
        <f t="shared" si="18"/>
        <v>0.2722682332651763</v>
      </c>
      <c r="P181" s="8">
        <f t="shared" si="19"/>
        <v>13.780293341108043</v>
      </c>
    </row>
    <row r="182" spans="1:16" x14ac:dyDescent="0.2">
      <c r="A182" s="8">
        <v>90</v>
      </c>
      <c r="B182" s="8">
        <v>180</v>
      </c>
      <c r="D182">
        <v>961.51451800231996</v>
      </c>
      <c r="E182">
        <v>338.04297328688</v>
      </c>
      <c r="F182">
        <v>140.84056271981001</v>
      </c>
      <c r="G182">
        <v>118.44314185229</v>
      </c>
      <c r="I182" s="9">
        <f t="shared" si="15"/>
        <v>219.59983143458999</v>
      </c>
      <c r="J182" s="9">
        <f t="shared" si="16"/>
        <v>820.67395528250995</v>
      </c>
      <c r="K182" s="9">
        <f t="shared" si="17"/>
        <v>219.59983143458999</v>
      </c>
      <c r="L182" s="10">
        <f t="shared" si="14"/>
        <v>0.26758474546568817</v>
      </c>
      <c r="M182" s="10">
        <f>L182+ABS($N$2)*A182</f>
        <v>0.27835593832793826</v>
      </c>
      <c r="P182" s="8">
        <f t="shared" si="19"/>
        <v>16.324331841334345</v>
      </c>
    </row>
    <row r="183" spans="1:16" x14ac:dyDescent="0.2">
      <c r="A183" s="8">
        <v>90.5</v>
      </c>
      <c r="B183" s="8">
        <v>181</v>
      </c>
      <c r="D183">
        <v>1004.2241579559</v>
      </c>
      <c r="E183">
        <v>347.26248548199999</v>
      </c>
      <c r="F183">
        <v>141.37514654162001</v>
      </c>
      <c r="G183">
        <v>118.75732708088999</v>
      </c>
      <c r="I183" s="9">
        <f t="shared" si="15"/>
        <v>228.50515840111001</v>
      </c>
      <c r="J183" s="9">
        <f t="shared" si="16"/>
        <v>862.84901141427997</v>
      </c>
      <c r="K183" s="9">
        <f t="shared" si="17"/>
        <v>228.50515840111001</v>
      </c>
      <c r="L183" s="10">
        <f t="shared" si="14"/>
        <v>0.26482635475999605</v>
      </c>
      <c r="M183" s="10">
        <f t="shared" ref="M183:M241" si="20">L183+ABS($N$2)*A183</f>
        <v>0.27565738758259195</v>
      </c>
      <c r="P183" s="8">
        <f t="shared" si="19"/>
        <v>15.196613444960413</v>
      </c>
    </row>
    <row r="184" spans="1:16" x14ac:dyDescent="0.2">
      <c r="A184" s="8">
        <v>91</v>
      </c>
      <c r="B184" s="8">
        <v>182</v>
      </c>
      <c r="D184">
        <v>905.72822299652</v>
      </c>
      <c r="E184">
        <v>317.62137049941998</v>
      </c>
      <c r="F184">
        <v>142.03634232121999</v>
      </c>
      <c r="G184">
        <v>119.14302461899</v>
      </c>
      <c r="I184" s="9">
        <f t="shared" si="15"/>
        <v>198.47834588042997</v>
      </c>
      <c r="J184" s="9">
        <f t="shared" si="16"/>
        <v>763.69188067530001</v>
      </c>
      <c r="K184" s="9">
        <f t="shared" si="17"/>
        <v>198.47834588042997</v>
      </c>
      <c r="L184" s="10">
        <f t="shared" si="14"/>
        <v>0.25989322513802826</v>
      </c>
      <c r="M184" s="10">
        <f t="shared" si="20"/>
        <v>0.27078409792097002</v>
      </c>
      <c r="P184" s="8">
        <f t="shared" si="19"/>
        <v>13.160076458673473</v>
      </c>
    </row>
    <row r="185" spans="1:16" x14ac:dyDescent="0.2">
      <c r="A185" s="8">
        <v>91.5</v>
      </c>
      <c r="B185" s="8">
        <v>183</v>
      </c>
      <c r="D185">
        <v>1042.6725146199001</v>
      </c>
      <c r="E185">
        <v>359.78947368421001</v>
      </c>
      <c r="F185">
        <v>142.00351699883001</v>
      </c>
      <c r="G185">
        <v>118.66236811253999</v>
      </c>
      <c r="I185" s="9">
        <f t="shared" si="15"/>
        <v>241.12710557167003</v>
      </c>
      <c r="J185" s="9">
        <f t="shared" si="16"/>
        <v>900.66899762107005</v>
      </c>
      <c r="K185" s="9">
        <f t="shared" si="17"/>
        <v>241.12710557167003</v>
      </c>
      <c r="L185" s="10">
        <f t="shared" si="14"/>
        <v>0.26772000169713528</v>
      </c>
      <c r="M185" s="10">
        <f t="shared" si="20"/>
        <v>0.27867071444042285</v>
      </c>
      <c r="P185" s="8">
        <f t="shared" si="19"/>
        <v>16.455876083516973</v>
      </c>
    </row>
    <row r="186" spans="1:16" x14ac:dyDescent="0.2">
      <c r="A186" s="8">
        <v>92</v>
      </c>
      <c r="B186" s="8">
        <v>184</v>
      </c>
      <c r="D186">
        <v>1001.4362573099</v>
      </c>
      <c r="E186">
        <v>345.11695906432999</v>
      </c>
      <c r="F186">
        <v>140.9449003517</v>
      </c>
      <c r="G186">
        <v>119.5427901524</v>
      </c>
      <c r="I186" s="9">
        <f t="shared" si="15"/>
        <v>225.57416891192997</v>
      </c>
      <c r="J186" s="9">
        <f t="shared" si="16"/>
        <v>860.49135695820007</v>
      </c>
      <c r="K186" s="9">
        <f t="shared" si="17"/>
        <v>225.57416891192997</v>
      </c>
      <c r="L186" s="10">
        <f t="shared" si="14"/>
        <v>0.26214576949305446</v>
      </c>
      <c r="M186" s="10">
        <f t="shared" si="20"/>
        <v>0.27315632219668784</v>
      </c>
      <c r="P186" s="8">
        <f t="shared" si="19"/>
        <v>14.151423744124832</v>
      </c>
    </row>
    <row r="187" spans="1:16" x14ac:dyDescent="0.2">
      <c r="A187" s="8">
        <v>92.5</v>
      </c>
      <c r="B187" s="8">
        <v>185</v>
      </c>
      <c r="D187">
        <v>960.96856810245004</v>
      </c>
      <c r="E187">
        <v>344.70547147846003</v>
      </c>
      <c r="F187">
        <v>141.65650644783</v>
      </c>
      <c r="G187">
        <v>119.18991793668999</v>
      </c>
      <c r="I187" s="9">
        <f t="shared" si="15"/>
        <v>225.51555354177003</v>
      </c>
      <c r="J187" s="9">
        <f t="shared" si="16"/>
        <v>819.31206165462004</v>
      </c>
      <c r="K187" s="9">
        <f t="shared" si="17"/>
        <v>225.51555354177003</v>
      </c>
      <c r="L187" s="10">
        <f t="shared" si="14"/>
        <v>0.27524988840800907</v>
      </c>
      <c r="M187" s="10">
        <f t="shared" si="20"/>
        <v>0.28632028107198831</v>
      </c>
      <c r="P187" s="8">
        <f t="shared" si="19"/>
        <v>19.652613083768379</v>
      </c>
    </row>
    <row r="188" spans="1:16" x14ac:dyDescent="0.2">
      <c r="A188" s="8">
        <v>93</v>
      </c>
      <c r="B188" s="8">
        <v>186</v>
      </c>
      <c r="D188">
        <v>1016.6949941793</v>
      </c>
      <c r="E188">
        <v>359.59604190919998</v>
      </c>
      <c r="F188">
        <v>141.28604923798</v>
      </c>
      <c r="G188">
        <v>119.19109026964</v>
      </c>
      <c r="I188" s="9">
        <f t="shared" si="15"/>
        <v>240.40495163955998</v>
      </c>
      <c r="J188" s="9">
        <f t="shared" si="16"/>
        <v>875.40894494131999</v>
      </c>
      <c r="K188" s="9">
        <f t="shared" si="17"/>
        <v>240.40495163955998</v>
      </c>
      <c r="L188" s="10">
        <f t="shared" si="14"/>
        <v>0.27462016812688006</v>
      </c>
      <c r="M188" s="10">
        <f t="shared" si="20"/>
        <v>0.28575040075120511</v>
      </c>
      <c r="P188" s="8">
        <f t="shared" si="19"/>
        <v>19.414461356369156</v>
      </c>
    </row>
    <row r="189" spans="1:16" x14ac:dyDescent="0.2">
      <c r="A189" s="8">
        <v>93.5</v>
      </c>
      <c r="B189" s="8">
        <v>187</v>
      </c>
      <c r="D189">
        <v>874.75203725261997</v>
      </c>
      <c r="E189">
        <v>314.38998835856</v>
      </c>
      <c r="F189">
        <v>141.93317702227</v>
      </c>
      <c r="G189">
        <v>119.33177022274</v>
      </c>
      <c r="I189" s="9">
        <f t="shared" si="15"/>
        <v>195.05821813582</v>
      </c>
      <c r="J189" s="9">
        <f t="shared" si="16"/>
        <v>732.81886023034997</v>
      </c>
      <c r="K189" s="9">
        <f t="shared" si="17"/>
        <v>195.05821813582</v>
      </c>
      <c r="L189" s="10">
        <f t="shared" si="14"/>
        <v>0.26617521562491792</v>
      </c>
      <c r="M189" s="10">
        <f t="shared" si="20"/>
        <v>0.27736528820958883</v>
      </c>
      <c r="P189" s="8">
        <f t="shared" si="19"/>
        <v>15.910341344857953</v>
      </c>
    </row>
    <row r="190" spans="1:16" x14ac:dyDescent="0.2">
      <c r="A190" s="8">
        <v>94</v>
      </c>
      <c r="B190" s="8">
        <v>188</v>
      </c>
      <c r="D190">
        <v>1009.2988372093</v>
      </c>
      <c r="E190">
        <v>351.41279069767</v>
      </c>
      <c r="F190">
        <v>141.61547479484</v>
      </c>
      <c r="G190">
        <v>119.03634232122</v>
      </c>
      <c r="I190" s="9">
        <f t="shared" si="15"/>
        <v>232.37644837645001</v>
      </c>
      <c r="J190" s="9">
        <f t="shared" si="16"/>
        <v>867.68336241446002</v>
      </c>
      <c r="K190" s="9">
        <f t="shared" si="17"/>
        <v>232.37644837645001</v>
      </c>
      <c r="L190" s="10">
        <f t="shared" si="14"/>
        <v>0.26781249755651354</v>
      </c>
      <c r="M190" s="10">
        <f t="shared" si="20"/>
        <v>0.27906241010153027</v>
      </c>
      <c r="P190" s="8">
        <f t="shared" si="19"/>
        <v>16.619564835182082</v>
      </c>
    </row>
    <row r="191" spans="1:16" x14ac:dyDescent="0.2">
      <c r="A191" s="8">
        <v>94.5</v>
      </c>
      <c r="B191" s="8">
        <v>189</v>
      </c>
      <c r="D191">
        <v>928.97558139534999</v>
      </c>
      <c r="E191">
        <v>325.03953488372002</v>
      </c>
      <c r="F191">
        <v>141.51699882766999</v>
      </c>
      <c r="G191">
        <v>119.16295427902</v>
      </c>
      <c r="I191" s="9">
        <f t="shared" si="15"/>
        <v>205.87658060470002</v>
      </c>
      <c r="J191" s="9">
        <f t="shared" si="16"/>
        <v>787.45858256767997</v>
      </c>
      <c r="K191" s="9">
        <f t="shared" si="17"/>
        <v>205.87658060470002</v>
      </c>
      <c r="L191" s="10">
        <f t="shared" si="14"/>
        <v>0.26144432883491431</v>
      </c>
      <c r="M191" s="10">
        <f t="shared" si="20"/>
        <v>0.2727540813402769</v>
      </c>
      <c r="P191" s="8">
        <f t="shared" si="19"/>
        <v>13.983328178632842</v>
      </c>
    </row>
    <row r="192" spans="1:16" x14ac:dyDescent="0.2">
      <c r="A192" s="8">
        <v>95</v>
      </c>
      <c r="B192" s="8">
        <v>190</v>
      </c>
      <c r="D192">
        <v>879.77093023255998</v>
      </c>
      <c r="E192">
        <v>316.82906976743999</v>
      </c>
      <c r="F192">
        <v>142.32708089097</v>
      </c>
      <c r="G192">
        <v>118.70457209848</v>
      </c>
      <c r="I192" s="9">
        <f t="shared" si="15"/>
        <v>198.12449766895998</v>
      </c>
      <c r="J192" s="9">
        <f t="shared" si="16"/>
        <v>737.44384934158995</v>
      </c>
      <c r="K192" s="9">
        <f t="shared" si="17"/>
        <v>198.12449766895998</v>
      </c>
      <c r="L192" s="10">
        <f t="shared" si="14"/>
        <v>0.26866384179059999</v>
      </c>
      <c r="M192" s="10">
        <f t="shared" si="20"/>
        <v>0.28003343425630839</v>
      </c>
      <c r="P192" s="8">
        <f t="shared" si="19"/>
        <v>17.025353684828566</v>
      </c>
    </row>
    <row r="193" spans="1:16" x14ac:dyDescent="0.2">
      <c r="A193" s="8">
        <v>95.5</v>
      </c>
      <c r="B193" s="8">
        <v>191</v>
      </c>
      <c r="D193">
        <v>1007.7593023255999</v>
      </c>
      <c r="E193">
        <v>351.33720930233</v>
      </c>
      <c r="F193">
        <v>141.85932004688999</v>
      </c>
      <c r="G193">
        <v>119.1184056272</v>
      </c>
      <c r="I193" s="9">
        <f t="shared" si="15"/>
        <v>232.21880367513</v>
      </c>
      <c r="J193" s="9">
        <f t="shared" si="16"/>
        <v>865.89998227871001</v>
      </c>
      <c r="K193" s="9">
        <f t="shared" si="17"/>
        <v>232.21880367513</v>
      </c>
      <c r="L193" s="10">
        <f t="shared" si="14"/>
        <v>0.26818201689301452</v>
      </c>
      <c r="M193" s="10">
        <f t="shared" si="20"/>
        <v>0.27961144931906878</v>
      </c>
      <c r="P193" s="8">
        <f t="shared" si="19"/>
        <v>16.84900711156569</v>
      </c>
    </row>
    <row r="194" spans="1:16" x14ac:dyDescent="0.2">
      <c r="A194" s="8">
        <v>96</v>
      </c>
      <c r="B194" s="8">
        <v>192</v>
      </c>
      <c r="D194">
        <v>963.29084588644002</v>
      </c>
      <c r="E194">
        <v>333.74044032444999</v>
      </c>
      <c r="F194">
        <v>141.48417350528001</v>
      </c>
      <c r="G194">
        <v>118.58264947245</v>
      </c>
      <c r="I194" s="9">
        <f t="shared" si="15"/>
        <v>215.15779085200001</v>
      </c>
      <c r="J194" s="9">
        <f t="shared" si="16"/>
        <v>821.80667238116007</v>
      </c>
      <c r="K194" s="9">
        <f t="shared" si="17"/>
        <v>215.15779085200001</v>
      </c>
      <c r="L194" s="10">
        <f t="shared" ref="L194:L257" si="21">K194/J194</f>
        <v>0.26181071300940739</v>
      </c>
      <c r="M194" s="10">
        <f t="shared" si="20"/>
        <v>0.27329998539580747</v>
      </c>
      <c r="P194" s="8">
        <f t="shared" si="19"/>
        <v>14.211460277737745</v>
      </c>
    </row>
    <row r="195" spans="1:16" x14ac:dyDescent="0.2">
      <c r="A195" s="8">
        <v>96.5</v>
      </c>
      <c r="B195" s="8">
        <v>193</v>
      </c>
      <c r="D195">
        <v>937.55040556199003</v>
      </c>
      <c r="E195">
        <v>321.02780996524001</v>
      </c>
      <c r="F195">
        <v>141.60961313012999</v>
      </c>
      <c r="G195">
        <v>119.24501758498999</v>
      </c>
      <c r="I195" s="9">
        <f t="shared" ref="I195:I241" si="22">E195-G195</f>
        <v>201.78279238025002</v>
      </c>
      <c r="J195" s="9">
        <f t="shared" ref="J195:J241" si="23">D195-F195</f>
        <v>795.94079243186002</v>
      </c>
      <c r="K195" s="9">
        <f t="shared" ref="K195:K258" si="24">I195*1</f>
        <v>201.78279238025002</v>
      </c>
      <c r="L195" s="10">
        <f t="shared" si="21"/>
        <v>0.25351482710634471</v>
      </c>
      <c r="M195" s="10">
        <f t="shared" si="20"/>
        <v>0.26506393945309059</v>
      </c>
      <c r="P195" s="8">
        <f t="shared" ref="P195:P241" si="25">(M195-$O$2)/$O$2*100</f>
        <v>10.769634868673302</v>
      </c>
    </row>
    <row r="196" spans="1:16" x14ac:dyDescent="0.2">
      <c r="A196" s="8">
        <v>97</v>
      </c>
      <c r="B196" s="8">
        <v>194</v>
      </c>
      <c r="D196">
        <v>939.80996523754004</v>
      </c>
      <c r="E196">
        <v>320.36964078795</v>
      </c>
      <c r="F196">
        <v>142.11137162954</v>
      </c>
      <c r="G196">
        <v>119.2203985932</v>
      </c>
      <c r="I196" s="9">
        <f t="shared" si="22"/>
        <v>201.14924219475</v>
      </c>
      <c r="J196" s="9">
        <f t="shared" si="23"/>
        <v>797.69859360800001</v>
      </c>
      <c r="K196" s="9">
        <f t="shared" si="24"/>
        <v>201.14924219475</v>
      </c>
      <c r="L196" s="10">
        <f t="shared" si="21"/>
        <v>0.25216196168147875</v>
      </c>
      <c r="M196" s="10">
        <f t="shared" si="20"/>
        <v>0.2637709139885705</v>
      </c>
      <c r="P196" s="8">
        <f t="shared" si="25"/>
        <v>10.229282382868139</v>
      </c>
    </row>
    <row r="197" spans="1:16" x14ac:dyDescent="0.2">
      <c r="A197" s="8">
        <v>97.5</v>
      </c>
      <c r="B197" s="8">
        <v>195</v>
      </c>
      <c r="D197">
        <v>929.14600231750001</v>
      </c>
      <c r="E197">
        <v>316.70915411355998</v>
      </c>
      <c r="F197">
        <v>142.12426729191</v>
      </c>
      <c r="G197">
        <v>119.05392731536</v>
      </c>
      <c r="I197" s="9">
        <f t="shared" si="22"/>
        <v>197.65522679819998</v>
      </c>
      <c r="J197" s="9">
        <f t="shared" si="23"/>
        <v>787.02173502559003</v>
      </c>
      <c r="K197" s="9">
        <f t="shared" si="24"/>
        <v>197.65522679819998</v>
      </c>
      <c r="L197" s="10">
        <f t="shared" si="21"/>
        <v>0.2511432886815676</v>
      </c>
      <c r="M197" s="10">
        <f t="shared" si="20"/>
        <v>0.26281208094900516</v>
      </c>
      <c r="P197" s="8">
        <f t="shared" si="25"/>
        <v>9.828588173343384</v>
      </c>
    </row>
    <row r="198" spans="1:16" x14ac:dyDescent="0.2">
      <c r="A198" s="8">
        <v>98</v>
      </c>
      <c r="B198" s="8">
        <v>196</v>
      </c>
      <c r="D198">
        <v>981.17265353417997</v>
      </c>
      <c r="E198">
        <v>334.84241019698999</v>
      </c>
      <c r="F198">
        <v>141.51465416177999</v>
      </c>
      <c r="G198">
        <v>118.82180539273</v>
      </c>
      <c r="I198" s="9">
        <f t="shared" si="22"/>
        <v>216.02060480425999</v>
      </c>
      <c r="J198" s="9">
        <f t="shared" si="23"/>
        <v>839.65799937240001</v>
      </c>
      <c r="K198" s="9">
        <f t="shared" si="24"/>
        <v>216.02060480425999</v>
      </c>
      <c r="L198" s="10">
        <f t="shared" si="21"/>
        <v>0.25727213337540283</v>
      </c>
      <c r="M198" s="10">
        <f t="shared" si="20"/>
        <v>0.26900076560318625</v>
      </c>
      <c r="P198" s="8">
        <f t="shared" si="25"/>
        <v>12.41482582179696</v>
      </c>
    </row>
    <row r="199" spans="1:16" x14ac:dyDescent="0.2">
      <c r="A199" s="8">
        <v>98.5</v>
      </c>
      <c r="B199" s="8">
        <v>197</v>
      </c>
      <c r="D199">
        <v>965.84241019699004</v>
      </c>
      <c r="E199">
        <v>329.60370799536997</v>
      </c>
      <c r="F199">
        <v>142.36694021101999</v>
      </c>
      <c r="G199">
        <v>119.19226260258</v>
      </c>
      <c r="I199" s="9">
        <f t="shared" si="22"/>
        <v>210.41144539278997</v>
      </c>
      <c r="J199" s="9">
        <f t="shared" si="23"/>
        <v>823.47546998596999</v>
      </c>
      <c r="K199" s="9">
        <f t="shared" si="24"/>
        <v>210.41144539278997</v>
      </c>
      <c r="L199" s="10">
        <f t="shared" si="21"/>
        <v>0.25551634877038276</v>
      </c>
      <c r="M199" s="10">
        <f t="shared" si="20"/>
        <v>0.26730482095851199</v>
      </c>
      <c r="P199" s="8">
        <f t="shared" si="25"/>
        <v>11.706094300505674</v>
      </c>
    </row>
    <row r="200" spans="1:16" x14ac:dyDescent="0.2">
      <c r="A200" s="8">
        <v>99</v>
      </c>
      <c r="B200" s="8">
        <v>198</v>
      </c>
      <c r="D200">
        <v>937.03707995365005</v>
      </c>
      <c r="E200">
        <v>316.19814600232002</v>
      </c>
      <c r="F200">
        <v>142.16295427902</v>
      </c>
      <c r="G200">
        <v>119.36928487691</v>
      </c>
      <c r="I200" s="9">
        <f t="shared" si="22"/>
        <v>196.82886112541001</v>
      </c>
      <c r="J200" s="9">
        <f t="shared" si="23"/>
        <v>794.87412567463002</v>
      </c>
      <c r="K200" s="9">
        <f t="shared" si="24"/>
        <v>196.82886112541001</v>
      </c>
      <c r="L200" s="10">
        <f t="shared" si="21"/>
        <v>0.24762267982789893</v>
      </c>
      <c r="M200" s="10">
        <f t="shared" si="20"/>
        <v>0.25947099197637402</v>
      </c>
      <c r="P200" s="8">
        <f t="shared" si="25"/>
        <v>8.432354470917792</v>
      </c>
    </row>
    <row r="201" spans="1:16" x14ac:dyDescent="0.2">
      <c r="A201" s="8">
        <v>99.5</v>
      </c>
      <c r="B201" s="8">
        <v>199</v>
      </c>
      <c r="D201">
        <v>936.31981460022996</v>
      </c>
      <c r="E201">
        <v>311.68597914253002</v>
      </c>
      <c r="F201">
        <v>142.07268464244001</v>
      </c>
      <c r="G201">
        <v>118.98827667057</v>
      </c>
      <c r="I201" s="9">
        <f t="shared" si="22"/>
        <v>192.69770247196001</v>
      </c>
      <c r="J201" s="9">
        <f t="shared" si="23"/>
        <v>794.24712995778998</v>
      </c>
      <c r="K201" s="9">
        <f t="shared" si="24"/>
        <v>192.69770247196001</v>
      </c>
      <c r="L201" s="10">
        <f t="shared" si="21"/>
        <v>0.24261680678934386</v>
      </c>
      <c r="M201" s="10">
        <f t="shared" si="20"/>
        <v>0.25452495889816479</v>
      </c>
      <c r="P201" s="8">
        <f t="shared" si="25"/>
        <v>6.3654181715024736</v>
      </c>
    </row>
    <row r="202" spans="1:16" x14ac:dyDescent="0.2">
      <c r="A202" s="8">
        <v>100</v>
      </c>
      <c r="B202" s="8">
        <v>200</v>
      </c>
      <c r="D202">
        <v>989.02665121668997</v>
      </c>
      <c r="E202">
        <v>329.26303592121002</v>
      </c>
      <c r="F202">
        <v>142.07033997655</v>
      </c>
      <c r="G202">
        <v>118.96014067995</v>
      </c>
      <c r="I202" s="9">
        <f t="shared" si="22"/>
        <v>210.30289524126002</v>
      </c>
      <c r="J202" s="9">
        <f t="shared" si="23"/>
        <v>846.95631124013994</v>
      </c>
      <c r="K202" s="9">
        <f t="shared" si="24"/>
        <v>210.30289524126002</v>
      </c>
      <c r="L202" s="10">
        <f t="shared" si="21"/>
        <v>0.24830430147374183</v>
      </c>
      <c r="M202" s="10">
        <f t="shared" si="20"/>
        <v>0.26027229354290859</v>
      </c>
      <c r="P202" s="8">
        <f t="shared" si="25"/>
        <v>8.7672166257920825</v>
      </c>
    </row>
    <row r="203" spans="1:16" x14ac:dyDescent="0.2">
      <c r="A203" s="8">
        <v>100.5</v>
      </c>
      <c r="B203" s="8">
        <v>201</v>
      </c>
      <c r="D203">
        <v>1022.0186697783</v>
      </c>
      <c r="E203">
        <v>336.90781796966002</v>
      </c>
      <c r="F203">
        <v>141.96834701054999</v>
      </c>
      <c r="G203">
        <v>119.22157092614</v>
      </c>
      <c r="I203" s="9">
        <f t="shared" si="22"/>
        <v>217.68624704352001</v>
      </c>
      <c r="J203" s="9">
        <f t="shared" si="23"/>
        <v>880.05032276775</v>
      </c>
      <c r="K203" s="9">
        <f t="shared" si="24"/>
        <v>217.68624704352001</v>
      </c>
      <c r="L203" s="10">
        <f t="shared" si="21"/>
        <v>0.2473565901991818</v>
      </c>
      <c r="M203" s="10">
        <f t="shared" si="20"/>
        <v>0.2593844222286944</v>
      </c>
      <c r="P203" s="8">
        <f t="shared" si="25"/>
        <v>8.3961771645632179</v>
      </c>
    </row>
    <row r="204" spans="1:16" x14ac:dyDescent="0.2">
      <c r="A204" s="8">
        <v>101</v>
      </c>
      <c r="B204" s="8">
        <v>202</v>
      </c>
      <c r="D204">
        <v>951.69661610267997</v>
      </c>
      <c r="E204">
        <v>322.68728121354002</v>
      </c>
      <c r="F204">
        <v>141.83118405626999</v>
      </c>
      <c r="G204">
        <v>119.08558030480999</v>
      </c>
      <c r="I204" s="9">
        <f t="shared" si="22"/>
        <v>203.60170090873004</v>
      </c>
      <c r="J204" s="9">
        <f t="shared" si="23"/>
        <v>809.86543204640998</v>
      </c>
      <c r="K204" s="9">
        <f t="shared" si="24"/>
        <v>203.60170090873004</v>
      </c>
      <c r="L204" s="10">
        <f t="shared" si="21"/>
        <v>0.25140189079839931</v>
      </c>
      <c r="M204" s="10">
        <f t="shared" si="20"/>
        <v>0.26348956278825775</v>
      </c>
      <c r="P204" s="8">
        <f t="shared" si="25"/>
        <v>10.111706337658783</v>
      </c>
    </row>
    <row r="205" spans="1:16" x14ac:dyDescent="0.2">
      <c r="A205" s="8">
        <v>101.5</v>
      </c>
      <c r="B205" s="8">
        <v>203</v>
      </c>
      <c r="D205">
        <v>953.22340425532002</v>
      </c>
      <c r="E205">
        <v>331.32387706856002</v>
      </c>
      <c r="F205">
        <v>141.53341148886</v>
      </c>
      <c r="G205">
        <v>119.08792497069</v>
      </c>
      <c r="I205" s="9">
        <f t="shared" si="22"/>
        <v>212.23595209787004</v>
      </c>
      <c r="J205" s="9">
        <f t="shared" si="23"/>
        <v>811.68999276646002</v>
      </c>
      <c r="K205" s="9">
        <f t="shared" si="24"/>
        <v>212.23595209787004</v>
      </c>
      <c r="L205" s="10">
        <f t="shared" si="21"/>
        <v>0.26147415144852565</v>
      </c>
      <c r="M205" s="10">
        <f t="shared" si="20"/>
        <v>0.2736216633987299</v>
      </c>
      <c r="P205" s="8">
        <f t="shared" si="25"/>
        <v>14.34588880469061</v>
      </c>
    </row>
    <row r="206" spans="1:16" x14ac:dyDescent="0.2">
      <c r="A206" s="8">
        <v>102</v>
      </c>
      <c r="B206" s="8">
        <v>204</v>
      </c>
      <c r="D206">
        <v>970.84869976359005</v>
      </c>
      <c r="E206">
        <v>337.29905437351999</v>
      </c>
      <c r="F206">
        <v>141.71629542790001</v>
      </c>
      <c r="G206">
        <v>118.83118405627</v>
      </c>
      <c r="I206" s="9">
        <f t="shared" si="22"/>
        <v>218.46787031725</v>
      </c>
      <c r="J206" s="9">
        <f t="shared" si="23"/>
        <v>829.13240433569001</v>
      </c>
      <c r="K206" s="9">
        <f t="shared" si="24"/>
        <v>218.46787031725</v>
      </c>
      <c r="L206" s="10">
        <f t="shared" si="21"/>
        <v>0.2634897263390506</v>
      </c>
      <c r="M206" s="10">
        <f t="shared" si="20"/>
        <v>0.27569707824960066</v>
      </c>
      <c r="P206" s="8">
        <f t="shared" si="25"/>
        <v>15.213200087041262</v>
      </c>
    </row>
    <row r="207" spans="1:16" x14ac:dyDescent="0.2">
      <c r="A207" s="8">
        <v>102.5</v>
      </c>
      <c r="B207" s="8">
        <v>205</v>
      </c>
      <c r="D207">
        <v>973.12529550827003</v>
      </c>
      <c r="E207">
        <v>333.05200945627001</v>
      </c>
      <c r="F207">
        <v>142.22391559203001</v>
      </c>
      <c r="G207">
        <v>119.28722157093</v>
      </c>
      <c r="I207" s="9">
        <f t="shared" si="22"/>
        <v>213.76478788534001</v>
      </c>
      <c r="J207" s="9">
        <f t="shared" si="23"/>
        <v>830.90137991623999</v>
      </c>
      <c r="K207" s="9">
        <f t="shared" si="24"/>
        <v>213.76478788534001</v>
      </c>
      <c r="L207" s="10">
        <f t="shared" si="21"/>
        <v>0.25726854359886708</v>
      </c>
      <c r="M207" s="10">
        <f t="shared" si="20"/>
        <v>0.269535735469763</v>
      </c>
      <c r="P207" s="8">
        <f t="shared" si="25"/>
        <v>12.638388547487667</v>
      </c>
    </row>
    <row r="208" spans="1:16" x14ac:dyDescent="0.2">
      <c r="A208" s="8">
        <v>103</v>
      </c>
      <c r="B208" s="8">
        <v>206</v>
      </c>
      <c r="D208">
        <v>985.74940898345005</v>
      </c>
      <c r="E208">
        <v>341.86052009456</v>
      </c>
      <c r="F208">
        <v>141.74208675264001</v>
      </c>
      <c r="G208">
        <v>118.92614302462</v>
      </c>
      <c r="I208" s="9">
        <f t="shared" si="22"/>
        <v>222.93437706994001</v>
      </c>
      <c r="J208" s="9">
        <f t="shared" si="23"/>
        <v>844.00732223081002</v>
      </c>
      <c r="K208" s="9">
        <f t="shared" si="24"/>
        <v>222.93437706994001</v>
      </c>
      <c r="L208" s="10">
        <f t="shared" si="21"/>
        <v>0.26413796562889807</v>
      </c>
      <c r="M208" s="10">
        <f t="shared" si="20"/>
        <v>0.27646499746013981</v>
      </c>
      <c r="P208" s="8">
        <f t="shared" si="25"/>
        <v>15.534111829074416</v>
      </c>
    </row>
    <row r="209" spans="1:16" x14ac:dyDescent="0.2">
      <c r="A209" s="8">
        <v>103.5</v>
      </c>
      <c r="B209" s="8">
        <v>207</v>
      </c>
      <c r="D209">
        <v>908.81176470588002</v>
      </c>
      <c r="E209">
        <v>325.40941176471</v>
      </c>
      <c r="F209">
        <v>141.96131301290001</v>
      </c>
      <c r="G209">
        <v>119.4572098476</v>
      </c>
      <c r="I209" s="9">
        <f t="shared" si="22"/>
        <v>205.95220191711002</v>
      </c>
      <c r="J209" s="9">
        <f t="shared" si="23"/>
        <v>766.85045169297996</v>
      </c>
      <c r="K209" s="9">
        <f t="shared" si="24"/>
        <v>205.95220191711002</v>
      </c>
      <c r="L209" s="10">
        <f t="shared" si="21"/>
        <v>0.26856892561310775</v>
      </c>
      <c r="M209" s="10">
        <f t="shared" si="20"/>
        <v>0.28095579740469534</v>
      </c>
      <c r="P209" s="8">
        <f t="shared" si="25"/>
        <v>17.410807207378447</v>
      </c>
    </row>
    <row r="210" spans="1:16" x14ac:dyDescent="0.2">
      <c r="A210" s="8">
        <v>104</v>
      </c>
      <c r="B210" s="8">
        <v>208</v>
      </c>
      <c r="D210">
        <v>891.04117647059002</v>
      </c>
      <c r="E210">
        <v>322.39411764706</v>
      </c>
      <c r="F210">
        <v>141.84994138335</v>
      </c>
      <c r="G210">
        <v>118.97772567409</v>
      </c>
      <c r="I210" s="9">
        <f t="shared" si="22"/>
        <v>203.41639197297002</v>
      </c>
      <c r="J210" s="9">
        <f t="shared" si="23"/>
        <v>749.19123508723999</v>
      </c>
      <c r="K210" s="9">
        <f t="shared" si="24"/>
        <v>203.41639197297002</v>
      </c>
      <c r="L210" s="10">
        <f t="shared" si="21"/>
        <v>0.27151464465448943</v>
      </c>
      <c r="M210" s="10">
        <f t="shared" si="20"/>
        <v>0.28396135640642284</v>
      </c>
      <c r="P210" s="8">
        <f t="shared" si="25"/>
        <v>18.666823676025736</v>
      </c>
    </row>
    <row r="211" spans="1:16" x14ac:dyDescent="0.2">
      <c r="A211" s="8">
        <v>104.5</v>
      </c>
      <c r="B211" s="8">
        <v>209</v>
      </c>
      <c r="D211">
        <v>908.74275782154996</v>
      </c>
      <c r="E211">
        <v>320.84009269988002</v>
      </c>
      <c r="F211">
        <v>142.66236811254001</v>
      </c>
      <c r="G211">
        <v>119.45838218054</v>
      </c>
      <c r="I211" s="9">
        <f t="shared" si="22"/>
        <v>201.38171051934</v>
      </c>
      <c r="J211" s="9">
        <f t="shared" si="23"/>
        <v>766.08038970900998</v>
      </c>
      <c r="K211" s="9">
        <f t="shared" si="24"/>
        <v>201.38171051934</v>
      </c>
      <c r="L211" s="10">
        <f t="shared" si="21"/>
        <v>0.26287281755878567</v>
      </c>
      <c r="M211" s="10">
        <f t="shared" si="20"/>
        <v>0.27537936927106493</v>
      </c>
      <c r="P211" s="8">
        <f t="shared" si="25"/>
        <v>15.080430206613491</v>
      </c>
    </row>
    <row r="212" spans="1:16" x14ac:dyDescent="0.2">
      <c r="A212" s="8">
        <v>105</v>
      </c>
      <c r="B212" s="8">
        <v>210</v>
      </c>
      <c r="D212">
        <v>862.89803012745995</v>
      </c>
      <c r="E212">
        <v>316.35110081111998</v>
      </c>
      <c r="F212">
        <v>141.45134818288</v>
      </c>
      <c r="G212">
        <v>119.25908558031</v>
      </c>
      <c r="I212" s="9">
        <f t="shared" si="22"/>
        <v>197.09201523080998</v>
      </c>
      <c r="J212" s="9">
        <f t="shared" si="23"/>
        <v>721.44668194457995</v>
      </c>
      <c r="K212" s="9">
        <f t="shared" si="24"/>
        <v>197.09201523080998</v>
      </c>
      <c r="L212" s="10">
        <f t="shared" si="21"/>
        <v>0.27318999471945754</v>
      </c>
      <c r="M212" s="10">
        <f t="shared" si="20"/>
        <v>0.28575638639208262</v>
      </c>
      <c r="P212" s="8">
        <f t="shared" si="25"/>
        <v>19.416962742471785</v>
      </c>
    </row>
    <row r="213" spans="1:16" x14ac:dyDescent="0.2">
      <c r="A213" s="8">
        <v>105.5</v>
      </c>
      <c r="B213" s="8">
        <v>211</v>
      </c>
      <c r="D213">
        <v>970.17169373549996</v>
      </c>
      <c r="E213">
        <v>338.96403712297001</v>
      </c>
      <c r="F213">
        <v>142.13481828838999</v>
      </c>
      <c r="G213">
        <v>119.26377491208</v>
      </c>
      <c r="I213" s="9">
        <f t="shared" si="22"/>
        <v>219.70026221089</v>
      </c>
      <c r="J213" s="9">
        <f t="shared" si="23"/>
        <v>828.03687544710999</v>
      </c>
      <c r="K213" s="9">
        <f t="shared" si="24"/>
        <v>219.70026221089</v>
      </c>
      <c r="L213" s="10">
        <f t="shared" si="21"/>
        <v>0.26532666445834285</v>
      </c>
      <c r="M213" s="10">
        <f t="shared" si="20"/>
        <v>0.27795289609131379</v>
      </c>
      <c r="P213" s="8">
        <f t="shared" si="25"/>
        <v>16.155901380821078</v>
      </c>
    </row>
    <row r="214" spans="1:16" x14ac:dyDescent="0.2">
      <c r="A214" s="8">
        <v>106</v>
      </c>
      <c r="B214" s="8">
        <v>212</v>
      </c>
      <c r="D214">
        <v>925.23210161662996</v>
      </c>
      <c r="E214">
        <v>334.06120092379001</v>
      </c>
      <c r="F214">
        <v>141.49824150059001</v>
      </c>
      <c r="G214">
        <v>119.24501758498999</v>
      </c>
      <c r="I214" s="9">
        <f t="shared" si="22"/>
        <v>214.81618333880002</v>
      </c>
      <c r="J214" s="9">
        <f t="shared" si="23"/>
        <v>783.73386011603998</v>
      </c>
      <c r="K214" s="9">
        <f t="shared" si="24"/>
        <v>214.81618333880002</v>
      </c>
      <c r="L214" s="10">
        <f t="shared" si="21"/>
        <v>0.2740932786890109</v>
      </c>
      <c r="M214" s="10">
        <f t="shared" si="20"/>
        <v>0.28677935028232765</v>
      </c>
      <c r="P214" s="8">
        <f t="shared" si="25"/>
        <v>19.84445709285411</v>
      </c>
    </row>
    <row r="215" spans="1:16" x14ac:dyDescent="0.2">
      <c r="A215" s="8">
        <v>106.5</v>
      </c>
      <c r="B215" s="8">
        <v>213</v>
      </c>
      <c r="D215">
        <v>900.90531177828996</v>
      </c>
      <c r="E215">
        <v>325.97344110854999</v>
      </c>
      <c r="F215">
        <v>142.26846424384999</v>
      </c>
      <c r="G215">
        <v>119.55099648300001</v>
      </c>
      <c r="I215" s="9">
        <f t="shared" si="22"/>
        <v>206.42244462554999</v>
      </c>
      <c r="J215" s="9">
        <f t="shared" si="23"/>
        <v>758.63684753443999</v>
      </c>
      <c r="K215" s="9">
        <f t="shared" si="24"/>
        <v>206.42244462554999</v>
      </c>
      <c r="L215" s="10">
        <f t="shared" si="21"/>
        <v>0.27209651798013801</v>
      </c>
      <c r="M215" s="10">
        <f t="shared" si="20"/>
        <v>0.28484242953380057</v>
      </c>
      <c r="P215" s="8">
        <f t="shared" si="25"/>
        <v>19.035022189990336</v>
      </c>
    </row>
    <row r="216" spans="1:16" x14ac:dyDescent="0.2">
      <c r="A216" s="8">
        <v>107</v>
      </c>
      <c r="B216" s="8">
        <v>214</v>
      </c>
      <c r="D216">
        <v>861.44864226682</v>
      </c>
      <c r="E216">
        <v>320.43211334120002</v>
      </c>
      <c r="F216">
        <v>142.08792497069001</v>
      </c>
      <c r="G216">
        <v>119.15123094959</v>
      </c>
      <c r="I216" s="9">
        <f t="shared" si="22"/>
        <v>201.28088239161002</v>
      </c>
      <c r="J216" s="9">
        <f t="shared" si="23"/>
        <v>719.36071729613002</v>
      </c>
      <c r="K216" s="9">
        <f t="shared" si="24"/>
        <v>201.28088239161002</v>
      </c>
      <c r="L216" s="10">
        <f t="shared" si="21"/>
        <v>0.27980521809443104</v>
      </c>
      <c r="M216" s="10">
        <f t="shared" si="20"/>
        <v>0.29261096960843946</v>
      </c>
      <c r="P216" s="8">
        <f t="shared" si="25"/>
        <v>22.281477929333544</v>
      </c>
    </row>
    <row r="217" spans="1:16" x14ac:dyDescent="0.2">
      <c r="A217" s="8">
        <v>107.5</v>
      </c>
      <c r="B217" s="8">
        <v>215</v>
      </c>
      <c r="D217">
        <v>881.84651711924005</v>
      </c>
      <c r="E217">
        <v>326.73553719007998</v>
      </c>
      <c r="F217">
        <v>141.81477139507999</v>
      </c>
      <c r="G217">
        <v>118.70222743259001</v>
      </c>
      <c r="I217" s="9">
        <f t="shared" si="22"/>
        <v>208.03330975748997</v>
      </c>
      <c r="J217" s="9">
        <f t="shared" si="23"/>
        <v>740.03174572416003</v>
      </c>
      <c r="K217" s="9">
        <f t="shared" si="24"/>
        <v>208.03330975748997</v>
      </c>
      <c r="L217" s="10">
        <f t="shared" si="21"/>
        <v>0.28111403457958201</v>
      </c>
      <c r="M217" s="10">
        <f t="shared" si="20"/>
        <v>0.29397962605393624</v>
      </c>
      <c r="P217" s="8">
        <f t="shared" si="25"/>
        <v>22.85343643504784</v>
      </c>
    </row>
    <row r="218" spans="1:16" x14ac:dyDescent="0.2">
      <c r="A218" s="8">
        <v>108</v>
      </c>
      <c r="B218" s="8">
        <v>216</v>
      </c>
      <c r="D218">
        <v>847.42325581395005</v>
      </c>
      <c r="E218">
        <v>316.77325581395002</v>
      </c>
      <c r="F218">
        <v>142.03985932005</v>
      </c>
      <c r="G218">
        <v>119.03516998828</v>
      </c>
      <c r="I218" s="9">
        <f t="shared" si="22"/>
        <v>197.73808582567</v>
      </c>
      <c r="J218" s="9">
        <f t="shared" si="23"/>
        <v>705.38339649390002</v>
      </c>
      <c r="K218" s="9">
        <f t="shared" si="24"/>
        <v>197.73808582567</v>
      </c>
      <c r="L218" s="10">
        <f t="shared" si="21"/>
        <v>0.28032710552661838</v>
      </c>
      <c r="M218" s="10">
        <f t="shared" si="20"/>
        <v>0.29325253696131848</v>
      </c>
      <c r="P218" s="8">
        <f t="shared" si="25"/>
        <v>22.54958750911532</v>
      </c>
    </row>
    <row r="219" spans="1:16" x14ac:dyDescent="0.2">
      <c r="A219" s="8">
        <v>108.5</v>
      </c>
      <c r="B219" s="8">
        <v>217</v>
      </c>
      <c r="D219">
        <v>1002.0940766551</v>
      </c>
      <c r="E219">
        <v>343.98025551683997</v>
      </c>
      <c r="F219">
        <v>142.48534583822001</v>
      </c>
      <c r="G219">
        <v>119.10433763189</v>
      </c>
      <c r="I219" s="9">
        <f t="shared" si="22"/>
        <v>224.87591788494996</v>
      </c>
      <c r="J219" s="9">
        <f t="shared" si="23"/>
        <v>859.60873081687998</v>
      </c>
      <c r="K219" s="9">
        <f t="shared" si="24"/>
        <v>224.87591788494996</v>
      </c>
      <c r="L219" s="10">
        <f t="shared" si="21"/>
        <v>0.26160264527705762</v>
      </c>
      <c r="M219" s="10">
        <f t="shared" si="20"/>
        <v>0.27458791667210353</v>
      </c>
      <c r="P219" s="8">
        <f t="shared" si="25"/>
        <v>14.749683913535277</v>
      </c>
    </row>
    <row r="220" spans="1:16" x14ac:dyDescent="0.2">
      <c r="A220" s="8">
        <v>109</v>
      </c>
      <c r="B220" s="8">
        <v>218</v>
      </c>
      <c r="D220">
        <v>923.79214780601001</v>
      </c>
      <c r="E220">
        <v>330.06004618937999</v>
      </c>
      <c r="F220">
        <v>142.12309495897</v>
      </c>
      <c r="G220">
        <v>119.62954279015</v>
      </c>
      <c r="I220" s="9">
        <f t="shared" si="22"/>
        <v>210.43050339922999</v>
      </c>
      <c r="J220" s="9">
        <f t="shared" si="23"/>
        <v>781.66905284704001</v>
      </c>
      <c r="K220" s="9">
        <f t="shared" si="24"/>
        <v>210.43050339922999</v>
      </c>
      <c r="L220" s="10">
        <f t="shared" si="21"/>
        <v>0.26920664523277199</v>
      </c>
      <c r="M220" s="10">
        <f t="shared" si="20"/>
        <v>0.28225175658816376</v>
      </c>
      <c r="P220" s="8">
        <f t="shared" si="25"/>
        <v>17.952385687852612</v>
      </c>
    </row>
    <row r="221" spans="1:16" x14ac:dyDescent="0.2">
      <c r="A221" s="8">
        <v>109.5</v>
      </c>
      <c r="B221" s="8">
        <v>219</v>
      </c>
      <c r="D221">
        <v>906.37990762125003</v>
      </c>
      <c r="E221">
        <v>324.63510392609999</v>
      </c>
      <c r="F221">
        <v>141.54279015239999</v>
      </c>
      <c r="G221">
        <v>119.10902696366</v>
      </c>
      <c r="I221" s="9">
        <f t="shared" si="22"/>
        <v>205.52607696243999</v>
      </c>
      <c r="J221" s="9">
        <f t="shared" si="23"/>
        <v>764.83711746885001</v>
      </c>
      <c r="K221" s="9">
        <f t="shared" si="24"/>
        <v>205.52607696243999</v>
      </c>
      <c r="L221" s="10">
        <f t="shared" si="21"/>
        <v>0.26871875366431935</v>
      </c>
      <c r="M221" s="10">
        <f t="shared" si="20"/>
        <v>0.28182370498005693</v>
      </c>
      <c r="P221" s="8">
        <f t="shared" si="25"/>
        <v>17.773503866233369</v>
      </c>
    </row>
    <row r="222" spans="1:16" x14ac:dyDescent="0.2">
      <c r="A222" s="8">
        <v>110</v>
      </c>
      <c r="B222" s="8">
        <v>220</v>
      </c>
      <c r="D222">
        <v>913.25404157043999</v>
      </c>
      <c r="E222">
        <v>327.17551963048999</v>
      </c>
      <c r="F222">
        <v>142.39507620163999</v>
      </c>
      <c r="G222">
        <v>118.70574443142</v>
      </c>
      <c r="I222" s="9">
        <f t="shared" si="22"/>
        <v>208.46977519907</v>
      </c>
      <c r="J222" s="9">
        <f t="shared" si="23"/>
        <v>770.8589653688</v>
      </c>
      <c r="K222" s="9">
        <f t="shared" si="24"/>
        <v>208.46977519907</v>
      </c>
      <c r="L222" s="10">
        <f t="shared" si="21"/>
        <v>0.2704382832199822</v>
      </c>
      <c r="M222" s="10">
        <f t="shared" si="20"/>
        <v>0.28360307449606564</v>
      </c>
      <c r="P222" s="8">
        <f t="shared" si="25"/>
        <v>18.517098457000454</v>
      </c>
    </row>
    <row r="223" spans="1:16" x14ac:dyDescent="0.2">
      <c r="A223" s="8">
        <v>110.5</v>
      </c>
      <c r="B223" s="8">
        <v>221</v>
      </c>
      <c r="D223">
        <v>819.76401869158997</v>
      </c>
      <c r="E223">
        <v>307.16471962616998</v>
      </c>
      <c r="F223">
        <v>141.81711606095999</v>
      </c>
      <c r="G223">
        <v>118.87104337632</v>
      </c>
      <c r="I223" s="9">
        <f t="shared" si="22"/>
        <v>188.29367624984997</v>
      </c>
      <c r="J223" s="9">
        <f t="shared" si="23"/>
        <v>677.94690263063001</v>
      </c>
      <c r="K223" s="9">
        <f t="shared" si="24"/>
        <v>188.29367624984997</v>
      </c>
      <c r="L223" s="10">
        <f t="shared" si="21"/>
        <v>0.27774103771138425</v>
      </c>
      <c r="M223" s="10">
        <f t="shared" si="20"/>
        <v>0.2909656689478135</v>
      </c>
      <c r="P223" s="8">
        <f t="shared" si="25"/>
        <v>21.59391041712211</v>
      </c>
    </row>
    <row r="224" spans="1:16" x14ac:dyDescent="0.2">
      <c r="A224" s="8">
        <v>111</v>
      </c>
      <c r="B224" s="8">
        <v>222</v>
      </c>
      <c r="D224">
        <v>961.06466512702002</v>
      </c>
      <c r="E224">
        <v>339.62586605080998</v>
      </c>
      <c r="F224">
        <v>141.60844079719001</v>
      </c>
      <c r="G224">
        <v>119.12309495897</v>
      </c>
      <c r="I224" s="9">
        <f t="shared" si="22"/>
        <v>220.50277109183997</v>
      </c>
      <c r="J224" s="9">
        <f t="shared" si="23"/>
        <v>819.45622432982998</v>
      </c>
      <c r="K224" s="9">
        <f t="shared" si="24"/>
        <v>220.50277109183997</v>
      </c>
      <c r="L224" s="10">
        <f t="shared" si="21"/>
        <v>0.26908425922589357</v>
      </c>
      <c r="M224" s="10">
        <f t="shared" si="20"/>
        <v>0.28236873042266863</v>
      </c>
      <c r="P224" s="8">
        <f t="shared" si="25"/>
        <v>18.00126879494001</v>
      </c>
    </row>
    <row r="225" spans="1:16" x14ac:dyDescent="0.2">
      <c r="A225" s="8">
        <v>111.5</v>
      </c>
      <c r="B225" s="8">
        <v>223</v>
      </c>
      <c r="D225">
        <v>864.78503562945002</v>
      </c>
      <c r="E225">
        <v>323.09501187648999</v>
      </c>
      <c r="F225">
        <v>142.03634232121999</v>
      </c>
      <c r="G225">
        <v>119.24032825322</v>
      </c>
      <c r="I225" s="9">
        <f t="shared" si="22"/>
        <v>203.85468362326998</v>
      </c>
      <c r="J225" s="9">
        <f t="shared" si="23"/>
        <v>722.74869330823003</v>
      </c>
      <c r="K225" s="9">
        <f t="shared" si="24"/>
        <v>203.85468362326998</v>
      </c>
      <c r="L225" s="10">
        <f t="shared" si="21"/>
        <v>0.28205472456846387</v>
      </c>
      <c r="M225" s="10">
        <f t="shared" si="20"/>
        <v>0.29539903572558479</v>
      </c>
      <c r="P225" s="8">
        <f t="shared" si="25"/>
        <v>23.446604601875748</v>
      </c>
    </row>
    <row r="226" spans="1:16" x14ac:dyDescent="0.2">
      <c r="A226" s="8">
        <v>112</v>
      </c>
      <c r="B226" s="8">
        <v>224</v>
      </c>
      <c r="D226">
        <v>874.40023752969</v>
      </c>
      <c r="E226">
        <v>329.09501187648999</v>
      </c>
      <c r="F226">
        <v>141.82649472450001</v>
      </c>
      <c r="G226">
        <v>119.28018757327</v>
      </c>
      <c r="I226" s="9">
        <f t="shared" si="22"/>
        <v>209.81482430322001</v>
      </c>
      <c r="J226" s="9">
        <f t="shared" si="23"/>
        <v>732.57374280519002</v>
      </c>
      <c r="K226" s="9">
        <f t="shared" si="24"/>
        <v>209.81482430322001</v>
      </c>
      <c r="L226" s="10">
        <f t="shared" si="21"/>
        <v>0.2864077867434775</v>
      </c>
      <c r="M226" s="10">
        <f t="shared" si="20"/>
        <v>0.29981193786094423</v>
      </c>
      <c r="P226" s="8">
        <f t="shared" si="25"/>
        <v>25.290746657764352</v>
      </c>
    </row>
    <row r="227" spans="1:16" x14ac:dyDescent="0.2">
      <c r="A227" s="8">
        <v>112.5</v>
      </c>
      <c r="B227" s="8">
        <v>225</v>
      </c>
      <c r="D227">
        <v>828.14726840854996</v>
      </c>
      <c r="E227">
        <v>318.44418052256998</v>
      </c>
      <c r="F227">
        <v>142.45369284877</v>
      </c>
      <c r="G227">
        <v>118.67409144197001</v>
      </c>
      <c r="I227" s="9">
        <f t="shared" si="22"/>
        <v>199.77008908059997</v>
      </c>
      <c r="J227" s="9">
        <f t="shared" si="23"/>
        <v>685.6935755597799</v>
      </c>
      <c r="K227" s="9">
        <f t="shared" si="24"/>
        <v>199.77008908059997</v>
      </c>
      <c r="L227" s="10">
        <f t="shared" si="21"/>
        <v>0.29134017905521953</v>
      </c>
      <c r="M227" s="10">
        <f t="shared" si="20"/>
        <v>0.30480417013303213</v>
      </c>
      <c r="P227" s="8">
        <f t="shared" si="25"/>
        <v>27.376989498264532</v>
      </c>
    </row>
    <row r="228" spans="1:16" x14ac:dyDescent="0.2">
      <c r="A228" s="8">
        <v>113</v>
      </c>
      <c r="B228" s="8">
        <v>226</v>
      </c>
      <c r="D228">
        <v>940.00468384074998</v>
      </c>
      <c r="E228">
        <v>345.07728337237</v>
      </c>
      <c r="F228">
        <v>142.62133645956001</v>
      </c>
      <c r="G228">
        <v>119.71629542789999</v>
      </c>
      <c r="I228" s="9">
        <f t="shared" si="22"/>
        <v>225.36098794447003</v>
      </c>
      <c r="J228" s="9">
        <f t="shared" si="23"/>
        <v>797.38334738118999</v>
      </c>
      <c r="K228" s="9">
        <f t="shared" si="24"/>
        <v>225.36098794447003</v>
      </c>
      <c r="L228" s="10">
        <f t="shared" si="21"/>
        <v>0.2826256513690848</v>
      </c>
      <c r="M228" s="10">
        <f t="shared" si="20"/>
        <v>0.2961494824072432</v>
      </c>
      <c r="P228" s="8">
        <f t="shared" si="25"/>
        <v>23.760214612680034</v>
      </c>
    </row>
    <row r="229" spans="1:16" x14ac:dyDescent="0.2">
      <c r="A229" s="8">
        <v>113.5</v>
      </c>
      <c r="B229" s="8">
        <v>227</v>
      </c>
      <c r="D229">
        <v>955.64285714285995</v>
      </c>
      <c r="E229">
        <v>352.65222482436002</v>
      </c>
      <c r="F229">
        <v>141.38100820632999</v>
      </c>
      <c r="G229">
        <v>119.09964830011999</v>
      </c>
      <c r="I229" s="9">
        <f t="shared" si="22"/>
        <v>233.55257652424001</v>
      </c>
      <c r="J229" s="9">
        <f t="shared" si="23"/>
        <v>814.26184893652999</v>
      </c>
      <c r="K229" s="9">
        <f t="shared" si="24"/>
        <v>233.55257652424001</v>
      </c>
      <c r="L229" s="10">
        <f t="shared" si="21"/>
        <v>0.28682736005533394</v>
      </c>
      <c r="M229" s="10">
        <f t="shared" si="20"/>
        <v>0.30041103105383821</v>
      </c>
      <c r="P229" s="8">
        <f t="shared" si="25"/>
        <v>25.541106379898178</v>
      </c>
    </row>
    <row r="230" spans="1:16" x14ac:dyDescent="0.2">
      <c r="A230" s="8">
        <v>114</v>
      </c>
      <c r="B230" s="8">
        <v>228</v>
      </c>
      <c r="D230">
        <v>889.14637002341999</v>
      </c>
      <c r="E230">
        <v>335.79156908664999</v>
      </c>
      <c r="F230">
        <v>141.84407971863999</v>
      </c>
      <c r="G230">
        <v>118.83235638922</v>
      </c>
      <c r="I230" s="9">
        <f t="shared" si="22"/>
        <v>216.95921269742999</v>
      </c>
      <c r="J230" s="9">
        <f t="shared" si="23"/>
        <v>747.30229030477994</v>
      </c>
      <c r="K230" s="9">
        <f t="shared" si="24"/>
        <v>216.95921269742999</v>
      </c>
      <c r="L230" s="10">
        <f t="shared" si="21"/>
        <v>0.29032322730998894</v>
      </c>
      <c r="M230" s="10">
        <f t="shared" si="20"/>
        <v>0.30396673826883902</v>
      </c>
      <c r="P230" s="8">
        <f t="shared" si="25"/>
        <v>27.027028571797278</v>
      </c>
    </row>
    <row r="231" spans="1:16" x14ac:dyDescent="0.2">
      <c r="A231" s="8">
        <v>114.5</v>
      </c>
      <c r="B231" s="8">
        <v>229</v>
      </c>
      <c r="D231">
        <v>827.50468384074998</v>
      </c>
      <c r="E231">
        <v>313.6662763466</v>
      </c>
      <c r="F231">
        <v>142.14302461899001</v>
      </c>
      <c r="G231">
        <v>119.25908558031</v>
      </c>
      <c r="I231" s="9">
        <f t="shared" si="22"/>
        <v>194.40719076629</v>
      </c>
      <c r="J231" s="9">
        <f t="shared" si="23"/>
        <v>685.36165922175996</v>
      </c>
      <c r="K231" s="9">
        <f t="shared" si="24"/>
        <v>194.40719076629</v>
      </c>
      <c r="L231" s="10">
        <f t="shared" si="21"/>
        <v>0.28365635595525251</v>
      </c>
      <c r="M231" s="10">
        <f t="shared" si="20"/>
        <v>0.29735970687444846</v>
      </c>
      <c r="P231" s="8">
        <f t="shared" si="25"/>
        <v>24.265964744584284</v>
      </c>
    </row>
    <row r="232" spans="1:16" x14ac:dyDescent="0.2">
      <c r="A232" s="8">
        <v>115</v>
      </c>
      <c r="B232" s="8">
        <v>230</v>
      </c>
      <c r="D232">
        <v>912.33649289100003</v>
      </c>
      <c r="E232">
        <v>342.40639810427001</v>
      </c>
      <c r="F232">
        <v>141.60023446659</v>
      </c>
      <c r="G232">
        <v>119.51582649473001</v>
      </c>
      <c r="I232" s="9">
        <f t="shared" si="22"/>
        <v>222.89057160954002</v>
      </c>
      <c r="J232" s="9">
        <f t="shared" si="23"/>
        <v>770.73625842441004</v>
      </c>
      <c r="K232" s="9">
        <f t="shared" si="24"/>
        <v>222.89057160954002</v>
      </c>
      <c r="L232" s="10">
        <f t="shared" si="21"/>
        <v>0.28919175551074716</v>
      </c>
      <c r="M232" s="10">
        <f t="shared" si="20"/>
        <v>0.30295494639028892</v>
      </c>
      <c r="P232" s="8">
        <f t="shared" si="25"/>
        <v>26.604202980427395</v>
      </c>
    </row>
    <row r="233" spans="1:16" x14ac:dyDescent="0.2">
      <c r="A233" s="8">
        <v>115.5</v>
      </c>
      <c r="B233" s="8">
        <v>231</v>
      </c>
      <c r="D233">
        <v>977.55762514551998</v>
      </c>
      <c r="E233">
        <v>353.43073341093998</v>
      </c>
      <c r="F233">
        <v>142.06096131301001</v>
      </c>
      <c r="G233">
        <v>119.26494724502</v>
      </c>
      <c r="I233" s="9">
        <f t="shared" si="22"/>
        <v>234.16578616592</v>
      </c>
      <c r="J233" s="9">
        <f t="shared" si="23"/>
        <v>835.49666383250997</v>
      </c>
      <c r="K233" s="9">
        <f t="shared" si="24"/>
        <v>234.16578616592</v>
      </c>
      <c r="L233" s="10">
        <f t="shared" si="21"/>
        <v>0.28027135990199797</v>
      </c>
      <c r="M233" s="10">
        <f t="shared" si="20"/>
        <v>0.29409439074188559</v>
      </c>
      <c r="P233" s="8">
        <f t="shared" si="25"/>
        <v>22.901396344668878</v>
      </c>
    </row>
    <row r="234" spans="1:16" x14ac:dyDescent="0.2">
      <c r="A234" s="8">
        <v>116</v>
      </c>
      <c r="B234" s="8">
        <v>232</v>
      </c>
      <c r="D234">
        <v>933.86612339930002</v>
      </c>
      <c r="E234">
        <v>335.46565774155999</v>
      </c>
      <c r="F234">
        <v>141.66354044549001</v>
      </c>
      <c r="G234">
        <v>119.53341148886</v>
      </c>
      <c r="I234" s="9">
        <f t="shared" si="22"/>
        <v>215.9322462527</v>
      </c>
      <c r="J234" s="9">
        <f t="shared" si="23"/>
        <v>792.20258295380995</v>
      </c>
      <c r="K234" s="9">
        <f t="shared" si="24"/>
        <v>215.9322462527</v>
      </c>
      <c r="L234" s="10">
        <f t="shared" si="21"/>
        <v>0.27257200481166582</v>
      </c>
      <c r="M234" s="10">
        <f t="shared" si="20"/>
        <v>0.28645487561189925</v>
      </c>
      <c r="P234" s="8">
        <f t="shared" si="25"/>
        <v>19.708859844727318</v>
      </c>
    </row>
    <row r="235" spans="1:16" x14ac:dyDescent="0.2">
      <c r="A235" s="8">
        <v>116.5</v>
      </c>
      <c r="B235" s="8">
        <v>233</v>
      </c>
      <c r="D235">
        <v>855.27630057804004</v>
      </c>
      <c r="E235">
        <v>327.41734104045997</v>
      </c>
      <c r="F235">
        <v>142.11371629543001</v>
      </c>
      <c r="G235">
        <v>119.07268464244</v>
      </c>
      <c r="I235" s="9">
        <f t="shared" si="22"/>
        <v>208.34465639801999</v>
      </c>
      <c r="J235" s="9">
        <f t="shared" si="23"/>
        <v>713.16258428261006</v>
      </c>
      <c r="K235" s="9">
        <f t="shared" si="24"/>
        <v>208.34465639801999</v>
      </c>
      <c r="L235" s="10">
        <f t="shared" si="21"/>
        <v>0.2921418775882636</v>
      </c>
      <c r="M235" s="10">
        <f t="shared" si="20"/>
        <v>0.30608458834884283</v>
      </c>
      <c r="P235" s="8">
        <f t="shared" si="25"/>
        <v>27.912073442678821</v>
      </c>
    </row>
    <row r="236" spans="1:16" x14ac:dyDescent="0.2">
      <c r="A236" s="8">
        <v>117</v>
      </c>
      <c r="B236" s="8">
        <v>234</v>
      </c>
      <c r="D236">
        <v>986.26837806301</v>
      </c>
      <c r="E236">
        <v>357.70828471412</v>
      </c>
      <c r="F236">
        <v>141.68347010551</v>
      </c>
      <c r="G236">
        <v>119.28018757327</v>
      </c>
      <c r="I236" s="9">
        <f t="shared" si="22"/>
        <v>238.42809714085001</v>
      </c>
      <c r="J236" s="9">
        <f t="shared" si="23"/>
        <v>844.58490795750004</v>
      </c>
      <c r="K236" s="9">
        <f t="shared" si="24"/>
        <v>238.42809714085001</v>
      </c>
      <c r="L236" s="10">
        <f t="shared" si="21"/>
        <v>0.28230210473148526</v>
      </c>
      <c r="M236" s="10">
        <f t="shared" si="20"/>
        <v>0.29630465545241036</v>
      </c>
      <c r="P236" s="8">
        <f t="shared" si="25"/>
        <v>23.825061085535189</v>
      </c>
    </row>
    <row r="237" spans="1:16" x14ac:dyDescent="0.2">
      <c r="A237" s="8">
        <v>117.5</v>
      </c>
      <c r="B237" s="8">
        <v>235</v>
      </c>
      <c r="D237">
        <v>873.16762342135996</v>
      </c>
      <c r="E237">
        <v>335.35246842710001</v>
      </c>
      <c r="F237">
        <v>141.50879249707</v>
      </c>
      <c r="G237">
        <v>119.26025791325</v>
      </c>
      <c r="I237" s="9">
        <f t="shared" si="22"/>
        <v>216.09221051385001</v>
      </c>
      <c r="J237" s="9">
        <f t="shared" si="23"/>
        <v>731.65883092428999</v>
      </c>
      <c r="K237" s="9">
        <f t="shared" si="24"/>
        <v>216.09221051385001</v>
      </c>
      <c r="L237" s="10">
        <f t="shared" si="21"/>
        <v>0.29534559193506216</v>
      </c>
      <c r="M237" s="10">
        <f t="shared" si="20"/>
        <v>0.30940798261633307</v>
      </c>
      <c r="P237" s="8">
        <f t="shared" si="25"/>
        <v>29.300912566907122</v>
      </c>
    </row>
    <row r="238" spans="1:16" x14ac:dyDescent="0.2">
      <c r="A238" s="8">
        <v>118</v>
      </c>
      <c r="B238" s="8">
        <v>236</v>
      </c>
      <c r="D238">
        <v>994.80773739742006</v>
      </c>
      <c r="E238">
        <v>366.17233294255999</v>
      </c>
      <c r="F238">
        <v>141.54044548652001</v>
      </c>
      <c r="G238">
        <v>118.98944900351999</v>
      </c>
      <c r="I238" s="9">
        <f t="shared" si="22"/>
        <v>247.18288393903998</v>
      </c>
      <c r="J238" s="9">
        <f t="shared" si="23"/>
        <v>853.26729191089998</v>
      </c>
      <c r="K238" s="9">
        <f t="shared" si="24"/>
        <v>247.18288393903998</v>
      </c>
      <c r="L238" s="10">
        <f t="shared" si="21"/>
        <v>0.2896898618784175</v>
      </c>
      <c r="M238" s="10">
        <f t="shared" si="20"/>
        <v>0.30381209252003427</v>
      </c>
      <c r="P238" s="8">
        <f t="shared" si="25"/>
        <v>26.962402454927364</v>
      </c>
    </row>
    <row r="239" spans="1:16" x14ac:dyDescent="0.2">
      <c r="A239" s="8">
        <v>118.5</v>
      </c>
      <c r="B239" s="8">
        <v>237</v>
      </c>
      <c r="D239">
        <v>995.75117370891996</v>
      </c>
      <c r="E239">
        <v>362.24882629107998</v>
      </c>
      <c r="F239">
        <v>142.06447831183999</v>
      </c>
      <c r="G239">
        <v>119.28722157093</v>
      </c>
      <c r="I239" s="9">
        <f t="shared" si="22"/>
        <v>242.96160472014998</v>
      </c>
      <c r="J239" s="9">
        <f t="shared" si="23"/>
        <v>853.68669539708003</v>
      </c>
      <c r="K239" s="9">
        <f t="shared" si="24"/>
        <v>242.96160472014998</v>
      </c>
      <c r="L239" s="10">
        <f t="shared" si="21"/>
        <v>0.28460277761168562</v>
      </c>
      <c r="M239" s="10">
        <f t="shared" si="20"/>
        <v>0.2987848482136482</v>
      </c>
      <c r="P239" s="8">
        <f t="shared" si="25"/>
        <v>24.86152816262269</v>
      </c>
    </row>
    <row r="240" spans="1:16" x14ac:dyDescent="0.2">
      <c r="A240" s="8">
        <v>119</v>
      </c>
      <c r="B240" s="8">
        <v>238</v>
      </c>
      <c r="D240">
        <v>930.87323943662</v>
      </c>
      <c r="E240">
        <v>339.85563380282002</v>
      </c>
      <c r="F240">
        <v>141.79601406800001</v>
      </c>
      <c r="G240">
        <v>119.06213364596</v>
      </c>
      <c r="I240" s="9">
        <f t="shared" si="22"/>
        <v>220.79350015686003</v>
      </c>
      <c r="J240" s="9">
        <f t="shared" si="23"/>
        <v>789.07722536862002</v>
      </c>
      <c r="K240" s="9">
        <f t="shared" si="24"/>
        <v>220.79350015686003</v>
      </c>
      <c r="L240" s="10">
        <f t="shared" si="21"/>
        <v>0.27981228333350466</v>
      </c>
      <c r="M240" s="10">
        <f t="shared" si="20"/>
        <v>0.29405419389581311</v>
      </c>
      <c r="P240" s="8">
        <f t="shared" si="25"/>
        <v>22.88459817147524</v>
      </c>
    </row>
    <row r="241" spans="1:16" x14ac:dyDescent="0.2">
      <c r="A241" s="8">
        <v>119.5</v>
      </c>
      <c r="B241" s="8">
        <v>239</v>
      </c>
      <c r="D241">
        <v>885.99537572253996</v>
      </c>
      <c r="E241">
        <v>338.05664739884003</v>
      </c>
      <c r="F241">
        <v>141.92262602579001</v>
      </c>
      <c r="G241">
        <v>119.05158264947001</v>
      </c>
      <c r="I241" s="9">
        <f t="shared" si="22"/>
        <v>219.00506474937004</v>
      </c>
      <c r="J241" s="9">
        <f t="shared" si="23"/>
        <v>744.07274969674995</v>
      </c>
      <c r="K241" s="9">
        <f t="shared" si="24"/>
        <v>219.00506474937004</v>
      </c>
      <c r="L241" s="10">
        <f t="shared" si="21"/>
        <v>0.29433286575624024</v>
      </c>
      <c r="M241" s="10">
        <f t="shared" si="20"/>
        <v>0.30863461627889449</v>
      </c>
      <c r="P241" s="8">
        <f t="shared" si="25"/>
        <v>28.977724482573404</v>
      </c>
    </row>
    <row r="242" spans="1:16" x14ac:dyDescent="0.2">
      <c r="A242" s="8">
        <v>120</v>
      </c>
      <c r="B242" s="8">
        <v>240</v>
      </c>
      <c r="D242">
        <v>859.11709601873997</v>
      </c>
      <c r="E242">
        <v>329.18501170960002</v>
      </c>
      <c r="F242">
        <v>141.67878077373999</v>
      </c>
      <c r="G242">
        <v>119.01875732708</v>
      </c>
      <c r="I242" s="9">
        <f>E242-G242</f>
        <v>210.16625438252004</v>
      </c>
      <c r="J242" s="9">
        <f>D242-F242</f>
        <v>717.43831524500001</v>
      </c>
      <c r="K242" s="9">
        <f t="shared" si="24"/>
        <v>210.16625438252004</v>
      </c>
      <c r="L242" s="10">
        <f t="shared" si="21"/>
        <v>0.29293982481371905</v>
      </c>
      <c r="M242" s="10">
        <f>L242+ABS($N$2)*A242</f>
        <v>0.30730141529671917</v>
      </c>
      <c r="O242" s="11"/>
      <c r="P242" s="8">
        <f>(M242-$O$2)/$O$2*100</f>
        <v>28.420582736673062</v>
      </c>
    </row>
    <row r="243" spans="1:16" x14ac:dyDescent="0.2">
      <c r="A243" s="8">
        <v>120.5</v>
      </c>
      <c r="B243" s="8">
        <v>241</v>
      </c>
      <c r="D243">
        <v>825.97540983606996</v>
      </c>
      <c r="E243">
        <v>317.17447306792002</v>
      </c>
      <c r="F243">
        <v>141.41969519343999</v>
      </c>
      <c r="G243">
        <v>119.34114888628</v>
      </c>
      <c r="I243" s="9">
        <f t="shared" ref="I243:I274" si="26">E243-G243</f>
        <v>197.83332418164002</v>
      </c>
      <c r="J243" s="9">
        <f t="shared" ref="J243:J274" si="27">D243-F243</f>
        <v>684.55571464262994</v>
      </c>
      <c r="K243" s="9">
        <f t="shared" si="24"/>
        <v>197.83332418164002</v>
      </c>
      <c r="L243" s="10">
        <f t="shared" si="21"/>
        <v>0.28899521244215787</v>
      </c>
      <c r="M243" s="10">
        <f t="shared" ref="M243:M274" si="28">L243+ABS($N$2)*A243</f>
        <v>0.3034166428855038</v>
      </c>
      <c r="P243" s="8">
        <f t="shared" ref="P243:P274" si="29">(M243-$O$2)/$O$2*100</f>
        <v>26.797144926059907</v>
      </c>
    </row>
    <row r="244" spans="1:16" x14ac:dyDescent="0.2">
      <c r="A244" s="8">
        <v>121</v>
      </c>
      <c r="B244" s="8">
        <v>242</v>
      </c>
      <c r="D244">
        <v>807.13700234192004</v>
      </c>
      <c r="E244">
        <v>307.46721311475</v>
      </c>
      <c r="F244">
        <v>142.62250879250001</v>
      </c>
      <c r="G244">
        <v>119.33763188746001</v>
      </c>
      <c r="I244" s="9">
        <f t="shared" si="26"/>
        <v>188.12958122728998</v>
      </c>
      <c r="J244" s="9">
        <f t="shared" si="27"/>
        <v>664.51449354941997</v>
      </c>
      <c r="K244" s="9">
        <f t="shared" si="24"/>
        <v>188.12958122728998</v>
      </c>
      <c r="L244" s="10">
        <f t="shared" si="21"/>
        <v>0.28310831901110184</v>
      </c>
      <c r="M244" s="10">
        <f t="shared" si="28"/>
        <v>0.29758958941479358</v>
      </c>
      <c r="N244" s="1"/>
      <c r="P244" s="8">
        <f t="shared" si="29"/>
        <v>24.362032150468508</v>
      </c>
    </row>
    <row r="245" spans="1:16" x14ac:dyDescent="0.2">
      <c r="A245" s="8">
        <v>121.5</v>
      </c>
      <c r="B245" s="8">
        <v>243</v>
      </c>
      <c r="D245">
        <v>856.43325526931994</v>
      </c>
      <c r="E245">
        <v>318.22131147541</v>
      </c>
      <c r="F245">
        <v>142.5756154748</v>
      </c>
      <c r="G245">
        <v>119.29660023447001</v>
      </c>
      <c r="I245" s="9">
        <f t="shared" si="26"/>
        <v>198.92471124093998</v>
      </c>
      <c r="J245" s="9">
        <f t="shared" si="27"/>
        <v>713.85763979451997</v>
      </c>
      <c r="K245" s="9">
        <f t="shared" si="24"/>
        <v>198.92471124093998</v>
      </c>
      <c r="L245" s="10">
        <f t="shared" si="21"/>
        <v>0.27866159882830333</v>
      </c>
      <c r="M245" s="10">
        <f t="shared" si="28"/>
        <v>0.29320270919234093</v>
      </c>
      <c r="P245" s="8">
        <f t="shared" si="29"/>
        <v>22.528764594510818</v>
      </c>
    </row>
    <row r="246" spans="1:16" x14ac:dyDescent="0.2">
      <c r="A246" s="8">
        <v>122</v>
      </c>
      <c r="B246" s="8">
        <v>244</v>
      </c>
      <c r="D246">
        <v>858.46955503513004</v>
      </c>
      <c r="E246">
        <v>320.00117096019</v>
      </c>
      <c r="F246">
        <v>142.02461899178999</v>
      </c>
      <c r="G246">
        <v>119.24501758498999</v>
      </c>
      <c r="I246" s="9">
        <f t="shared" si="26"/>
        <v>200.7561533752</v>
      </c>
      <c r="J246" s="9">
        <f t="shared" si="27"/>
        <v>716.44493604334002</v>
      </c>
      <c r="K246" s="9">
        <f t="shared" si="24"/>
        <v>200.7561533752</v>
      </c>
      <c r="L246" s="10">
        <f t="shared" si="21"/>
        <v>0.28021156026854188</v>
      </c>
      <c r="M246" s="10">
        <f t="shared" si="28"/>
        <v>0.29481251059292529</v>
      </c>
      <c r="P246" s="8">
        <f t="shared" si="29"/>
        <v>23.201497044355683</v>
      </c>
    </row>
    <row r="247" spans="1:16" x14ac:dyDescent="0.2">
      <c r="A247" s="8">
        <v>122.5</v>
      </c>
      <c r="B247" s="8">
        <v>245</v>
      </c>
      <c r="D247">
        <v>956.55981416957002</v>
      </c>
      <c r="E247">
        <v>338.93495934958997</v>
      </c>
      <c r="F247">
        <v>142.21453692848999</v>
      </c>
      <c r="G247">
        <v>119.08089097304</v>
      </c>
      <c r="I247" s="9">
        <f t="shared" si="26"/>
        <v>219.85406837654998</v>
      </c>
      <c r="J247" s="9">
        <f t="shared" si="27"/>
        <v>814.34527724108</v>
      </c>
      <c r="K247" s="9">
        <f t="shared" si="24"/>
        <v>219.85406837654998</v>
      </c>
      <c r="L247" s="10">
        <f t="shared" si="21"/>
        <v>0.269976476220742</v>
      </c>
      <c r="M247" s="10">
        <f t="shared" si="28"/>
        <v>0.28463726650547128</v>
      </c>
      <c r="P247" s="8">
        <f t="shared" si="29"/>
        <v>18.949285013581214</v>
      </c>
    </row>
    <row r="248" spans="1:16" x14ac:dyDescent="0.2">
      <c r="A248" s="8">
        <v>123</v>
      </c>
      <c r="B248" s="8">
        <v>246</v>
      </c>
      <c r="D248">
        <v>822.30723606167999</v>
      </c>
      <c r="E248">
        <v>315.51126927639001</v>
      </c>
      <c r="F248">
        <v>143.58851113716</v>
      </c>
      <c r="G248">
        <v>119.22977725673999</v>
      </c>
      <c r="I248" s="9">
        <f t="shared" si="26"/>
        <v>196.28149201965002</v>
      </c>
      <c r="J248" s="9">
        <f t="shared" si="27"/>
        <v>678.71872492451996</v>
      </c>
      <c r="K248" s="9">
        <f t="shared" si="24"/>
        <v>196.28149201965002</v>
      </c>
      <c r="L248" s="10">
        <f t="shared" si="21"/>
        <v>0.28919416072022824</v>
      </c>
      <c r="M248" s="10">
        <f t="shared" si="28"/>
        <v>0.30391479096530333</v>
      </c>
      <c r="P248" s="8">
        <f t="shared" si="29"/>
        <v>27.005319908382202</v>
      </c>
    </row>
    <row r="249" spans="1:16" x14ac:dyDescent="0.2">
      <c r="A249" s="8">
        <v>123.5</v>
      </c>
      <c r="B249" s="8">
        <v>247</v>
      </c>
      <c r="D249">
        <v>868.63582443654002</v>
      </c>
      <c r="E249">
        <v>329.14827995255001</v>
      </c>
      <c r="F249">
        <v>142.51699882766999</v>
      </c>
      <c r="G249">
        <v>119.17467760844001</v>
      </c>
      <c r="I249" s="9">
        <f t="shared" si="26"/>
        <v>209.97360234411002</v>
      </c>
      <c r="J249" s="9">
        <f t="shared" si="27"/>
        <v>726.11882560887</v>
      </c>
      <c r="K249" s="9">
        <f t="shared" si="24"/>
        <v>209.97360234411002</v>
      </c>
      <c r="L249" s="10">
        <f t="shared" si="21"/>
        <v>0.28917250860152477</v>
      </c>
      <c r="M249" s="10">
        <f t="shared" si="28"/>
        <v>0.30395297880694572</v>
      </c>
      <c r="P249" s="8">
        <f t="shared" si="29"/>
        <v>27.02127852306166</v>
      </c>
    </row>
    <row r="250" spans="1:16" x14ac:dyDescent="0.2">
      <c r="A250" s="8">
        <v>124</v>
      </c>
      <c r="B250" s="8">
        <v>248</v>
      </c>
      <c r="D250">
        <v>869.81691772884994</v>
      </c>
      <c r="E250">
        <v>330.56894553882</v>
      </c>
      <c r="F250">
        <v>142.27901524033001</v>
      </c>
      <c r="G250">
        <v>119.0468933177</v>
      </c>
      <c r="I250" s="9">
        <f t="shared" si="26"/>
        <v>211.52205222112002</v>
      </c>
      <c r="J250" s="9">
        <f t="shared" si="27"/>
        <v>727.53790248851988</v>
      </c>
      <c r="K250" s="9">
        <f t="shared" si="24"/>
        <v>211.52205222112002</v>
      </c>
      <c r="L250" s="10">
        <f t="shared" si="21"/>
        <v>0.29073681453243283</v>
      </c>
      <c r="M250" s="10">
        <f t="shared" si="28"/>
        <v>0.30557712469819959</v>
      </c>
      <c r="P250" s="8">
        <f t="shared" si="29"/>
        <v>27.700005503875609</v>
      </c>
    </row>
    <row r="251" spans="1:16" x14ac:dyDescent="0.2">
      <c r="A251" s="8">
        <v>124.5</v>
      </c>
      <c r="B251" s="8">
        <v>249</v>
      </c>
      <c r="D251">
        <v>840.90614136731995</v>
      </c>
      <c r="E251">
        <v>328.02896871378999</v>
      </c>
      <c r="F251">
        <v>142.60257913247</v>
      </c>
      <c r="G251">
        <v>119.26846424385</v>
      </c>
      <c r="I251" s="9">
        <f t="shared" si="26"/>
        <v>208.76050446993997</v>
      </c>
      <c r="J251" s="9">
        <f t="shared" si="27"/>
        <v>698.30356223485001</v>
      </c>
      <c r="K251" s="9">
        <f t="shared" si="24"/>
        <v>208.76050446993997</v>
      </c>
      <c r="L251" s="10">
        <f t="shared" si="21"/>
        <v>0.29895380141241595</v>
      </c>
      <c r="M251" s="10">
        <f t="shared" si="28"/>
        <v>0.31385395153852857</v>
      </c>
      <c r="P251" s="8">
        <f t="shared" si="29"/>
        <v>31.158873159982143</v>
      </c>
    </row>
    <row r="252" spans="1:16" x14ac:dyDescent="0.2">
      <c r="A252" s="8">
        <v>125</v>
      </c>
      <c r="B252" s="8">
        <v>250</v>
      </c>
      <c r="D252">
        <v>884.16508313538998</v>
      </c>
      <c r="E252">
        <v>330.98218527315998</v>
      </c>
      <c r="F252">
        <v>142.93083235639</v>
      </c>
      <c r="G252">
        <v>119.50410316529999</v>
      </c>
      <c r="I252" s="9">
        <f t="shared" si="26"/>
        <v>211.47808210785999</v>
      </c>
      <c r="J252" s="9">
        <f t="shared" si="27"/>
        <v>741.23425077899992</v>
      </c>
      <c r="K252" s="9">
        <f t="shared" si="24"/>
        <v>211.47808210785999</v>
      </c>
      <c r="L252" s="10">
        <f t="shared" si="21"/>
        <v>0.28530532943614945</v>
      </c>
      <c r="M252" s="10">
        <f t="shared" si="28"/>
        <v>0.30026531952260788</v>
      </c>
      <c r="P252" s="8">
        <f t="shared" si="29"/>
        <v>25.48021385282021</v>
      </c>
    </row>
    <row r="253" spans="1:16" x14ac:dyDescent="0.2">
      <c r="A253" s="8">
        <v>125.5</v>
      </c>
      <c r="B253" s="8">
        <v>251</v>
      </c>
      <c r="D253">
        <v>884.21615201899999</v>
      </c>
      <c r="E253">
        <v>329.45130641330002</v>
      </c>
      <c r="F253">
        <v>142.36576787807999</v>
      </c>
      <c r="G253">
        <v>119.41148886284</v>
      </c>
      <c r="I253" s="9">
        <f t="shared" si="26"/>
        <v>210.03981755046001</v>
      </c>
      <c r="J253" s="9">
        <f t="shared" si="27"/>
        <v>741.85038414092003</v>
      </c>
      <c r="K253" s="9">
        <f t="shared" si="24"/>
        <v>210.03981755046001</v>
      </c>
      <c r="L253" s="10">
        <f t="shared" si="21"/>
        <v>0.28312962025852556</v>
      </c>
      <c r="M253" s="10">
        <f t="shared" si="28"/>
        <v>0.2981494503053298</v>
      </c>
      <c r="P253" s="8">
        <f t="shared" si="29"/>
        <v>24.595996780096758</v>
      </c>
    </row>
    <row r="254" spans="1:16" x14ac:dyDescent="0.2">
      <c r="A254" s="8">
        <v>126</v>
      </c>
      <c r="B254" s="8">
        <v>252</v>
      </c>
      <c r="D254">
        <v>847.35035629454001</v>
      </c>
      <c r="E254">
        <v>319.28266033253999</v>
      </c>
      <c r="F254">
        <v>142.61195779600999</v>
      </c>
      <c r="G254">
        <v>119.09964830011999</v>
      </c>
      <c r="I254" s="9">
        <f t="shared" si="26"/>
        <v>200.18301203241998</v>
      </c>
      <c r="J254" s="9">
        <f t="shared" si="27"/>
        <v>704.73839849853005</v>
      </c>
      <c r="K254" s="9">
        <f t="shared" si="24"/>
        <v>200.18301203241998</v>
      </c>
      <c r="L254" s="10">
        <f t="shared" si="21"/>
        <v>0.28405293717344893</v>
      </c>
      <c r="M254" s="10">
        <f t="shared" si="28"/>
        <v>0.29913260718059903</v>
      </c>
      <c r="P254" s="8">
        <f t="shared" si="29"/>
        <v>25.006855866839761</v>
      </c>
    </row>
    <row r="255" spans="1:16" x14ac:dyDescent="0.2">
      <c r="A255" s="8">
        <v>126.5</v>
      </c>
      <c r="B255" s="8">
        <v>253</v>
      </c>
      <c r="D255">
        <v>881.19091967403995</v>
      </c>
      <c r="E255">
        <v>332.05587892899001</v>
      </c>
      <c r="F255">
        <v>142.4407971864</v>
      </c>
      <c r="G255">
        <v>119.58733880422</v>
      </c>
      <c r="I255" s="9">
        <f t="shared" si="26"/>
        <v>212.46854012477002</v>
      </c>
      <c r="J255" s="9">
        <f t="shared" si="27"/>
        <v>738.75012248763994</v>
      </c>
      <c r="K255" s="9">
        <f t="shared" si="24"/>
        <v>212.46854012477002</v>
      </c>
      <c r="L255" s="10">
        <f t="shared" si="21"/>
        <v>0.287605421179913</v>
      </c>
      <c r="M255" s="10">
        <f t="shared" si="28"/>
        <v>0.30274493114740891</v>
      </c>
      <c r="P255" s="8">
        <f t="shared" si="29"/>
        <v>26.516438074274284</v>
      </c>
    </row>
    <row r="256" spans="1:16" x14ac:dyDescent="0.2">
      <c r="A256" s="8">
        <v>127</v>
      </c>
      <c r="B256" s="8">
        <v>254</v>
      </c>
      <c r="D256">
        <v>790.18509895226998</v>
      </c>
      <c r="E256">
        <v>307.94644935972002</v>
      </c>
      <c r="F256">
        <v>141.97772567409001</v>
      </c>
      <c r="G256">
        <v>119.23563892145</v>
      </c>
      <c r="I256" s="9">
        <f t="shared" si="26"/>
        <v>188.71081043827002</v>
      </c>
      <c r="J256" s="9">
        <f t="shared" si="27"/>
        <v>648.20737327817994</v>
      </c>
      <c r="K256" s="9">
        <f t="shared" si="24"/>
        <v>188.71081043827002</v>
      </c>
      <c r="L256" s="10">
        <f t="shared" si="21"/>
        <v>0.29112721980298156</v>
      </c>
      <c r="M256" s="10">
        <f t="shared" si="28"/>
        <v>0.30632656973082334</v>
      </c>
      <c r="P256" s="8">
        <f t="shared" si="29"/>
        <v>28.013196927760582</v>
      </c>
    </row>
    <row r="257" spans="1:16" x14ac:dyDescent="0.2">
      <c r="A257" s="8">
        <v>127.5</v>
      </c>
      <c r="B257" s="8">
        <v>255</v>
      </c>
      <c r="D257">
        <v>769.41811846689995</v>
      </c>
      <c r="E257">
        <v>301.68524970964</v>
      </c>
      <c r="F257">
        <v>142.58733880422</v>
      </c>
      <c r="G257">
        <v>119.21922626026</v>
      </c>
      <c r="I257" s="9">
        <f t="shared" si="26"/>
        <v>182.46602344938</v>
      </c>
      <c r="J257" s="9">
        <f t="shared" si="27"/>
        <v>626.83077966268002</v>
      </c>
      <c r="K257" s="9">
        <f t="shared" si="24"/>
        <v>182.46602344938</v>
      </c>
      <c r="L257" s="10">
        <f t="shared" si="21"/>
        <v>0.29109295422214504</v>
      </c>
      <c r="M257" s="10">
        <f t="shared" si="28"/>
        <v>0.30635214411033262</v>
      </c>
      <c r="P257" s="8">
        <f t="shared" si="29"/>
        <v>28.023884404473108</v>
      </c>
    </row>
    <row r="258" spans="1:16" x14ac:dyDescent="0.2">
      <c r="A258" s="8">
        <v>128</v>
      </c>
      <c r="B258" s="8">
        <v>256</v>
      </c>
      <c r="D258">
        <v>692.93031358885003</v>
      </c>
      <c r="E258">
        <v>284.06271777004002</v>
      </c>
      <c r="F258">
        <v>142.24267291910999</v>
      </c>
      <c r="G258">
        <v>119.10316529895</v>
      </c>
      <c r="I258" s="9">
        <f t="shared" si="26"/>
        <v>164.95955247109003</v>
      </c>
      <c r="J258" s="9">
        <f t="shared" si="27"/>
        <v>550.68764066974006</v>
      </c>
      <c r="K258" s="9">
        <f t="shared" si="24"/>
        <v>164.95955247109003</v>
      </c>
      <c r="L258" s="10">
        <f t="shared" ref="L258:L321" si="30">K258/J258</f>
        <v>0.29955194249587314</v>
      </c>
      <c r="M258" s="10">
        <f t="shared" si="28"/>
        <v>0.31487097234440659</v>
      </c>
      <c r="P258" s="8">
        <f t="shared" si="29"/>
        <v>31.583883908533583</v>
      </c>
    </row>
    <row r="259" spans="1:16" x14ac:dyDescent="0.2">
      <c r="A259" s="8">
        <v>128.5</v>
      </c>
      <c r="B259" s="8">
        <v>257</v>
      </c>
      <c r="D259">
        <v>754.20092915215002</v>
      </c>
      <c r="E259">
        <v>293.77235772358</v>
      </c>
      <c r="F259">
        <v>142.19460726846</v>
      </c>
      <c r="G259">
        <v>119.27901524033</v>
      </c>
      <c r="I259" s="9">
        <f t="shared" si="26"/>
        <v>174.49334248324999</v>
      </c>
      <c r="J259" s="9">
        <f t="shared" si="27"/>
        <v>612.00632188369002</v>
      </c>
      <c r="K259" s="9">
        <f t="shared" ref="K259:K321" si="31">I259*1</f>
        <v>174.49334248324999</v>
      </c>
      <c r="L259" s="10">
        <f t="shared" si="30"/>
        <v>0.28511689543692642</v>
      </c>
      <c r="M259" s="10">
        <f t="shared" si="28"/>
        <v>0.30049576524580568</v>
      </c>
      <c r="P259" s="8">
        <f t="shared" si="29"/>
        <v>25.576516611574711</v>
      </c>
    </row>
    <row r="260" spans="1:16" x14ac:dyDescent="0.2">
      <c r="A260" s="8">
        <v>129</v>
      </c>
      <c r="B260" s="8">
        <v>258</v>
      </c>
      <c r="D260">
        <v>765.91405342625001</v>
      </c>
      <c r="E260">
        <v>293.36933797909001</v>
      </c>
      <c r="F260">
        <v>142.6307151231</v>
      </c>
      <c r="G260">
        <v>118.86752637748999</v>
      </c>
      <c r="I260" s="9">
        <f t="shared" si="26"/>
        <v>174.50181160160002</v>
      </c>
      <c r="J260" s="9">
        <f t="shared" si="27"/>
        <v>623.28333830315</v>
      </c>
      <c r="K260" s="9">
        <f t="shared" si="31"/>
        <v>174.50181160160002</v>
      </c>
      <c r="L260" s="10">
        <f t="shared" si="30"/>
        <v>0.27997188578258858</v>
      </c>
      <c r="M260" s="10">
        <f t="shared" si="28"/>
        <v>0.2954105955518137</v>
      </c>
      <c r="P260" s="8">
        <f t="shared" si="29"/>
        <v>23.451435427725407</v>
      </c>
    </row>
    <row r="261" spans="1:16" x14ac:dyDescent="0.2">
      <c r="A261" s="8">
        <v>129.5</v>
      </c>
      <c r="B261" s="8">
        <v>259</v>
      </c>
      <c r="D261">
        <v>859.56401384082994</v>
      </c>
      <c r="E261">
        <v>318.00576701269</v>
      </c>
      <c r="F261">
        <v>141.98827667057</v>
      </c>
      <c r="G261">
        <v>118.94841735052999</v>
      </c>
      <c r="I261" s="9">
        <f t="shared" si="26"/>
        <v>199.05734966215999</v>
      </c>
      <c r="J261" s="9">
        <f t="shared" si="27"/>
        <v>717.57573717025991</v>
      </c>
      <c r="K261" s="9">
        <f t="shared" si="31"/>
        <v>199.05734966215999</v>
      </c>
      <c r="L261" s="10">
        <f t="shared" si="30"/>
        <v>0.27740256442774547</v>
      </c>
      <c r="M261" s="10">
        <f t="shared" si="28"/>
        <v>0.2929011141573164</v>
      </c>
      <c r="P261" s="8">
        <f t="shared" si="29"/>
        <v>22.402728695486598</v>
      </c>
    </row>
    <row r="262" spans="1:16" x14ac:dyDescent="0.2">
      <c r="A262" s="8">
        <v>130</v>
      </c>
      <c r="B262" s="8">
        <v>260</v>
      </c>
      <c r="D262">
        <v>822.67243367934998</v>
      </c>
      <c r="E262">
        <v>307.21914648211998</v>
      </c>
      <c r="F262">
        <v>142.02930832356</v>
      </c>
      <c r="G262">
        <v>118.96365767878</v>
      </c>
      <c r="I262" s="9">
        <f t="shared" si="26"/>
        <v>188.25548880333997</v>
      </c>
      <c r="J262" s="9">
        <f t="shared" si="27"/>
        <v>680.64312535578995</v>
      </c>
      <c r="K262" s="9">
        <f t="shared" si="31"/>
        <v>188.25548880333997</v>
      </c>
      <c r="L262" s="10">
        <f t="shared" si="30"/>
        <v>0.27658472081817315</v>
      </c>
      <c r="M262" s="10">
        <f t="shared" si="28"/>
        <v>0.29214311050808994</v>
      </c>
      <c r="P262" s="8">
        <f t="shared" si="29"/>
        <v>22.085960644626194</v>
      </c>
    </row>
    <row r="263" spans="1:16" x14ac:dyDescent="0.2">
      <c r="A263" s="8">
        <v>130.5</v>
      </c>
      <c r="B263" s="8">
        <v>261</v>
      </c>
      <c r="D263">
        <v>855.12687427911999</v>
      </c>
      <c r="E263">
        <v>311.45674740483997</v>
      </c>
      <c r="F263">
        <v>141.95193434935999</v>
      </c>
      <c r="G263">
        <v>119.26494724502</v>
      </c>
      <c r="I263" s="9">
        <f t="shared" si="26"/>
        <v>192.19180015981999</v>
      </c>
      <c r="J263" s="9">
        <f t="shared" si="27"/>
        <v>713.17493992976006</v>
      </c>
      <c r="K263" s="9">
        <f t="shared" si="31"/>
        <v>192.19180015981999</v>
      </c>
      <c r="L263" s="10">
        <f t="shared" si="30"/>
        <v>0.26948759609914053</v>
      </c>
      <c r="M263" s="10">
        <f t="shared" si="28"/>
        <v>0.28510582574940313</v>
      </c>
      <c r="P263" s="8">
        <f t="shared" si="29"/>
        <v>19.145094886745262</v>
      </c>
    </row>
    <row r="264" spans="1:16" x14ac:dyDescent="0.2">
      <c r="A264" s="8">
        <v>131</v>
      </c>
      <c r="B264" s="8">
        <v>262</v>
      </c>
      <c r="D264">
        <v>812.95138888889005</v>
      </c>
      <c r="E264">
        <v>299.84837962963002</v>
      </c>
      <c r="F264">
        <v>141.7796014068</v>
      </c>
      <c r="G264">
        <v>118.54396248534999</v>
      </c>
      <c r="I264" s="9">
        <f t="shared" si="26"/>
        <v>181.30441714428002</v>
      </c>
      <c r="J264" s="9">
        <f t="shared" si="27"/>
        <v>671.17178748209005</v>
      </c>
      <c r="K264" s="9">
        <f t="shared" si="31"/>
        <v>181.30441714428002</v>
      </c>
      <c r="L264" s="10">
        <f t="shared" si="30"/>
        <v>0.27013116541213089</v>
      </c>
      <c r="M264" s="10">
        <f t="shared" si="28"/>
        <v>0.28580923502273931</v>
      </c>
      <c r="P264" s="8">
        <f t="shared" si="29"/>
        <v>19.439048068500021</v>
      </c>
    </row>
    <row r="265" spans="1:16" x14ac:dyDescent="0.2">
      <c r="A265" s="8">
        <v>131.5</v>
      </c>
      <c r="B265" s="8">
        <v>263</v>
      </c>
      <c r="D265">
        <v>884.79166666667004</v>
      </c>
      <c r="E265">
        <v>318.54513888888999</v>
      </c>
      <c r="F265">
        <v>141.88042203986001</v>
      </c>
      <c r="G265">
        <v>118.83352872216</v>
      </c>
      <c r="I265" s="9">
        <f t="shared" si="26"/>
        <v>199.71161016673</v>
      </c>
      <c r="J265" s="9">
        <f t="shared" si="27"/>
        <v>742.91124462681</v>
      </c>
      <c r="K265" s="9">
        <f t="shared" si="31"/>
        <v>199.71161016673</v>
      </c>
      <c r="L265" s="10">
        <f t="shared" si="30"/>
        <v>0.2688229739570735</v>
      </c>
      <c r="M265" s="10">
        <f t="shared" si="28"/>
        <v>0.28456088352802777</v>
      </c>
      <c r="P265" s="8">
        <f t="shared" si="29"/>
        <v>18.917364736009485</v>
      </c>
    </row>
    <row r="266" spans="1:16" x14ac:dyDescent="0.2">
      <c r="A266" s="8">
        <v>132</v>
      </c>
      <c r="B266" s="8">
        <v>264</v>
      </c>
      <c r="D266">
        <v>890.53988439305999</v>
      </c>
      <c r="E266">
        <v>318.36531791907998</v>
      </c>
      <c r="F266">
        <v>141.43259085579999</v>
      </c>
      <c r="G266">
        <v>118.53927315358</v>
      </c>
      <c r="I266" s="9">
        <f t="shared" si="26"/>
        <v>199.8260447655</v>
      </c>
      <c r="J266" s="9">
        <f t="shared" si="27"/>
        <v>749.10729353726003</v>
      </c>
      <c r="K266" s="9">
        <f t="shared" si="31"/>
        <v>199.8260447655</v>
      </c>
      <c r="L266" s="10">
        <f t="shared" si="30"/>
        <v>0.26675223494611566</v>
      </c>
      <c r="M266" s="10">
        <f t="shared" si="28"/>
        <v>0.28254998447741575</v>
      </c>
      <c r="P266" s="8">
        <f t="shared" si="29"/>
        <v>18.077014464095274</v>
      </c>
    </row>
    <row r="267" spans="1:16" x14ac:dyDescent="0.2">
      <c r="A267" s="8">
        <v>132.5</v>
      </c>
      <c r="B267" s="8">
        <v>265</v>
      </c>
      <c r="D267">
        <v>818.10452961673002</v>
      </c>
      <c r="E267">
        <v>303.73054587689001</v>
      </c>
      <c r="F267">
        <v>142.13364595544999</v>
      </c>
      <c r="G267">
        <v>119.46307151230999</v>
      </c>
      <c r="I267" s="9">
        <f t="shared" si="26"/>
        <v>184.26747436458001</v>
      </c>
      <c r="J267" s="9">
        <f t="shared" si="27"/>
        <v>675.97088366128003</v>
      </c>
      <c r="K267" s="9">
        <f t="shared" si="31"/>
        <v>184.26747436458001</v>
      </c>
      <c r="L267" s="10">
        <f t="shared" si="30"/>
        <v>0.27259676240273389</v>
      </c>
      <c r="M267" s="10">
        <f t="shared" si="28"/>
        <v>0.28845435189437985</v>
      </c>
      <c r="P267" s="8">
        <f t="shared" si="29"/>
        <v>20.544436567068093</v>
      </c>
    </row>
    <row r="268" spans="1:16" x14ac:dyDescent="0.2">
      <c r="A268" s="8">
        <v>133</v>
      </c>
      <c r="B268" s="8">
        <v>266</v>
      </c>
      <c r="D268">
        <v>876.40185830430005</v>
      </c>
      <c r="E268">
        <v>317.87688734030002</v>
      </c>
      <c r="F268">
        <v>141.88276670574001</v>
      </c>
      <c r="G268">
        <v>118.99765533412</v>
      </c>
      <c r="I268" s="9">
        <f t="shared" si="26"/>
        <v>198.87923200618002</v>
      </c>
      <c r="J268" s="9">
        <f t="shared" si="27"/>
        <v>734.51909159856007</v>
      </c>
      <c r="K268" s="9">
        <f t="shared" si="31"/>
        <v>198.87923200618002</v>
      </c>
      <c r="L268" s="10">
        <f t="shared" si="30"/>
        <v>0.27076114736970563</v>
      </c>
      <c r="M268" s="10">
        <f t="shared" si="28"/>
        <v>0.2866785768216974</v>
      </c>
      <c r="P268" s="8">
        <f t="shared" si="29"/>
        <v>19.802344086228246</v>
      </c>
    </row>
    <row r="269" spans="1:16" x14ac:dyDescent="0.2">
      <c r="A269" s="8">
        <v>133.5</v>
      </c>
      <c r="B269" s="8">
        <v>267</v>
      </c>
      <c r="D269">
        <v>891.70011668611005</v>
      </c>
      <c r="E269">
        <v>320.98483080513</v>
      </c>
      <c r="F269">
        <v>141.78663540445999</v>
      </c>
      <c r="G269">
        <v>118.67526377490999</v>
      </c>
      <c r="I269" s="9">
        <f t="shared" si="26"/>
        <v>202.30956703022002</v>
      </c>
      <c r="J269" s="9">
        <f t="shared" si="27"/>
        <v>749.91348128165009</v>
      </c>
      <c r="K269" s="9">
        <f t="shared" si="31"/>
        <v>202.30956703022002</v>
      </c>
      <c r="L269" s="10">
        <f t="shared" si="30"/>
        <v>0.26977721041160646</v>
      </c>
      <c r="M269" s="10">
        <f t="shared" si="28"/>
        <v>0.28575447982394409</v>
      </c>
      <c r="P269" s="8">
        <f t="shared" si="29"/>
        <v>19.4161659918576</v>
      </c>
    </row>
    <row r="270" spans="1:16" x14ac:dyDescent="0.2">
      <c r="A270" s="8">
        <v>134</v>
      </c>
      <c r="B270" s="8">
        <v>268</v>
      </c>
      <c r="D270">
        <v>805.08650519031005</v>
      </c>
      <c r="E270">
        <v>303.21337946943999</v>
      </c>
      <c r="F270">
        <v>141.31184056271999</v>
      </c>
      <c r="G270">
        <v>118.75498241501001</v>
      </c>
      <c r="I270" s="9">
        <f t="shared" si="26"/>
        <v>184.45839705442998</v>
      </c>
      <c r="J270" s="9">
        <f t="shared" si="27"/>
        <v>663.77466462759003</v>
      </c>
      <c r="K270" s="9">
        <f t="shared" si="31"/>
        <v>184.45839705442998</v>
      </c>
      <c r="L270" s="10">
        <f t="shared" si="30"/>
        <v>0.27789309668503265</v>
      </c>
      <c r="M270" s="10">
        <f t="shared" si="28"/>
        <v>0.29393020605771608</v>
      </c>
      <c r="P270" s="8">
        <f t="shared" si="29"/>
        <v>22.832783927778035</v>
      </c>
    </row>
    <row r="271" spans="1:16" x14ac:dyDescent="0.2">
      <c r="A271" s="8">
        <v>134.5</v>
      </c>
      <c r="B271" s="8">
        <v>269</v>
      </c>
      <c r="D271">
        <v>851.50520231214</v>
      </c>
      <c r="E271">
        <v>313.72716763006002</v>
      </c>
      <c r="F271">
        <v>141.57913247362001</v>
      </c>
      <c r="G271">
        <v>119.11957796014001</v>
      </c>
      <c r="I271" s="9">
        <f t="shared" si="26"/>
        <v>194.60758966992</v>
      </c>
      <c r="J271" s="9">
        <f t="shared" si="27"/>
        <v>709.92606983851999</v>
      </c>
      <c r="K271" s="9">
        <f t="shared" si="31"/>
        <v>194.60758966992</v>
      </c>
      <c r="L271" s="10">
        <f t="shared" si="30"/>
        <v>0.2741237403976241</v>
      </c>
      <c r="M271" s="10">
        <f t="shared" si="28"/>
        <v>0.2902206897306534</v>
      </c>
      <c r="P271" s="8">
        <f t="shared" si="29"/>
        <v>21.282585247656051</v>
      </c>
    </row>
    <row r="272" spans="1:16" x14ac:dyDescent="0.2">
      <c r="A272" s="8">
        <v>135</v>
      </c>
      <c r="B272" s="8">
        <v>270</v>
      </c>
      <c r="D272">
        <v>839.65895953757001</v>
      </c>
      <c r="E272">
        <v>312.49710982659002</v>
      </c>
      <c r="F272">
        <v>141.51699882766999</v>
      </c>
      <c r="G272">
        <v>119.10785463072</v>
      </c>
      <c r="I272" s="9">
        <f t="shared" si="26"/>
        <v>193.38925519587002</v>
      </c>
      <c r="J272" s="9">
        <f t="shared" si="27"/>
        <v>698.14196070989999</v>
      </c>
      <c r="K272" s="9">
        <f t="shared" si="31"/>
        <v>193.38925519587002</v>
      </c>
      <c r="L272" s="10">
        <f t="shared" si="30"/>
        <v>0.27700563220583924</v>
      </c>
      <c r="M272" s="10">
        <f t="shared" si="28"/>
        <v>0.29316242149921434</v>
      </c>
      <c r="P272" s="8">
        <f t="shared" si="29"/>
        <v>22.511928456533919</v>
      </c>
    </row>
    <row r="273" spans="1:16" x14ac:dyDescent="0.2">
      <c r="A273" s="8">
        <v>135.5</v>
      </c>
      <c r="B273" s="8">
        <v>271</v>
      </c>
      <c r="D273">
        <v>868.90751445087005</v>
      </c>
      <c r="E273">
        <v>322.40924855490999</v>
      </c>
      <c r="F273">
        <v>142.23798358734001</v>
      </c>
      <c r="G273">
        <v>119.04220398593</v>
      </c>
      <c r="I273" s="9">
        <f t="shared" si="26"/>
        <v>203.36704456897999</v>
      </c>
      <c r="J273" s="9">
        <f t="shared" si="27"/>
        <v>726.6695308635301</v>
      </c>
      <c r="K273" s="9">
        <f t="shared" si="31"/>
        <v>203.36704456897999</v>
      </c>
      <c r="L273" s="10">
        <f t="shared" si="30"/>
        <v>0.27986180227938123</v>
      </c>
      <c r="M273" s="10">
        <f t="shared" si="28"/>
        <v>0.29607843153310215</v>
      </c>
      <c r="P273" s="8">
        <f t="shared" si="29"/>
        <v>23.73052260930174</v>
      </c>
    </row>
    <row r="274" spans="1:16" x14ac:dyDescent="0.2">
      <c r="A274" s="8">
        <v>136</v>
      </c>
      <c r="B274" s="8">
        <v>272</v>
      </c>
      <c r="D274">
        <v>803.33179190751002</v>
      </c>
      <c r="E274">
        <v>307.70982658960003</v>
      </c>
      <c r="F274">
        <v>141.65416178194999</v>
      </c>
      <c r="G274">
        <v>118.76787807737</v>
      </c>
      <c r="I274" s="9">
        <f t="shared" si="26"/>
        <v>188.94194851223003</v>
      </c>
      <c r="J274" s="9">
        <f t="shared" si="27"/>
        <v>661.67763012555997</v>
      </c>
      <c r="K274" s="9">
        <f t="shared" si="31"/>
        <v>188.94194851223003</v>
      </c>
      <c r="L274" s="10">
        <f t="shared" si="30"/>
        <v>0.28554985072772732</v>
      </c>
      <c r="M274" s="10">
        <f t="shared" si="28"/>
        <v>0.3018263199417941</v>
      </c>
      <c r="P274" s="8">
        <f t="shared" si="29"/>
        <v>26.132552480322218</v>
      </c>
    </row>
    <row r="275" spans="1:16" x14ac:dyDescent="0.2">
      <c r="A275" s="8">
        <v>136.5</v>
      </c>
      <c r="B275" s="8">
        <v>273</v>
      </c>
      <c r="D275">
        <v>826.13093858632999</v>
      </c>
      <c r="E275">
        <v>310.82387022016002</v>
      </c>
      <c r="F275">
        <v>142.36576787807999</v>
      </c>
      <c r="G275">
        <v>118.58264947245</v>
      </c>
      <c r="I275" s="9">
        <f>E275-G275</f>
        <v>192.24122074771003</v>
      </c>
      <c r="J275" s="9">
        <f>D275-F275</f>
        <v>683.76517070825003</v>
      </c>
      <c r="K275" s="9">
        <f t="shared" si="31"/>
        <v>192.24122074771003</v>
      </c>
      <c r="L275" s="10">
        <f t="shared" si="30"/>
        <v>0.28115094038584165</v>
      </c>
      <c r="M275" s="10">
        <f>L275+ABS($N$2)*A275</f>
        <v>0.29748724956025424</v>
      </c>
      <c r="O275" s="11"/>
      <c r="P275" s="8">
        <f>(M275-$O$2)/$O$2*100</f>
        <v>24.319264551287624</v>
      </c>
    </row>
    <row r="276" spans="1:16" x14ac:dyDescent="0.2">
      <c r="A276" s="8">
        <v>137</v>
      </c>
      <c r="B276" s="8">
        <v>274</v>
      </c>
      <c r="D276">
        <v>788.65701042874002</v>
      </c>
      <c r="E276">
        <v>305.35689455388001</v>
      </c>
      <c r="F276">
        <v>141.86987104337999</v>
      </c>
      <c r="G276">
        <v>119.04923798359</v>
      </c>
      <c r="I276" s="9">
        <f t="shared" ref="I276:I291" si="32">E276-G276</f>
        <v>186.30765657029002</v>
      </c>
      <c r="J276" s="9">
        <f t="shared" ref="J276:J291" si="33">D276-F276</f>
        <v>646.78713938535998</v>
      </c>
      <c r="K276" s="9">
        <f t="shared" si="31"/>
        <v>186.30765657029002</v>
      </c>
      <c r="L276" s="10">
        <f t="shared" si="30"/>
        <v>0.28805096023915638</v>
      </c>
      <c r="M276" s="10">
        <f t="shared" ref="M276:M291" si="34">L276+ABS($N$2)*A276</f>
        <v>0.30444710937391484</v>
      </c>
      <c r="P276" s="8">
        <f t="shared" ref="P276:P291" si="35">(M276-$O$2)/$O$2*100</f>
        <v>27.227774595645332</v>
      </c>
    </row>
    <row r="277" spans="1:16" x14ac:dyDescent="0.2">
      <c r="A277" s="8">
        <v>137.5</v>
      </c>
      <c r="B277" s="8">
        <v>275</v>
      </c>
      <c r="D277">
        <v>855.16222479722001</v>
      </c>
      <c r="E277">
        <v>320.10081112399001</v>
      </c>
      <c r="F277">
        <v>141.50879249707</v>
      </c>
      <c r="G277">
        <v>119.50175849941</v>
      </c>
      <c r="I277" s="9">
        <f t="shared" si="32"/>
        <v>200.59905262458</v>
      </c>
      <c r="J277" s="9">
        <f t="shared" si="33"/>
        <v>713.65343230015003</v>
      </c>
      <c r="K277" s="9">
        <f t="shared" si="31"/>
        <v>200.59905262458</v>
      </c>
      <c r="L277" s="10">
        <f t="shared" si="30"/>
        <v>0.28108749085398022</v>
      </c>
      <c r="M277" s="10">
        <f t="shared" si="34"/>
        <v>0.29754347994908448</v>
      </c>
      <c r="N277" s="1"/>
      <c r="P277" s="8">
        <f t="shared" si="35"/>
        <v>24.34276310658753</v>
      </c>
    </row>
    <row r="278" spans="1:16" x14ac:dyDescent="0.2">
      <c r="A278" s="8">
        <v>138</v>
      </c>
      <c r="B278" s="8">
        <v>276</v>
      </c>
      <c r="D278">
        <v>831.76741440377998</v>
      </c>
      <c r="E278">
        <v>315.31523022431998</v>
      </c>
      <c r="F278">
        <v>141.52872215708999</v>
      </c>
      <c r="G278">
        <v>118.61899179367001</v>
      </c>
      <c r="I278" s="9">
        <f t="shared" si="32"/>
        <v>196.69623843064997</v>
      </c>
      <c r="J278" s="9">
        <f t="shared" si="33"/>
        <v>690.23869224668999</v>
      </c>
      <c r="K278" s="9">
        <f t="shared" si="31"/>
        <v>196.69623843064997</v>
      </c>
      <c r="L278" s="10">
        <f t="shared" si="30"/>
        <v>0.2849684328625714</v>
      </c>
      <c r="M278" s="10">
        <f t="shared" si="34"/>
        <v>0.30148426191802152</v>
      </c>
      <c r="P278" s="8">
        <f t="shared" si="35"/>
        <v>25.989607187668049</v>
      </c>
    </row>
    <row r="279" spans="1:16" x14ac:dyDescent="0.2">
      <c r="A279" s="8">
        <v>138.5</v>
      </c>
      <c r="B279" s="8">
        <v>277</v>
      </c>
      <c r="D279">
        <v>888.95277449823004</v>
      </c>
      <c r="E279">
        <v>325.63990554899999</v>
      </c>
      <c r="F279">
        <v>141.80304806564999</v>
      </c>
      <c r="G279">
        <v>119.09261430246001</v>
      </c>
      <c r="I279" s="9">
        <f t="shared" si="32"/>
        <v>206.54729124654</v>
      </c>
      <c r="J279" s="9">
        <f t="shared" si="33"/>
        <v>747.14972643258011</v>
      </c>
      <c r="K279" s="9">
        <f t="shared" si="31"/>
        <v>206.54729124654</v>
      </c>
      <c r="L279" s="10">
        <f t="shared" si="30"/>
        <v>0.27644698771790022</v>
      </c>
      <c r="M279" s="10">
        <f t="shared" si="34"/>
        <v>0.29302265673369615</v>
      </c>
      <c r="P279" s="8">
        <f t="shared" si="35"/>
        <v>22.453521069712838</v>
      </c>
    </row>
    <row r="280" spans="1:16" x14ac:dyDescent="0.2">
      <c r="A280" s="8">
        <v>139</v>
      </c>
      <c r="B280" s="8">
        <v>278</v>
      </c>
      <c r="D280">
        <v>873.20070838253002</v>
      </c>
      <c r="E280">
        <v>322.65053128689999</v>
      </c>
      <c r="F280">
        <v>141.60140679953</v>
      </c>
      <c r="G280">
        <v>118.94958968346999</v>
      </c>
      <c r="I280" s="9">
        <f t="shared" si="32"/>
        <v>203.70094160343001</v>
      </c>
      <c r="J280" s="9">
        <f t="shared" si="33"/>
        <v>731.59930158300006</v>
      </c>
      <c r="K280" s="9">
        <f t="shared" si="31"/>
        <v>203.70094160343001</v>
      </c>
      <c r="L280" s="10">
        <f t="shared" si="30"/>
        <v>0.27843238937307829</v>
      </c>
      <c r="M280" s="10">
        <f t="shared" si="34"/>
        <v>0.29506789834922009</v>
      </c>
      <c r="P280" s="8">
        <f t="shared" si="35"/>
        <v>23.308223023653639</v>
      </c>
    </row>
    <row r="281" spans="1:16" x14ac:dyDescent="0.2">
      <c r="A281" s="8">
        <v>139.5</v>
      </c>
      <c r="B281" s="8">
        <v>279</v>
      </c>
      <c r="D281">
        <v>892.31877213694997</v>
      </c>
      <c r="E281">
        <v>329.97048406138998</v>
      </c>
      <c r="F281">
        <v>142.41852286048999</v>
      </c>
      <c r="G281">
        <v>118.69871043376</v>
      </c>
      <c r="I281" s="9">
        <f t="shared" si="32"/>
        <v>211.27177362762998</v>
      </c>
      <c r="J281" s="9">
        <f t="shared" si="33"/>
        <v>749.90024927646004</v>
      </c>
      <c r="K281" s="9">
        <f t="shared" si="31"/>
        <v>211.27177362762998</v>
      </c>
      <c r="L281" s="10">
        <f t="shared" si="30"/>
        <v>0.28173316895343775</v>
      </c>
      <c r="M281" s="10">
        <f t="shared" si="34"/>
        <v>0.29842851788992536</v>
      </c>
      <c r="P281" s="8">
        <f t="shared" si="35"/>
        <v>24.712618507341571</v>
      </c>
    </row>
    <row r="282" spans="1:16" x14ac:dyDescent="0.2">
      <c r="A282" s="8">
        <v>140</v>
      </c>
      <c r="B282" s="8">
        <v>280</v>
      </c>
      <c r="D282">
        <v>840.70247933884002</v>
      </c>
      <c r="E282">
        <v>310.87012987012997</v>
      </c>
      <c r="F282">
        <v>142.01055099647999</v>
      </c>
      <c r="G282">
        <v>118.50762016413</v>
      </c>
      <c r="I282" s="9">
        <f t="shared" si="32"/>
        <v>192.36250970599997</v>
      </c>
      <c r="J282" s="9">
        <f t="shared" si="33"/>
        <v>698.69192834236003</v>
      </c>
      <c r="K282" s="9">
        <f t="shared" si="31"/>
        <v>192.36250970599997</v>
      </c>
      <c r="L282" s="10">
        <f t="shared" si="30"/>
        <v>0.27531806494799244</v>
      </c>
      <c r="M282" s="10">
        <f t="shared" si="34"/>
        <v>0.29207325384482585</v>
      </c>
      <c r="P282" s="8">
        <f t="shared" si="35"/>
        <v>22.056767699335811</v>
      </c>
    </row>
    <row r="283" spans="1:16" x14ac:dyDescent="0.2">
      <c r="A283" s="8">
        <v>140.5</v>
      </c>
      <c r="B283" s="8">
        <v>281</v>
      </c>
      <c r="D283">
        <v>804.28099173554006</v>
      </c>
      <c r="E283">
        <v>301.27626918535998</v>
      </c>
      <c r="F283">
        <v>142.25439624853999</v>
      </c>
      <c r="G283">
        <v>118.44665885111</v>
      </c>
      <c r="I283" s="9">
        <f t="shared" si="32"/>
        <v>182.82961033424999</v>
      </c>
      <c r="J283" s="9">
        <f t="shared" si="33"/>
        <v>662.02659548700012</v>
      </c>
      <c r="K283" s="9">
        <f t="shared" si="31"/>
        <v>182.82961033424999</v>
      </c>
      <c r="L283" s="10">
        <f t="shared" si="30"/>
        <v>0.27616656427489417</v>
      </c>
      <c r="M283" s="10">
        <f t="shared" si="34"/>
        <v>0.29298159313207345</v>
      </c>
      <c r="P283" s="8">
        <f t="shared" si="35"/>
        <v>22.436360681289109</v>
      </c>
    </row>
    <row r="284" spans="1:16" x14ac:dyDescent="0.2">
      <c r="A284" s="8">
        <v>141</v>
      </c>
      <c r="B284" s="8">
        <v>282</v>
      </c>
      <c r="D284">
        <v>846.29103608848004</v>
      </c>
      <c r="E284">
        <v>315.06868451688001</v>
      </c>
      <c r="F284">
        <v>141.90152403283</v>
      </c>
      <c r="G284">
        <v>118.81008206331001</v>
      </c>
      <c r="I284" s="9">
        <f t="shared" si="32"/>
        <v>196.25860245357001</v>
      </c>
      <c r="J284" s="9">
        <f t="shared" si="33"/>
        <v>704.38951205565002</v>
      </c>
      <c r="K284" s="9">
        <f t="shared" si="31"/>
        <v>196.25860245357001</v>
      </c>
      <c r="L284" s="10">
        <f t="shared" si="30"/>
        <v>0.27862226665019491</v>
      </c>
      <c r="M284" s="10">
        <f t="shared" si="34"/>
        <v>0.29549713546772</v>
      </c>
      <c r="P284" s="8">
        <f t="shared" si="35"/>
        <v>23.487600267447796</v>
      </c>
    </row>
    <row r="285" spans="1:16" x14ac:dyDescent="0.2">
      <c r="A285" s="8">
        <v>141.5</v>
      </c>
      <c r="B285" s="8">
        <v>283</v>
      </c>
      <c r="D285">
        <v>799.42724097788005</v>
      </c>
      <c r="E285">
        <v>308.08265424912997</v>
      </c>
      <c r="F285">
        <v>141.95896834701</v>
      </c>
      <c r="G285">
        <v>119.13833528722</v>
      </c>
      <c r="I285" s="9">
        <f t="shared" si="32"/>
        <v>188.94431896190997</v>
      </c>
      <c r="J285" s="9">
        <f t="shared" si="33"/>
        <v>657.46827263087005</v>
      </c>
      <c r="K285" s="9">
        <f t="shared" si="31"/>
        <v>188.94431896190997</v>
      </c>
      <c r="L285" s="10">
        <f t="shared" si="30"/>
        <v>0.28738165296683627</v>
      </c>
      <c r="M285" s="10">
        <f t="shared" si="34"/>
        <v>0.30431636174470722</v>
      </c>
      <c r="P285" s="8">
        <f t="shared" si="35"/>
        <v>27.173135450172904</v>
      </c>
    </row>
    <row r="286" spans="1:16" x14ac:dyDescent="0.2">
      <c r="A286" s="8">
        <v>142</v>
      </c>
      <c r="B286" s="8">
        <v>284</v>
      </c>
      <c r="D286">
        <v>811.05937136205</v>
      </c>
      <c r="E286">
        <v>302.34807916182001</v>
      </c>
      <c r="F286">
        <v>142.3305978898</v>
      </c>
      <c r="G286">
        <v>118.86987104338</v>
      </c>
      <c r="I286" s="9">
        <f t="shared" si="32"/>
        <v>183.47820811844002</v>
      </c>
      <c r="J286" s="9">
        <f t="shared" si="33"/>
        <v>668.72877347224994</v>
      </c>
      <c r="K286" s="9">
        <f t="shared" si="31"/>
        <v>183.47820811844002</v>
      </c>
      <c r="L286" s="10">
        <f t="shared" si="30"/>
        <v>0.2743686459994289</v>
      </c>
      <c r="M286" s="10">
        <f t="shared" si="34"/>
        <v>0.29136319473764566</v>
      </c>
      <c r="P286" s="8">
        <f t="shared" si="35"/>
        <v>21.760035566704673</v>
      </c>
    </row>
    <row r="287" spans="1:16" x14ac:dyDescent="0.2">
      <c r="A287" s="8">
        <v>142.5</v>
      </c>
      <c r="B287" s="8">
        <v>285</v>
      </c>
      <c r="D287">
        <v>785.42258440046999</v>
      </c>
      <c r="E287">
        <v>293.73806752037001</v>
      </c>
      <c r="F287">
        <v>142.26143024619</v>
      </c>
      <c r="G287">
        <v>118.66354044549</v>
      </c>
      <c r="I287" s="9">
        <f t="shared" si="32"/>
        <v>175.07452707488</v>
      </c>
      <c r="J287" s="9">
        <f t="shared" si="33"/>
        <v>643.16115415427998</v>
      </c>
      <c r="K287" s="9">
        <f t="shared" si="31"/>
        <v>175.07452707488</v>
      </c>
      <c r="L287" s="10">
        <f t="shared" si="30"/>
        <v>0.27220942363208012</v>
      </c>
      <c r="M287" s="10">
        <f t="shared" si="34"/>
        <v>0.28926381233064274</v>
      </c>
      <c r="P287" s="8">
        <f t="shared" si="35"/>
        <v>20.88270829558191</v>
      </c>
    </row>
    <row r="288" spans="1:16" x14ac:dyDescent="0.2">
      <c r="A288" s="8">
        <v>143</v>
      </c>
      <c r="B288" s="8">
        <v>286</v>
      </c>
      <c r="D288">
        <v>842.59022118742996</v>
      </c>
      <c r="E288">
        <v>312.26542491268998</v>
      </c>
      <c r="F288">
        <v>142.00468933177001</v>
      </c>
      <c r="G288">
        <v>118.45486518171001</v>
      </c>
      <c r="I288" s="9">
        <f t="shared" si="32"/>
        <v>193.81055973097997</v>
      </c>
      <c r="J288" s="9">
        <f t="shared" si="33"/>
        <v>700.58553185565995</v>
      </c>
      <c r="K288" s="9">
        <f t="shared" si="31"/>
        <v>193.81055973097997</v>
      </c>
      <c r="L288" s="10">
        <f t="shared" si="30"/>
        <v>0.27664082530740919</v>
      </c>
      <c r="M288" s="10">
        <f t="shared" si="34"/>
        <v>0.29375505396631763</v>
      </c>
      <c r="P288" s="8">
        <f t="shared" si="35"/>
        <v>22.759588255629183</v>
      </c>
    </row>
    <row r="289" spans="1:16" x14ac:dyDescent="0.2">
      <c r="A289" s="8">
        <v>143.5</v>
      </c>
      <c r="B289" s="8">
        <v>287</v>
      </c>
      <c r="D289">
        <v>779.64842840511994</v>
      </c>
      <c r="E289">
        <v>292.13154831199</v>
      </c>
      <c r="F289">
        <v>141.68347010551</v>
      </c>
      <c r="G289">
        <v>118.79835873387999</v>
      </c>
      <c r="I289" s="9">
        <f t="shared" si="32"/>
        <v>173.33318957811002</v>
      </c>
      <c r="J289" s="9">
        <f t="shared" si="33"/>
        <v>637.96495829960998</v>
      </c>
      <c r="K289" s="9">
        <f t="shared" si="31"/>
        <v>173.33318957811002</v>
      </c>
      <c r="L289" s="10">
        <f t="shared" si="30"/>
        <v>0.27169703809453888</v>
      </c>
      <c r="M289" s="10">
        <f t="shared" si="34"/>
        <v>0.28887110671379318</v>
      </c>
      <c r="P289" s="8">
        <f t="shared" si="35"/>
        <v>20.718597485642778</v>
      </c>
    </row>
    <row r="290" spans="1:16" x14ac:dyDescent="0.2">
      <c r="A290" s="8">
        <v>144</v>
      </c>
      <c r="B290" s="8">
        <v>288</v>
      </c>
      <c r="D290">
        <v>832.07450523864998</v>
      </c>
      <c r="E290">
        <v>305.57508731082999</v>
      </c>
      <c r="F290">
        <v>141.91207502930999</v>
      </c>
      <c r="G290">
        <v>119.24970691676</v>
      </c>
      <c r="I290" s="9">
        <f t="shared" si="32"/>
        <v>186.32538039406998</v>
      </c>
      <c r="J290" s="9">
        <f t="shared" si="33"/>
        <v>690.16243020933996</v>
      </c>
      <c r="K290" s="9">
        <f t="shared" si="31"/>
        <v>186.32538039406998</v>
      </c>
      <c r="L290" s="10">
        <f t="shared" si="30"/>
        <v>0.26997322983453881</v>
      </c>
      <c r="M290" s="10">
        <f t="shared" si="34"/>
        <v>0.28720713841413892</v>
      </c>
      <c r="P290" s="8">
        <f t="shared" si="35"/>
        <v>20.023228808311362</v>
      </c>
    </row>
    <row r="291" spans="1:16" x14ac:dyDescent="0.2">
      <c r="A291" s="8">
        <v>144.5</v>
      </c>
      <c r="B291" s="8">
        <v>289</v>
      </c>
      <c r="D291">
        <v>853.84104389086997</v>
      </c>
      <c r="E291">
        <v>306.18149466192</v>
      </c>
      <c r="F291">
        <v>141.59554513481999</v>
      </c>
      <c r="G291">
        <v>119.04103165299</v>
      </c>
      <c r="I291" s="9">
        <f t="shared" si="32"/>
        <v>187.14046300893</v>
      </c>
      <c r="J291" s="9">
        <f t="shared" si="33"/>
        <v>712.24549875604998</v>
      </c>
      <c r="K291" s="9">
        <f t="shared" si="31"/>
        <v>187.14046300893</v>
      </c>
      <c r="L291" s="10">
        <f t="shared" si="30"/>
        <v>0.26274713330694865</v>
      </c>
      <c r="M291" s="10">
        <f t="shared" si="34"/>
        <v>0.28004088184689457</v>
      </c>
      <c r="P291" s="8">
        <f t="shared" si="35"/>
        <v>17.028466016485545</v>
      </c>
    </row>
    <row r="292" spans="1:16" x14ac:dyDescent="0.2">
      <c r="A292" s="8">
        <v>145</v>
      </c>
      <c r="B292" s="8">
        <v>290</v>
      </c>
      <c r="D292">
        <v>795.31791221826995</v>
      </c>
      <c r="E292">
        <v>294.66429418743002</v>
      </c>
      <c r="F292">
        <v>141.69519343493999</v>
      </c>
      <c r="G292">
        <v>118.69753810082</v>
      </c>
      <c r="I292" s="9">
        <f>E292-G292</f>
        <v>175.96675608661002</v>
      </c>
      <c r="J292" s="9">
        <f>D292-F292</f>
        <v>653.6227187833299</v>
      </c>
      <c r="K292" s="9">
        <f t="shared" si="31"/>
        <v>175.96675608661002</v>
      </c>
      <c r="L292" s="10">
        <f t="shared" si="30"/>
        <v>0.26921762513726427</v>
      </c>
      <c r="M292" s="10">
        <f>L292+ABS($N$2)*A292</f>
        <v>0.28657121363755605</v>
      </c>
      <c r="O292" s="11"/>
      <c r="P292" s="8">
        <f>(M292-$O$2)/$O$2*100</f>
        <v>19.757477248701374</v>
      </c>
    </row>
    <row r="293" spans="1:16" x14ac:dyDescent="0.2">
      <c r="A293" s="8">
        <v>145.5</v>
      </c>
      <c r="B293" s="8">
        <v>291</v>
      </c>
      <c r="D293">
        <v>818.30249110320005</v>
      </c>
      <c r="E293">
        <v>293.96559905100997</v>
      </c>
      <c r="F293">
        <v>141.87456037515</v>
      </c>
      <c r="G293">
        <v>119.0082063306</v>
      </c>
      <c r="I293" s="9">
        <f t="shared" ref="I293:I301" si="36">E293-G293</f>
        <v>174.95739272040998</v>
      </c>
      <c r="J293" s="9">
        <f t="shared" ref="J293:J301" si="37">D293-F293</f>
        <v>676.42793072805011</v>
      </c>
      <c r="K293" s="9">
        <f t="shared" si="31"/>
        <v>174.95739272040998</v>
      </c>
      <c r="L293" s="10">
        <f t="shared" si="30"/>
        <v>0.25864897762589517</v>
      </c>
      <c r="M293" s="10">
        <f t="shared" ref="M293:M301" si="38">L293+ABS($N$2)*A293</f>
        <v>0.27606240608653276</v>
      </c>
      <c r="P293" s="8">
        <f t="shared" ref="P293:P301" si="39">(M293-$O$2)/$O$2*100</f>
        <v>15.365869783220337</v>
      </c>
    </row>
    <row r="294" spans="1:16" x14ac:dyDescent="0.2">
      <c r="A294" s="8">
        <v>146</v>
      </c>
      <c r="B294" s="8">
        <v>292</v>
      </c>
      <c r="D294">
        <v>813.47568208778</v>
      </c>
      <c r="E294">
        <v>291.02253855279002</v>
      </c>
      <c r="F294">
        <v>141.96365767878001</v>
      </c>
      <c r="G294">
        <v>118.69988276671</v>
      </c>
      <c r="I294" s="9">
        <f t="shared" si="36"/>
        <v>172.32265578608002</v>
      </c>
      <c r="J294" s="9">
        <f t="shared" si="37"/>
        <v>671.51202440899999</v>
      </c>
      <c r="K294" s="9">
        <f t="shared" si="31"/>
        <v>172.32265578608002</v>
      </c>
      <c r="L294" s="10">
        <f t="shared" si="30"/>
        <v>0.25661886834825004</v>
      </c>
      <c r="M294" s="10">
        <f t="shared" si="38"/>
        <v>0.2740921367692335</v>
      </c>
      <c r="N294" s="1"/>
      <c r="P294" s="8">
        <f t="shared" si="39"/>
        <v>14.542498587121388</v>
      </c>
    </row>
    <row r="295" spans="1:16" x14ac:dyDescent="0.2">
      <c r="A295" s="8">
        <v>146.5</v>
      </c>
      <c r="B295" s="8">
        <v>293</v>
      </c>
      <c r="D295">
        <v>830.86595492288996</v>
      </c>
      <c r="E295">
        <v>291.60616844602998</v>
      </c>
      <c r="F295">
        <v>141.73036342321001</v>
      </c>
      <c r="G295">
        <v>118.5756154748</v>
      </c>
      <c r="I295" s="9">
        <f t="shared" si="36"/>
        <v>173.03055297122998</v>
      </c>
      <c r="J295" s="9">
        <f t="shared" si="37"/>
        <v>689.13559149968</v>
      </c>
      <c r="K295" s="9">
        <f t="shared" si="31"/>
        <v>173.03055297122998</v>
      </c>
      <c r="L295" s="10">
        <f t="shared" si="30"/>
        <v>0.25108346616474286</v>
      </c>
      <c r="M295" s="10">
        <f t="shared" si="38"/>
        <v>0.26861657454607213</v>
      </c>
      <c r="P295" s="8">
        <f t="shared" si="39"/>
        <v>12.254273227565736</v>
      </c>
    </row>
    <row r="296" spans="1:16" x14ac:dyDescent="0.2">
      <c r="A296" s="8">
        <v>147</v>
      </c>
      <c r="B296" s="8">
        <v>294</v>
      </c>
      <c r="D296">
        <v>781.01067615657996</v>
      </c>
      <c r="E296">
        <v>277.05931198102002</v>
      </c>
      <c r="F296">
        <v>141.5756154748</v>
      </c>
      <c r="G296">
        <v>118.51699882766999</v>
      </c>
      <c r="I296" s="9">
        <f t="shared" si="36"/>
        <v>158.54231315335002</v>
      </c>
      <c r="J296" s="9">
        <f t="shared" si="37"/>
        <v>639.43506068177999</v>
      </c>
      <c r="K296" s="9">
        <f t="shared" si="31"/>
        <v>158.54231315335002</v>
      </c>
      <c r="L296" s="10">
        <f t="shared" si="30"/>
        <v>0.2479412264074301</v>
      </c>
      <c r="M296" s="10">
        <f t="shared" si="38"/>
        <v>0.26553417474910523</v>
      </c>
      <c r="P296" s="8">
        <f t="shared" si="39"/>
        <v>10.966145160300968</v>
      </c>
    </row>
    <row r="297" spans="1:16" x14ac:dyDescent="0.2">
      <c r="A297" s="8">
        <v>147.5</v>
      </c>
      <c r="B297" s="8">
        <v>295</v>
      </c>
      <c r="D297">
        <v>793.65005931198004</v>
      </c>
      <c r="E297">
        <v>278.48161328587997</v>
      </c>
      <c r="F297">
        <v>141.64712778429001</v>
      </c>
      <c r="G297">
        <v>118.82180539273</v>
      </c>
      <c r="I297" s="9">
        <f t="shared" si="36"/>
        <v>159.65980789314997</v>
      </c>
      <c r="J297" s="9">
        <f t="shared" si="37"/>
        <v>652.00293152769007</v>
      </c>
      <c r="K297" s="9">
        <f t="shared" si="31"/>
        <v>159.65980789314997</v>
      </c>
      <c r="L297" s="10">
        <f t="shared" si="30"/>
        <v>0.24487590495805822</v>
      </c>
      <c r="M297" s="10">
        <f t="shared" si="38"/>
        <v>0.26252869326007916</v>
      </c>
      <c r="P297" s="8">
        <f t="shared" si="39"/>
        <v>9.7101610840404078</v>
      </c>
    </row>
    <row r="298" spans="1:16" x14ac:dyDescent="0.2">
      <c r="A298" s="8">
        <v>148</v>
      </c>
      <c r="B298" s="8">
        <v>296</v>
      </c>
      <c r="D298">
        <v>823.33333333332996</v>
      </c>
      <c r="E298">
        <v>292.05011655011998</v>
      </c>
      <c r="F298">
        <v>141.58382180538999</v>
      </c>
      <c r="G298">
        <v>118.33411488863</v>
      </c>
      <c r="I298" s="9">
        <f t="shared" si="36"/>
        <v>173.71600166149</v>
      </c>
      <c r="J298" s="9">
        <f t="shared" si="37"/>
        <v>681.74951152793994</v>
      </c>
      <c r="K298" s="9">
        <f t="shared" si="31"/>
        <v>173.71600166149</v>
      </c>
      <c r="L298" s="10">
        <f t="shared" si="30"/>
        <v>0.25480913256858367</v>
      </c>
      <c r="M298" s="10">
        <f t="shared" si="38"/>
        <v>0.27252176083095048</v>
      </c>
      <c r="P298" s="8">
        <f t="shared" si="39"/>
        <v>13.886241950895906</v>
      </c>
    </row>
    <row r="299" spans="1:16" x14ac:dyDescent="0.2">
      <c r="A299" s="8">
        <v>148.5</v>
      </c>
      <c r="B299" s="8">
        <v>297</v>
      </c>
      <c r="D299">
        <v>780.57342657342997</v>
      </c>
      <c r="E299">
        <v>285.66550116550002</v>
      </c>
      <c r="F299">
        <v>142.22743259085999</v>
      </c>
      <c r="G299">
        <v>118.41383352872001</v>
      </c>
      <c r="I299" s="9">
        <f t="shared" si="36"/>
        <v>167.25166763678001</v>
      </c>
      <c r="J299" s="9">
        <f t="shared" si="37"/>
        <v>638.34599398257001</v>
      </c>
      <c r="K299" s="9">
        <f t="shared" si="31"/>
        <v>167.25166763678001</v>
      </c>
      <c r="L299" s="10">
        <f t="shared" si="30"/>
        <v>0.26200785970836188</v>
      </c>
      <c r="M299" s="10">
        <f t="shared" si="38"/>
        <v>0.27978032793107449</v>
      </c>
      <c r="P299" s="8">
        <f t="shared" si="39"/>
        <v>16.919581110532121</v>
      </c>
    </row>
    <row r="300" spans="1:16" x14ac:dyDescent="0.2">
      <c r="A300" s="8">
        <v>149</v>
      </c>
      <c r="B300" s="8">
        <v>298</v>
      </c>
      <c r="D300">
        <v>865.15734265734</v>
      </c>
      <c r="E300">
        <v>306.25990675991</v>
      </c>
      <c r="F300">
        <v>141.82883939038999</v>
      </c>
      <c r="G300">
        <v>118.44431418523</v>
      </c>
      <c r="I300" s="9">
        <f t="shared" si="36"/>
        <v>187.81559257468001</v>
      </c>
      <c r="J300" s="9">
        <f t="shared" si="37"/>
        <v>723.32850326695007</v>
      </c>
      <c r="K300" s="9">
        <f t="shared" si="31"/>
        <v>187.81559257468001</v>
      </c>
      <c r="L300" s="10">
        <f t="shared" si="30"/>
        <v>0.25965462680704732</v>
      </c>
      <c r="M300" s="10">
        <f t="shared" si="38"/>
        <v>0.27748693499010579</v>
      </c>
      <c r="P300" s="8">
        <f t="shared" si="39"/>
        <v>15.961177265762982</v>
      </c>
    </row>
    <row r="301" spans="1:16" x14ac:dyDescent="0.2">
      <c r="A301" s="8">
        <v>149.5</v>
      </c>
      <c r="B301" s="8">
        <v>299</v>
      </c>
      <c r="D301">
        <v>835.04895104895002</v>
      </c>
      <c r="E301">
        <v>293.63869463869997</v>
      </c>
      <c r="F301">
        <v>142.32356389214999</v>
      </c>
      <c r="G301">
        <v>118.93786635405</v>
      </c>
      <c r="I301" s="9">
        <f t="shared" si="36"/>
        <v>174.70082828464996</v>
      </c>
      <c r="J301" s="9">
        <f t="shared" si="37"/>
        <v>692.72538715680002</v>
      </c>
      <c r="K301" s="9">
        <f t="shared" si="31"/>
        <v>174.70082828464996</v>
      </c>
      <c r="L301" s="10">
        <f t="shared" si="30"/>
        <v>0.25219348319495904</v>
      </c>
      <c r="M301" s="10">
        <f t="shared" si="38"/>
        <v>0.27008563133836333</v>
      </c>
      <c r="P301" s="8">
        <f t="shared" si="39"/>
        <v>12.868188816457977</v>
      </c>
    </row>
    <row r="302" spans="1:16" x14ac:dyDescent="0.2">
      <c r="A302" s="8">
        <v>150</v>
      </c>
      <c r="B302" s="8">
        <v>300</v>
      </c>
      <c r="D302">
        <v>850.10289017340995</v>
      </c>
      <c r="E302">
        <v>293.57456647398999</v>
      </c>
      <c r="F302">
        <v>141.57092614302999</v>
      </c>
      <c r="G302">
        <v>118.66471277843</v>
      </c>
      <c r="I302" s="9">
        <f>E302-G302</f>
        <v>174.90985369556</v>
      </c>
      <c r="J302" s="9">
        <f>D302-F302</f>
        <v>708.53196403037998</v>
      </c>
      <c r="K302" s="9">
        <f t="shared" si="31"/>
        <v>174.90985369556</v>
      </c>
      <c r="L302" s="10">
        <f t="shared" si="30"/>
        <v>0.24686233307049552</v>
      </c>
      <c r="M302" s="10">
        <f>L302+ABS($N$2)*A302</f>
        <v>0.26481432117424564</v>
      </c>
      <c r="O302" s="11"/>
      <c r="P302" s="8">
        <f>(M302-$O$2)/$O$2*100</f>
        <v>10.665319941258986</v>
      </c>
    </row>
    <row r="303" spans="1:16" x14ac:dyDescent="0.2">
      <c r="A303" s="8">
        <v>150.5</v>
      </c>
      <c r="B303" s="8">
        <v>301</v>
      </c>
      <c r="D303">
        <v>821.18265895954005</v>
      </c>
      <c r="E303">
        <v>294.46705202312</v>
      </c>
      <c r="F303">
        <v>141.87338804219999</v>
      </c>
      <c r="G303">
        <v>119.04220398593</v>
      </c>
      <c r="I303" s="9">
        <f t="shared" ref="I303:I309" si="40">E303-G303</f>
        <v>175.42484803719</v>
      </c>
      <c r="J303" s="9">
        <f t="shared" ref="J303:J309" si="41">D303-F303</f>
        <v>679.30927091734009</v>
      </c>
      <c r="K303" s="9">
        <f t="shared" si="31"/>
        <v>175.42484803719</v>
      </c>
      <c r="L303" s="10">
        <f t="shared" si="30"/>
        <v>0.25824003226144121</v>
      </c>
      <c r="M303" s="10">
        <f t="shared" ref="M303:M309" si="42">L303+ABS($N$2)*A303</f>
        <v>0.27625186032553717</v>
      </c>
      <c r="P303" s="8">
        <f t="shared" ref="P303:P309" si="43">(M303-$O$2)/$O$2*100</f>
        <v>15.445042291265528</v>
      </c>
    </row>
    <row r="304" spans="1:16" x14ac:dyDescent="0.2">
      <c r="A304" s="8">
        <v>151</v>
      </c>
      <c r="B304" s="8">
        <v>302</v>
      </c>
      <c r="D304">
        <v>854.33294797687995</v>
      </c>
      <c r="E304">
        <v>299.63352601155998</v>
      </c>
      <c r="F304">
        <v>141.96248534584001</v>
      </c>
      <c r="G304">
        <v>118.36107854631</v>
      </c>
      <c r="I304" s="9">
        <f t="shared" si="40"/>
        <v>181.27244746524997</v>
      </c>
      <c r="J304" s="9">
        <f t="shared" si="41"/>
        <v>712.37046263103991</v>
      </c>
      <c r="K304" s="9">
        <f t="shared" si="31"/>
        <v>181.27244746524997</v>
      </c>
      <c r="L304" s="10">
        <f t="shared" si="30"/>
        <v>0.25446373337230427</v>
      </c>
      <c r="M304" s="10">
        <f t="shared" si="42"/>
        <v>0.27253540139674604</v>
      </c>
      <c r="N304" s="1"/>
      <c r="P304" s="8">
        <f t="shared" si="43"/>
        <v>13.891942313214875</v>
      </c>
    </row>
    <row r="305" spans="1:16" x14ac:dyDescent="0.2">
      <c r="A305" s="8">
        <v>151.5</v>
      </c>
      <c r="B305" s="8">
        <v>303</v>
      </c>
      <c r="D305">
        <v>807.55957943925</v>
      </c>
      <c r="E305">
        <v>286.42056074765998</v>
      </c>
      <c r="F305">
        <v>141.69050410317001</v>
      </c>
      <c r="G305">
        <v>118.18522860492</v>
      </c>
      <c r="I305" s="9">
        <f t="shared" si="40"/>
        <v>168.23533214273999</v>
      </c>
      <c r="J305" s="9">
        <f t="shared" si="41"/>
        <v>665.86907533607996</v>
      </c>
      <c r="K305" s="9">
        <f t="shared" si="31"/>
        <v>168.23533214273999</v>
      </c>
      <c r="L305" s="10">
        <f t="shared" si="30"/>
        <v>0.25265527169560714</v>
      </c>
      <c r="M305" s="10">
        <f t="shared" si="42"/>
        <v>0.27078677968039477</v>
      </c>
      <c r="P305" s="8">
        <f t="shared" si="43"/>
        <v>13.161197160014055</v>
      </c>
    </row>
    <row r="306" spans="1:16" x14ac:dyDescent="0.2">
      <c r="A306" s="8">
        <v>152</v>
      </c>
      <c r="B306" s="8">
        <v>304</v>
      </c>
      <c r="D306">
        <v>841.30724299065002</v>
      </c>
      <c r="E306">
        <v>298.03855140187</v>
      </c>
      <c r="F306">
        <v>141.05158264946999</v>
      </c>
      <c r="G306">
        <v>118.96131301290001</v>
      </c>
      <c r="I306" s="9">
        <f t="shared" si="40"/>
        <v>179.07723838896999</v>
      </c>
      <c r="J306" s="9">
        <f t="shared" si="41"/>
        <v>700.25566034118003</v>
      </c>
      <c r="K306" s="9">
        <f t="shared" si="31"/>
        <v>179.07723838896999</v>
      </c>
      <c r="L306" s="10">
        <f t="shared" si="30"/>
        <v>0.25573122579504692</v>
      </c>
      <c r="M306" s="10">
        <f t="shared" si="42"/>
        <v>0.27392257374018036</v>
      </c>
      <c r="P306" s="8">
        <f t="shared" si="43"/>
        <v>14.471638571782467</v>
      </c>
    </row>
    <row r="307" spans="1:16" x14ac:dyDescent="0.2">
      <c r="A307" s="8">
        <v>152.5</v>
      </c>
      <c r="B307" s="8">
        <v>305</v>
      </c>
      <c r="D307">
        <v>834.33177570094006</v>
      </c>
      <c r="E307">
        <v>296.41471962616998</v>
      </c>
      <c r="F307">
        <v>141.90386869871</v>
      </c>
      <c r="G307">
        <v>118.60961313013</v>
      </c>
      <c r="I307" s="9">
        <f t="shared" si="40"/>
        <v>177.80510649603997</v>
      </c>
      <c r="J307" s="9">
        <f t="shared" si="41"/>
        <v>692.42790700223009</v>
      </c>
      <c r="K307" s="9">
        <f t="shared" si="31"/>
        <v>177.80510649603997</v>
      </c>
      <c r="L307" s="10">
        <f t="shared" si="30"/>
        <v>0.25678500923774483</v>
      </c>
      <c r="M307" s="10">
        <f t="shared" si="42"/>
        <v>0.27503619714322414</v>
      </c>
      <c r="P307" s="8">
        <f t="shared" si="43"/>
        <v>14.937019332329859</v>
      </c>
    </row>
    <row r="308" spans="1:16" x14ac:dyDescent="0.2">
      <c r="A308" s="8">
        <v>153</v>
      </c>
      <c r="B308" s="8">
        <v>306</v>
      </c>
      <c r="D308">
        <v>796.68107476635998</v>
      </c>
      <c r="E308">
        <v>288.37967289720001</v>
      </c>
      <c r="F308">
        <v>141.32121922626001</v>
      </c>
      <c r="G308">
        <v>118.61547479484</v>
      </c>
      <c r="I308" s="9">
        <f t="shared" si="40"/>
        <v>169.76419810236001</v>
      </c>
      <c r="J308" s="9">
        <f t="shared" si="41"/>
        <v>655.35985554009994</v>
      </c>
      <c r="K308" s="9">
        <f t="shared" si="31"/>
        <v>169.76419810236001</v>
      </c>
      <c r="L308" s="10">
        <f t="shared" si="30"/>
        <v>0.25903966602051431</v>
      </c>
      <c r="M308" s="10">
        <f t="shared" si="42"/>
        <v>0.27735069388633943</v>
      </c>
      <c r="P308" s="8">
        <f t="shared" si="43"/>
        <v>15.904242409405519</v>
      </c>
    </row>
    <row r="309" spans="1:16" x14ac:dyDescent="0.2">
      <c r="A309" s="8">
        <v>153.5</v>
      </c>
      <c r="B309" s="8">
        <v>307</v>
      </c>
      <c r="D309">
        <v>809.93341121494996</v>
      </c>
      <c r="E309">
        <v>291.39369158878998</v>
      </c>
      <c r="F309">
        <v>141.95310668229999</v>
      </c>
      <c r="G309">
        <v>118.64126611958</v>
      </c>
      <c r="I309" s="9">
        <f t="shared" si="40"/>
        <v>172.75242546920998</v>
      </c>
      <c r="J309" s="9">
        <f t="shared" si="41"/>
        <v>667.98030453264994</v>
      </c>
      <c r="K309" s="9">
        <f t="shared" si="31"/>
        <v>172.75242546920998</v>
      </c>
      <c r="L309" s="10">
        <f t="shared" si="30"/>
        <v>0.25861904055700508</v>
      </c>
      <c r="M309" s="10">
        <f t="shared" si="42"/>
        <v>0.27698990838317605</v>
      </c>
      <c r="P309" s="8">
        <f t="shared" si="43"/>
        <v>15.753470944476053</v>
      </c>
    </row>
    <row r="310" spans="1:16" x14ac:dyDescent="0.2">
      <c r="A310" s="8">
        <v>154</v>
      </c>
      <c r="B310" s="8">
        <v>308</v>
      </c>
      <c r="D310">
        <v>761.85397196261999</v>
      </c>
      <c r="E310">
        <v>281.40303738317999</v>
      </c>
      <c r="F310">
        <v>141.57678780774</v>
      </c>
      <c r="G310">
        <v>118.48300117233001</v>
      </c>
      <c r="I310" s="9">
        <f>E310-G310</f>
        <v>162.92003621084999</v>
      </c>
      <c r="J310" s="9">
        <f>D310-F310</f>
        <v>620.27718415487993</v>
      </c>
      <c r="K310" s="9">
        <f t="shared" si="31"/>
        <v>162.92003621084999</v>
      </c>
      <c r="L310" s="10">
        <f t="shared" si="30"/>
        <v>0.26265682564614484</v>
      </c>
      <c r="M310" s="10">
        <f>L310+ABS($N$2)*A310</f>
        <v>0.28108753343266163</v>
      </c>
      <c r="O310" s="11"/>
      <c r="P310" s="8">
        <f>(M310-$O$2)/$O$2*100</f>
        <v>17.465859402509114</v>
      </c>
    </row>
    <row r="311" spans="1:16" x14ac:dyDescent="0.2">
      <c r="A311" s="8">
        <v>154.5</v>
      </c>
      <c r="B311" s="8">
        <v>309</v>
      </c>
      <c r="D311">
        <v>817.56074766355005</v>
      </c>
      <c r="E311">
        <v>293.90887850466999</v>
      </c>
      <c r="F311">
        <v>141.94372801876</v>
      </c>
      <c r="G311">
        <v>119.11488862837</v>
      </c>
      <c r="I311" s="9">
        <f t="shared" ref="I311:I319" si="44">E311-G311</f>
        <v>174.79398987629997</v>
      </c>
      <c r="J311" s="9">
        <f t="shared" ref="J311:J319" si="45">D311-F311</f>
        <v>675.61701964479005</v>
      </c>
      <c r="K311" s="9">
        <f t="shared" si="31"/>
        <v>174.79398987629997</v>
      </c>
      <c r="L311" s="10">
        <f t="shared" si="30"/>
        <v>0.25871756452819827</v>
      </c>
      <c r="M311" s="10">
        <f t="shared" ref="M311:M319" si="46">L311+ABS($N$2)*A311</f>
        <v>0.27720811227506093</v>
      </c>
      <c r="P311" s="8">
        <f t="shared" ref="P311:P319" si="47">(M311-$O$2)/$O$2*100</f>
        <v>15.844657868962583</v>
      </c>
    </row>
    <row r="312" spans="1:16" x14ac:dyDescent="0.2">
      <c r="A312" s="8">
        <v>155</v>
      </c>
      <c r="B312" s="8">
        <v>310</v>
      </c>
      <c r="D312">
        <v>855.14470588234997</v>
      </c>
      <c r="E312">
        <v>294.77999999999997</v>
      </c>
      <c r="F312">
        <v>141.69519343493999</v>
      </c>
      <c r="G312">
        <v>118.50879249707</v>
      </c>
      <c r="I312" s="9">
        <f t="shared" si="44"/>
        <v>176.27120750292997</v>
      </c>
      <c r="J312" s="9">
        <f t="shared" si="45"/>
        <v>713.44951244740992</v>
      </c>
      <c r="K312" s="9">
        <f t="shared" si="31"/>
        <v>176.27120750292997</v>
      </c>
      <c r="L312" s="10">
        <f t="shared" si="30"/>
        <v>0.24706892979469705</v>
      </c>
      <c r="M312" s="10">
        <f t="shared" si="46"/>
        <v>0.26561931750190548</v>
      </c>
      <c r="N312" s="1"/>
      <c r="P312" s="8">
        <f t="shared" si="47"/>
        <v>11.001726128647158</v>
      </c>
    </row>
    <row r="313" spans="1:16" x14ac:dyDescent="0.2">
      <c r="A313" s="8">
        <v>155.5</v>
      </c>
      <c r="B313" s="8">
        <v>311</v>
      </c>
      <c r="D313">
        <v>857.65294117646999</v>
      </c>
      <c r="E313">
        <v>294.32235294117999</v>
      </c>
      <c r="F313">
        <v>141.52754982414999</v>
      </c>
      <c r="G313">
        <v>118.68815943728001</v>
      </c>
      <c r="I313" s="9">
        <f t="shared" si="44"/>
        <v>175.63419350389998</v>
      </c>
      <c r="J313" s="9">
        <f t="shared" si="45"/>
        <v>716.12539135231998</v>
      </c>
      <c r="K313" s="9">
        <f t="shared" si="31"/>
        <v>175.63419350389998</v>
      </c>
      <c r="L313" s="10">
        <f t="shared" si="30"/>
        <v>0.24525620181157817</v>
      </c>
      <c r="M313" s="10">
        <f t="shared" si="46"/>
        <v>0.26386642947913247</v>
      </c>
      <c r="P313" s="8">
        <f t="shared" si="47"/>
        <v>10.269198095415391</v>
      </c>
    </row>
    <row r="314" spans="1:16" x14ac:dyDescent="0.2">
      <c r="A314" s="8">
        <v>156</v>
      </c>
      <c r="B314" s="8">
        <v>312</v>
      </c>
      <c r="D314">
        <v>863.20823529411996</v>
      </c>
      <c r="E314">
        <v>298.63176470588002</v>
      </c>
      <c r="F314">
        <v>141.98124267291999</v>
      </c>
      <c r="G314">
        <v>119.07151230949999</v>
      </c>
      <c r="I314" s="9">
        <f t="shared" si="44"/>
        <v>179.56025239638001</v>
      </c>
      <c r="J314" s="9">
        <f t="shared" si="45"/>
        <v>721.2269926212</v>
      </c>
      <c r="K314" s="9">
        <f t="shared" si="31"/>
        <v>179.56025239638001</v>
      </c>
      <c r="L314" s="10">
        <f t="shared" si="30"/>
        <v>0.24896496419773897</v>
      </c>
      <c r="M314" s="10">
        <f t="shared" si="46"/>
        <v>0.26763503182563908</v>
      </c>
      <c r="P314" s="8">
        <f t="shared" si="47"/>
        <v>11.844088692563705</v>
      </c>
    </row>
    <row r="315" spans="1:16" x14ac:dyDescent="0.2">
      <c r="A315" s="8">
        <v>156.5</v>
      </c>
      <c r="B315" s="8">
        <v>313</v>
      </c>
      <c r="D315">
        <v>876.50697674418996</v>
      </c>
      <c r="E315">
        <v>298.23953488372001</v>
      </c>
      <c r="F315">
        <v>141.60140679953</v>
      </c>
      <c r="G315">
        <v>118.52754982415</v>
      </c>
      <c r="I315" s="9">
        <f t="shared" si="44"/>
        <v>179.71198505957</v>
      </c>
      <c r="J315" s="9">
        <f t="shared" si="45"/>
        <v>734.90556994465999</v>
      </c>
      <c r="K315" s="9">
        <f t="shared" si="31"/>
        <v>179.71198505957</v>
      </c>
      <c r="L315" s="10">
        <f t="shared" si="30"/>
        <v>0.24453751938919541</v>
      </c>
      <c r="M315" s="10">
        <f t="shared" si="46"/>
        <v>0.26326742697744138</v>
      </c>
      <c r="P315" s="8">
        <f t="shared" si="47"/>
        <v>10.018876272934943</v>
      </c>
    </row>
    <row r="316" spans="1:16" x14ac:dyDescent="0.2">
      <c r="A316" s="8">
        <v>157</v>
      </c>
      <c r="B316" s="8">
        <v>314</v>
      </c>
      <c r="D316">
        <v>877.95116279069998</v>
      </c>
      <c r="E316">
        <v>298.36627906976997</v>
      </c>
      <c r="F316">
        <v>141.60023446659</v>
      </c>
      <c r="G316">
        <v>118.49589683470001</v>
      </c>
      <c r="I316" s="9">
        <f t="shared" si="44"/>
        <v>179.87038223506997</v>
      </c>
      <c r="J316" s="9">
        <f t="shared" si="45"/>
        <v>736.35092832410999</v>
      </c>
      <c r="K316" s="9">
        <f t="shared" si="31"/>
        <v>179.87038223506997</v>
      </c>
      <c r="L316" s="10">
        <f t="shared" si="30"/>
        <v>0.24427263593521101</v>
      </c>
      <c r="M316" s="10">
        <f t="shared" si="46"/>
        <v>0.26306238348380279</v>
      </c>
      <c r="P316" s="8">
        <f t="shared" si="47"/>
        <v>9.9331890498090569</v>
      </c>
    </row>
    <row r="317" spans="1:16" x14ac:dyDescent="0.2">
      <c r="A317" s="8">
        <v>157.5</v>
      </c>
      <c r="B317" s="8">
        <v>315</v>
      </c>
      <c r="D317">
        <v>864.37906976744</v>
      </c>
      <c r="E317">
        <v>293.50581395349002</v>
      </c>
      <c r="F317">
        <v>141.46189917936999</v>
      </c>
      <c r="G317">
        <v>118.48651817116</v>
      </c>
      <c r="I317" s="9">
        <f t="shared" si="44"/>
        <v>175.01929578233</v>
      </c>
      <c r="J317" s="9">
        <f t="shared" si="45"/>
        <v>722.91717058807001</v>
      </c>
      <c r="K317" s="9">
        <f t="shared" si="31"/>
        <v>175.01929578233</v>
      </c>
      <c r="L317" s="10">
        <f t="shared" si="30"/>
        <v>0.2421014507650405</v>
      </c>
      <c r="M317" s="10">
        <f t="shared" si="46"/>
        <v>0.26095103827397814</v>
      </c>
      <c r="P317" s="8">
        <f t="shared" si="47"/>
        <v>9.0508625498085227</v>
      </c>
    </row>
    <row r="318" spans="1:16" x14ac:dyDescent="0.2">
      <c r="A318" s="8">
        <v>158</v>
      </c>
      <c r="B318" s="8">
        <v>316</v>
      </c>
      <c r="D318">
        <v>834.81395348836998</v>
      </c>
      <c r="E318">
        <v>287.05697674419002</v>
      </c>
      <c r="F318">
        <v>141.64947245018001</v>
      </c>
      <c r="G318">
        <v>118.18640093787</v>
      </c>
      <c r="I318" s="9">
        <f t="shared" si="44"/>
        <v>168.87057580632001</v>
      </c>
      <c r="J318" s="9">
        <f t="shared" si="45"/>
        <v>693.16448103818993</v>
      </c>
      <c r="K318" s="9">
        <f t="shared" si="31"/>
        <v>168.87057580632001</v>
      </c>
      <c r="L318" s="10">
        <f t="shared" si="30"/>
        <v>0.24362266161329185</v>
      </c>
      <c r="M318" s="10">
        <f t="shared" si="46"/>
        <v>0.2625320890825753</v>
      </c>
      <c r="P318" s="8">
        <f t="shared" si="47"/>
        <v>9.7115801907614241</v>
      </c>
    </row>
    <row r="319" spans="1:16" x14ac:dyDescent="0.2">
      <c r="A319" s="8">
        <v>158.5</v>
      </c>
      <c r="B319" s="8">
        <v>317</v>
      </c>
      <c r="D319">
        <v>891.61611374408005</v>
      </c>
      <c r="E319">
        <v>296.94905213269999</v>
      </c>
      <c r="F319">
        <v>141.40328253224001</v>
      </c>
      <c r="G319">
        <v>118.77491207503</v>
      </c>
      <c r="I319" s="9">
        <f t="shared" si="44"/>
        <v>178.17414005767</v>
      </c>
      <c r="J319" s="9">
        <f t="shared" si="45"/>
        <v>750.21283121184001</v>
      </c>
      <c r="K319" s="9">
        <f t="shared" si="31"/>
        <v>178.17414005767</v>
      </c>
      <c r="L319" s="10">
        <f t="shared" si="30"/>
        <v>0.23749812405882245</v>
      </c>
      <c r="M319" s="10">
        <f t="shared" si="46"/>
        <v>0.25646739148845177</v>
      </c>
      <c r="P319" s="8">
        <f t="shared" si="47"/>
        <v>7.1771564608640803</v>
      </c>
    </row>
    <row r="320" spans="1:16" x14ac:dyDescent="0.2">
      <c r="A320" s="8">
        <v>159</v>
      </c>
      <c r="B320" s="8">
        <v>318</v>
      </c>
      <c r="D320">
        <v>884.01658767772994</v>
      </c>
      <c r="E320">
        <v>297.40521327014</v>
      </c>
      <c r="F320">
        <v>141.90035169987999</v>
      </c>
      <c r="G320">
        <v>118.55216881594001</v>
      </c>
      <c r="I320" s="9">
        <f>E320-G320</f>
        <v>178.85304445419999</v>
      </c>
      <c r="J320" s="9">
        <f>D320-F320</f>
        <v>742.11623597785001</v>
      </c>
      <c r="K320" s="9">
        <f t="shared" si="31"/>
        <v>178.85304445419999</v>
      </c>
      <c r="L320" s="10">
        <f t="shared" si="30"/>
        <v>0.24100408505216725</v>
      </c>
      <c r="M320" s="10">
        <f>L320+ABS($N$2)*A320</f>
        <v>0.2600331924421424</v>
      </c>
      <c r="O320" s="11"/>
      <c r="P320" s="8">
        <f>(M320-$O$2)/$O$2*100</f>
        <v>8.667296803868302</v>
      </c>
    </row>
    <row r="321" spans="1:16" x14ac:dyDescent="0.2">
      <c r="A321" s="8">
        <v>159.5</v>
      </c>
      <c r="B321" s="8">
        <v>319</v>
      </c>
      <c r="D321">
        <v>855.45142180095002</v>
      </c>
      <c r="E321">
        <v>289</v>
      </c>
      <c r="F321">
        <v>141.66236811254001</v>
      </c>
      <c r="G321">
        <v>119.20984759672</v>
      </c>
      <c r="I321" s="9">
        <f t="shared" ref="I321" si="48">E321-G321</f>
        <v>169.79015240327999</v>
      </c>
      <c r="J321" s="9">
        <f t="shared" ref="J321" si="49">D321-F321</f>
        <v>713.78905368841004</v>
      </c>
      <c r="K321" s="9">
        <f t="shared" si="31"/>
        <v>169.79015240327999</v>
      </c>
      <c r="L321" s="10">
        <f t="shared" si="30"/>
        <v>0.23787161140383417</v>
      </c>
      <c r="M321" s="10">
        <f t="shared" ref="M321" si="50">L321+ABS($N$2)*A321</f>
        <v>0.25696055875415513</v>
      </c>
      <c r="P321" s="8">
        <f t="shared" ref="P321" si="51">(M321-$O$2)/$O$2*100</f>
        <v>7.3832499719763733</v>
      </c>
    </row>
    <row r="322" spans="1:16" x14ac:dyDescent="0.2">
      <c r="A322" s="8">
        <v>160</v>
      </c>
      <c r="D322">
        <v>825.74763033174997</v>
      </c>
      <c r="E322">
        <v>279.71208530806001</v>
      </c>
      <c r="F322">
        <v>141.28722157093</v>
      </c>
      <c r="G322">
        <v>118.43962485346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34D1-D68D-1349-9D4F-EA5D0FFD2E43}">
  <dimension ref="A1:Y798"/>
  <sheetViews>
    <sheetView zoomScale="50" zoomScaleNormal="70" workbookViewId="0">
      <selection activeCell="P2" sqref="P2:P321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1234.9045741325001</v>
      </c>
      <c r="E2">
        <v>383.72949526814</v>
      </c>
      <c r="F2">
        <v>136.50357995227</v>
      </c>
      <c r="G2">
        <v>116.28719172632999</v>
      </c>
      <c r="H2" s="4"/>
      <c r="I2" s="5">
        <f>E2-G2</f>
        <v>267.44230354181002</v>
      </c>
      <c r="J2" s="5">
        <f>D2-F2</f>
        <v>1098.4009941802301</v>
      </c>
      <c r="K2" s="9">
        <f>I2*1</f>
        <v>267.44230354181002</v>
      </c>
      <c r="L2" s="6">
        <f t="shared" ref="L2:L65" si="0">K2/J2</f>
        <v>0.24348330432949972</v>
      </c>
      <c r="M2" s="6">
        <f>L2+ABS($N$2)*A2</f>
        <v>0.24348330432949972</v>
      </c>
      <c r="N2" s="4">
        <f>LINEST(V64:V103,U64:U103)</f>
        <v>-1.318628568996457E-4</v>
      </c>
      <c r="O2" s="7">
        <f>AVERAGE(M62:M81)</f>
        <v>0.18583380107177616</v>
      </c>
      <c r="P2" s="4">
        <f>(M2-$O$2)/$O$2*100</f>
        <v>31.022076137514453</v>
      </c>
    </row>
    <row r="3" spans="1:16" x14ac:dyDescent="0.2">
      <c r="A3" s="8">
        <v>0.5</v>
      </c>
      <c r="B3" s="8">
        <v>1</v>
      </c>
      <c r="D3">
        <v>1170.4881703470001</v>
      </c>
      <c r="E3">
        <v>371.41324921135998</v>
      </c>
      <c r="F3">
        <v>136.0692124105</v>
      </c>
      <c r="G3">
        <v>116.04932378679</v>
      </c>
      <c r="I3" s="9">
        <f t="shared" ref="I3:I66" si="1">E3-G3</f>
        <v>255.36392542456997</v>
      </c>
      <c r="J3" s="9">
        <f t="shared" ref="J3:J66" si="2">D3-F3</f>
        <v>1034.4189579365</v>
      </c>
      <c r="K3" s="9">
        <f t="shared" ref="K3:K66" si="3">I3*1</f>
        <v>255.36392542456997</v>
      </c>
      <c r="L3" s="10">
        <f t="shared" si="0"/>
        <v>0.2468670198523624</v>
      </c>
      <c r="M3" s="10">
        <f t="shared" ref="M3:M66" si="4">L3+ABS($N$2)*A3</f>
        <v>0.24693295128081222</v>
      </c>
      <c r="P3" s="8">
        <f t="shared" ref="P3:P66" si="5">(M3-$O$2)/$O$2*100</f>
        <v>32.878383726024744</v>
      </c>
    </row>
    <row r="4" spans="1:16" ht="16" x14ac:dyDescent="0.2">
      <c r="A4" s="8">
        <v>1</v>
      </c>
      <c r="B4" s="8">
        <v>2</v>
      </c>
      <c r="D4">
        <v>1210.0536277603001</v>
      </c>
      <c r="E4">
        <v>384.88170347003</v>
      </c>
      <c r="F4">
        <v>136.33731105807999</v>
      </c>
      <c r="G4">
        <v>116.30867143994</v>
      </c>
      <c r="I4" s="9">
        <f t="shared" si="1"/>
        <v>268.57303203009002</v>
      </c>
      <c r="J4" s="9">
        <f t="shared" si="2"/>
        <v>1073.71631670222</v>
      </c>
      <c r="K4" s="9">
        <f t="shared" si="3"/>
        <v>268.57303203009002</v>
      </c>
      <c r="L4" s="10">
        <f t="shared" si="0"/>
        <v>0.25013406972800523</v>
      </c>
      <c r="M4" s="10">
        <f t="shared" si="4"/>
        <v>0.25026593258490487</v>
      </c>
      <c r="N4" s="1" t="s">
        <v>7</v>
      </c>
      <c r="P4" s="8">
        <f t="shared" si="5"/>
        <v>34.671911752072781</v>
      </c>
    </row>
    <row r="5" spans="1:16" x14ac:dyDescent="0.2">
      <c r="A5" s="8">
        <v>1.5</v>
      </c>
      <c r="B5" s="8">
        <v>3</v>
      </c>
      <c r="D5">
        <v>1159.8556782334001</v>
      </c>
      <c r="E5">
        <v>381.08438485803998</v>
      </c>
      <c r="F5">
        <v>136.29594272076</v>
      </c>
      <c r="G5">
        <v>115.92044550516999</v>
      </c>
      <c r="I5" s="9">
        <f t="shared" si="1"/>
        <v>265.16393935286999</v>
      </c>
      <c r="J5" s="9">
        <f t="shared" si="2"/>
        <v>1023.5597355126401</v>
      </c>
      <c r="K5" s="9">
        <f t="shared" si="3"/>
        <v>265.16393935286999</v>
      </c>
      <c r="L5" s="10">
        <f t="shared" si="0"/>
        <v>0.25906054151306096</v>
      </c>
      <c r="M5" s="10">
        <f t="shared" si="4"/>
        <v>0.25925833579841046</v>
      </c>
      <c r="N5" s="8">
        <f>RSQ(V64:V83,U64:U83)</f>
        <v>0.82944530867849386</v>
      </c>
      <c r="P5" s="8">
        <f t="shared" si="5"/>
        <v>39.510860943039589</v>
      </c>
    </row>
    <row r="6" spans="1:16" x14ac:dyDescent="0.2">
      <c r="A6" s="8">
        <v>2</v>
      </c>
      <c r="B6" s="8">
        <v>4</v>
      </c>
      <c r="D6">
        <v>1096.1307752544999</v>
      </c>
      <c r="E6">
        <v>367.03758809710001</v>
      </c>
      <c r="F6">
        <v>136.67621320604999</v>
      </c>
      <c r="G6">
        <v>116.14956245028</v>
      </c>
      <c r="I6" s="9">
        <f t="shared" si="1"/>
        <v>250.88802564682001</v>
      </c>
      <c r="J6" s="9">
        <f t="shared" si="2"/>
        <v>959.45456204844993</v>
      </c>
      <c r="K6" s="9">
        <f t="shared" si="3"/>
        <v>250.88802564682001</v>
      </c>
      <c r="L6" s="10">
        <f t="shared" si="0"/>
        <v>0.26149026287515931</v>
      </c>
      <c r="M6" s="10">
        <f t="shared" si="4"/>
        <v>0.2617539885889586</v>
      </c>
      <c r="P6" s="8">
        <f t="shared" si="5"/>
        <v>40.853809737152794</v>
      </c>
    </row>
    <row r="7" spans="1:16" x14ac:dyDescent="0.2">
      <c r="A7" s="8">
        <v>2.5</v>
      </c>
      <c r="B7" s="8">
        <v>5</v>
      </c>
      <c r="D7">
        <v>1147.2685982772</v>
      </c>
      <c r="E7">
        <v>376.68363351605001</v>
      </c>
      <c r="F7">
        <v>137.41766109784999</v>
      </c>
      <c r="G7">
        <v>116.71837708831001</v>
      </c>
      <c r="I7" s="9">
        <f t="shared" si="1"/>
        <v>259.96525642773997</v>
      </c>
      <c r="J7" s="9">
        <f t="shared" si="2"/>
        <v>1009.85093717935</v>
      </c>
      <c r="K7" s="9">
        <f t="shared" si="3"/>
        <v>259.96525642773997</v>
      </c>
      <c r="L7" s="10">
        <f t="shared" si="0"/>
        <v>0.25742933620862701</v>
      </c>
      <c r="M7" s="10">
        <f t="shared" si="4"/>
        <v>0.25775899335087615</v>
      </c>
      <c r="P7" s="8">
        <f t="shared" si="5"/>
        <v>38.704041925784921</v>
      </c>
    </row>
    <row r="8" spans="1:16" x14ac:dyDescent="0.2">
      <c r="A8" s="8">
        <v>3</v>
      </c>
      <c r="B8" s="8">
        <v>6</v>
      </c>
      <c r="D8">
        <v>1116.0126083529999</v>
      </c>
      <c r="E8">
        <v>373.46020488573998</v>
      </c>
      <c r="F8">
        <v>137.1646778043</v>
      </c>
      <c r="G8">
        <v>116.3953858393</v>
      </c>
      <c r="I8" s="9">
        <f t="shared" si="1"/>
        <v>257.06481904643999</v>
      </c>
      <c r="J8" s="9">
        <f t="shared" si="2"/>
        <v>978.84793054869988</v>
      </c>
      <c r="K8" s="9">
        <f t="shared" si="3"/>
        <v>257.06481904643999</v>
      </c>
      <c r="L8" s="10">
        <f t="shared" si="0"/>
        <v>0.262619770675043</v>
      </c>
      <c r="M8" s="10">
        <f t="shared" si="4"/>
        <v>0.26301535924574193</v>
      </c>
      <c r="P8" s="8">
        <f t="shared" si="5"/>
        <v>41.532572507708267</v>
      </c>
    </row>
    <row r="9" spans="1:16" x14ac:dyDescent="0.2">
      <c r="A9" s="8">
        <v>3.5</v>
      </c>
      <c r="B9" s="8">
        <v>7</v>
      </c>
      <c r="D9">
        <v>1068.8833727343999</v>
      </c>
      <c r="E9">
        <v>354.69188337272999</v>
      </c>
      <c r="F9">
        <v>136.79156722355</v>
      </c>
      <c r="G9">
        <v>116.48210023866</v>
      </c>
      <c r="I9" s="9">
        <f t="shared" si="1"/>
        <v>238.20978313406999</v>
      </c>
      <c r="J9" s="9">
        <f t="shared" si="2"/>
        <v>932.09180551084989</v>
      </c>
      <c r="K9" s="9">
        <f t="shared" si="3"/>
        <v>238.20978313406999</v>
      </c>
      <c r="L9" s="10">
        <f t="shared" si="0"/>
        <v>0.25556472197876989</v>
      </c>
      <c r="M9" s="10">
        <f t="shared" si="4"/>
        <v>0.25602624197791868</v>
      </c>
      <c r="P9" s="8">
        <f t="shared" si="5"/>
        <v>37.771622009190622</v>
      </c>
    </row>
    <row r="10" spans="1:16" x14ac:dyDescent="0.2">
      <c r="A10" s="8">
        <v>4</v>
      </c>
      <c r="B10" s="8">
        <v>8</v>
      </c>
      <c r="D10">
        <v>1301.3118617439</v>
      </c>
      <c r="E10">
        <v>397.46897093479998</v>
      </c>
      <c r="F10">
        <v>136.81622911695001</v>
      </c>
      <c r="G10">
        <v>116.39299920446</v>
      </c>
      <c r="I10" s="9">
        <f t="shared" si="1"/>
        <v>281.07597173033997</v>
      </c>
      <c r="J10" s="9">
        <f t="shared" si="2"/>
        <v>1164.4956326269498</v>
      </c>
      <c r="K10" s="9">
        <f t="shared" si="3"/>
        <v>281.07597173033997</v>
      </c>
      <c r="L10" s="10">
        <f t="shared" si="0"/>
        <v>0.24137142626827149</v>
      </c>
      <c r="M10" s="10">
        <f t="shared" si="4"/>
        <v>0.24189887769587007</v>
      </c>
      <c r="P10" s="8">
        <f t="shared" si="5"/>
        <v>30.169472023251259</v>
      </c>
    </row>
    <row r="11" spans="1:16" x14ac:dyDescent="0.2">
      <c r="A11" s="8">
        <v>4.5</v>
      </c>
      <c r="B11" s="8">
        <v>9</v>
      </c>
      <c r="D11">
        <v>1323.4249803614</v>
      </c>
      <c r="E11">
        <v>401.74155538099001</v>
      </c>
      <c r="F11">
        <v>137.05568814637999</v>
      </c>
      <c r="G11">
        <v>116.61813842482</v>
      </c>
      <c r="I11" s="9">
        <f t="shared" si="1"/>
        <v>285.12341695616999</v>
      </c>
      <c r="J11" s="9">
        <f t="shared" si="2"/>
        <v>1186.3692922150201</v>
      </c>
      <c r="K11" s="9">
        <f t="shared" si="3"/>
        <v>285.12341695616999</v>
      </c>
      <c r="L11" s="10">
        <f t="shared" si="0"/>
        <v>0.24033276891702757</v>
      </c>
      <c r="M11" s="10">
        <f t="shared" si="4"/>
        <v>0.24092615177307597</v>
      </c>
      <c r="P11" s="8">
        <f t="shared" si="5"/>
        <v>29.646033382280667</v>
      </c>
    </row>
    <row r="12" spans="1:16" x14ac:dyDescent="0.2">
      <c r="A12" s="8">
        <v>5</v>
      </c>
      <c r="B12" s="8">
        <v>10</v>
      </c>
      <c r="D12">
        <v>1273.9976525822001</v>
      </c>
      <c r="E12">
        <v>377.37010954617</v>
      </c>
      <c r="F12">
        <v>137.23468575974999</v>
      </c>
      <c r="G12">
        <v>116.55449482896</v>
      </c>
      <c r="I12" s="9">
        <f t="shared" si="1"/>
        <v>260.81561471721</v>
      </c>
      <c r="J12" s="9">
        <f t="shared" si="2"/>
        <v>1136.7629668224502</v>
      </c>
      <c r="K12" s="9">
        <f t="shared" si="3"/>
        <v>260.81561471721</v>
      </c>
      <c r="L12" s="10">
        <f t="shared" si="0"/>
        <v>0.22943711427040756</v>
      </c>
      <c r="M12" s="10">
        <f t="shared" si="4"/>
        <v>0.23009642855490578</v>
      </c>
      <c r="P12" s="8">
        <f t="shared" si="5"/>
        <v>23.81839430063301</v>
      </c>
    </row>
    <row r="13" spans="1:16" x14ac:dyDescent="0.2">
      <c r="A13" s="8">
        <v>5.5</v>
      </c>
      <c r="B13" s="8">
        <v>11</v>
      </c>
      <c r="D13">
        <v>1243.7641065831001</v>
      </c>
      <c r="E13">
        <v>368.40438871472998</v>
      </c>
      <c r="F13">
        <v>137.18774860779999</v>
      </c>
      <c r="G13">
        <v>116.78838504376</v>
      </c>
      <c r="I13" s="9">
        <f t="shared" si="1"/>
        <v>251.61600367096997</v>
      </c>
      <c r="J13" s="9">
        <f t="shared" si="2"/>
        <v>1106.5763579753002</v>
      </c>
      <c r="K13" s="9">
        <f t="shared" si="3"/>
        <v>251.61600367096997</v>
      </c>
      <c r="L13" s="10">
        <f t="shared" si="0"/>
        <v>0.22738241410773596</v>
      </c>
      <c r="M13" s="10">
        <f t="shared" si="4"/>
        <v>0.22810765982068401</v>
      </c>
      <c r="P13" s="8">
        <f t="shared" si="5"/>
        <v>22.748207540876837</v>
      </c>
    </row>
    <row r="14" spans="1:16" x14ac:dyDescent="0.2">
      <c r="A14" s="8">
        <v>6</v>
      </c>
      <c r="B14" s="8">
        <v>12</v>
      </c>
      <c r="D14">
        <v>1304.6202830189</v>
      </c>
      <c r="E14">
        <v>378.51886792453001</v>
      </c>
      <c r="F14">
        <v>137.33412887828001</v>
      </c>
      <c r="G14">
        <v>116.37629276054</v>
      </c>
      <c r="I14" s="9">
        <f t="shared" si="1"/>
        <v>262.14257516399005</v>
      </c>
      <c r="J14" s="9">
        <f t="shared" si="2"/>
        <v>1167.2861541406201</v>
      </c>
      <c r="K14" s="9">
        <f t="shared" si="3"/>
        <v>262.14257516399005</v>
      </c>
      <c r="L14" s="10">
        <f t="shared" si="0"/>
        <v>0.22457438926531667</v>
      </c>
      <c r="M14" s="10">
        <f t="shared" si="4"/>
        <v>0.22536556640671454</v>
      </c>
      <c r="P14" s="8">
        <f t="shared" si="5"/>
        <v>21.27264529216065</v>
      </c>
    </row>
    <row r="15" spans="1:16" x14ac:dyDescent="0.2">
      <c r="A15" s="8">
        <v>6.5</v>
      </c>
      <c r="B15" s="8">
        <v>13</v>
      </c>
      <c r="D15">
        <v>1339.8147566719001</v>
      </c>
      <c r="E15">
        <v>387.37205651491001</v>
      </c>
      <c r="F15">
        <v>137.80906921241001</v>
      </c>
      <c r="G15">
        <v>116.43516308671001</v>
      </c>
      <c r="I15" s="9">
        <f t="shared" si="1"/>
        <v>270.93689342819999</v>
      </c>
      <c r="J15" s="9">
        <f t="shared" si="2"/>
        <v>1202.0056874594902</v>
      </c>
      <c r="K15" s="9">
        <f t="shared" si="3"/>
        <v>270.93689342819999</v>
      </c>
      <c r="L15" s="10">
        <f t="shared" si="0"/>
        <v>0.22540400287193404</v>
      </c>
      <c r="M15" s="10">
        <f t="shared" si="4"/>
        <v>0.22626111144178174</v>
      </c>
      <c r="P15" s="8">
        <f t="shared" si="5"/>
        <v>21.754551721401313</v>
      </c>
    </row>
    <row r="16" spans="1:16" x14ac:dyDescent="0.2">
      <c r="A16" s="8">
        <v>7</v>
      </c>
      <c r="B16" s="8">
        <v>14</v>
      </c>
      <c r="D16">
        <v>1406.9446640316</v>
      </c>
      <c r="E16">
        <v>394.88300395256999</v>
      </c>
      <c r="F16">
        <v>137.20127287192</v>
      </c>
      <c r="G16">
        <v>116.66268894193</v>
      </c>
      <c r="I16" s="9">
        <f t="shared" si="1"/>
        <v>278.22031501063998</v>
      </c>
      <c r="J16" s="9">
        <f t="shared" si="2"/>
        <v>1269.74339115968</v>
      </c>
      <c r="K16" s="9">
        <f t="shared" si="3"/>
        <v>278.22031501063998</v>
      </c>
      <c r="L16" s="10">
        <f t="shared" si="0"/>
        <v>0.21911538736699882</v>
      </c>
      <c r="M16" s="10">
        <f t="shared" si="4"/>
        <v>0.22003842736529633</v>
      </c>
      <c r="P16" s="8">
        <f t="shared" si="5"/>
        <v>18.406030601671343</v>
      </c>
    </row>
    <row r="17" spans="1:16" x14ac:dyDescent="0.2">
      <c r="A17" s="8">
        <v>7.5</v>
      </c>
      <c r="B17" s="8">
        <v>15</v>
      </c>
      <c r="D17">
        <v>1348.9080188679</v>
      </c>
      <c r="E17">
        <v>385.22720125785997</v>
      </c>
      <c r="F17">
        <v>137.61734287986999</v>
      </c>
      <c r="G17">
        <v>116.54813046936999</v>
      </c>
      <c r="I17" s="9">
        <f t="shared" si="1"/>
        <v>268.67907078848998</v>
      </c>
      <c r="J17" s="9">
        <f t="shared" si="2"/>
        <v>1211.29067598803</v>
      </c>
      <c r="K17" s="9">
        <f t="shared" si="3"/>
        <v>268.67907078848998</v>
      </c>
      <c r="L17" s="10">
        <f t="shared" si="0"/>
        <v>0.22181221742612098</v>
      </c>
      <c r="M17" s="10">
        <f t="shared" si="4"/>
        <v>0.22280118885286831</v>
      </c>
      <c r="P17" s="8">
        <f t="shared" si="5"/>
        <v>19.892714655722898</v>
      </c>
    </row>
    <row r="18" spans="1:16" x14ac:dyDescent="0.2">
      <c r="A18" s="8">
        <v>8</v>
      </c>
      <c r="B18" s="8">
        <v>16</v>
      </c>
      <c r="D18">
        <v>1358.9748427673001</v>
      </c>
      <c r="E18">
        <v>388.90801886793002</v>
      </c>
      <c r="F18">
        <v>137.25616547334999</v>
      </c>
      <c r="G18">
        <v>116.21877486078</v>
      </c>
      <c r="I18" s="9">
        <f t="shared" si="1"/>
        <v>272.68924400715002</v>
      </c>
      <c r="J18" s="9">
        <f t="shared" si="2"/>
        <v>1221.7186772939501</v>
      </c>
      <c r="K18" s="9">
        <f t="shared" si="3"/>
        <v>272.68924400715002</v>
      </c>
      <c r="L18" s="10">
        <f t="shared" si="0"/>
        <v>0.22320133847109874</v>
      </c>
      <c r="M18" s="10">
        <f t="shared" si="4"/>
        <v>0.2242562413262959</v>
      </c>
      <c r="P18" s="8">
        <f t="shared" si="5"/>
        <v>20.675700563042092</v>
      </c>
    </row>
    <row r="19" spans="1:16" x14ac:dyDescent="0.2">
      <c r="A19" s="8">
        <v>8.5</v>
      </c>
      <c r="B19" s="8">
        <v>17</v>
      </c>
      <c r="D19">
        <v>1336.0746855345999</v>
      </c>
      <c r="E19">
        <v>380.44103773584999</v>
      </c>
      <c r="F19">
        <v>137.17342879872999</v>
      </c>
      <c r="G19">
        <v>116.77883850438</v>
      </c>
      <c r="I19" s="9">
        <f t="shared" si="1"/>
        <v>263.66219923146997</v>
      </c>
      <c r="J19" s="9">
        <f t="shared" si="2"/>
        <v>1198.90125673587</v>
      </c>
      <c r="K19" s="9">
        <f t="shared" si="3"/>
        <v>263.66219923146997</v>
      </c>
      <c r="L19" s="10">
        <f t="shared" si="0"/>
        <v>0.21991986224897037</v>
      </c>
      <c r="M19" s="10">
        <f t="shared" si="4"/>
        <v>0.22104069653261735</v>
      </c>
      <c r="P19" s="8">
        <f t="shared" si="5"/>
        <v>18.945366912687174</v>
      </c>
    </row>
    <row r="20" spans="1:16" x14ac:dyDescent="0.2">
      <c r="A20" s="8">
        <v>9</v>
      </c>
      <c r="B20" s="8">
        <v>18</v>
      </c>
      <c r="D20">
        <v>1393.6107171000999</v>
      </c>
      <c r="E20">
        <v>381.17021276596</v>
      </c>
      <c r="F20">
        <v>137.33651551313</v>
      </c>
      <c r="G20">
        <v>116.40015910899</v>
      </c>
      <c r="I20" s="9">
        <f t="shared" si="1"/>
        <v>264.77005365696999</v>
      </c>
      <c r="J20" s="9">
        <f t="shared" si="2"/>
        <v>1256.2742015869699</v>
      </c>
      <c r="K20" s="9">
        <f t="shared" si="3"/>
        <v>264.77005365696999</v>
      </c>
      <c r="L20" s="10">
        <f t="shared" si="0"/>
        <v>0.21075817152219087</v>
      </c>
      <c r="M20" s="10">
        <f t="shared" si="4"/>
        <v>0.21194493723428767</v>
      </c>
      <c r="P20" s="8">
        <f t="shared" si="5"/>
        <v>14.050800237587771</v>
      </c>
    </row>
    <row r="21" spans="1:16" x14ac:dyDescent="0.2">
      <c r="A21" s="8">
        <v>9.5</v>
      </c>
      <c r="B21" s="8">
        <v>19</v>
      </c>
      <c r="D21">
        <v>1384.2505910166001</v>
      </c>
      <c r="E21">
        <v>384.11505122143001</v>
      </c>
      <c r="F21">
        <v>137.4200477327</v>
      </c>
      <c r="G21">
        <v>116.80906921240999</v>
      </c>
      <c r="I21" s="9">
        <f t="shared" si="1"/>
        <v>267.30598200902</v>
      </c>
      <c r="J21" s="9">
        <f t="shared" si="2"/>
        <v>1246.8305432839002</v>
      </c>
      <c r="K21" s="9">
        <f t="shared" si="3"/>
        <v>267.30598200902</v>
      </c>
      <c r="L21" s="10">
        <f t="shared" si="0"/>
        <v>0.21438838136334867</v>
      </c>
      <c r="M21" s="10">
        <f t="shared" si="4"/>
        <v>0.2156410785038953</v>
      </c>
      <c r="P21" s="8">
        <f t="shared" si="5"/>
        <v>16.03975017473082</v>
      </c>
    </row>
    <row r="22" spans="1:16" x14ac:dyDescent="0.2">
      <c r="A22" s="8">
        <v>10</v>
      </c>
      <c r="B22" s="8">
        <v>20</v>
      </c>
      <c r="D22">
        <v>1279.2834768990001</v>
      </c>
      <c r="E22">
        <v>362.48316366483999</v>
      </c>
      <c r="F22">
        <v>137.37708830548999</v>
      </c>
      <c r="G22">
        <v>116.64439140812</v>
      </c>
      <c r="I22" s="9">
        <f t="shared" si="1"/>
        <v>245.83877225672001</v>
      </c>
      <c r="J22" s="9">
        <f t="shared" si="2"/>
        <v>1141.9063885935102</v>
      </c>
      <c r="K22" s="9">
        <f t="shared" si="3"/>
        <v>245.83877225672001</v>
      </c>
      <c r="L22" s="10">
        <f t="shared" si="0"/>
        <v>0.21528802598216515</v>
      </c>
      <c r="M22" s="10">
        <f t="shared" si="4"/>
        <v>0.2166066545511616</v>
      </c>
      <c r="P22" s="8">
        <f t="shared" si="5"/>
        <v>16.559341358733644</v>
      </c>
    </row>
    <row r="23" spans="1:16" x14ac:dyDescent="0.2">
      <c r="A23" s="8">
        <v>10.5</v>
      </c>
      <c r="B23" s="8">
        <v>21</v>
      </c>
      <c r="D23">
        <v>1321.3817753338999</v>
      </c>
      <c r="E23">
        <v>362.51688923801998</v>
      </c>
      <c r="F23">
        <v>137.58711217184</v>
      </c>
      <c r="G23">
        <v>116.95624502784</v>
      </c>
      <c r="I23" s="9">
        <f t="shared" si="1"/>
        <v>245.56064421017999</v>
      </c>
      <c r="J23" s="9">
        <f t="shared" si="2"/>
        <v>1183.7946631620598</v>
      </c>
      <c r="K23" s="9">
        <f t="shared" si="3"/>
        <v>245.56064421017999</v>
      </c>
      <c r="L23" s="10">
        <f t="shared" si="0"/>
        <v>0.20743516747596882</v>
      </c>
      <c r="M23" s="10">
        <f t="shared" si="4"/>
        <v>0.2088197274734151</v>
      </c>
      <c r="P23" s="8">
        <f t="shared" si="5"/>
        <v>12.369077244866173</v>
      </c>
    </row>
    <row r="24" spans="1:16" x14ac:dyDescent="0.2">
      <c r="A24" s="8">
        <v>11</v>
      </c>
      <c r="B24" s="8">
        <v>22</v>
      </c>
      <c r="D24">
        <v>1206.7073170732001</v>
      </c>
      <c r="E24">
        <v>336.54051927616001</v>
      </c>
      <c r="F24">
        <v>137.32776451870001</v>
      </c>
      <c r="G24">
        <v>116.67939538584</v>
      </c>
      <c r="I24" s="9">
        <f t="shared" si="1"/>
        <v>219.86112389032002</v>
      </c>
      <c r="J24" s="9">
        <f t="shared" si="2"/>
        <v>1069.3795525545002</v>
      </c>
      <c r="K24" s="9">
        <f t="shared" si="3"/>
        <v>219.86112389032002</v>
      </c>
      <c r="L24" s="10">
        <f t="shared" si="0"/>
        <v>0.20559690276957576</v>
      </c>
      <c r="M24" s="10">
        <f t="shared" si="4"/>
        <v>0.20704739419547186</v>
      </c>
      <c r="P24" s="8">
        <f t="shared" si="5"/>
        <v>11.415357702069597</v>
      </c>
    </row>
    <row r="25" spans="1:16" x14ac:dyDescent="0.2">
      <c r="A25" s="8">
        <v>11.5</v>
      </c>
      <c r="B25" s="8">
        <v>23</v>
      </c>
      <c r="D25">
        <v>1288.5107057891</v>
      </c>
      <c r="E25">
        <v>352.33068992863002</v>
      </c>
      <c r="F25">
        <v>137.60143198091001</v>
      </c>
      <c r="G25">
        <v>116.63882259348</v>
      </c>
      <c r="I25" s="9">
        <f t="shared" si="1"/>
        <v>235.69186733515002</v>
      </c>
      <c r="J25" s="9">
        <f t="shared" si="2"/>
        <v>1150.9092738081899</v>
      </c>
      <c r="K25" s="9">
        <f t="shared" si="3"/>
        <v>235.69186733515002</v>
      </c>
      <c r="L25" s="10">
        <f t="shared" si="0"/>
        <v>0.20478752991126764</v>
      </c>
      <c r="M25" s="10">
        <f t="shared" si="4"/>
        <v>0.20630395276561356</v>
      </c>
      <c r="P25" s="8">
        <f t="shared" si="5"/>
        <v>11.015300540471126</v>
      </c>
    </row>
    <row r="26" spans="1:16" x14ac:dyDescent="0.2">
      <c r="A26" s="8">
        <v>12</v>
      </c>
      <c r="B26" s="8">
        <v>24</v>
      </c>
      <c r="D26">
        <v>1396.0103011094</v>
      </c>
      <c r="E26">
        <v>368.91442155308999</v>
      </c>
      <c r="F26">
        <v>137.67859984089</v>
      </c>
      <c r="G26">
        <v>116.81145584726001</v>
      </c>
      <c r="I26" s="9">
        <f t="shared" si="1"/>
        <v>252.10296570583</v>
      </c>
      <c r="J26" s="9">
        <f t="shared" si="2"/>
        <v>1258.33170126851</v>
      </c>
      <c r="K26" s="9">
        <f t="shared" si="3"/>
        <v>252.10296570583</v>
      </c>
      <c r="L26" s="10">
        <f t="shared" si="0"/>
        <v>0.20034698756431857</v>
      </c>
      <c r="M26" s="10">
        <f t="shared" si="4"/>
        <v>0.20192934184711431</v>
      </c>
      <c r="P26" s="8">
        <f t="shared" si="5"/>
        <v>8.6612557470755434</v>
      </c>
    </row>
    <row r="27" spans="1:16" x14ac:dyDescent="0.2">
      <c r="A27" s="8">
        <v>12.5</v>
      </c>
      <c r="B27" s="8">
        <v>25</v>
      </c>
      <c r="D27">
        <v>1409.4762282091999</v>
      </c>
      <c r="E27">
        <v>372.05388272583002</v>
      </c>
      <c r="F27">
        <v>137.30071599044999</v>
      </c>
      <c r="G27">
        <v>116.41607000796</v>
      </c>
      <c r="I27" s="9">
        <f t="shared" si="1"/>
        <v>255.63781271787002</v>
      </c>
      <c r="J27" s="9">
        <f t="shared" si="2"/>
        <v>1272.1755122187499</v>
      </c>
      <c r="K27" s="9">
        <f t="shared" si="3"/>
        <v>255.63781271787002</v>
      </c>
      <c r="L27" s="10">
        <f t="shared" si="0"/>
        <v>0.20094539649802129</v>
      </c>
      <c r="M27" s="10">
        <f t="shared" si="4"/>
        <v>0.20259368220926685</v>
      </c>
      <c r="P27" s="8">
        <f t="shared" si="5"/>
        <v>9.0187474188387178</v>
      </c>
    </row>
    <row r="28" spans="1:16" x14ac:dyDescent="0.2">
      <c r="A28" s="8">
        <v>13</v>
      </c>
      <c r="B28" s="8">
        <v>26</v>
      </c>
      <c r="D28">
        <v>1416.2559429477001</v>
      </c>
      <c r="E28">
        <v>371.16244057052</v>
      </c>
      <c r="F28">
        <v>137.57120127287001</v>
      </c>
      <c r="G28">
        <v>116.63166268894</v>
      </c>
      <c r="I28" s="9">
        <f t="shared" si="1"/>
        <v>254.53077788158001</v>
      </c>
      <c r="J28" s="9">
        <f t="shared" si="2"/>
        <v>1278.6847416748301</v>
      </c>
      <c r="K28" s="9">
        <f t="shared" si="3"/>
        <v>254.53077788158001</v>
      </c>
      <c r="L28" s="10">
        <f t="shared" si="0"/>
        <v>0.19905671005989625</v>
      </c>
      <c r="M28" s="10">
        <f t="shared" si="4"/>
        <v>0.20077092719959164</v>
      </c>
      <c r="P28" s="8">
        <f t="shared" si="5"/>
        <v>8.0378951738958317</v>
      </c>
    </row>
    <row r="29" spans="1:16" x14ac:dyDescent="0.2">
      <c r="A29" s="8">
        <v>13.5</v>
      </c>
      <c r="B29" s="8">
        <v>27</v>
      </c>
      <c r="D29">
        <v>1393.6061806656</v>
      </c>
      <c r="E29">
        <v>366.97702060222002</v>
      </c>
      <c r="F29">
        <v>137.69371519491</v>
      </c>
      <c r="G29">
        <v>116.64120922831999</v>
      </c>
      <c r="I29" s="9">
        <f t="shared" si="1"/>
        <v>250.33581137390001</v>
      </c>
      <c r="J29" s="9">
        <f t="shared" si="2"/>
        <v>1255.91246547069</v>
      </c>
      <c r="K29" s="9">
        <f t="shared" si="3"/>
        <v>250.33581137390001</v>
      </c>
      <c r="L29" s="10">
        <f t="shared" si="0"/>
        <v>0.1993258433660656</v>
      </c>
      <c r="M29" s="10">
        <f t="shared" si="4"/>
        <v>0.2011059919342108</v>
      </c>
      <c r="P29" s="8">
        <f t="shared" si="5"/>
        <v>8.2181986131446205</v>
      </c>
    </row>
    <row r="30" spans="1:16" x14ac:dyDescent="0.2">
      <c r="A30" s="8">
        <v>14</v>
      </c>
      <c r="B30" s="8">
        <v>28</v>
      </c>
      <c r="D30">
        <v>1273.7083993660999</v>
      </c>
      <c r="E30">
        <v>345.51267828842998</v>
      </c>
      <c r="F30">
        <v>137.70007955450001</v>
      </c>
      <c r="G30">
        <v>116.87509944312001</v>
      </c>
      <c r="I30" s="9">
        <f t="shared" si="1"/>
        <v>228.63757884530997</v>
      </c>
      <c r="J30" s="9">
        <f t="shared" si="2"/>
        <v>1136.0083198115999</v>
      </c>
      <c r="K30" s="9">
        <f t="shared" si="3"/>
        <v>228.63757884530997</v>
      </c>
      <c r="L30" s="10">
        <f t="shared" si="0"/>
        <v>0.20126400032283931</v>
      </c>
      <c r="M30" s="10">
        <f t="shared" si="4"/>
        <v>0.20311008031943434</v>
      </c>
      <c r="P30" s="8">
        <f t="shared" si="5"/>
        <v>9.2966291105380847</v>
      </c>
    </row>
    <row r="31" spans="1:16" x14ac:dyDescent="0.2">
      <c r="A31" s="8">
        <v>14.5</v>
      </c>
      <c r="B31" s="8">
        <v>29</v>
      </c>
      <c r="D31">
        <v>1301.2622047243999</v>
      </c>
      <c r="E31">
        <v>341.49842519685001</v>
      </c>
      <c r="F31">
        <v>137.88703261734</v>
      </c>
      <c r="G31">
        <v>116.79793158312999</v>
      </c>
      <c r="I31" s="9">
        <f t="shared" si="1"/>
        <v>224.70049361372003</v>
      </c>
      <c r="J31" s="9">
        <f t="shared" si="2"/>
        <v>1163.3751721070598</v>
      </c>
      <c r="K31" s="9">
        <f t="shared" si="3"/>
        <v>224.70049361372003</v>
      </c>
      <c r="L31" s="10">
        <f t="shared" si="0"/>
        <v>0.19314534038641312</v>
      </c>
      <c r="M31" s="10">
        <f t="shared" si="4"/>
        <v>0.19505735181145797</v>
      </c>
      <c r="P31" s="8">
        <f t="shared" si="5"/>
        <v>4.9633331969135819</v>
      </c>
    </row>
    <row r="32" spans="1:16" x14ac:dyDescent="0.2">
      <c r="A32" s="8">
        <v>15</v>
      </c>
      <c r="B32" s="8">
        <v>30</v>
      </c>
      <c r="D32">
        <v>1260.4319620253</v>
      </c>
      <c r="E32">
        <v>329.52927215189999</v>
      </c>
      <c r="F32">
        <v>137.61813842481999</v>
      </c>
      <c r="G32">
        <v>116.99920445505001</v>
      </c>
      <c r="I32" s="9">
        <f t="shared" si="1"/>
        <v>212.53006769684998</v>
      </c>
      <c r="J32" s="9">
        <f t="shared" si="2"/>
        <v>1122.81382360048</v>
      </c>
      <c r="K32" s="9">
        <f t="shared" si="3"/>
        <v>212.53006769684998</v>
      </c>
      <c r="L32" s="10">
        <f t="shared" si="0"/>
        <v>0.18928344417361975</v>
      </c>
      <c r="M32" s="10">
        <f t="shared" si="4"/>
        <v>0.19126138702711443</v>
      </c>
      <c r="P32" s="8">
        <f t="shared" si="5"/>
        <v>2.920666705429936</v>
      </c>
    </row>
    <row r="33" spans="1:16" x14ac:dyDescent="0.2">
      <c r="A33" s="8">
        <v>15.5</v>
      </c>
      <c r="B33" s="8">
        <v>31</v>
      </c>
      <c r="D33">
        <v>1245.6964705882001</v>
      </c>
      <c r="E33">
        <v>328.45333333333002</v>
      </c>
      <c r="F33">
        <v>138.20525059665999</v>
      </c>
      <c r="G33">
        <v>116.80986475736</v>
      </c>
      <c r="I33" s="9">
        <f t="shared" si="1"/>
        <v>211.64346857597002</v>
      </c>
      <c r="J33" s="9">
        <f t="shared" si="2"/>
        <v>1107.4912199915402</v>
      </c>
      <c r="K33" s="9">
        <f t="shared" si="3"/>
        <v>211.64346857597002</v>
      </c>
      <c r="L33" s="10">
        <f t="shared" si="0"/>
        <v>0.19110171237076418</v>
      </c>
      <c r="M33" s="10">
        <f t="shared" si="4"/>
        <v>0.19314558665270867</v>
      </c>
      <c r="P33" s="8">
        <f t="shared" si="5"/>
        <v>3.9345832344614307</v>
      </c>
    </row>
    <row r="34" spans="1:16" x14ac:dyDescent="0.2">
      <c r="A34" s="8">
        <v>16</v>
      </c>
      <c r="B34" s="8">
        <v>32</v>
      </c>
      <c r="D34">
        <v>1276.2682352940999</v>
      </c>
      <c r="E34">
        <v>335.15137254901998</v>
      </c>
      <c r="F34">
        <v>137.53778838503999</v>
      </c>
      <c r="G34">
        <v>116.81782020684</v>
      </c>
      <c r="I34" s="9">
        <f t="shared" si="1"/>
        <v>218.33355234217998</v>
      </c>
      <c r="J34" s="9">
        <f t="shared" si="2"/>
        <v>1138.73044690906</v>
      </c>
      <c r="K34" s="9">
        <f t="shared" si="3"/>
        <v>218.33355234217998</v>
      </c>
      <c r="L34" s="10">
        <f t="shared" si="0"/>
        <v>0.19173418339240761</v>
      </c>
      <c r="M34" s="10">
        <f t="shared" si="4"/>
        <v>0.19384398910280193</v>
      </c>
      <c r="P34" s="8">
        <f t="shared" si="5"/>
        <v>4.3104042347667004</v>
      </c>
    </row>
    <row r="35" spans="1:16" x14ac:dyDescent="0.2">
      <c r="A35" s="8">
        <v>16.5</v>
      </c>
      <c r="B35" s="8">
        <v>33</v>
      </c>
      <c r="D35">
        <v>1291.1905882353001</v>
      </c>
      <c r="E35">
        <v>339.66980392157001</v>
      </c>
      <c r="F35">
        <v>137.70087509944</v>
      </c>
      <c r="G35">
        <v>116.84964200477</v>
      </c>
      <c r="I35" s="9">
        <f t="shared" si="1"/>
        <v>222.8201619168</v>
      </c>
      <c r="J35" s="9">
        <f t="shared" si="2"/>
        <v>1153.48971313586</v>
      </c>
      <c r="K35" s="9">
        <f t="shared" si="3"/>
        <v>222.8201619168</v>
      </c>
      <c r="L35" s="10">
        <f t="shared" si="0"/>
        <v>0.19317048030800762</v>
      </c>
      <c r="M35" s="10">
        <f t="shared" si="4"/>
        <v>0.19534621744685177</v>
      </c>
      <c r="P35" s="8">
        <f t="shared" si="5"/>
        <v>5.1187761969102397</v>
      </c>
    </row>
    <row r="36" spans="1:16" x14ac:dyDescent="0.2">
      <c r="A36" s="8">
        <v>17</v>
      </c>
      <c r="B36" s="8">
        <v>34</v>
      </c>
      <c r="D36">
        <v>1323.5031347961999</v>
      </c>
      <c r="E36">
        <v>348.86755485893002</v>
      </c>
      <c r="F36">
        <v>138.24821002387</v>
      </c>
      <c r="G36">
        <v>117.26332537787999</v>
      </c>
      <c r="I36" s="9">
        <f t="shared" si="1"/>
        <v>231.60422948105003</v>
      </c>
      <c r="J36" s="9">
        <f t="shared" si="2"/>
        <v>1185.25492477233</v>
      </c>
      <c r="K36" s="9">
        <f t="shared" si="3"/>
        <v>231.60422948105003</v>
      </c>
      <c r="L36" s="10">
        <f t="shared" si="0"/>
        <v>0.1954045704771383</v>
      </c>
      <c r="M36" s="10">
        <f t="shared" si="4"/>
        <v>0.19764623904443226</v>
      </c>
      <c r="P36" s="8">
        <f t="shared" si="5"/>
        <v>6.3564528651564771</v>
      </c>
    </row>
    <row r="37" spans="1:16" x14ac:dyDescent="0.2">
      <c r="A37" s="8">
        <v>17.5</v>
      </c>
      <c r="B37" s="8">
        <v>35</v>
      </c>
      <c r="D37">
        <v>1424.7197501952</v>
      </c>
      <c r="E37">
        <v>367.19125683060003</v>
      </c>
      <c r="F37">
        <v>138.41766109784999</v>
      </c>
      <c r="G37">
        <v>117.43914081146001</v>
      </c>
      <c r="I37" s="9">
        <f t="shared" si="1"/>
        <v>249.75211601914003</v>
      </c>
      <c r="J37" s="9">
        <f t="shared" si="2"/>
        <v>1286.3020890973501</v>
      </c>
      <c r="K37" s="9">
        <f t="shared" si="3"/>
        <v>249.75211601914003</v>
      </c>
      <c r="L37" s="10">
        <f t="shared" si="0"/>
        <v>0.19416287832852791</v>
      </c>
      <c r="M37" s="10">
        <f t="shared" si="4"/>
        <v>0.1964704783242717</v>
      </c>
      <c r="P37" s="8">
        <f t="shared" si="5"/>
        <v>5.7237581059794618</v>
      </c>
    </row>
    <row r="38" spans="1:16" x14ac:dyDescent="0.2">
      <c r="A38" s="8">
        <v>18</v>
      </c>
      <c r="B38" s="8">
        <v>36</v>
      </c>
      <c r="D38">
        <v>1385.931303669</v>
      </c>
      <c r="E38">
        <v>359.94145199063001</v>
      </c>
      <c r="F38">
        <v>137.97056483691</v>
      </c>
      <c r="G38">
        <v>117.3046937152</v>
      </c>
      <c r="I38" s="9">
        <f t="shared" si="1"/>
        <v>242.63675827543</v>
      </c>
      <c r="J38" s="9">
        <f t="shared" si="2"/>
        <v>1247.9607388320901</v>
      </c>
      <c r="K38" s="9">
        <f t="shared" si="3"/>
        <v>242.63675827543</v>
      </c>
      <c r="L38" s="10">
        <f t="shared" si="0"/>
        <v>0.19442659590597597</v>
      </c>
      <c r="M38" s="10">
        <f t="shared" si="4"/>
        <v>0.19680012733016961</v>
      </c>
      <c r="P38" s="8">
        <f t="shared" si="5"/>
        <v>5.9011472590811547</v>
      </c>
    </row>
    <row r="39" spans="1:16" x14ac:dyDescent="0.2">
      <c r="A39" s="8">
        <v>18.5</v>
      </c>
      <c r="B39" s="8">
        <v>37</v>
      </c>
      <c r="D39">
        <v>1356.425984252</v>
      </c>
      <c r="E39">
        <v>357.16141732284001</v>
      </c>
      <c r="F39">
        <v>138.06284805092</v>
      </c>
      <c r="G39">
        <v>117.28560063643999</v>
      </c>
      <c r="I39" s="9">
        <f t="shared" si="1"/>
        <v>239.87581668640001</v>
      </c>
      <c r="J39" s="9">
        <f t="shared" si="2"/>
        <v>1218.3631362010801</v>
      </c>
      <c r="K39" s="9">
        <f t="shared" si="3"/>
        <v>239.87581668640001</v>
      </c>
      <c r="L39" s="10">
        <f t="shared" si="0"/>
        <v>0.19688367906004225</v>
      </c>
      <c r="M39" s="10">
        <f t="shared" si="4"/>
        <v>0.19932314191268569</v>
      </c>
      <c r="P39" s="8">
        <f t="shared" si="5"/>
        <v>7.2588198503777166</v>
      </c>
    </row>
    <row r="40" spans="1:16" x14ac:dyDescent="0.2">
      <c r="A40" s="8">
        <v>19</v>
      </c>
      <c r="B40" s="8">
        <v>38</v>
      </c>
      <c r="D40">
        <v>1348.6291338583001</v>
      </c>
      <c r="E40">
        <v>348.55590551181001</v>
      </c>
      <c r="F40">
        <v>138.29912490056</v>
      </c>
      <c r="G40">
        <v>116.80031821798001</v>
      </c>
      <c r="I40" s="9">
        <f t="shared" si="1"/>
        <v>231.75558729382999</v>
      </c>
      <c r="J40" s="9">
        <f t="shared" si="2"/>
        <v>1210.3300089577401</v>
      </c>
      <c r="K40" s="9">
        <f t="shared" si="3"/>
        <v>231.75558729382999</v>
      </c>
      <c r="L40" s="10">
        <f t="shared" si="0"/>
        <v>0.19148131962240883</v>
      </c>
      <c r="M40" s="10">
        <f t="shared" si="4"/>
        <v>0.19398671390350211</v>
      </c>
      <c r="P40" s="8">
        <f t="shared" si="5"/>
        <v>4.3872066247931834</v>
      </c>
    </row>
    <row r="41" spans="1:16" x14ac:dyDescent="0.2">
      <c r="A41" s="8">
        <v>19.5</v>
      </c>
      <c r="B41" s="8">
        <v>39</v>
      </c>
      <c r="D41">
        <v>1363.3916469661001</v>
      </c>
      <c r="E41">
        <v>353.62490149723999</v>
      </c>
      <c r="F41">
        <v>138.86634844868999</v>
      </c>
      <c r="G41">
        <v>117.43675417660999</v>
      </c>
      <c r="I41" s="9">
        <f t="shared" si="1"/>
        <v>236.18814732062998</v>
      </c>
      <c r="J41" s="9">
        <f t="shared" si="2"/>
        <v>1224.5252985174102</v>
      </c>
      <c r="K41" s="9">
        <f t="shared" si="3"/>
        <v>236.18814732062998</v>
      </c>
      <c r="L41" s="10">
        <f t="shared" si="0"/>
        <v>0.19288139461601486</v>
      </c>
      <c r="M41" s="10">
        <f t="shared" si="4"/>
        <v>0.19545272032555797</v>
      </c>
      <c r="P41" s="8">
        <f t="shared" si="5"/>
        <v>5.1760870187800814</v>
      </c>
    </row>
    <row r="42" spans="1:16" x14ac:dyDescent="0.2">
      <c r="A42" s="8">
        <v>20</v>
      </c>
      <c r="B42" s="8">
        <v>40</v>
      </c>
      <c r="D42">
        <v>1370.5043341214</v>
      </c>
      <c r="E42">
        <v>355.68242710796</v>
      </c>
      <c r="F42">
        <v>138.31344470963001</v>
      </c>
      <c r="G42">
        <v>117.08989657916</v>
      </c>
      <c r="I42" s="9">
        <f t="shared" si="1"/>
        <v>238.59253052880001</v>
      </c>
      <c r="J42" s="9">
        <f t="shared" si="2"/>
        <v>1232.1908894117701</v>
      </c>
      <c r="K42" s="9">
        <f t="shared" si="3"/>
        <v>238.59253052880001</v>
      </c>
      <c r="L42" s="10">
        <f t="shared" si="0"/>
        <v>0.19363276630190035</v>
      </c>
      <c r="M42" s="10">
        <f t="shared" si="4"/>
        <v>0.19627002343989328</v>
      </c>
      <c r="P42" s="8">
        <f t="shared" si="5"/>
        <v>5.6158902782633424</v>
      </c>
    </row>
    <row r="43" spans="1:16" x14ac:dyDescent="0.2">
      <c r="A43" s="8">
        <v>20.5</v>
      </c>
      <c r="B43" s="8">
        <v>41</v>
      </c>
      <c r="D43">
        <v>1368.2671394798999</v>
      </c>
      <c r="E43">
        <v>357.89440504333999</v>
      </c>
      <c r="F43">
        <v>138.71439936356001</v>
      </c>
      <c r="G43">
        <v>116.98249801114</v>
      </c>
      <c r="I43" s="9">
        <f t="shared" si="1"/>
        <v>240.91190703219999</v>
      </c>
      <c r="J43" s="9">
        <f t="shared" si="2"/>
        <v>1229.5527401163399</v>
      </c>
      <c r="K43" s="9">
        <f t="shared" si="3"/>
        <v>240.91190703219999</v>
      </c>
      <c r="L43" s="10">
        <f t="shared" si="0"/>
        <v>0.19593458594497132</v>
      </c>
      <c r="M43" s="10">
        <f t="shared" si="4"/>
        <v>0.19863777451141407</v>
      </c>
      <c r="P43" s="8">
        <f t="shared" si="5"/>
        <v>6.8900132084649766</v>
      </c>
    </row>
    <row r="44" spans="1:16" x14ac:dyDescent="0.2">
      <c r="A44" s="8">
        <v>21</v>
      </c>
      <c r="B44" s="8">
        <v>42</v>
      </c>
      <c r="D44">
        <v>1405.8226950354999</v>
      </c>
      <c r="E44">
        <v>362.37352245863002</v>
      </c>
      <c r="F44">
        <v>138.45902943516001</v>
      </c>
      <c r="G44">
        <v>117.44868735084</v>
      </c>
      <c r="I44" s="9">
        <f t="shared" si="1"/>
        <v>244.92483510779002</v>
      </c>
      <c r="J44" s="9">
        <f t="shared" si="2"/>
        <v>1267.36366560034</v>
      </c>
      <c r="K44" s="9">
        <f t="shared" si="3"/>
        <v>244.92483510779002</v>
      </c>
      <c r="L44" s="10">
        <f t="shared" si="0"/>
        <v>0.19325537077928701</v>
      </c>
      <c r="M44" s="10">
        <f t="shared" si="4"/>
        <v>0.19602449077417958</v>
      </c>
      <c r="P44" s="8">
        <f t="shared" si="5"/>
        <v>5.4837654095378374</v>
      </c>
    </row>
    <row r="45" spans="1:16" x14ac:dyDescent="0.2">
      <c r="A45" s="8">
        <v>21.5</v>
      </c>
      <c r="B45" s="8">
        <v>43</v>
      </c>
      <c r="D45">
        <v>1332.7460567823</v>
      </c>
      <c r="E45">
        <v>347.29968454259</v>
      </c>
      <c r="F45">
        <v>138.34685759745</v>
      </c>
      <c r="G45">
        <v>117.55608591885</v>
      </c>
      <c r="I45" s="9">
        <f t="shared" si="1"/>
        <v>229.74359862374001</v>
      </c>
      <c r="J45" s="9">
        <f t="shared" si="2"/>
        <v>1194.39919918485</v>
      </c>
      <c r="K45" s="9">
        <f t="shared" si="3"/>
        <v>229.74359862374001</v>
      </c>
      <c r="L45" s="10">
        <f t="shared" si="0"/>
        <v>0.19235076411683358</v>
      </c>
      <c r="M45" s="10">
        <f t="shared" si="4"/>
        <v>0.19518581554017597</v>
      </c>
      <c r="P45" s="8">
        <f t="shared" si="5"/>
        <v>5.0324614868033093</v>
      </c>
    </row>
    <row r="46" spans="1:16" x14ac:dyDescent="0.2">
      <c r="A46" s="8">
        <v>22</v>
      </c>
      <c r="B46" s="8">
        <v>44</v>
      </c>
      <c r="D46">
        <v>1345.5938485803999</v>
      </c>
      <c r="E46">
        <v>356.75394321766998</v>
      </c>
      <c r="F46">
        <v>138.97295147176001</v>
      </c>
      <c r="G46">
        <v>117.47334924422999</v>
      </c>
      <c r="I46" s="9">
        <f t="shared" si="1"/>
        <v>239.28059397343998</v>
      </c>
      <c r="J46" s="9">
        <f t="shared" si="2"/>
        <v>1206.6208971086398</v>
      </c>
      <c r="K46" s="9">
        <f t="shared" si="3"/>
        <v>239.28059397343998</v>
      </c>
      <c r="L46" s="10">
        <f t="shared" si="0"/>
        <v>0.19830635665834653</v>
      </c>
      <c r="M46" s="10">
        <f t="shared" si="4"/>
        <v>0.20120733951013875</v>
      </c>
      <c r="P46" s="8">
        <f t="shared" si="5"/>
        <v>8.2727352880355376</v>
      </c>
    </row>
    <row r="47" spans="1:16" x14ac:dyDescent="0.2">
      <c r="A47" s="8">
        <v>22.5</v>
      </c>
      <c r="B47" s="8">
        <v>45</v>
      </c>
      <c r="D47">
        <v>1292.5672468354001</v>
      </c>
      <c r="E47">
        <v>344.66218354429998</v>
      </c>
      <c r="F47">
        <v>138.82100238664</v>
      </c>
      <c r="G47">
        <v>117.68735083532</v>
      </c>
      <c r="I47" s="9">
        <f t="shared" si="1"/>
        <v>226.97483270897999</v>
      </c>
      <c r="J47" s="9">
        <f t="shared" si="2"/>
        <v>1153.7462444487601</v>
      </c>
      <c r="K47" s="9">
        <f t="shared" si="3"/>
        <v>226.97483270897999</v>
      </c>
      <c r="L47" s="10">
        <f t="shared" si="0"/>
        <v>0.1967285560417357</v>
      </c>
      <c r="M47" s="10">
        <f t="shared" si="4"/>
        <v>0.19969547032197774</v>
      </c>
      <c r="P47" s="8">
        <f t="shared" si="5"/>
        <v>7.4591754407733744</v>
      </c>
    </row>
    <row r="48" spans="1:16" x14ac:dyDescent="0.2">
      <c r="A48" s="8">
        <v>23</v>
      </c>
      <c r="B48" s="8">
        <v>46</v>
      </c>
      <c r="D48">
        <v>1331.3346518987</v>
      </c>
      <c r="E48">
        <v>353.02689873418001</v>
      </c>
      <c r="F48">
        <v>139.21638822593999</v>
      </c>
      <c r="G48">
        <v>117.59904534606</v>
      </c>
      <c r="I48" s="9">
        <f t="shared" si="1"/>
        <v>235.42785338812001</v>
      </c>
      <c r="J48" s="9">
        <f t="shared" si="2"/>
        <v>1192.1182636727601</v>
      </c>
      <c r="K48" s="9">
        <f t="shared" si="3"/>
        <v>235.42785338812001</v>
      </c>
      <c r="L48" s="10">
        <f t="shared" si="0"/>
        <v>0.19748699484126486</v>
      </c>
      <c r="M48" s="10">
        <f t="shared" si="4"/>
        <v>0.20051984054995672</v>
      </c>
      <c r="P48" s="8">
        <f t="shared" si="5"/>
        <v>7.9027816217934701</v>
      </c>
    </row>
    <row r="49" spans="1:25" x14ac:dyDescent="0.2">
      <c r="A49" s="8">
        <v>23.5</v>
      </c>
      <c r="B49" s="8">
        <v>47</v>
      </c>
      <c r="D49">
        <v>1242.5584313725999</v>
      </c>
      <c r="E49">
        <v>333.65411764705999</v>
      </c>
      <c r="F49">
        <v>139.47494033413</v>
      </c>
      <c r="G49">
        <v>117.92124105012</v>
      </c>
      <c r="I49" s="9">
        <f t="shared" si="1"/>
        <v>215.73287659694</v>
      </c>
      <c r="J49" s="9">
        <f t="shared" si="2"/>
        <v>1103.0834910384699</v>
      </c>
      <c r="K49" s="9">
        <f t="shared" si="3"/>
        <v>215.73287659694</v>
      </c>
      <c r="L49" s="10">
        <f t="shared" si="0"/>
        <v>0.19557257301878733</v>
      </c>
      <c r="M49" s="10">
        <f t="shared" si="4"/>
        <v>0.19867135015592902</v>
      </c>
      <c r="P49" s="8">
        <f t="shared" si="5"/>
        <v>6.9080807743874857</v>
      </c>
    </row>
    <row r="50" spans="1:25" x14ac:dyDescent="0.2">
      <c r="A50" s="8">
        <v>24</v>
      </c>
      <c r="B50" s="8">
        <v>48</v>
      </c>
      <c r="D50">
        <v>1332.2653543306999</v>
      </c>
      <c r="E50">
        <v>351.68740157479999</v>
      </c>
      <c r="F50">
        <v>138.84884645983001</v>
      </c>
      <c r="G50">
        <v>117.53221957041001</v>
      </c>
      <c r="I50" s="9">
        <f t="shared" si="1"/>
        <v>234.15518200438999</v>
      </c>
      <c r="J50" s="9">
        <f t="shared" si="2"/>
        <v>1193.41650787087</v>
      </c>
      <c r="K50" s="9">
        <f t="shared" si="3"/>
        <v>234.15518200438999</v>
      </c>
      <c r="L50" s="10">
        <f t="shared" si="0"/>
        <v>0.19620575085067118</v>
      </c>
      <c r="M50" s="10">
        <f t="shared" si="4"/>
        <v>0.19937045941626269</v>
      </c>
      <c r="P50" s="8">
        <f t="shared" si="5"/>
        <v>7.2842821200531498</v>
      </c>
    </row>
    <row r="51" spans="1:25" x14ac:dyDescent="0.2">
      <c r="A51" s="8">
        <v>24.5</v>
      </c>
      <c r="B51" s="8">
        <v>49</v>
      </c>
      <c r="D51">
        <v>1422.2118110235999</v>
      </c>
      <c r="E51">
        <v>361.97086614173003</v>
      </c>
      <c r="F51">
        <v>139.09228321399999</v>
      </c>
      <c r="G51">
        <v>117.89180588703</v>
      </c>
      <c r="I51" s="9">
        <f t="shared" si="1"/>
        <v>244.07906025470004</v>
      </c>
      <c r="J51" s="9">
        <f t="shared" si="2"/>
        <v>1283.1195278096</v>
      </c>
      <c r="K51" s="9">
        <f t="shared" si="3"/>
        <v>244.07906025470004</v>
      </c>
      <c r="L51" s="10">
        <f t="shared" si="0"/>
        <v>0.19022316702744355</v>
      </c>
      <c r="M51" s="10">
        <f t="shared" si="4"/>
        <v>0.19345380702148487</v>
      </c>
      <c r="P51" s="8">
        <f t="shared" si="5"/>
        <v>4.100441311408991</v>
      </c>
    </row>
    <row r="52" spans="1:25" x14ac:dyDescent="0.2">
      <c r="A52" s="8">
        <v>25</v>
      </c>
      <c r="B52" s="8">
        <v>50</v>
      </c>
      <c r="D52">
        <v>1298.1282251759001</v>
      </c>
      <c r="E52">
        <v>342.14386239249001</v>
      </c>
      <c r="F52">
        <v>139.27525855210999</v>
      </c>
      <c r="G52">
        <v>117.78520286396</v>
      </c>
      <c r="I52" s="9">
        <f t="shared" si="1"/>
        <v>224.35865952853001</v>
      </c>
      <c r="J52" s="9">
        <f t="shared" si="2"/>
        <v>1158.8529666237901</v>
      </c>
      <c r="K52" s="9">
        <f t="shared" si="3"/>
        <v>224.35865952853001</v>
      </c>
      <c r="L52" s="10">
        <f t="shared" si="0"/>
        <v>0.19360407747168998</v>
      </c>
      <c r="M52" s="10">
        <f t="shared" si="4"/>
        <v>0.19690064889418113</v>
      </c>
      <c r="P52" s="8">
        <f t="shared" si="5"/>
        <v>5.9552394443734844</v>
      </c>
    </row>
    <row r="53" spans="1:25" x14ac:dyDescent="0.2">
      <c r="A53" s="8">
        <v>25.5</v>
      </c>
      <c r="B53" s="8">
        <v>51</v>
      </c>
      <c r="D53">
        <v>1177.3588741204001</v>
      </c>
      <c r="E53">
        <v>325.74511336981999</v>
      </c>
      <c r="F53">
        <v>139.77247414479001</v>
      </c>
      <c r="G53">
        <v>117.87828162291</v>
      </c>
      <c r="I53" s="9">
        <f t="shared" si="1"/>
        <v>207.86683174691001</v>
      </c>
      <c r="J53" s="9">
        <f t="shared" si="2"/>
        <v>1037.58639997561</v>
      </c>
      <c r="K53" s="9">
        <f t="shared" si="3"/>
        <v>207.86683174691001</v>
      </c>
      <c r="L53" s="10">
        <f t="shared" si="0"/>
        <v>0.20033688929596247</v>
      </c>
      <c r="M53" s="10">
        <f t="shared" si="4"/>
        <v>0.20369939214690344</v>
      </c>
      <c r="P53" s="8">
        <f t="shared" si="5"/>
        <v>9.6137467845405062</v>
      </c>
      <c r="S53" s="11"/>
      <c r="U53" s="12"/>
    </row>
    <row r="54" spans="1:25" x14ac:dyDescent="0.2">
      <c r="A54" s="8">
        <v>26</v>
      </c>
      <c r="B54" s="8">
        <v>52</v>
      </c>
      <c r="D54">
        <v>1375.5886524822999</v>
      </c>
      <c r="E54">
        <v>357.45390070922002</v>
      </c>
      <c r="F54">
        <v>139.15115354017999</v>
      </c>
      <c r="G54">
        <v>117.80827366746</v>
      </c>
      <c r="I54" s="9">
        <f t="shared" si="1"/>
        <v>239.64562704176001</v>
      </c>
      <c r="J54" s="9">
        <f t="shared" si="2"/>
        <v>1236.4374989421199</v>
      </c>
      <c r="K54" s="9">
        <f t="shared" si="3"/>
        <v>239.64562704176001</v>
      </c>
      <c r="L54" s="10">
        <f t="shared" si="0"/>
        <v>0.19381944275128968</v>
      </c>
      <c r="M54" s="10">
        <f t="shared" si="4"/>
        <v>0.19724787703068047</v>
      </c>
      <c r="P54" s="8">
        <f t="shared" si="5"/>
        <v>6.1420881955138817</v>
      </c>
      <c r="S54" s="11"/>
    </row>
    <row r="55" spans="1:25" x14ac:dyDescent="0.2">
      <c r="A55" s="8">
        <v>26.5</v>
      </c>
      <c r="B55" s="8">
        <v>53</v>
      </c>
      <c r="D55">
        <v>1419.0709219857999</v>
      </c>
      <c r="E55">
        <v>361.51300236407002</v>
      </c>
      <c r="F55">
        <v>139.47494033413</v>
      </c>
      <c r="G55">
        <v>117.67223548131</v>
      </c>
      <c r="I55" s="9">
        <f t="shared" si="1"/>
        <v>243.84076688276002</v>
      </c>
      <c r="J55" s="9">
        <f t="shared" si="2"/>
        <v>1279.5959816516699</v>
      </c>
      <c r="K55" s="9">
        <f t="shared" si="3"/>
        <v>243.84076688276002</v>
      </c>
      <c r="L55" s="10">
        <f t="shared" si="0"/>
        <v>0.19056074759473421</v>
      </c>
      <c r="M55" s="10">
        <f t="shared" si="4"/>
        <v>0.19405511330257483</v>
      </c>
      <c r="P55" s="8">
        <f t="shared" si="5"/>
        <v>4.4240133836703253</v>
      </c>
      <c r="S55" s="11"/>
    </row>
    <row r="56" spans="1:25" x14ac:dyDescent="0.2">
      <c r="A56" s="8">
        <v>27</v>
      </c>
      <c r="B56" s="8">
        <v>54</v>
      </c>
      <c r="D56">
        <v>1426.3869188337001</v>
      </c>
      <c r="E56">
        <v>362.69188337272999</v>
      </c>
      <c r="F56">
        <v>139.23548130469001</v>
      </c>
      <c r="G56">
        <v>117.80429594272</v>
      </c>
      <c r="I56" s="9">
        <f t="shared" si="1"/>
        <v>244.88758743001</v>
      </c>
      <c r="J56" s="9">
        <f t="shared" si="2"/>
        <v>1287.1514375290101</v>
      </c>
      <c r="K56" s="9">
        <f t="shared" si="3"/>
        <v>244.88758743001</v>
      </c>
      <c r="L56" s="10">
        <f t="shared" si="0"/>
        <v>0.19025545890709591</v>
      </c>
      <c r="M56" s="10">
        <f t="shared" si="4"/>
        <v>0.19381575604338636</v>
      </c>
      <c r="P56" s="8">
        <f t="shared" si="5"/>
        <v>4.2952115952938277</v>
      </c>
      <c r="S56" s="11"/>
    </row>
    <row r="57" spans="1:25" x14ac:dyDescent="0.2">
      <c r="A57" s="8">
        <v>27.5</v>
      </c>
      <c r="B57" s="8">
        <v>55</v>
      </c>
      <c r="D57">
        <v>1282.0415360502</v>
      </c>
      <c r="E57">
        <v>338.55564263322998</v>
      </c>
      <c r="F57">
        <v>139.63086714399</v>
      </c>
      <c r="G57">
        <v>118.13285600636</v>
      </c>
      <c r="I57" s="9">
        <f t="shared" si="1"/>
        <v>220.42278662686999</v>
      </c>
      <c r="J57" s="9">
        <f t="shared" si="2"/>
        <v>1142.41066890621</v>
      </c>
      <c r="K57" s="9">
        <f t="shared" si="3"/>
        <v>220.42278662686999</v>
      </c>
      <c r="L57" s="10">
        <f t="shared" si="0"/>
        <v>0.19294531522356284</v>
      </c>
      <c r="M57" s="10">
        <f t="shared" si="4"/>
        <v>0.1965715437883031</v>
      </c>
      <c r="P57" s="8">
        <f t="shared" si="5"/>
        <v>5.7781429721601691</v>
      </c>
      <c r="S57" s="11"/>
    </row>
    <row r="58" spans="1:25" x14ac:dyDescent="0.2">
      <c r="A58" s="8">
        <v>28</v>
      </c>
      <c r="B58" s="8">
        <v>56</v>
      </c>
      <c r="D58">
        <v>1191.8064263322999</v>
      </c>
      <c r="E58">
        <v>324.1512539185</v>
      </c>
      <c r="F58">
        <v>140.17183770883</v>
      </c>
      <c r="G58">
        <v>117.81463802704999</v>
      </c>
      <c r="I58" s="9">
        <f t="shared" si="1"/>
        <v>206.33661589145001</v>
      </c>
      <c r="J58" s="9">
        <f t="shared" si="2"/>
        <v>1051.6345886234699</v>
      </c>
      <c r="K58" s="9">
        <f t="shared" si="3"/>
        <v>206.33661589145001</v>
      </c>
      <c r="L58" s="10">
        <f t="shared" si="0"/>
        <v>0.19620561944575535</v>
      </c>
      <c r="M58" s="10">
        <f t="shared" si="4"/>
        <v>0.19989777943894543</v>
      </c>
      <c r="P58" s="8">
        <f t="shared" si="5"/>
        <v>7.5680410592996603</v>
      </c>
      <c r="S58" s="11"/>
    </row>
    <row r="59" spans="1:25" x14ac:dyDescent="0.2">
      <c r="A59" s="8">
        <v>28.5</v>
      </c>
      <c r="B59" s="8">
        <v>57</v>
      </c>
      <c r="D59">
        <v>1392.3173605656</v>
      </c>
      <c r="E59">
        <v>349.97879025922998</v>
      </c>
      <c r="F59">
        <v>139.97136038185999</v>
      </c>
      <c r="G59">
        <v>118.12012728719</v>
      </c>
      <c r="I59" s="9">
        <f t="shared" si="1"/>
        <v>231.85866297203998</v>
      </c>
      <c r="J59" s="9">
        <f t="shared" si="2"/>
        <v>1252.34600018374</v>
      </c>
      <c r="K59" s="9">
        <f t="shared" si="3"/>
        <v>231.85866297203998</v>
      </c>
      <c r="L59" s="10">
        <f t="shared" si="0"/>
        <v>0.18513946061074371</v>
      </c>
      <c r="M59" s="10">
        <f t="shared" si="4"/>
        <v>0.18889755203238362</v>
      </c>
      <c r="P59" s="8">
        <f t="shared" si="5"/>
        <v>1.6486510758202271</v>
      </c>
      <c r="R59" s="1"/>
      <c r="S59" s="11"/>
    </row>
    <row r="60" spans="1:25" x14ac:dyDescent="0.2">
      <c r="A60" s="8">
        <v>29</v>
      </c>
      <c r="B60" s="8">
        <v>58</v>
      </c>
      <c r="D60">
        <v>1391.0950510605001</v>
      </c>
      <c r="E60">
        <v>355.86724273369998</v>
      </c>
      <c r="F60">
        <v>139.91964996022</v>
      </c>
      <c r="G60">
        <v>118.01909307875999</v>
      </c>
      <c r="I60" s="9">
        <f t="shared" si="1"/>
        <v>237.84814965493999</v>
      </c>
      <c r="J60" s="9">
        <f t="shared" si="2"/>
        <v>1251.1754011002799</v>
      </c>
      <c r="K60" s="9">
        <f t="shared" si="3"/>
        <v>237.84814965493999</v>
      </c>
      <c r="L60" s="10">
        <f t="shared" si="0"/>
        <v>0.19009976494564793</v>
      </c>
      <c r="M60" s="10">
        <f t="shared" si="4"/>
        <v>0.19392378779573766</v>
      </c>
      <c r="P60" s="8">
        <f t="shared" si="5"/>
        <v>4.353345127368315</v>
      </c>
      <c r="S60" s="11"/>
    </row>
    <row r="61" spans="1:25" x14ac:dyDescent="0.2">
      <c r="A61" s="8">
        <v>29.5</v>
      </c>
      <c r="B61" s="8">
        <v>59</v>
      </c>
      <c r="C61" s="2"/>
      <c r="D61">
        <v>1242.4588235294</v>
      </c>
      <c r="E61">
        <v>328.72392156862998</v>
      </c>
      <c r="F61">
        <v>140.06443914081001</v>
      </c>
      <c r="G61">
        <v>117.98647573588001</v>
      </c>
      <c r="I61" s="9">
        <f t="shared" si="1"/>
        <v>210.73744583274998</v>
      </c>
      <c r="J61" s="9">
        <f t="shared" si="2"/>
        <v>1102.39438438859</v>
      </c>
      <c r="K61" s="9">
        <f t="shared" si="3"/>
        <v>210.73744583274998</v>
      </c>
      <c r="L61" s="10">
        <f t="shared" si="0"/>
        <v>0.19116338836362015</v>
      </c>
      <c r="M61" s="10">
        <f t="shared" si="4"/>
        <v>0.1950533426421597</v>
      </c>
      <c r="P61" s="8">
        <f t="shared" si="5"/>
        <v>4.9611758018244494</v>
      </c>
      <c r="S61" s="11"/>
    </row>
    <row r="62" spans="1:25" x14ac:dyDescent="0.2">
      <c r="A62" s="8">
        <v>30</v>
      </c>
      <c r="B62" s="8">
        <v>60</v>
      </c>
      <c r="D62">
        <v>1294.9866979655999</v>
      </c>
      <c r="E62">
        <v>342.50782472613997</v>
      </c>
      <c r="F62">
        <v>140.09387430390001</v>
      </c>
      <c r="G62">
        <v>118.06523468576</v>
      </c>
      <c r="I62" s="9">
        <f t="shared" si="1"/>
        <v>224.44259004037997</v>
      </c>
      <c r="J62" s="9">
        <f t="shared" si="2"/>
        <v>1154.8928236616998</v>
      </c>
      <c r="K62" s="9">
        <f t="shared" si="3"/>
        <v>224.44259004037997</v>
      </c>
      <c r="L62" s="10">
        <f t="shared" si="0"/>
        <v>0.19434062230013946</v>
      </c>
      <c r="M62" s="10">
        <f t="shared" si="4"/>
        <v>0.19829650800712884</v>
      </c>
      <c r="P62" s="8">
        <f t="shared" si="5"/>
        <v>6.706372502459387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1289.6009389671001</v>
      </c>
      <c r="E63">
        <v>347.34585289515002</v>
      </c>
      <c r="F63">
        <v>139.87509944312001</v>
      </c>
      <c r="G63">
        <v>117.8846459825</v>
      </c>
      <c r="I63" s="9">
        <f t="shared" si="1"/>
        <v>229.46120691265003</v>
      </c>
      <c r="J63" s="9">
        <f t="shared" si="2"/>
        <v>1149.7258395239801</v>
      </c>
      <c r="K63" s="9">
        <f t="shared" si="3"/>
        <v>229.46120691265003</v>
      </c>
      <c r="L63" s="10">
        <f t="shared" si="0"/>
        <v>0.19957906400333983</v>
      </c>
      <c r="M63" s="10">
        <f t="shared" si="4"/>
        <v>0.20360088113877903</v>
      </c>
      <c r="P63" s="8">
        <f t="shared" si="5"/>
        <v>9.5607365100068833</v>
      </c>
    </row>
    <row r="64" spans="1:25" x14ac:dyDescent="0.2">
      <c r="A64" s="8">
        <v>31</v>
      </c>
      <c r="B64" s="8">
        <v>62</v>
      </c>
      <c r="D64">
        <v>1238.8294209702999</v>
      </c>
      <c r="E64">
        <v>327.06416275430001</v>
      </c>
      <c r="F64">
        <v>140.06762132060999</v>
      </c>
      <c r="G64">
        <v>117.95147175815001</v>
      </c>
      <c r="I64" s="9">
        <f t="shared" si="1"/>
        <v>209.11269099615001</v>
      </c>
      <c r="J64" s="9">
        <f t="shared" si="2"/>
        <v>1098.7617996496899</v>
      </c>
      <c r="K64" s="9">
        <f t="shared" si="3"/>
        <v>209.11269099615001</v>
      </c>
      <c r="L64" s="10">
        <f t="shared" si="0"/>
        <v>0.19031667378936895</v>
      </c>
      <c r="M64" s="10">
        <f t="shared" si="4"/>
        <v>0.19440442235325797</v>
      </c>
      <c r="P64" s="8">
        <f t="shared" si="5"/>
        <v>4.6119819064409633</v>
      </c>
      <c r="U64" s="8">
        <v>30.5</v>
      </c>
      <c r="V64" s="10">
        <f>L62</f>
        <v>0.19434062230013946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1243.755086072</v>
      </c>
      <c r="E65">
        <v>331.20735524256997</v>
      </c>
      <c r="F65">
        <v>140.56404136834001</v>
      </c>
      <c r="G65">
        <v>118.29355608592</v>
      </c>
      <c r="I65" s="9">
        <f t="shared" si="1"/>
        <v>212.91379915664999</v>
      </c>
      <c r="J65" s="9">
        <f t="shared" si="2"/>
        <v>1103.1910447036601</v>
      </c>
      <c r="K65" s="9">
        <f t="shared" si="3"/>
        <v>212.91379915664999</v>
      </c>
      <c r="L65" s="10">
        <f t="shared" si="0"/>
        <v>0.1929981213850798</v>
      </c>
      <c r="M65" s="10">
        <f t="shared" si="4"/>
        <v>0.19715180137741864</v>
      </c>
      <c r="P65" s="8">
        <f t="shared" si="5"/>
        <v>6.0903884225405429</v>
      </c>
      <c r="U65" s="8">
        <v>31</v>
      </c>
      <c r="V65" s="10">
        <f t="shared" ref="V65:V83" si="6">L63</f>
        <v>0.19957906400333983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1207.1102362204999</v>
      </c>
      <c r="E66">
        <v>314.87637795275998</v>
      </c>
      <c r="F66">
        <v>140.47732696897</v>
      </c>
      <c r="G66">
        <v>118.38027048527999</v>
      </c>
      <c r="I66" s="9">
        <f t="shared" si="1"/>
        <v>196.49610746747999</v>
      </c>
      <c r="J66" s="9">
        <f t="shared" si="2"/>
        <v>1066.63290925153</v>
      </c>
      <c r="K66" s="9">
        <f t="shared" si="3"/>
        <v>196.49610746747999</v>
      </c>
      <c r="L66" s="10">
        <f t="shared" ref="L66:L129" si="7">K66/J66</f>
        <v>0.18422093089680106</v>
      </c>
      <c r="M66" s="10">
        <f t="shared" si="4"/>
        <v>0.18844054231758972</v>
      </c>
      <c r="P66" s="8">
        <f t="shared" si="5"/>
        <v>1.4027271846022975</v>
      </c>
      <c r="U66" s="8">
        <v>31.5</v>
      </c>
      <c r="V66" s="10">
        <f t="shared" si="6"/>
        <v>0.19031667378936895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1141.0535433071</v>
      </c>
      <c r="E67">
        <v>307.06929133858</v>
      </c>
      <c r="F67">
        <v>140.3508353222</v>
      </c>
      <c r="G67">
        <v>118.14478918059</v>
      </c>
      <c r="I67" s="9">
        <f t="shared" ref="I67:I130" si="8">E67-G67</f>
        <v>188.92450215798999</v>
      </c>
      <c r="J67" s="9">
        <f t="shared" ref="J67:J130" si="9">D67-F67</f>
        <v>1000.7027079848999</v>
      </c>
      <c r="K67" s="9">
        <f t="shared" ref="K67:K130" si="10">I67*1</f>
        <v>188.92450215798999</v>
      </c>
      <c r="L67" s="10">
        <f t="shared" si="7"/>
        <v>0.18879183662690835</v>
      </c>
      <c r="M67" s="10">
        <f t="shared" ref="M67:M130" si="11">L67+ABS($N$2)*A67</f>
        <v>0.19307737947614684</v>
      </c>
      <c r="P67" s="8">
        <f t="shared" ref="P67:P130" si="12">(M67-$O$2)/$O$2*100</f>
        <v>3.8978799134463853</v>
      </c>
      <c r="U67" s="8">
        <v>32</v>
      </c>
      <c r="V67" s="10">
        <f t="shared" si="6"/>
        <v>0.1929981213850798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1232.3534482759001</v>
      </c>
      <c r="E68">
        <v>322.08072100314001</v>
      </c>
      <c r="F68">
        <v>140.42641209228</v>
      </c>
      <c r="G68">
        <v>118.21957040573</v>
      </c>
      <c r="I68" s="9">
        <f t="shared" si="8"/>
        <v>203.86115059741002</v>
      </c>
      <c r="J68" s="9">
        <f t="shared" si="9"/>
        <v>1091.92703618362</v>
      </c>
      <c r="K68" s="9">
        <f t="shared" si="10"/>
        <v>203.86115059741002</v>
      </c>
      <c r="L68" s="10">
        <f t="shared" si="7"/>
        <v>0.18669850992051856</v>
      </c>
      <c r="M68" s="10">
        <f t="shared" si="11"/>
        <v>0.19104998419820687</v>
      </c>
      <c r="P68" s="8">
        <f t="shared" si="12"/>
        <v>2.806907621943342</v>
      </c>
      <c r="U68" s="8">
        <v>32.5</v>
      </c>
      <c r="V68" s="10">
        <f t="shared" si="6"/>
        <v>0.18422093089680106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1284.2907523511001</v>
      </c>
      <c r="E69">
        <v>330.03840125391997</v>
      </c>
      <c r="F69">
        <v>140.87112171838001</v>
      </c>
      <c r="G69">
        <v>118.31424025457</v>
      </c>
      <c r="I69" s="9">
        <f t="shared" si="8"/>
        <v>211.72416099934998</v>
      </c>
      <c r="J69" s="9">
        <f t="shared" si="9"/>
        <v>1143.4196306327201</v>
      </c>
      <c r="K69" s="9">
        <f t="shared" si="10"/>
        <v>211.72416099934998</v>
      </c>
      <c r="L69" s="10">
        <f t="shared" si="7"/>
        <v>0.18516750572332816</v>
      </c>
      <c r="M69" s="10">
        <f t="shared" si="11"/>
        <v>0.18958491142946629</v>
      </c>
      <c r="P69" s="8">
        <f t="shared" si="12"/>
        <v>2.0185296410319382</v>
      </c>
      <c r="U69" s="8">
        <v>33</v>
      </c>
      <c r="V69" s="10">
        <f t="shared" si="6"/>
        <v>0.18879183662690835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1364.8519968677001</v>
      </c>
      <c r="E70">
        <v>336.46202036021998</v>
      </c>
      <c r="F70">
        <v>140.82259347652999</v>
      </c>
      <c r="G70">
        <v>118.27684964201001</v>
      </c>
      <c r="I70" s="9">
        <f t="shared" si="8"/>
        <v>218.18517071820997</v>
      </c>
      <c r="J70" s="9">
        <f t="shared" si="9"/>
        <v>1224.02940339117</v>
      </c>
      <c r="K70" s="9">
        <f t="shared" si="10"/>
        <v>218.18517071820997</v>
      </c>
      <c r="L70" s="10">
        <f t="shared" si="7"/>
        <v>0.17825157640309014</v>
      </c>
      <c r="M70" s="10">
        <f t="shared" si="11"/>
        <v>0.1827349135376781</v>
      </c>
      <c r="P70" s="8">
        <f t="shared" si="12"/>
        <v>-1.6675586014092001</v>
      </c>
      <c r="U70" s="8">
        <v>33.5</v>
      </c>
      <c r="V70" s="10">
        <f t="shared" si="6"/>
        <v>0.18669850992051856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1329.0156617071</v>
      </c>
      <c r="E71">
        <v>331.32498042287</v>
      </c>
      <c r="F71">
        <v>141.04375497216</v>
      </c>
      <c r="G71">
        <v>118.55926809864999</v>
      </c>
      <c r="I71" s="9">
        <f t="shared" si="8"/>
        <v>212.76571232422</v>
      </c>
      <c r="J71" s="9">
        <f t="shared" si="9"/>
        <v>1187.9719067349399</v>
      </c>
      <c r="K71" s="9">
        <f t="shared" si="10"/>
        <v>212.76571232422</v>
      </c>
      <c r="L71" s="10">
        <f t="shared" si="7"/>
        <v>0.17909995271604706</v>
      </c>
      <c r="M71" s="10">
        <f t="shared" si="11"/>
        <v>0.18364922127908484</v>
      </c>
      <c r="P71" s="8">
        <f t="shared" si="12"/>
        <v>-1.1755556739904127</v>
      </c>
      <c r="U71" s="8">
        <v>34</v>
      </c>
      <c r="V71" s="10">
        <f t="shared" si="6"/>
        <v>0.18516750572332816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1424.8156028369001</v>
      </c>
      <c r="E72">
        <v>345.07801418439999</v>
      </c>
      <c r="F72">
        <v>140.87350835321999</v>
      </c>
      <c r="G72">
        <v>118.81066030231</v>
      </c>
      <c r="I72" s="9">
        <f t="shared" si="8"/>
        <v>226.26735388208999</v>
      </c>
      <c r="J72" s="9">
        <f t="shared" si="9"/>
        <v>1283.9420944836802</v>
      </c>
      <c r="K72" s="9">
        <f t="shared" si="10"/>
        <v>226.26735388208999</v>
      </c>
      <c r="L72" s="10">
        <f t="shared" si="7"/>
        <v>0.17622862810887147</v>
      </c>
      <c r="M72" s="10">
        <f t="shared" si="11"/>
        <v>0.18084382810035907</v>
      </c>
      <c r="P72" s="8">
        <f t="shared" si="12"/>
        <v>-2.6851804906523844</v>
      </c>
      <c r="U72" s="8">
        <v>34.5</v>
      </c>
      <c r="V72" s="10">
        <f t="shared" si="6"/>
        <v>0.17825157640309014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1463.4066193853</v>
      </c>
      <c r="E73">
        <v>351.51773049644999</v>
      </c>
      <c r="F73">
        <v>141.15751789975999</v>
      </c>
      <c r="G73">
        <v>118.91408114559</v>
      </c>
      <c r="I73" s="9">
        <f t="shared" si="8"/>
        <v>232.60364935086</v>
      </c>
      <c r="J73" s="9">
        <f t="shared" si="9"/>
        <v>1322.24910148554</v>
      </c>
      <c r="K73" s="9">
        <f t="shared" si="10"/>
        <v>232.60364935086</v>
      </c>
      <c r="L73" s="10">
        <f t="shared" si="7"/>
        <v>0.175915150246297</v>
      </c>
      <c r="M73" s="10">
        <f t="shared" si="11"/>
        <v>0.18059628166623443</v>
      </c>
      <c r="P73" s="8">
        <f t="shared" si="12"/>
        <v>-2.81838899884462</v>
      </c>
      <c r="U73" s="8">
        <v>35</v>
      </c>
      <c r="V73" s="10">
        <f t="shared" si="6"/>
        <v>0.17909995271604706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1426.7588652482</v>
      </c>
      <c r="E74">
        <v>342.24113475177001</v>
      </c>
      <c r="F74">
        <v>140.90453460621001</v>
      </c>
      <c r="G74">
        <v>118.75974542562</v>
      </c>
      <c r="I74" s="9">
        <f t="shared" si="8"/>
        <v>223.48138932615001</v>
      </c>
      <c r="J74" s="9">
        <f t="shared" si="9"/>
        <v>1285.8543306419899</v>
      </c>
      <c r="K74" s="9">
        <f t="shared" si="10"/>
        <v>223.48138932615001</v>
      </c>
      <c r="L74" s="10">
        <f t="shared" si="7"/>
        <v>0.17379992741057396</v>
      </c>
      <c r="M74" s="10">
        <f t="shared" si="11"/>
        <v>0.1785469902589612</v>
      </c>
      <c r="P74" s="8">
        <f t="shared" si="12"/>
        <v>-3.9211439311842482</v>
      </c>
      <c r="U74" s="8">
        <v>35.5</v>
      </c>
      <c r="V74" s="10">
        <f t="shared" si="6"/>
        <v>0.17622862810887147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1431.8463356974</v>
      </c>
      <c r="E75">
        <v>343.71473601260999</v>
      </c>
      <c r="F75">
        <v>140.99681782021</v>
      </c>
      <c r="G75">
        <v>118.65155131265</v>
      </c>
      <c r="I75" s="9">
        <f t="shared" si="8"/>
        <v>225.06318469996</v>
      </c>
      <c r="J75" s="9">
        <f t="shared" si="9"/>
        <v>1290.84951787719</v>
      </c>
      <c r="K75" s="9">
        <f t="shared" si="10"/>
        <v>225.06318469996</v>
      </c>
      <c r="L75" s="10">
        <f t="shared" si="7"/>
        <v>0.17435276659519369</v>
      </c>
      <c r="M75" s="10">
        <f t="shared" si="11"/>
        <v>0.17916576087203076</v>
      </c>
      <c r="P75" s="8">
        <f t="shared" si="12"/>
        <v>-3.5881740357718601</v>
      </c>
      <c r="U75" s="8">
        <v>36</v>
      </c>
      <c r="V75" s="10">
        <f t="shared" si="6"/>
        <v>0.175915150246297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1428.6989755713</v>
      </c>
      <c r="E76">
        <v>342.17336485421998</v>
      </c>
      <c r="F76">
        <v>141.51630867143999</v>
      </c>
      <c r="G76">
        <v>118.75417661098</v>
      </c>
      <c r="I76" s="9">
        <f t="shared" si="8"/>
        <v>223.41918824324</v>
      </c>
      <c r="J76" s="9">
        <f t="shared" si="9"/>
        <v>1287.1826668998601</v>
      </c>
      <c r="K76" s="9">
        <f t="shared" si="10"/>
        <v>223.41918824324</v>
      </c>
      <c r="L76" s="10">
        <f t="shared" si="7"/>
        <v>0.17357224734958424</v>
      </c>
      <c r="M76" s="10">
        <f t="shared" si="11"/>
        <v>0.17845117305487113</v>
      </c>
      <c r="P76" s="8">
        <f t="shared" si="12"/>
        <v>-3.9727046287201433</v>
      </c>
      <c r="U76" s="8">
        <v>36.5</v>
      </c>
      <c r="V76" s="10">
        <f t="shared" si="6"/>
        <v>0.17379992741057396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1412.4239558708</v>
      </c>
      <c r="E77">
        <v>340.59574468084998</v>
      </c>
      <c r="F77">
        <v>141.22673031026</v>
      </c>
      <c r="G77">
        <v>118.29992044551</v>
      </c>
      <c r="I77" s="9">
        <f t="shared" si="8"/>
        <v>222.29582423533998</v>
      </c>
      <c r="J77" s="9">
        <f t="shared" si="9"/>
        <v>1271.1972255605401</v>
      </c>
      <c r="K77" s="9">
        <f t="shared" si="10"/>
        <v>222.29582423533998</v>
      </c>
      <c r="L77" s="10">
        <f t="shared" si="7"/>
        <v>0.17487123143878608</v>
      </c>
      <c r="M77" s="10">
        <f t="shared" si="11"/>
        <v>0.17981608857252279</v>
      </c>
      <c r="P77" s="8">
        <f t="shared" si="12"/>
        <v>-3.2382227907661951</v>
      </c>
      <c r="U77" s="8">
        <v>37</v>
      </c>
      <c r="V77" s="10">
        <f t="shared" si="6"/>
        <v>0.17435276659519369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1355.817178881</v>
      </c>
      <c r="E78">
        <v>331.61386918834</v>
      </c>
      <c r="F78">
        <v>141.67700875099001</v>
      </c>
      <c r="G78">
        <v>118.66666666667</v>
      </c>
      <c r="I78" s="9">
        <f t="shared" si="8"/>
        <v>212.94720252167002</v>
      </c>
      <c r="J78" s="9">
        <f t="shared" si="9"/>
        <v>1214.1401701300101</v>
      </c>
      <c r="K78" s="9">
        <f t="shared" si="10"/>
        <v>212.94720252167002</v>
      </c>
      <c r="L78" s="10">
        <f t="shared" si="7"/>
        <v>0.17538930657311802</v>
      </c>
      <c r="M78" s="10">
        <f t="shared" si="11"/>
        <v>0.18040009513530456</v>
      </c>
      <c r="P78" s="8">
        <f t="shared" si="12"/>
        <v>-2.9239599605310227</v>
      </c>
      <c r="U78" s="8">
        <v>37.5</v>
      </c>
      <c r="V78" s="10">
        <f t="shared" si="6"/>
        <v>0.17357224734958424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1458.4397163121</v>
      </c>
      <c r="E79">
        <v>348.53506698187999</v>
      </c>
      <c r="F79">
        <v>140.43118536196999</v>
      </c>
      <c r="G79">
        <v>118.6984884646</v>
      </c>
      <c r="I79" s="9">
        <f t="shared" si="8"/>
        <v>229.83657851727997</v>
      </c>
      <c r="J79" s="9">
        <f t="shared" si="9"/>
        <v>1318.0085309501301</v>
      </c>
      <c r="K79" s="9">
        <f t="shared" si="10"/>
        <v>229.83657851727997</v>
      </c>
      <c r="L79" s="10">
        <f t="shared" si="7"/>
        <v>0.17438170779637874</v>
      </c>
      <c r="M79" s="10">
        <f t="shared" si="11"/>
        <v>0.1794584277870151</v>
      </c>
      <c r="P79" s="8">
        <f t="shared" si="12"/>
        <v>-3.4306855093055173</v>
      </c>
      <c r="U79" s="8">
        <v>38</v>
      </c>
      <c r="V79" s="10">
        <f t="shared" si="6"/>
        <v>0.17487123143878608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1468.6312056738</v>
      </c>
      <c r="E80">
        <v>349.49960598897002</v>
      </c>
      <c r="F80">
        <v>141.16070007955</v>
      </c>
      <c r="G80">
        <v>118.95465393795</v>
      </c>
      <c r="I80" s="9">
        <f t="shared" si="8"/>
        <v>230.54495205102</v>
      </c>
      <c r="J80" s="9">
        <f t="shared" si="9"/>
        <v>1327.47050559425</v>
      </c>
      <c r="K80" s="9">
        <f t="shared" si="10"/>
        <v>230.54495205102</v>
      </c>
      <c r="L80" s="10">
        <f t="shared" si="7"/>
        <v>0.17367237244025638</v>
      </c>
      <c r="M80" s="10">
        <f t="shared" si="11"/>
        <v>0.17881502385934256</v>
      </c>
      <c r="P80" s="8">
        <f t="shared" si="12"/>
        <v>-3.7769109666559961</v>
      </c>
      <c r="U80" s="8">
        <v>38.5</v>
      </c>
      <c r="V80" s="10">
        <f t="shared" si="6"/>
        <v>0.17538930657311802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1445.4728132388</v>
      </c>
      <c r="E81">
        <v>344.98423955870999</v>
      </c>
      <c r="F81">
        <v>141.66587112171999</v>
      </c>
      <c r="G81">
        <v>118.92601431980999</v>
      </c>
      <c r="I81" s="9">
        <f t="shared" si="8"/>
        <v>226.05822523889998</v>
      </c>
      <c r="J81" s="9">
        <f t="shared" si="9"/>
        <v>1303.8069421170799</v>
      </c>
      <c r="K81" s="9">
        <f t="shared" si="10"/>
        <v>226.05822523889998</v>
      </c>
      <c r="L81" s="10">
        <f t="shared" si="7"/>
        <v>0.17338320416658765</v>
      </c>
      <c r="M81" s="10">
        <f t="shared" si="11"/>
        <v>0.17859178701412365</v>
      </c>
      <c r="P81" s="8">
        <f t="shared" si="12"/>
        <v>-3.8970381146406017</v>
      </c>
      <c r="U81" s="8">
        <v>39</v>
      </c>
      <c r="V81" s="10">
        <f t="shared" si="6"/>
        <v>0.17438170779637874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1452.5878644602001</v>
      </c>
      <c r="E82">
        <v>343.75650118202998</v>
      </c>
      <c r="F82">
        <v>141.85123309466999</v>
      </c>
      <c r="G82">
        <v>118.94749403341</v>
      </c>
      <c r="H82" s="13"/>
      <c r="I82" s="14">
        <f t="shared" si="8"/>
        <v>224.80900714861997</v>
      </c>
      <c r="J82" s="14">
        <f t="shared" si="9"/>
        <v>1310.73663136553</v>
      </c>
      <c r="K82" s="9">
        <f t="shared" si="10"/>
        <v>224.80900714861997</v>
      </c>
      <c r="L82" s="15">
        <f t="shared" si="7"/>
        <v>0.17151348468411473</v>
      </c>
      <c r="M82" s="15">
        <f t="shared" si="11"/>
        <v>0.17678799896010056</v>
      </c>
      <c r="N82" s="13"/>
      <c r="O82" s="13"/>
      <c r="P82" s="13">
        <f t="shared" si="12"/>
        <v>-4.8676839517380204</v>
      </c>
      <c r="U82" s="8">
        <v>39.5</v>
      </c>
      <c r="V82" s="10">
        <f t="shared" si="6"/>
        <v>0.17367237244025638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1454.0961386919</v>
      </c>
      <c r="E83">
        <v>344.16627265563</v>
      </c>
      <c r="F83">
        <v>141.94590294352</v>
      </c>
      <c r="G83">
        <v>118.64359586317001</v>
      </c>
      <c r="I83" s="9">
        <f t="shared" si="8"/>
        <v>225.52267679246</v>
      </c>
      <c r="J83" s="9">
        <f t="shared" si="9"/>
        <v>1312.1502357483801</v>
      </c>
      <c r="K83" s="9">
        <f t="shared" si="10"/>
        <v>225.52267679246</v>
      </c>
      <c r="L83" s="10">
        <f t="shared" si="7"/>
        <v>0.17187260318848624</v>
      </c>
      <c r="M83" s="10">
        <f t="shared" si="11"/>
        <v>0.17721304889292189</v>
      </c>
      <c r="P83" s="8">
        <f t="shared" si="12"/>
        <v>-4.6389581061868332</v>
      </c>
      <c r="U83" s="8">
        <v>40</v>
      </c>
      <c r="V83" s="10">
        <f t="shared" si="6"/>
        <v>0.17338320416658765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1380.2167060678</v>
      </c>
      <c r="E84">
        <v>335.86524822694997</v>
      </c>
      <c r="F84">
        <v>141.71917263325</v>
      </c>
      <c r="G84">
        <v>119.10580747812</v>
      </c>
      <c r="I84" s="9">
        <f t="shared" si="8"/>
        <v>216.75944074882997</v>
      </c>
      <c r="J84" s="9">
        <f t="shared" si="9"/>
        <v>1238.49753343455</v>
      </c>
      <c r="K84" s="9">
        <f t="shared" si="10"/>
        <v>216.75944074882997</v>
      </c>
      <c r="L84" s="10">
        <f t="shared" si="7"/>
        <v>0.17501806414399687</v>
      </c>
      <c r="M84" s="10">
        <f t="shared" si="11"/>
        <v>0.18042444127688234</v>
      </c>
      <c r="P84" s="8">
        <f t="shared" si="12"/>
        <v>-2.9108589307735877</v>
      </c>
      <c r="U84" s="8">
        <v>150.5</v>
      </c>
      <c r="V84" s="10">
        <f>L302</f>
        <v>0.16692036505712957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1409.2450748621</v>
      </c>
      <c r="E85">
        <v>335.40425531915002</v>
      </c>
      <c r="F85">
        <v>141.47573587907999</v>
      </c>
      <c r="G85">
        <v>119.18138424820999</v>
      </c>
      <c r="I85" s="9">
        <f t="shared" si="8"/>
        <v>216.22287107094002</v>
      </c>
      <c r="J85" s="9">
        <f t="shared" si="9"/>
        <v>1267.7693389830199</v>
      </c>
      <c r="K85" s="9">
        <f t="shared" si="10"/>
        <v>216.22287107094002</v>
      </c>
      <c r="L85" s="10">
        <f t="shared" si="7"/>
        <v>0.17055379430803227</v>
      </c>
      <c r="M85" s="10">
        <f t="shared" si="11"/>
        <v>0.17602610286936757</v>
      </c>
      <c r="P85" s="8">
        <f t="shared" si="12"/>
        <v>-5.2776718475561308</v>
      </c>
      <c r="U85" s="8">
        <v>151</v>
      </c>
      <c r="V85" s="10">
        <f t="shared" ref="V85:V103" si="13">L303</f>
        <v>0.16797028971447617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1410.3309692671</v>
      </c>
      <c r="E86">
        <v>336.23561859732001</v>
      </c>
      <c r="F86">
        <v>141.6754176611</v>
      </c>
      <c r="G86">
        <v>119.25139220366</v>
      </c>
      <c r="I86" s="9">
        <f t="shared" si="8"/>
        <v>216.98422639366001</v>
      </c>
      <c r="J86" s="9">
        <f t="shared" si="9"/>
        <v>1268.655551606</v>
      </c>
      <c r="K86" s="9">
        <f t="shared" si="10"/>
        <v>216.98422639366001</v>
      </c>
      <c r="L86" s="10">
        <f t="shared" si="7"/>
        <v>0.17103478254517401</v>
      </c>
      <c r="M86" s="10">
        <f t="shared" si="11"/>
        <v>0.17657302253495913</v>
      </c>
      <c r="P86" s="8">
        <f t="shared" si="12"/>
        <v>-4.9833660418107488</v>
      </c>
      <c r="U86" s="8">
        <v>151.5</v>
      </c>
      <c r="V86" s="10">
        <f t="shared" si="13"/>
        <v>0.16961923272908655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1422.7210401891</v>
      </c>
      <c r="E87">
        <v>336.17021276596</v>
      </c>
      <c r="F87">
        <v>141.94192521878</v>
      </c>
      <c r="G87">
        <v>118.80429594272</v>
      </c>
      <c r="I87" s="9">
        <f t="shared" si="8"/>
        <v>217.36591682324001</v>
      </c>
      <c r="J87" s="9">
        <f t="shared" si="9"/>
        <v>1280.7791149703201</v>
      </c>
      <c r="K87" s="9">
        <f t="shared" si="10"/>
        <v>217.36591682324001</v>
      </c>
      <c r="L87" s="10">
        <f t="shared" si="7"/>
        <v>0.16971382050391812</v>
      </c>
      <c r="M87" s="10">
        <f t="shared" si="11"/>
        <v>0.17531799192215305</v>
      </c>
      <c r="P87" s="8">
        <f t="shared" si="12"/>
        <v>-5.6587171380956125</v>
      </c>
      <c r="U87" s="8">
        <v>152</v>
      </c>
      <c r="V87" s="10">
        <f t="shared" si="13"/>
        <v>0.16794435227862656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1420.92265625</v>
      </c>
      <c r="E88">
        <v>335.29765624999999</v>
      </c>
      <c r="F88">
        <v>141.54176610978999</v>
      </c>
      <c r="G88">
        <v>118.81066030231</v>
      </c>
      <c r="I88" s="9">
        <f t="shared" si="8"/>
        <v>216.48699594768999</v>
      </c>
      <c r="J88" s="9">
        <f t="shared" si="9"/>
        <v>1279.3808901402101</v>
      </c>
      <c r="K88" s="9">
        <f t="shared" si="10"/>
        <v>216.48699594768999</v>
      </c>
      <c r="L88" s="10">
        <f t="shared" si="7"/>
        <v>0.16921231012287882</v>
      </c>
      <c r="M88" s="10">
        <f t="shared" si="11"/>
        <v>0.17488241296956358</v>
      </c>
      <c r="P88" s="8">
        <f t="shared" si="12"/>
        <v>-5.8931088096200162</v>
      </c>
      <c r="U88" s="8">
        <v>152.5</v>
      </c>
      <c r="V88" s="10">
        <f t="shared" si="13"/>
        <v>0.16226010287380108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1427.546875</v>
      </c>
      <c r="E89">
        <v>336.18124999999998</v>
      </c>
      <c r="F89">
        <v>141.70167064438999</v>
      </c>
      <c r="G89">
        <v>119.05568814638001</v>
      </c>
      <c r="I89" s="9">
        <f t="shared" si="8"/>
        <v>217.12556185361996</v>
      </c>
      <c r="J89" s="9">
        <f t="shared" si="9"/>
        <v>1285.8452043556099</v>
      </c>
      <c r="K89" s="9">
        <f t="shared" si="10"/>
        <v>217.12556185361996</v>
      </c>
      <c r="L89" s="10">
        <f t="shared" si="7"/>
        <v>0.16885824290368648</v>
      </c>
      <c r="M89" s="10">
        <f t="shared" si="11"/>
        <v>0.17459427717882106</v>
      </c>
      <c r="P89" s="8">
        <f t="shared" si="12"/>
        <v>-6.0481590690888165</v>
      </c>
      <c r="U89" s="8">
        <v>153</v>
      </c>
      <c r="V89" s="10">
        <f t="shared" si="13"/>
        <v>0.16849943745248663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1424.2289062499999</v>
      </c>
      <c r="E90">
        <v>336.65625</v>
      </c>
      <c r="F90">
        <v>141.23468575974999</v>
      </c>
      <c r="G90">
        <v>118.76213206046</v>
      </c>
      <c r="I90" s="9">
        <f t="shared" si="8"/>
        <v>217.89411793954</v>
      </c>
      <c r="J90" s="9">
        <f t="shared" si="9"/>
        <v>1282.99422049025</v>
      </c>
      <c r="K90" s="9">
        <f t="shared" si="10"/>
        <v>217.89411793954</v>
      </c>
      <c r="L90" s="10">
        <f t="shared" si="7"/>
        <v>0.16983250154960139</v>
      </c>
      <c r="M90" s="10">
        <f t="shared" si="11"/>
        <v>0.17563446725318579</v>
      </c>
      <c r="P90" s="8">
        <f t="shared" si="12"/>
        <v>-5.4884169401727902</v>
      </c>
      <c r="U90" s="8">
        <v>153.5</v>
      </c>
      <c r="V90" s="10">
        <f t="shared" si="13"/>
        <v>0.16816150701307861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1442.09453125</v>
      </c>
      <c r="E91">
        <v>340.4921875</v>
      </c>
      <c r="F91">
        <v>141.56085918854001</v>
      </c>
      <c r="G91">
        <v>118.91328560063999</v>
      </c>
      <c r="I91" s="9">
        <f t="shared" si="8"/>
        <v>221.57890189936001</v>
      </c>
      <c r="J91" s="9">
        <f t="shared" si="9"/>
        <v>1300.53367206146</v>
      </c>
      <c r="K91" s="9">
        <f t="shared" si="10"/>
        <v>221.57890189936001</v>
      </c>
      <c r="L91" s="10">
        <f t="shared" si="7"/>
        <v>0.17037536717379873</v>
      </c>
      <c r="M91" s="10">
        <f t="shared" si="11"/>
        <v>0.17624326430583295</v>
      </c>
      <c r="P91" s="8">
        <f t="shared" si="12"/>
        <v>-5.1608139695958615</v>
      </c>
      <c r="U91" s="8">
        <v>154</v>
      </c>
      <c r="V91" s="10">
        <f t="shared" si="13"/>
        <v>0.16833037222098493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1451.33984375</v>
      </c>
      <c r="E92">
        <v>342.73124999999999</v>
      </c>
      <c r="F92">
        <v>141.97215592680999</v>
      </c>
      <c r="G92">
        <v>119.26889419251999</v>
      </c>
      <c r="I92" s="9">
        <f t="shared" si="8"/>
        <v>223.46235580747998</v>
      </c>
      <c r="J92" s="9">
        <f t="shared" si="9"/>
        <v>1309.36768782319</v>
      </c>
      <c r="K92" s="9">
        <f t="shared" si="10"/>
        <v>223.46235580747998</v>
      </c>
      <c r="L92" s="10">
        <f t="shared" si="7"/>
        <v>0.17066432743501087</v>
      </c>
      <c r="M92" s="10">
        <f t="shared" si="11"/>
        <v>0.17659815599549492</v>
      </c>
      <c r="P92" s="8">
        <f t="shared" si="12"/>
        <v>-4.9698413437252373</v>
      </c>
      <c r="U92" s="8">
        <v>154.5</v>
      </c>
      <c r="V92" s="10">
        <f t="shared" si="13"/>
        <v>0.16233074671946676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1439.9664062500001</v>
      </c>
      <c r="E93">
        <v>343.40703124999999</v>
      </c>
      <c r="F93">
        <v>142.10978520286</v>
      </c>
      <c r="G93">
        <v>119.35322195704001</v>
      </c>
      <c r="I93" s="9">
        <f t="shared" si="8"/>
        <v>224.05380929295998</v>
      </c>
      <c r="J93" s="9">
        <f t="shared" si="9"/>
        <v>1297.8566210471402</v>
      </c>
      <c r="K93" s="9">
        <f t="shared" si="10"/>
        <v>224.05380929295998</v>
      </c>
      <c r="L93" s="10">
        <f t="shared" si="7"/>
        <v>0.17263371443309994</v>
      </c>
      <c r="M93" s="10">
        <f t="shared" si="11"/>
        <v>0.17863347442203381</v>
      </c>
      <c r="P93" s="8">
        <f t="shared" si="12"/>
        <v>-3.8746054852321006</v>
      </c>
      <c r="U93" s="8">
        <v>155</v>
      </c>
      <c r="V93" s="10">
        <f t="shared" si="13"/>
        <v>0.16101927177873729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1415.9015625</v>
      </c>
      <c r="E94">
        <v>340.01640624999999</v>
      </c>
      <c r="F94">
        <v>142.32140015911</v>
      </c>
      <c r="G94">
        <v>119.03659506762</v>
      </c>
      <c r="I94" s="9">
        <f t="shared" si="8"/>
        <v>220.97981118237999</v>
      </c>
      <c r="J94" s="9">
        <f t="shared" si="9"/>
        <v>1273.58016234089</v>
      </c>
      <c r="K94" s="9">
        <f t="shared" si="10"/>
        <v>220.97981118237999</v>
      </c>
      <c r="L94" s="10">
        <f t="shared" si="7"/>
        <v>0.17351072018600736</v>
      </c>
      <c r="M94" s="10">
        <f t="shared" si="11"/>
        <v>0.17957641160339105</v>
      </c>
      <c r="P94" s="8">
        <f t="shared" si="12"/>
        <v>-3.3671966199347478</v>
      </c>
      <c r="U94" s="8">
        <v>155.5</v>
      </c>
      <c r="V94" s="10">
        <f t="shared" si="13"/>
        <v>0.16110900839499373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1422.1507812499999</v>
      </c>
      <c r="E95">
        <v>341.16562499999998</v>
      </c>
      <c r="F95">
        <v>142.10660302306999</v>
      </c>
      <c r="G95">
        <v>119.13046937151999</v>
      </c>
      <c r="I95" s="9">
        <f t="shared" si="8"/>
        <v>222.03515562847997</v>
      </c>
      <c r="J95" s="9">
        <f t="shared" si="9"/>
        <v>1280.0441782269299</v>
      </c>
      <c r="K95" s="9">
        <f t="shared" si="10"/>
        <v>222.03515562847997</v>
      </c>
      <c r="L95" s="10">
        <f t="shared" si="7"/>
        <v>0.17345897852997144</v>
      </c>
      <c r="M95" s="10">
        <f t="shared" si="11"/>
        <v>0.17959060137580496</v>
      </c>
      <c r="P95" s="8">
        <f t="shared" si="12"/>
        <v>-3.3595608871821105</v>
      </c>
      <c r="U95" s="8">
        <v>156</v>
      </c>
      <c r="V95" s="10">
        <f t="shared" si="13"/>
        <v>0.16299921719264121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1435.8726562500001</v>
      </c>
      <c r="E96">
        <v>341.515625</v>
      </c>
      <c r="F96">
        <v>141.45584725537</v>
      </c>
      <c r="G96">
        <v>118.73508353222</v>
      </c>
      <c r="I96" s="9">
        <f t="shared" si="8"/>
        <v>222.78054146777998</v>
      </c>
      <c r="J96" s="9">
        <f t="shared" si="9"/>
        <v>1294.4168089946302</v>
      </c>
      <c r="K96" s="9">
        <f t="shared" si="10"/>
        <v>222.78054146777998</v>
      </c>
      <c r="L96" s="10">
        <f t="shared" si="7"/>
        <v>0.17210881372964631</v>
      </c>
      <c r="M96" s="10">
        <f t="shared" si="11"/>
        <v>0.17830636800392966</v>
      </c>
      <c r="P96" s="8">
        <f t="shared" si="12"/>
        <v>-4.0506264330992847</v>
      </c>
      <c r="U96" s="8">
        <v>156.5</v>
      </c>
      <c r="V96" s="10">
        <f t="shared" si="13"/>
        <v>0.17010870565314634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1440.64140625</v>
      </c>
      <c r="E97">
        <v>344.88984375000001</v>
      </c>
      <c r="F97">
        <v>142.16945107398999</v>
      </c>
      <c r="G97">
        <v>119.19013524264</v>
      </c>
      <c r="I97" s="9">
        <f t="shared" si="8"/>
        <v>225.69970850736001</v>
      </c>
      <c r="J97" s="9">
        <f t="shared" si="9"/>
        <v>1298.4719551760099</v>
      </c>
      <c r="K97" s="9">
        <f t="shared" si="10"/>
        <v>225.69970850736001</v>
      </c>
      <c r="L97" s="10">
        <f t="shared" si="7"/>
        <v>0.17381947111577475</v>
      </c>
      <c r="M97" s="10">
        <f t="shared" si="11"/>
        <v>0.18008295681850792</v>
      </c>
      <c r="P97" s="8">
        <f t="shared" si="12"/>
        <v>-3.094616921195648</v>
      </c>
      <c r="U97" s="8">
        <v>157</v>
      </c>
      <c r="V97" s="10">
        <f t="shared" si="13"/>
        <v>0.16782652997406525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1452.98046875</v>
      </c>
      <c r="E98">
        <v>348.859375</v>
      </c>
      <c r="F98">
        <v>142.14956245028</v>
      </c>
      <c r="G98">
        <v>118.80827366746</v>
      </c>
      <c r="I98" s="9">
        <f t="shared" si="8"/>
        <v>230.05110133253999</v>
      </c>
      <c r="J98" s="9">
        <f t="shared" si="9"/>
        <v>1310.83090629972</v>
      </c>
      <c r="K98" s="9">
        <f t="shared" si="10"/>
        <v>230.05110133253999</v>
      </c>
      <c r="L98" s="10">
        <f t="shared" si="7"/>
        <v>0.17550021152761794</v>
      </c>
      <c r="M98" s="10">
        <f t="shared" si="11"/>
        <v>0.18182962865880092</v>
      </c>
      <c r="P98" s="8">
        <f t="shared" si="12"/>
        <v>-2.1547061890149211</v>
      </c>
      <c r="U98" s="8">
        <v>157.5</v>
      </c>
      <c r="V98" s="10">
        <f t="shared" si="13"/>
        <v>0.16659391473164409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1430.9015625</v>
      </c>
      <c r="E99">
        <v>344.11406249999999</v>
      </c>
      <c r="F99">
        <v>141.74224343674999</v>
      </c>
      <c r="G99">
        <v>119.31026252983</v>
      </c>
      <c r="I99" s="9">
        <f t="shared" si="8"/>
        <v>224.80379997016999</v>
      </c>
      <c r="J99" s="9">
        <f t="shared" si="9"/>
        <v>1289.15931906325</v>
      </c>
      <c r="K99" s="9">
        <f t="shared" si="10"/>
        <v>224.80379997016999</v>
      </c>
      <c r="L99" s="10">
        <f t="shared" si="7"/>
        <v>0.17438015352014102</v>
      </c>
      <c r="M99" s="10">
        <f t="shared" si="11"/>
        <v>0.18077550207977383</v>
      </c>
      <c r="P99" s="8">
        <f t="shared" si="12"/>
        <v>-2.7219477634473077</v>
      </c>
      <c r="U99" s="8">
        <v>158</v>
      </c>
      <c r="V99" s="10">
        <f t="shared" si="13"/>
        <v>0.16635854779706591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1416.503125</v>
      </c>
      <c r="E100">
        <v>342.40625</v>
      </c>
      <c r="F100">
        <v>141.90453460621001</v>
      </c>
      <c r="G100">
        <v>119.09705648369</v>
      </c>
      <c r="I100" s="9">
        <f t="shared" si="8"/>
        <v>223.30919351631002</v>
      </c>
      <c r="J100" s="9">
        <f t="shared" si="9"/>
        <v>1274.5985903937899</v>
      </c>
      <c r="K100" s="9">
        <f t="shared" si="10"/>
        <v>223.30919351631002</v>
      </c>
      <c r="L100" s="10">
        <f t="shared" si="7"/>
        <v>0.1751996237869039</v>
      </c>
      <c r="M100" s="10">
        <f t="shared" si="11"/>
        <v>0.18166090377498653</v>
      </c>
      <c r="P100" s="8">
        <f t="shared" si="12"/>
        <v>-2.2454996199415285</v>
      </c>
      <c r="U100" s="8">
        <v>158.5</v>
      </c>
      <c r="V100" s="10">
        <f t="shared" si="13"/>
        <v>0.16578844956519045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1413.82890625</v>
      </c>
      <c r="E101">
        <v>340.5703125</v>
      </c>
      <c r="F101">
        <v>142.11296738266</v>
      </c>
      <c r="G101">
        <v>119.63007159905</v>
      </c>
      <c r="I101" s="9">
        <f t="shared" si="8"/>
        <v>220.94024090095002</v>
      </c>
      <c r="J101" s="9">
        <f t="shared" si="9"/>
        <v>1271.7159388673401</v>
      </c>
      <c r="K101" s="9">
        <f t="shared" si="10"/>
        <v>220.94024090095002</v>
      </c>
      <c r="L101" s="10">
        <f t="shared" si="7"/>
        <v>0.17373395594752983</v>
      </c>
      <c r="M101" s="10">
        <f t="shared" si="11"/>
        <v>0.18026116736406228</v>
      </c>
      <c r="P101" s="8">
        <f t="shared" si="12"/>
        <v>-2.9987191111489535</v>
      </c>
      <c r="U101" s="8">
        <v>159</v>
      </c>
      <c r="V101" s="10">
        <f t="shared" si="13"/>
        <v>0.16484429334156989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1433.37578125</v>
      </c>
      <c r="E102">
        <v>345.98750000000001</v>
      </c>
      <c r="F102">
        <v>141.44868735084</v>
      </c>
      <c r="G102">
        <v>118.90533015115</v>
      </c>
      <c r="I102" s="9">
        <f t="shared" si="8"/>
        <v>227.08216984885001</v>
      </c>
      <c r="J102" s="9">
        <f t="shared" si="9"/>
        <v>1291.9270938991601</v>
      </c>
      <c r="K102" s="9">
        <f t="shared" si="10"/>
        <v>227.08216984885001</v>
      </c>
      <c r="L102" s="10">
        <f t="shared" si="7"/>
        <v>0.17577011189036543</v>
      </c>
      <c r="M102" s="10">
        <f t="shared" si="11"/>
        <v>0.1823632547353477</v>
      </c>
      <c r="P102" s="8">
        <f t="shared" si="12"/>
        <v>-1.8675538660956523</v>
      </c>
      <c r="U102" s="8">
        <v>159.5</v>
      </c>
      <c r="V102" s="10">
        <f t="shared" si="13"/>
        <v>0.16681401645919905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1450.284375</v>
      </c>
      <c r="E103">
        <v>348.16171874999998</v>
      </c>
      <c r="F103">
        <v>141.60302307079999</v>
      </c>
      <c r="G103">
        <v>119.31742243437</v>
      </c>
      <c r="I103" s="9">
        <f t="shared" si="8"/>
        <v>228.84429631562998</v>
      </c>
      <c r="J103" s="9">
        <f t="shared" si="9"/>
        <v>1308.6813519292</v>
      </c>
      <c r="K103" s="9">
        <f t="shared" si="10"/>
        <v>228.84429631562998</v>
      </c>
      <c r="L103" s="10">
        <f t="shared" si="7"/>
        <v>0.17486632324841939</v>
      </c>
      <c r="M103" s="10">
        <f t="shared" si="11"/>
        <v>0.18152539752185148</v>
      </c>
      <c r="P103" s="8">
        <f t="shared" si="12"/>
        <v>-2.3184175995305645</v>
      </c>
      <c r="U103" s="8">
        <v>160</v>
      </c>
      <c r="V103" s="10">
        <f t="shared" si="13"/>
        <v>0.16028283989711231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1414.0308300395</v>
      </c>
      <c r="E104">
        <v>339.97075098814003</v>
      </c>
      <c r="F104">
        <v>141.99602227526</v>
      </c>
      <c r="G104">
        <v>118.99681782021</v>
      </c>
      <c r="I104" s="9">
        <f t="shared" si="8"/>
        <v>220.97393316793003</v>
      </c>
      <c r="J104" s="9">
        <f t="shared" si="9"/>
        <v>1272.03480776424</v>
      </c>
      <c r="K104" s="9">
        <f t="shared" si="10"/>
        <v>220.97393316793003</v>
      </c>
      <c r="L104" s="10">
        <f t="shared" si="7"/>
        <v>0.17371689187996303</v>
      </c>
      <c r="M104" s="10">
        <f t="shared" si="11"/>
        <v>0.18044189758184495</v>
      </c>
      <c r="P104" s="8">
        <f t="shared" si="12"/>
        <v>-2.9014654270826918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1398.4711462451</v>
      </c>
      <c r="E105">
        <v>339.21897233201997</v>
      </c>
      <c r="F105">
        <v>142.12410501193</v>
      </c>
      <c r="G105">
        <v>119.02784407319</v>
      </c>
      <c r="I105" s="9">
        <f t="shared" si="8"/>
        <v>220.19112825882996</v>
      </c>
      <c r="J105" s="9">
        <f t="shared" si="9"/>
        <v>1256.3470412331701</v>
      </c>
      <c r="K105" s="9">
        <f t="shared" si="10"/>
        <v>220.19112825882996</v>
      </c>
      <c r="L105" s="10">
        <f t="shared" si="7"/>
        <v>0.17526298151082595</v>
      </c>
      <c r="M105" s="10">
        <f t="shared" si="11"/>
        <v>0.18205391864115769</v>
      </c>
      <c r="P105" s="8">
        <f t="shared" si="12"/>
        <v>-2.0340123318892527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1436.6774703557001</v>
      </c>
      <c r="E106">
        <v>346.50671936758999</v>
      </c>
      <c r="F106">
        <v>142.31503579951999</v>
      </c>
      <c r="G106">
        <v>119.22673031026</v>
      </c>
      <c r="I106" s="9">
        <f t="shared" si="8"/>
        <v>227.27998905733</v>
      </c>
      <c r="J106" s="9">
        <f t="shared" si="9"/>
        <v>1294.36243455618</v>
      </c>
      <c r="K106" s="9">
        <f t="shared" si="10"/>
        <v>227.27998905733</v>
      </c>
      <c r="L106" s="10">
        <f t="shared" si="7"/>
        <v>0.17559223212102978</v>
      </c>
      <c r="M106" s="10">
        <f t="shared" si="11"/>
        <v>0.18244910067981135</v>
      </c>
      <c r="P106" s="8">
        <f t="shared" si="12"/>
        <v>-1.821358855301846</v>
      </c>
      <c r="X106" s="8">
        <v>-13</v>
      </c>
    </row>
    <row r="107" spans="1:25" x14ac:dyDescent="0.2">
      <c r="A107" s="8">
        <v>52.5</v>
      </c>
      <c r="B107" s="8">
        <v>105</v>
      </c>
      <c r="D107">
        <v>1384.2670856244999</v>
      </c>
      <c r="E107">
        <v>343.68263943441002</v>
      </c>
      <c r="F107">
        <v>142.45823389021999</v>
      </c>
      <c r="G107">
        <v>119.0015910899</v>
      </c>
      <c r="I107" s="9">
        <f t="shared" si="8"/>
        <v>224.68104834451003</v>
      </c>
      <c r="J107" s="9">
        <f t="shared" si="9"/>
        <v>1241.8088517342799</v>
      </c>
      <c r="K107" s="9">
        <f t="shared" si="10"/>
        <v>224.68104834451003</v>
      </c>
      <c r="L107" s="10">
        <f t="shared" si="7"/>
        <v>0.18093046126279899</v>
      </c>
      <c r="M107" s="10">
        <f t="shared" si="11"/>
        <v>0.18785326125003038</v>
      </c>
      <c r="P107" s="8">
        <f t="shared" si="12"/>
        <v>1.0867022934510306</v>
      </c>
      <c r="X107" s="8">
        <v>-13</v>
      </c>
    </row>
    <row r="108" spans="1:25" x14ac:dyDescent="0.2">
      <c r="A108" s="8">
        <v>53</v>
      </c>
      <c r="B108" s="8">
        <v>106</v>
      </c>
      <c r="D108">
        <v>1351.8373919874</v>
      </c>
      <c r="E108">
        <v>342.67164179104998</v>
      </c>
      <c r="F108">
        <v>142.20525059665999</v>
      </c>
      <c r="G108">
        <v>119.33890214797</v>
      </c>
      <c r="I108" s="9">
        <f t="shared" si="8"/>
        <v>223.33273964307998</v>
      </c>
      <c r="J108" s="9">
        <f t="shared" si="9"/>
        <v>1209.6321413907399</v>
      </c>
      <c r="K108" s="9">
        <f t="shared" si="10"/>
        <v>223.33273964307998</v>
      </c>
      <c r="L108" s="10">
        <f t="shared" si="7"/>
        <v>0.18462864204840784</v>
      </c>
      <c r="M108" s="10">
        <f t="shared" si="11"/>
        <v>0.19161737346408905</v>
      </c>
      <c r="P108" s="8">
        <f t="shared" si="12"/>
        <v>3.11222843151072</v>
      </c>
      <c r="X108" s="8">
        <v>-13</v>
      </c>
    </row>
    <row r="109" spans="1:25" x14ac:dyDescent="0.2">
      <c r="A109" s="8">
        <v>53.5</v>
      </c>
      <c r="B109" s="8">
        <v>107</v>
      </c>
      <c r="D109">
        <v>1314.7592156863</v>
      </c>
      <c r="E109">
        <v>341.46039215686</v>
      </c>
      <c r="F109">
        <v>142.24105011933</v>
      </c>
      <c r="G109">
        <v>119.3953858393</v>
      </c>
      <c r="I109" s="9">
        <f t="shared" si="8"/>
        <v>222.06500631756001</v>
      </c>
      <c r="J109" s="9">
        <f t="shared" si="9"/>
        <v>1172.5181655669699</v>
      </c>
      <c r="K109" s="9">
        <f t="shared" si="10"/>
        <v>222.06500631756001</v>
      </c>
      <c r="L109" s="10">
        <f t="shared" si="7"/>
        <v>0.18939152743120249</v>
      </c>
      <c r="M109" s="10">
        <f t="shared" si="11"/>
        <v>0.19644619027533353</v>
      </c>
      <c r="P109" s="8">
        <f t="shared" si="12"/>
        <v>5.7106883367565908</v>
      </c>
      <c r="X109" s="8">
        <v>-13</v>
      </c>
    </row>
    <row r="110" spans="1:25" x14ac:dyDescent="0.2">
      <c r="A110" s="8">
        <v>54</v>
      </c>
      <c r="B110" s="8">
        <v>108</v>
      </c>
      <c r="D110">
        <v>1294.7474509803999</v>
      </c>
      <c r="E110">
        <v>340.55686274509998</v>
      </c>
      <c r="F110">
        <v>142.20206841686999</v>
      </c>
      <c r="G110">
        <v>118.90851233095</v>
      </c>
      <c r="I110" s="9">
        <f t="shared" si="8"/>
        <v>221.64835041414997</v>
      </c>
      <c r="J110" s="9">
        <f t="shared" si="9"/>
        <v>1152.54538256353</v>
      </c>
      <c r="K110" s="9">
        <f t="shared" si="10"/>
        <v>221.64835041414997</v>
      </c>
      <c r="L110" s="10">
        <f t="shared" si="7"/>
        <v>0.19231203713744643</v>
      </c>
      <c r="M110" s="10">
        <f t="shared" si="11"/>
        <v>0.19943263141002729</v>
      </c>
      <c r="P110" s="8">
        <f t="shared" si="12"/>
        <v>7.3177378172438798</v>
      </c>
      <c r="X110" s="8">
        <v>-13</v>
      </c>
    </row>
    <row r="111" spans="1:25" x14ac:dyDescent="0.2">
      <c r="A111" s="8">
        <v>54.5</v>
      </c>
      <c r="B111" s="8">
        <v>109</v>
      </c>
      <c r="D111">
        <v>1287.5670588235</v>
      </c>
      <c r="E111">
        <v>339.00470588234998</v>
      </c>
      <c r="F111">
        <v>141.98011137629001</v>
      </c>
      <c r="G111">
        <v>119.24105011933</v>
      </c>
      <c r="I111" s="9">
        <f t="shared" si="8"/>
        <v>219.76365576301998</v>
      </c>
      <c r="J111" s="9">
        <f t="shared" si="9"/>
        <v>1145.5869474472099</v>
      </c>
      <c r="K111" s="9">
        <f t="shared" si="10"/>
        <v>219.76365576301998</v>
      </c>
      <c r="L111" s="10">
        <f t="shared" si="7"/>
        <v>0.19183498577103592</v>
      </c>
      <c r="M111" s="10">
        <f t="shared" si="11"/>
        <v>0.19902151147206659</v>
      </c>
      <c r="P111" s="8">
        <f t="shared" si="12"/>
        <v>7.0965079141855529</v>
      </c>
      <c r="X111" s="8">
        <v>-13</v>
      </c>
    </row>
    <row r="112" spans="1:25" x14ac:dyDescent="0.2">
      <c r="A112" s="8">
        <v>55</v>
      </c>
      <c r="B112" s="8">
        <v>110</v>
      </c>
      <c r="D112">
        <v>1315.2447058824</v>
      </c>
      <c r="E112">
        <v>343.12862745097999</v>
      </c>
      <c r="F112">
        <v>141.57915672236001</v>
      </c>
      <c r="G112">
        <v>118.80668257757</v>
      </c>
      <c r="I112" s="9">
        <f t="shared" si="8"/>
        <v>224.32194487340999</v>
      </c>
      <c r="J112" s="9">
        <f t="shared" si="9"/>
        <v>1173.66554916004</v>
      </c>
      <c r="K112" s="9">
        <f t="shared" si="10"/>
        <v>224.32194487340999</v>
      </c>
      <c r="L112" s="10">
        <f t="shared" si="7"/>
        <v>0.19112935966634703</v>
      </c>
      <c r="M112" s="10">
        <f t="shared" si="11"/>
        <v>0.19838181679582756</v>
      </c>
      <c r="P112" s="8">
        <f t="shared" si="12"/>
        <v>6.7522784615511737</v>
      </c>
      <c r="X112" s="8">
        <v>-13</v>
      </c>
    </row>
    <row r="113" spans="1:24" x14ac:dyDescent="0.2">
      <c r="A113" s="8">
        <v>55.5</v>
      </c>
      <c r="B113" s="8">
        <v>111</v>
      </c>
      <c r="D113">
        <v>1301.1521568628</v>
      </c>
      <c r="E113">
        <v>341.60627450980002</v>
      </c>
      <c r="F113">
        <v>142.13524264121</v>
      </c>
      <c r="G113">
        <v>118.80190930788</v>
      </c>
      <c r="I113" s="9">
        <f t="shared" si="8"/>
        <v>222.80436520192001</v>
      </c>
      <c r="J113" s="9">
        <f t="shared" si="9"/>
        <v>1159.01691422159</v>
      </c>
      <c r="K113" s="9">
        <f t="shared" si="10"/>
        <v>222.80436520192001</v>
      </c>
      <c r="L113" s="10">
        <f t="shared" si="7"/>
        <v>0.19223564597550172</v>
      </c>
      <c r="M113" s="10">
        <f t="shared" si="11"/>
        <v>0.19955403453343207</v>
      </c>
      <c r="P113" s="8">
        <f t="shared" si="12"/>
        <v>7.3830666878285642</v>
      </c>
      <c r="X113" s="8">
        <v>-13</v>
      </c>
    </row>
    <row r="114" spans="1:24" x14ac:dyDescent="0.2">
      <c r="A114" s="8">
        <v>56</v>
      </c>
      <c r="B114" s="8">
        <v>112</v>
      </c>
      <c r="D114">
        <v>1254.4470588234999</v>
      </c>
      <c r="E114">
        <v>331.57490196077998</v>
      </c>
      <c r="F114">
        <v>142.15990453461001</v>
      </c>
      <c r="G114">
        <v>118.57120127287</v>
      </c>
      <c r="I114" s="9">
        <f t="shared" si="8"/>
        <v>213.00370068791</v>
      </c>
      <c r="J114" s="9">
        <f t="shared" si="9"/>
        <v>1112.28715428889</v>
      </c>
      <c r="K114" s="9">
        <f t="shared" si="10"/>
        <v>213.00370068791</v>
      </c>
      <c r="L114" s="10">
        <f t="shared" si="7"/>
        <v>0.19150063890119096</v>
      </c>
      <c r="M114" s="10">
        <f t="shared" si="11"/>
        <v>0.19888495888757113</v>
      </c>
      <c r="P114" s="8">
        <f t="shared" si="12"/>
        <v>7.0230268877479975</v>
      </c>
      <c r="X114" s="8">
        <v>-13</v>
      </c>
    </row>
    <row r="115" spans="1:24" x14ac:dyDescent="0.2">
      <c r="A115" s="8">
        <v>56.5</v>
      </c>
      <c r="B115" s="8">
        <v>113</v>
      </c>
      <c r="D115">
        <v>1288.4109803921999</v>
      </c>
      <c r="E115">
        <v>335.87921568628002</v>
      </c>
      <c r="F115">
        <v>142.19570405728001</v>
      </c>
      <c r="G115">
        <v>118.45107398568</v>
      </c>
      <c r="I115" s="9">
        <f t="shared" si="8"/>
        <v>217.42814170060001</v>
      </c>
      <c r="J115" s="9">
        <f t="shared" si="9"/>
        <v>1146.21527633492</v>
      </c>
      <c r="K115" s="9">
        <f t="shared" si="10"/>
        <v>217.42814170060001</v>
      </c>
      <c r="L115" s="10">
        <f t="shared" si="7"/>
        <v>0.18969223861318377</v>
      </c>
      <c r="M115" s="10">
        <f t="shared" si="11"/>
        <v>0.19714249002801376</v>
      </c>
      <c r="P115" s="8">
        <f t="shared" si="12"/>
        <v>6.0853778435440553</v>
      </c>
      <c r="X115" s="8">
        <v>-13</v>
      </c>
    </row>
    <row r="116" spans="1:24" x14ac:dyDescent="0.2">
      <c r="A116" s="8">
        <v>57</v>
      </c>
      <c r="B116" s="8">
        <v>114</v>
      </c>
      <c r="D116">
        <v>1382.6925490195999</v>
      </c>
      <c r="E116">
        <v>353.29882352941001</v>
      </c>
      <c r="F116">
        <v>141.55290373906001</v>
      </c>
      <c r="G116">
        <v>118.81782020684</v>
      </c>
      <c r="I116" s="9">
        <f t="shared" si="8"/>
        <v>234.48100332257002</v>
      </c>
      <c r="J116" s="9">
        <f t="shared" si="9"/>
        <v>1241.13964528054</v>
      </c>
      <c r="K116" s="9">
        <f t="shared" si="10"/>
        <v>234.48100332257002</v>
      </c>
      <c r="L116" s="10">
        <f t="shared" si="7"/>
        <v>0.18892394922214356</v>
      </c>
      <c r="M116" s="10">
        <f t="shared" si="11"/>
        <v>0.19644013206542338</v>
      </c>
      <c r="P116" s="8">
        <f t="shared" si="12"/>
        <v>5.7074283216919426</v>
      </c>
      <c r="X116" s="8">
        <v>-13</v>
      </c>
    </row>
    <row r="117" spans="1:24" x14ac:dyDescent="0.2">
      <c r="A117" s="8">
        <v>57.5</v>
      </c>
      <c r="B117" s="8">
        <v>115</v>
      </c>
      <c r="D117">
        <v>1434.4280125196001</v>
      </c>
      <c r="E117">
        <v>364.80751173709001</v>
      </c>
      <c r="F117">
        <v>141.93158313444999</v>
      </c>
      <c r="G117">
        <v>118.80668257757</v>
      </c>
      <c r="I117" s="9">
        <f t="shared" si="8"/>
        <v>246.00082915952001</v>
      </c>
      <c r="J117" s="9">
        <f t="shared" si="9"/>
        <v>1292.4964293851501</v>
      </c>
      <c r="K117" s="9">
        <f t="shared" si="10"/>
        <v>246.00082915952001</v>
      </c>
      <c r="L117" s="10">
        <f t="shared" si="7"/>
        <v>0.19032998743102478</v>
      </c>
      <c r="M117" s="10">
        <f t="shared" si="11"/>
        <v>0.19791210170275442</v>
      </c>
      <c r="P117" s="8">
        <f t="shared" si="12"/>
        <v>6.4995176126829328</v>
      </c>
      <c r="X117" s="8">
        <v>-13</v>
      </c>
    </row>
    <row r="118" spans="1:24" x14ac:dyDescent="0.2">
      <c r="A118" s="8">
        <v>58</v>
      </c>
      <c r="B118" s="8">
        <v>116</v>
      </c>
      <c r="D118">
        <v>1435.9874804382</v>
      </c>
      <c r="E118">
        <v>368.03129890453999</v>
      </c>
      <c r="F118">
        <v>141.34049323786999</v>
      </c>
      <c r="G118">
        <v>118.88941925219</v>
      </c>
      <c r="I118" s="9">
        <f t="shared" si="8"/>
        <v>249.14187965234999</v>
      </c>
      <c r="J118" s="9">
        <f t="shared" si="9"/>
        <v>1294.6469872003299</v>
      </c>
      <c r="K118" s="9">
        <f t="shared" si="10"/>
        <v>249.14187965234999</v>
      </c>
      <c r="L118" s="10">
        <f t="shared" si="7"/>
        <v>0.19244001037774669</v>
      </c>
      <c r="M118" s="10">
        <f t="shared" si="11"/>
        <v>0.20008805607792615</v>
      </c>
      <c r="P118" s="8">
        <f t="shared" si="12"/>
        <v>7.6704318180762217</v>
      </c>
      <c r="X118" s="8">
        <v>-13</v>
      </c>
    </row>
    <row r="119" spans="1:24" x14ac:dyDescent="0.2">
      <c r="A119" s="8">
        <v>58.5</v>
      </c>
      <c r="B119" s="8">
        <v>117</v>
      </c>
      <c r="D119">
        <v>1410.7128325509</v>
      </c>
      <c r="E119">
        <v>362.53208137715001</v>
      </c>
      <c r="F119">
        <v>141.81782020684</v>
      </c>
      <c r="G119">
        <v>119.23866348449</v>
      </c>
      <c r="I119" s="9">
        <f t="shared" si="8"/>
        <v>243.29341789265999</v>
      </c>
      <c r="J119" s="9">
        <f t="shared" si="9"/>
        <v>1268.89501234406</v>
      </c>
      <c r="K119" s="9">
        <f t="shared" si="10"/>
        <v>243.29341789265999</v>
      </c>
      <c r="L119" s="10">
        <f t="shared" si="7"/>
        <v>0.19173644432821771</v>
      </c>
      <c r="M119" s="10">
        <f t="shared" si="11"/>
        <v>0.19945042145684699</v>
      </c>
      <c r="P119" s="8">
        <f t="shared" si="12"/>
        <v>7.3273109125134726</v>
      </c>
      <c r="X119" s="8">
        <v>-13</v>
      </c>
    </row>
    <row r="120" spans="1:24" x14ac:dyDescent="0.2">
      <c r="A120" s="8">
        <v>59</v>
      </c>
      <c r="B120" s="8">
        <v>118</v>
      </c>
      <c r="D120">
        <v>1316.1455399061001</v>
      </c>
      <c r="E120">
        <v>342.74334898279</v>
      </c>
      <c r="F120">
        <v>141.85123309466999</v>
      </c>
      <c r="G120">
        <v>118.71519490851</v>
      </c>
      <c r="I120" s="9">
        <f t="shared" si="8"/>
        <v>224.02815407428</v>
      </c>
      <c r="J120" s="9">
        <f t="shared" si="9"/>
        <v>1174.29430681143</v>
      </c>
      <c r="K120" s="9">
        <f t="shared" si="10"/>
        <v>224.02815407428</v>
      </c>
      <c r="L120" s="10">
        <f t="shared" si="7"/>
        <v>0.19077683743744384</v>
      </c>
      <c r="M120" s="10">
        <f t="shared" si="11"/>
        <v>0.19855674599452294</v>
      </c>
      <c r="P120" s="8">
        <f t="shared" si="12"/>
        <v>6.8464105288535162</v>
      </c>
      <c r="X120" s="8">
        <v>-13</v>
      </c>
    </row>
    <row r="121" spans="1:24" x14ac:dyDescent="0.2">
      <c r="A121" s="8">
        <v>59.5</v>
      </c>
      <c r="B121" s="8">
        <v>119</v>
      </c>
      <c r="D121">
        <v>1371.8161189358</v>
      </c>
      <c r="E121">
        <v>353.04460093897001</v>
      </c>
      <c r="F121">
        <v>142.08671439936001</v>
      </c>
      <c r="G121">
        <v>118.44391408115</v>
      </c>
      <c r="I121" s="9">
        <f t="shared" si="8"/>
        <v>234.60068685781999</v>
      </c>
      <c r="J121" s="9">
        <f t="shared" si="9"/>
        <v>1229.7294045364399</v>
      </c>
      <c r="K121" s="9">
        <f t="shared" si="10"/>
        <v>234.60068685781999</v>
      </c>
      <c r="L121" s="10">
        <f t="shared" si="7"/>
        <v>0.19077423536623922</v>
      </c>
      <c r="M121" s="10">
        <f t="shared" si="11"/>
        <v>0.19862007535176815</v>
      </c>
      <c r="P121" s="8">
        <f t="shared" si="12"/>
        <v>6.8804890209684926</v>
      </c>
      <c r="X121" s="8">
        <v>-13</v>
      </c>
    </row>
    <row r="122" spans="1:24" x14ac:dyDescent="0.2">
      <c r="A122" s="8">
        <v>60</v>
      </c>
      <c r="B122" s="8">
        <v>120</v>
      </c>
      <c r="D122">
        <v>1380.8599374022001</v>
      </c>
      <c r="E122">
        <v>353.21596244132002</v>
      </c>
      <c r="F122">
        <v>142.04375497216</v>
      </c>
      <c r="G122">
        <v>119.34844868735</v>
      </c>
      <c r="I122" s="9">
        <f t="shared" si="8"/>
        <v>233.86751375397</v>
      </c>
      <c r="J122" s="9">
        <f t="shared" si="9"/>
        <v>1238.81618243004</v>
      </c>
      <c r="K122" s="9">
        <f t="shared" si="10"/>
        <v>233.86751375397</v>
      </c>
      <c r="L122" s="10">
        <f t="shared" si="7"/>
        <v>0.18878306327514999</v>
      </c>
      <c r="M122" s="10">
        <f t="shared" si="11"/>
        <v>0.19669483468912874</v>
      </c>
      <c r="P122" s="8">
        <f t="shared" si="12"/>
        <v>5.8444876845400309</v>
      </c>
      <c r="X122" s="8">
        <v>-13</v>
      </c>
    </row>
    <row r="123" spans="1:24" x14ac:dyDescent="0.2">
      <c r="A123" s="8">
        <v>60.5</v>
      </c>
      <c r="B123" s="8">
        <v>121</v>
      </c>
      <c r="D123">
        <v>1318.1823161189</v>
      </c>
      <c r="E123">
        <v>342.07511737088998</v>
      </c>
      <c r="F123">
        <v>141.47096260939</v>
      </c>
      <c r="G123">
        <v>118.66905330151</v>
      </c>
      <c r="I123" s="9">
        <f t="shared" si="8"/>
        <v>223.40606406937997</v>
      </c>
      <c r="J123" s="9">
        <f t="shared" si="9"/>
        <v>1176.71135350951</v>
      </c>
      <c r="K123" s="9">
        <f t="shared" si="10"/>
        <v>223.40606406937997</v>
      </c>
      <c r="L123" s="10">
        <f t="shared" si="7"/>
        <v>0.18985630027540518</v>
      </c>
      <c r="M123" s="10">
        <f t="shared" si="11"/>
        <v>0.19783400311783375</v>
      </c>
      <c r="P123" s="8">
        <f t="shared" si="12"/>
        <v>6.4574915741096266</v>
      </c>
      <c r="X123" s="8">
        <v>-13</v>
      </c>
    </row>
    <row r="124" spans="1:24" x14ac:dyDescent="0.2">
      <c r="A124" s="8">
        <v>61</v>
      </c>
      <c r="B124" s="8">
        <v>122</v>
      </c>
      <c r="D124">
        <v>1347.4522691705999</v>
      </c>
      <c r="E124">
        <v>346.34037558684997</v>
      </c>
      <c r="F124">
        <v>141.87828162291001</v>
      </c>
      <c r="G124">
        <v>118.82020684168999</v>
      </c>
      <c r="I124" s="9">
        <f t="shared" si="8"/>
        <v>227.52016874515999</v>
      </c>
      <c r="J124" s="9">
        <f t="shared" si="9"/>
        <v>1205.57398754769</v>
      </c>
      <c r="K124" s="9">
        <f t="shared" si="10"/>
        <v>227.52016874515999</v>
      </c>
      <c r="L124" s="10">
        <f t="shared" si="7"/>
        <v>0.18872352182048036</v>
      </c>
      <c r="M124" s="10">
        <f t="shared" si="11"/>
        <v>0.19676715609135875</v>
      </c>
      <c r="P124" s="8">
        <f t="shared" si="12"/>
        <v>5.883404933077653</v>
      </c>
      <c r="X124" s="8">
        <v>-13</v>
      </c>
    </row>
    <row r="125" spans="1:24" x14ac:dyDescent="0.2">
      <c r="A125" s="8">
        <v>61.5</v>
      </c>
      <c r="B125" s="8">
        <v>123</v>
      </c>
      <c r="D125">
        <v>1384.7519561815</v>
      </c>
      <c r="E125">
        <v>354.13380281690002</v>
      </c>
      <c r="F125">
        <v>141.05966587111999</v>
      </c>
      <c r="G125">
        <v>118.2076372315</v>
      </c>
      <c r="I125" s="9">
        <f t="shared" si="8"/>
        <v>235.92616558540001</v>
      </c>
      <c r="J125" s="9">
        <f t="shared" si="9"/>
        <v>1243.69229031038</v>
      </c>
      <c r="K125" s="9">
        <f t="shared" si="10"/>
        <v>235.92616558540001</v>
      </c>
      <c r="L125" s="10">
        <f t="shared" si="7"/>
        <v>0.18969818131341917</v>
      </c>
      <c r="M125" s="10">
        <f t="shared" si="11"/>
        <v>0.19780774701274739</v>
      </c>
      <c r="P125" s="8">
        <f t="shared" si="12"/>
        <v>6.4433627638851521</v>
      </c>
      <c r="X125" s="8">
        <v>-13</v>
      </c>
    </row>
    <row r="126" spans="1:24" x14ac:dyDescent="0.2">
      <c r="A126" s="8">
        <v>62</v>
      </c>
      <c r="B126" s="8">
        <v>124</v>
      </c>
      <c r="D126">
        <v>1417.1611893584</v>
      </c>
      <c r="E126">
        <v>364.37245696400998</v>
      </c>
      <c r="F126">
        <v>141.92840095464999</v>
      </c>
      <c r="G126">
        <v>118.91885441527</v>
      </c>
      <c r="I126" s="9">
        <f t="shared" si="8"/>
        <v>245.45360254873998</v>
      </c>
      <c r="J126" s="9">
        <f t="shared" si="9"/>
        <v>1275.23278840375</v>
      </c>
      <c r="K126" s="9">
        <f t="shared" si="10"/>
        <v>245.45360254873998</v>
      </c>
      <c r="L126" s="10">
        <f t="shared" si="7"/>
        <v>0.19247748707589474</v>
      </c>
      <c r="M126" s="10">
        <f t="shared" si="11"/>
        <v>0.20065298420367278</v>
      </c>
      <c r="P126" s="8">
        <f t="shared" si="12"/>
        <v>7.9744282506350279</v>
      </c>
      <c r="X126" s="8">
        <v>-13</v>
      </c>
    </row>
    <row r="127" spans="1:24" x14ac:dyDescent="0.2">
      <c r="A127" s="8">
        <v>62.5</v>
      </c>
      <c r="B127" s="8">
        <v>125</v>
      </c>
      <c r="D127">
        <v>1353.5164319249</v>
      </c>
      <c r="E127">
        <v>351.33176838810999</v>
      </c>
      <c r="F127">
        <v>141.44311853619999</v>
      </c>
      <c r="G127">
        <v>118.63802704853001</v>
      </c>
      <c r="I127" s="9">
        <f t="shared" si="8"/>
        <v>232.69374133957999</v>
      </c>
      <c r="J127" s="9">
        <f t="shared" si="9"/>
        <v>1212.0733133886999</v>
      </c>
      <c r="K127" s="9">
        <f t="shared" si="10"/>
        <v>232.69374133957999</v>
      </c>
      <c r="L127" s="10">
        <f t="shared" si="7"/>
        <v>0.19197992297101041</v>
      </c>
      <c r="M127" s="10">
        <f t="shared" si="11"/>
        <v>0.20022135152723827</v>
      </c>
      <c r="P127" s="8">
        <f t="shared" si="12"/>
        <v>7.7421601304410101</v>
      </c>
      <c r="X127" s="8">
        <v>-13</v>
      </c>
    </row>
    <row r="128" spans="1:24" x14ac:dyDescent="0.2">
      <c r="A128" s="8">
        <v>63</v>
      </c>
      <c r="B128" s="8">
        <v>126</v>
      </c>
      <c r="D128">
        <v>1330.3082942097001</v>
      </c>
      <c r="E128">
        <v>347.44913928013</v>
      </c>
      <c r="F128">
        <v>141.57915672236001</v>
      </c>
      <c r="G128">
        <v>118.64359586317001</v>
      </c>
      <c r="I128" s="9">
        <f t="shared" si="8"/>
        <v>228.80554341696001</v>
      </c>
      <c r="J128" s="9">
        <f t="shared" si="9"/>
        <v>1188.72913748734</v>
      </c>
      <c r="K128" s="9">
        <f t="shared" si="10"/>
        <v>228.80554341696001</v>
      </c>
      <c r="L128" s="10">
        <f t="shared" si="7"/>
        <v>0.19247912430294642</v>
      </c>
      <c r="M128" s="10">
        <f t="shared" si="11"/>
        <v>0.20078648428762411</v>
      </c>
      <c r="P128" s="8">
        <f t="shared" si="12"/>
        <v>8.0462666800172933</v>
      </c>
      <c r="X128" s="8">
        <v>-13</v>
      </c>
    </row>
    <row r="129" spans="1:24" x14ac:dyDescent="0.2">
      <c r="A129" s="8">
        <v>63.5</v>
      </c>
      <c r="B129" s="8">
        <v>127</v>
      </c>
      <c r="D129">
        <v>1301.9749608764</v>
      </c>
      <c r="E129">
        <v>339.45931142410001</v>
      </c>
      <c r="F129">
        <v>141.70723945903001</v>
      </c>
      <c r="G129">
        <v>118.28400954654001</v>
      </c>
      <c r="I129" s="9">
        <f t="shared" si="8"/>
        <v>221.17530187756</v>
      </c>
      <c r="J129" s="9">
        <f t="shared" si="9"/>
        <v>1160.26772141737</v>
      </c>
      <c r="K129" s="9">
        <f t="shared" si="10"/>
        <v>221.17530187756</v>
      </c>
      <c r="L129" s="10">
        <f t="shared" si="7"/>
        <v>0.19062436866499632</v>
      </c>
      <c r="M129" s="10">
        <f t="shared" si="11"/>
        <v>0.19899766007812383</v>
      </c>
      <c r="P129" s="8">
        <f t="shared" si="12"/>
        <v>7.083673115669245</v>
      </c>
      <c r="X129" s="8">
        <v>-13</v>
      </c>
    </row>
    <row r="130" spans="1:24" x14ac:dyDescent="0.2">
      <c r="A130" s="8">
        <v>64</v>
      </c>
      <c r="B130" s="8">
        <v>128</v>
      </c>
      <c r="D130">
        <v>1297.4820031299</v>
      </c>
      <c r="E130">
        <v>339.76291079812</v>
      </c>
      <c r="F130">
        <v>141.56404136834001</v>
      </c>
      <c r="G130">
        <v>118.62052505967</v>
      </c>
      <c r="I130" s="9">
        <f t="shared" si="8"/>
        <v>221.14238573845</v>
      </c>
      <c r="J130" s="9">
        <f t="shared" si="9"/>
        <v>1155.91796176156</v>
      </c>
      <c r="K130" s="9">
        <f t="shared" si="10"/>
        <v>221.14238573845</v>
      </c>
      <c r="L130" s="10">
        <f t="shared" ref="L130:L193" si="14">K130/J130</f>
        <v>0.19131321863139861</v>
      </c>
      <c r="M130" s="10">
        <f t="shared" si="11"/>
        <v>0.19975244147297594</v>
      </c>
      <c r="P130" s="8">
        <f t="shared" si="12"/>
        <v>7.4898324852236451</v>
      </c>
      <c r="X130" s="8">
        <v>-13</v>
      </c>
    </row>
    <row r="131" spans="1:24" x14ac:dyDescent="0.2">
      <c r="A131" s="8">
        <v>64.5</v>
      </c>
      <c r="B131" s="8">
        <v>129</v>
      </c>
      <c r="D131">
        <v>1307.1009389671001</v>
      </c>
      <c r="E131">
        <v>337.83020344288002</v>
      </c>
      <c r="F131">
        <v>141.41527446301001</v>
      </c>
      <c r="G131">
        <v>118.78520286396</v>
      </c>
      <c r="I131" s="9">
        <f t="shared" ref="I131:I194" si="15">E131-G131</f>
        <v>219.04500057892002</v>
      </c>
      <c r="J131" s="9">
        <f t="shared" ref="J131:J194" si="16">D131-F131</f>
        <v>1165.68566450409</v>
      </c>
      <c r="K131" s="9">
        <f t="shared" ref="K131:K194" si="17">I131*1</f>
        <v>219.04500057892002</v>
      </c>
      <c r="L131" s="10">
        <f t="shared" si="14"/>
        <v>0.18791086417975886</v>
      </c>
      <c r="M131" s="10">
        <f t="shared" ref="M131:M181" si="18">L131+ABS($N$2)*A131</f>
        <v>0.19641601844978601</v>
      </c>
      <c r="P131" s="8">
        <f t="shared" ref="P131:P194" si="19">(M131-$O$2)/$O$2*100</f>
        <v>5.6944524176861622</v>
      </c>
      <c r="X131" s="8">
        <v>-13</v>
      </c>
    </row>
    <row r="132" spans="1:24" x14ac:dyDescent="0.2">
      <c r="A132" s="8">
        <v>65</v>
      </c>
      <c r="B132" s="8">
        <v>130</v>
      </c>
      <c r="D132">
        <v>1386.3599374022001</v>
      </c>
      <c r="E132">
        <v>350.86854460094003</v>
      </c>
      <c r="F132">
        <v>141.47732696897</v>
      </c>
      <c r="G132">
        <v>118.37708830549001</v>
      </c>
      <c r="I132" s="9">
        <f t="shared" si="15"/>
        <v>232.49145629545001</v>
      </c>
      <c r="J132" s="9">
        <f t="shared" si="16"/>
        <v>1244.8826104332302</v>
      </c>
      <c r="K132" s="9">
        <f t="shared" si="17"/>
        <v>232.49145629545001</v>
      </c>
      <c r="L132" s="10">
        <f t="shared" si="14"/>
        <v>0.18675773470282545</v>
      </c>
      <c r="M132" s="10">
        <f t="shared" si="18"/>
        <v>0.19532882040130242</v>
      </c>
      <c r="P132" s="8">
        <f t="shared" si="19"/>
        <v>5.1094145816125875</v>
      </c>
      <c r="X132" s="8">
        <v>-13</v>
      </c>
    </row>
    <row r="133" spans="1:24" x14ac:dyDescent="0.2">
      <c r="A133" s="8">
        <v>65.5</v>
      </c>
      <c r="B133" s="8">
        <v>131</v>
      </c>
      <c r="D133">
        <v>1330.4149019608001</v>
      </c>
      <c r="E133">
        <v>340.40549019608</v>
      </c>
      <c r="F133">
        <v>141.31583134447001</v>
      </c>
      <c r="G133">
        <v>118.5600636436</v>
      </c>
      <c r="I133" s="9">
        <f t="shared" si="15"/>
        <v>221.84542655247998</v>
      </c>
      <c r="J133" s="9">
        <f t="shared" si="16"/>
        <v>1189.09907061633</v>
      </c>
      <c r="K133" s="9">
        <f t="shared" si="17"/>
        <v>221.84542655247998</v>
      </c>
      <c r="L133" s="10">
        <f t="shared" si="14"/>
        <v>0.18656597421903104</v>
      </c>
      <c r="M133" s="10">
        <f t="shared" si="18"/>
        <v>0.19520299134595784</v>
      </c>
      <c r="P133" s="8">
        <f t="shared" si="19"/>
        <v>5.0417040496109404</v>
      </c>
      <c r="X133" s="8">
        <v>-13</v>
      </c>
    </row>
    <row r="134" spans="1:24" x14ac:dyDescent="0.2">
      <c r="A134" s="8">
        <v>66</v>
      </c>
      <c r="B134" s="8">
        <v>132</v>
      </c>
      <c r="D134">
        <v>1332.8917647059</v>
      </c>
      <c r="E134">
        <v>338.04235294118001</v>
      </c>
      <c r="F134">
        <v>141.09466984885</v>
      </c>
      <c r="G134">
        <v>118.38822593477001</v>
      </c>
      <c r="I134" s="9">
        <f t="shared" si="15"/>
        <v>219.65412700641002</v>
      </c>
      <c r="J134" s="9">
        <f t="shared" si="16"/>
        <v>1191.7970948570501</v>
      </c>
      <c r="K134" s="9">
        <f t="shared" si="17"/>
        <v>219.65412700641002</v>
      </c>
      <c r="L134" s="10">
        <f t="shared" si="14"/>
        <v>0.18430496932261478</v>
      </c>
      <c r="M134" s="10">
        <f t="shared" si="18"/>
        <v>0.1930079178779914</v>
      </c>
      <c r="P134" s="8">
        <f t="shared" si="19"/>
        <v>3.8605015690575701</v>
      </c>
      <c r="X134" s="8">
        <v>-13</v>
      </c>
    </row>
    <row r="135" spans="1:24" x14ac:dyDescent="0.2">
      <c r="A135" s="8">
        <v>66.5</v>
      </c>
      <c r="B135" s="8">
        <v>133</v>
      </c>
      <c r="D135">
        <v>1393.0078431372999</v>
      </c>
      <c r="E135">
        <v>352.02509803921998</v>
      </c>
      <c r="F135">
        <v>141.07239459029</v>
      </c>
      <c r="G135">
        <v>118.12251392204</v>
      </c>
      <c r="I135" s="9">
        <f t="shared" si="15"/>
        <v>233.90258411717997</v>
      </c>
      <c r="J135" s="9">
        <f t="shared" si="16"/>
        <v>1251.9354485470099</v>
      </c>
      <c r="K135" s="9">
        <f t="shared" si="17"/>
        <v>233.90258411717997</v>
      </c>
      <c r="L135" s="10">
        <f t="shared" si="14"/>
        <v>0.18683278310287177</v>
      </c>
      <c r="M135" s="10">
        <f t="shared" si="18"/>
        <v>0.19560166308669821</v>
      </c>
      <c r="P135" s="8">
        <f t="shared" si="19"/>
        <v>5.2562353880655586</v>
      </c>
      <c r="X135" s="8">
        <v>-13</v>
      </c>
    </row>
    <row r="136" spans="1:24" x14ac:dyDescent="0.2">
      <c r="A136" s="8">
        <v>67</v>
      </c>
      <c r="B136" s="8">
        <v>134</v>
      </c>
      <c r="D136">
        <v>1389.9356862745001</v>
      </c>
      <c r="E136">
        <v>352.78745098039002</v>
      </c>
      <c r="F136">
        <v>141.20286396181001</v>
      </c>
      <c r="G136">
        <v>118.69530628481</v>
      </c>
      <c r="I136" s="9">
        <f t="shared" si="15"/>
        <v>234.09214469558003</v>
      </c>
      <c r="J136" s="9">
        <f t="shared" si="16"/>
        <v>1248.7328223126901</v>
      </c>
      <c r="K136" s="9">
        <f t="shared" si="17"/>
        <v>234.09214469558003</v>
      </c>
      <c r="L136" s="10">
        <f t="shared" si="14"/>
        <v>0.18746375566715259</v>
      </c>
      <c r="M136" s="10">
        <f t="shared" si="18"/>
        <v>0.19629856707942886</v>
      </c>
      <c r="P136" s="8">
        <f t="shared" si="19"/>
        <v>5.6312500456312593</v>
      </c>
      <c r="X136" s="8">
        <v>-13</v>
      </c>
    </row>
    <row r="137" spans="1:24" x14ac:dyDescent="0.2">
      <c r="A137" s="8">
        <v>67.5</v>
      </c>
      <c r="B137" s="8">
        <v>135</v>
      </c>
      <c r="D137">
        <v>1361.2156862745001</v>
      </c>
      <c r="E137">
        <v>345.63764705881999</v>
      </c>
      <c r="F137">
        <v>141.59665871121999</v>
      </c>
      <c r="G137">
        <v>118.45425616547</v>
      </c>
      <c r="I137" s="9">
        <f t="shared" si="15"/>
        <v>227.18339089335001</v>
      </c>
      <c r="J137" s="9">
        <f t="shared" si="16"/>
        <v>1219.61902756328</v>
      </c>
      <c r="K137" s="9">
        <f t="shared" si="17"/>
        <v>227.18339089335001</v>
      </c>
      <c r="L137" s="10">
        <f t="shared" si="14"/>
        <v>0.18627406244001271</v>
      </c>
      <c r="M137" s="10">
        <f t="shared" si="18"/>
        <v>0.1951748052807388</v>
      </c>
      <c r="P137" s="8">
        <f t="shared" si="19"/>
        <v>5.026536698431296</v>
      </c>
      <c r="X137" s="8">
        <v>-13</v>
      </c>
    </row>
    <row r="138" spans="1:24" x14ac:dyDescent="0.2">
      <c r="A138" s="8">
        <v>68</v>
      </c>
      <c r="B138" s="8">
        <v>136</v>
      </c>
      <c r="D138">
        <v>1418.6878431373</v>
      </c>
      <c r="E138">
        <v>359.90901960783998</v>
      </c>
      <c r="F138">
        <v>141.21638822593999</v>
      </c>
      <c r="G138">
        <v>118.38186157518</v>
      </c>
      <c r="I138" s="9">
        <f t="shared" si="15"/>
        <v>241.52715803266</v>
      </c>
      <c r="J138" s="9">
        <f t="shared" si="16"/>
        <v>1277.4714549113601</v>
      </c>
      <c r="K138" s="9">
        <f t="shared" si="17"/>
        <v>241.52715803266</v>
      </c>
      <c r="L138" s="10">
        <f t="shared" si="14"/>
        <v>0.18906657922107453</v>
      </c>
      <c r="M138" s="10">
        <f t="shared" si="18"/>
        <v>0.19803325349025044</v>
      </c>
      <c r="P138" s="8">
        <f t="shared" si="19"/>
        <v>6.5647112355853841</v>
      </c>
      <c r="X138" s="8">
        <v>-13</v>
      </c>
    </row>
    <row r="139" spans="1:24" x14ac:dyDescent="0.2">
      <c r="A139" s="8">
        <v>68.5</v>
      </c>
      <c r="B139" s="8">
        <v>137</v>
      </c>
      <c r="D139">
        <v>1351.5592417062001</v>
      </c>
      <c r="E139">
        <v>341.71327014218002</v>
      </c>
      <c r="F139">
        <v>141.13683373110999</v>
      </c>
      <c r="G139">
        <v>118.44391408115</v>
      </c>
      <c r="I139" s="9">
        <f t="shared" si="15"/>
        <v>223.26935606103001</v>
      </c>
      <c r="J139" s="9">
        <f t="shared" si="16"/>
        <v>1210.42240797509</v>
      </c>
      <c r="K139" s="9">
        <f t="shared" si="17"/>
        <v>223.26935606103001</v>
      </c>
      <c r="L139" s="10">
        <f t="shared" si="14"/>
        <v>0.18445573593976691</v>
      </c>
      <c r="M139" s="10">
        <f t="shared" si="18"/>
        <v>0.19348834163739265</v>
      </c>
      <c r="P139" s="8">
        <f t="shared" si="19"/>
        <v>4.1190249144503088</v>
      </c>
      <c r="X139" s="8">
        <v>-13</v>
      </c>
    </row>
    <row r="140" spans="1:24" x14ac:dyDescent="0.2">
      <c r="A140" s="8">
        <v>69</v>
      </c>
      <c r="B140" s="8">
        <v>138</v>
      </c>
      <c r="D140">
        <v>1322.8530805687001</v>
      </c>
      <c r="E140">
        <v>336.26461295419</v>
      </c>
      <c r="F140">
        <v>141.01272871917001</v>
      </c>
      <c r="G140">
        <v>118.51949085123</v>
      </c>
      <c r="I140" s="9">
        <f t="shared" si="15"/>
        <v>217.74512210296001</v>
      </c>
      <c r="J140" s="9">
        <f t="shared" si="16"/>
        <v>1181.8403518495302</v>
      </c>
      <c r="K140" s="9">
        <f t="shared" si="17"/>
        <v>217.74512210296001</v>
      </c>
      <c r="L140" s="10">
        <f t="shared" si="14"/>
        <v>0.18424241629776653</v>
      </c>
      <c r="M140" s="10">
        <f t="shared" si="18"/>
        <v>0.19334095342384208</v>
      </c>
      <c r="P140" s="8">
        <f t="shared" si="19"/>
        <v>4.0397130709102651</v>
      </c>
      <c r="X140" s="8">
        <v>-13</v>
      </c>
    </row>
    <row r="141" spans="1:24" x14ac:dyDescent="0.2">
      <c r="A141" s="8">
        <v>69.5</v>
      </c>
      <c r="B141" s="8">
        <v>139</v>
      </c>
      <c r="D141">
        <v>1297.5908372828001</v>
      </c>
      <c r="E141">
        <v>337.14849921011</v>
      </c>
      <c r="F141">
        <v>140.90294351630999</v>
      </c>
      <c r="G141">
        <v>118.45584725537</v>
      </c>
      <c r="I141" s="9">
        <f t="shared" si="15"/>
        <v>218.69265195474</v>
      </c>
      <c r="J141" s="9">
        <f t="shared" si="16"/>
        <v>1156.6878937664901</v>
      </c>
      <c r="K141" s="9">
        <f t="shared" si="17"/>
        <v>218.69265195474</v>
      </c>
      <c r="L141" s="10">
        <f t="shared" si="14"/>
        <v>0.18906798725334395</v>
      </c>
      <c r="M141" s="10">
        <f t="shared" si="18"/>
        <v>0.19823245580786933</v>
      </c>
      <c r="P141" s="8">
        <f t="shared" si="19"/>
        <v>6.6719050380422074</v>
      </c>
      <c r="X141" s="8">
        <v>-13</v>
      </c>
    </row>
    <row r="142" spans="1:24" x14ac:dyDescent="0.2">
      <c r="A142" s="8">
        <v>70</v>
      </c>
      <c r="B142" s="8">
        <v>140</v>
      </c>
      <c r="D142">
        <v>1364.6637863315</v>
      </c>
      <c r="E142">
        <v>351.77533385702998</v>
      </c>
      <c r="F142">
        <v>141.59984089100999</v>
      </c>
      <c r="G142">
        <v>118.36515513127</v>
      </c>
      <c r="I142" s="9">
        <f t="shared" si="15"/>
        <v>233.41017872575998</v>
      </c>
      <c r="J142" s="9">
        <f t="shared" si="16"/>
        <v>1223.06394544049</v>
      </c>
      <c r="K142" s="9">
        <f t="shared" si="17"/>
        <v>233.41017872575998</v>
      </c>
      <c r="L142" s="10">
        <f t="shared" si="14"/>
        <v>0.19084053584924918</v>
      </c>
      <c r="M142" s="10">
        <f t="shared" si="18"/>
        <v>0.20007093583222438</v>
      </c>
      <c r="P142" s="8">
        <f t="shared" si="19"/>
        <v>7.6612191529942866</v>
      </c>
      <c r="X142" s="8">
        <v>-13</v>
      </c>
    </row>
    <row r="143" spans="1:24" x14ac:dyDescent="0.2">
      <c r="A143" s="8">
        <v>70.5</v>
      </c>
      <c r="B143" s="8">
        <v>141</v>
      </c>
      <c r="D143">
        <v>1369.6072270228001</v>
      </c>
      <c r="E143">
        <v>354.51453260016001</v>
      </c>
      <c r="F143">
        <v>140.67064439141001</v>
      </c>
      <c r="G143">
        <v>118.19093078759001</v>
      </c>
      <c r="I143" s="9">
        <f t="shared" si="15"/>
        <v>236.32360181257002</v>
      </c>
      <c r="J143" s="9">
        <f t="shared" si="16"/>
        <v>1228.9365826313901</v>
      </c>
      <c r="K143" s="9">
        <f t="shared" si="17"/>
        <v>236.32360181257002</v>
      </c>
      <c r="L143" s="10">
        <f t="shared" si="14"/>
        <v>0.19229926519605725</v>
      </c>
      <c r="M143" s="10">
        <f t="shared" si="18"/>
        <v>0.20159559660748227</v>
      </c>
      <c r="P143" s="8">
        <f t="shared" si="19"/>
        <v>8.4816623481851412</v>
      </c>
      <c r="X143" s="8">
        <v>-13</v>
      </c>
    </row>
    <row r="144" spans="1:24" x14ac:dyDescent="0.2">
      <c r="A144" s="8">
        <v>71</v>
      </c>
      <c r="B144" s="8">
        <v>142</v>
      </c>
      <c r="D144">
        <v>1375.7046347211001</v>
      </c>
      <c r="E144">
        <v>355.04713275726999</v>
      </c>
      <c r="F144">
        <v>140.87907716786</v>
      </c>
      <c r="G144">
        <v>118.1400159109</v>
      </c>
      <c r="I144" s="9">
        <f t="shared" si="15"/>
        <v>236.90711684637</v>
      </c>
      <c r="J144" s="9">
        <f t="shared" si="16"/>
        <v>1234.8255575532401</v>
      </c>
      <c r="K144" s="9">
        <f t="shared" si="17"/>
        <v>236.90711684637</v>
      </c>
      <c r="L144" s="10">
        <f t="shared" si="14"/>
        <v>0.19185472425416303</v>
      </c>
      <c r="M144" s="10">
        <f t="shared" si="18"/>
        <v>0.20121698709403787</v>
      </c>
      <c r="P144" s="8">
        <f t="shared" si="19"/>
        <v>8.2779267999367541</v>
      </c>
    </row>
    <row r="145" spans="1:16" x14ac:dyDescent="0.2">
      <c r="A145" s="8">
        <v>71.5</v>
      </c>
      <c r="B145" s="8">
        <v>143</v>
      </c>
      <c r="D145">
        <v>1361.1673212882999</v>
      </c>
      <c r="E145">
        <v>351.47918303221002</v>
      </c>
      <c r="F145">
        <v>140.86555290374</v>
      </c>
      <c r="G145">
        <v>118.37947494033</v>
      </c>
      <c r="I145" s="9">
        <f t="shared" si="15"/>
        <v>233.09970809188002</v>
      </c>
      <c r="J145" s="9">
        <f t="shared" si="16"/>
        <v>1220.3017683845599</v>
      </c>
      <c r="K145" s="9">
        <f t="shared" si="17"/>
        <v>233.09970809188002</v>
      </c>
      <c r="L145" s="10">
        <f t="shared" si="14"/>
        <v>0.19101808596119491</v>
      </c>
      <c r="M145" s="10">
        <f t="shared" si="18"/>
        <v>0.20044628022951957</v>
      </c>
      <c r="P145" s="8">
        <f t="shared" si="19"/>
        <v>7.8631976924905675</v>
      </c>
    </row>
    <row r="146" spans="1:16" x14ac:dyDescent="0.2">
      <c r="A146" s="8">
        <v>72</v>
      </c>
      <c r="B146" s="8">
        <v>144</v>
      </c>
      <c r="D146">
        <v>1373.6386488610001</v>
      </c>
      <c r="E146">
        <v>355.70699135900003</v>
      </c>
      <c r="F146">
        <v>141.35322195704001</v>
      </c>
      <c r="G146">
        <v>117.94590294352</v>
      </c>
      <c r="I146" s="9">
        <f t="shared" si="15"/>
        <v>237.76108841548003</v>
      </c>
      <c r="J146" s="9">
        <f t="shared" si="16"/>
        <v>1232.2854269039601</v>
      </c>
      <c r="K146" s="9">
        <f t="shared" si="17"/>
        <v>237.76108841548003</v>
      </c>
      <c r="L146" s="10">
        <f t="shared" si="14"/>
        <v>0.19294319580881505</v>
      </c>
      <c r="M146" s="10">
        <f t="shared" si="18"/>
        <v>0.20243732150558955</v>
      </c>
      <c r="P146" s="8">
        <f t="shared" si="19"/>
        <v>8.9346073416431206</v>
      </c>
    </row>
    <row r="147" spans="1:16" x14ac:dyDescent="0.2">
      <c r="A147" s="8">
        <v>72.5</v>
      </c>
      <c r="B147" s="8">
        <v>145</v>
      </c>
      <c r="D147">
        <v>1380.3299293008999</v>
      </c>
      <c r="E147">
        <v>357.07855459543998</v>
      </c>
      <c r="F147">
        <v>140.87669053302</v>
      </c>
      <c r="G147">
        <v>118.18138424820999</v>
      </c>
      <c r="I147" s="9">
        <f t="shared" si="15"/>
        <v>238.89717034722997</v>
      </c>
      <c r="J147" s="9">
        <f t="shared" si="16"/>
        <v>1239.4532387678801</v>
      </c>
      <c r="K147" s="9">
        <f t="shared" si="17"/>
        <v>238.89717034722997</v>
      </c>
      <c r="L147" s="10">
        <f t="shared" si="14"/>
        <v>0.19274399620328855</v>
      </c>
      <c r="M147" s="10">
        <f t="shared" si="18"/>
        <v>0.20230405332851287</v>
      </c>
      <c r="P147" s="8">
        <f t="shared" si="19"/>
        <v>8.8628937048837848</v>
      </c>
    </row>
    <row r="148" spans="1:16" x14ac:dyDescent="0.2">
      <c r="A148" s="8">
        <v>73</v>
      </c>
      <c r="B148" s="8">
        <v>146</v>
      </c>
      <c r="D148">
        <v>1395.1940298508</v>
      </c>
      <c r="E148">
        <v>360.33385703063999</v>
      </c>
      <c r="F148">
        <v>141.10342084327999</v>
      </c>
      <c r="G148">
        <v>118.4184566428</v>
      </c>
      <c r="I148" s="9">
        <f t="shared" si="15"/>
        <v>241.91540038784001</v>
      </c>
      <c r="J148" s="9">
        <f t="shared" si="16"/>
        <v>1254.09060900752</v>
      </c>
      <c r="K148" s="9">
        <f t="shared" si="17"/>
        <v>241.91540038784001</v>
      </c>
      <c r="L148" s="10">
        <f t="shared" si="14"/>
        <v>0.19290105407877223</v>
      </c>
      <c r="M148" s="10">
        <f t="shared" si="18"/>
        <v>0.20252704263244636</v>
      </c>
      <c r="P148" s="8">
        <f t="shared" si="19"/>
        <v>8.9828876471307986</v>
      </c>
    </row>
    <row r="149" spans="1:16" x14ac:dyDescent="0.2">
      <c r="A149" s="8">
        <v>73.5</v>
      </c>
      <c r="B149" s="8">
        <v>147</v>
      </c>
      <c r="D149">
        <v>1327.0237717908001</v>
      </c>
      <c r="E149">
        <v>343.45958795563001</v>
      </c>
      <c r="F149">
        <v>141.16547334923999</v>
      </c>
      <c r="G149">
        <v>118.41766109785</v>
      </c>
      <c r="I149" s="9">
        <f t="shared" si="15"/>
        <v>225.04192685778003</v>
      </c>
      <c r="J149" s="9">
        <f t="shared" si="16"/>
        <v>1185.85829844156</v>
      </c>
      <c r="K149" s="9">
        <f t="shared" si="17"/>
        <v>225.04192685778003</v>
      </c>
      <c r="L149" s="10">
        <f t="shared" si="14"/>
        <v>0.18977134717826513</v>
      </c>
      <c r="M149" s="10">
        <f t="shared" si="18"/>
        <v>0.19946326716038909</v>
      </c>
      <c r="P149" s="8">
        <f t="shared" si="19"/>
        <v>7.3342233813259323</v>
      </c>
    </row>
    <row r="150" spans="1:16" x14ac:dyDescent="0.2">
      <c r="A150" s="8">
        <v>74</v>
      </c>
      <c r="B150" s="8">
        <v>148</v>
      </c>
      <c r="D150">
        <v>1349.9889064976001</v>
      </c>
      <c r="E150">
        <v>347.38034865293002</v>
      </c>
      <c r="F150">
        <v>140.81702466189</v>
      </c>
      <c r="G150">
        <v>118.31503579952</v>
      </c>
      <c r="I150" s="9">
        <f t="shared" si="15"/>
        <v>229.06531285341003</v>
      </c>
      <c r="J150" s="9">
        <f t="shared" si="16"/>
        <v>1209.1718818357101</v>
      </c>
      <c r="K150" s="9">
        <f t="shared" si="17"/>
        <v>229.06531285341003</v>
      </c>
      <c r="L150" s="10">
        <f t="shared" si="14"/>
        <v>0.18943982761628017</v>
      </c>
      <c r="M150" s="10">
        <f t="shared" si="18"/>
        <v>0.19919767902685395</v>
      </c>
      <c r="P150" s="8">
        <f t="shared" si="19"/>
        <v>7.191306359770441</v>
      </c>
    </row>
    <row r="151" spans="1:16" x14ac:dyDescent="0.2">
      <c r="A151" s="8">
        <v>74.5</v>
      </c>
      <c r="B151" s="8">
        <v>149</v>
      </c>
      <c r="D151">
        <v>1211.5118858953999</v>
      </c>
      <c r="E151">
        <v>322.66481774959999</v>
      </c>
      <c r="F151">
        <v>140.67143993636</v>
      </c>
      <c r="G151">
        <v>117.89657915671999</v>
      </c>
      <c r="I151" s="9">
        <f t="shared" si="15"/>
        <v>204.76823859287998</v>
      </c>
      <c r="J151" s="9">
        <f t="shared" si="16"/>
        <v>1070.8404459590399</v>
      </c>
      <c r="K151" s="9">
        <f t="shared" si="17"/>
        <v>204.76823859287998</v>
      </c>
      <c r="L151" s="10">
        <f t="shared" si="14"/>
        <v>0.19122198770657234</v>
      </c>
      <c r="M151" s="10">
        <f t="shared" si="18"/>
        <v>0.20104577054559594</v>
      </c>
      <c r="P151" s="8">
        <f t="shared" si="19"/>
        <v>8.1857925663073186</v>
      </c>
    </row>
    <row r="152" spans="1:16" x14ac:dyDescent="0.2">
      <c r="A152" s="8">
        <v>75</v>
      </c>
      <c r="B152" s="8">
        <v>150</v>
      </c>
      <c r="D152">
        <v>1376.8260869564999</v>
      </c>
      <c r="E152">
        <v>349.29960474308001</v>
      </c>
      <c r="F152">
        <v>141.16945107398999</v>
      </c>
      <c r="G152">
        <v>118.53460620525</v>
      </c>
      <c r="I152" s="9">
        <f t="shared" si="15"/>
        <v>230.76499853783002</v>
      </c>
      <c r="J152" s="9">
        <f t="shared" si="16"/>
        <v>1235.6566358825098</v>
      </c>
      <c r="K152" s="9">
        <f t="shared" si="17"/>
        <v>230.76499853783002</v>
      </c>
      <c r="L152" s="10">
        <f t="shared" si="14"/>
        <v>0.18675495427823033</v>
      </c>
      <c r="M152" s="10">
        <f t="shared" si="18"/>
        <v>0.19664466854570375</v>
      </c>
      <c r="P152" s="8">
        <f t="shared" si="19"/>
        <v>5.8174925183562385</v>
      </c>
    </row>
    <row r="153" spans="1:16" x14ac:dyDescent="0.2">
      <c r="A153" s="8">
        <v>75.5</v>
      </c>
      <c r="B153" s="8">
        <v>151</v>
      </c>
      <c r="D153">
        <v>1374.6015810276999</v>
      </c>
      <c r="E153">
        <v>348.97075098814003</v>
      </c>
      <c r="F153">
        <v>140.63484486874</v>
      </c>
      <c r="G153">
        <v>118.17740652347</v>
      </c>
      <c r="I153" s="9">
        <f t="shared" si="15"/>
        <v>230.79334446467004</v>
      </c>
      <c r="J153" s="9">
        <f t="shared" si="16"/>
        <v>1233.96673615896</v>
      </c>
      <c r="K153" s="9">
        <f t="shared" si="17"/>
        <v>230.79334446467004</v>
      </c>
      <c r="L153" s="10">
        <f t="shared" si="14"/>
        <v>0.18703368389254471</v>
      </c>
      <c r="M153" s="10">
        <f t="shared" si="18"/>
        <v>0.19698932958846796</v>
      </c>
      <c r="P153" s="8">
        <f t="shared" si="19"/>
        <v>6.0029598772416568</v>
      </c>
    </row>
    <row r="154" spans="1:16" x14ac:dyDescent="0.2">
      <c r="A154" s="8">
        <v>76</v>
      </c>
      <c r="B154" s="8">
        <v>152</v>
      </c>
      <c r="D154">
        <v>1315.8181818181999</v>
      </c>
      <c r="E154">
        <v>338.23003952569002</v>
      </c>
      <c r="F154">
        <v>140.51551312648999</v>
      </c>
      <c r="G154">
        <v>118.3707239459</v>
      </c>
      <c r="I154" s="9">
        <f t="shared" si="15"/>
        <v>219.85931557979001</v>
      </c>
      <c r="J154" s="9">
        <f t="shared" si="16"/>
        <v>1175.3026686917099</v>
      </c>
      <c r="K154" s="9">
        <f t="shared" si="17"/>
        <v>219.85931557979001</v>
      </c>
      <c r="L154" s="10">
        <f t="shared" si="14"/>
        <v>0.18706612469835263</v>
      </c>
      <c r="M154" s="10">
        <f t="shared" si="18"/>
        <v>0.1970877018227257</v>
      </c>
      <c r="P154" s="8">
        <f t="shared" si="19"/>
        <v>6.0558954754430534</v>
      </c>
    </row>
    <row r="155" spans="1:16" x14ac:dyDescent="0.2">
      <c r="A155" s="8">
        <v>76.5</v>
      </c>
      <c r="B155" s="8">
        <v>153</v>
      </c>
      <c r="D155">
        <v>1385.0229249012</v>
      </c>
      <c r="E155">
        <v>352.23715415020001</v>
      </c>
      <c r="F155">
        <v>140.73826571200999</v>
      </c>
      <c r="G155">
        <v>118.2338902148</v>
      </c>
      <c r="I155" s="9">
        <f t="shared" si="15"/>
        <v>234.00326393540001</v>
      </c>
      <c r="J155" s="9">
        <f t="shared" si="16"/>
        <v>1244.2846591891901</v>
      </c>
      <c r="K155" s="9">
        <f t="shared" si="17"/>
        <v>234.00326393540001</v>
      </c>
      <c r="L155" s="10">
        <f t="shared" si="14"/>
        <v>0.18806248410061002</v>
      </c>
      <c r="M155" s="10">
        <f t="shared" si="18"/>
        <v>0.19814999265343292</v>
      </c>
      <c r="P155" s="8">
        <f t="shared" si="19"/>
        <v>6.6275303581073324</v>
      </c>
    </row>
    <row r="156" spans="1:16" x14ac:dyDescent="0.2">
      <c r="A156" s="8">
        <v>77</v>
      </c>
      <c r="B156" s="8">
        <v>154</v>
      </c>
      <c r="D156">
        <v>1381.2790513834</v>
      </c>
      <c r="E156">
        <v>351.12411067194</v>
      </c>
      <c r="F156">
        <v>140.64598249801</v>
      </c>
      <c r="G156">
        <v>118.3046937152</v>
      </c>
      <c r="I156" s="9">
        <f t="shared" si="15"/>
        <v>232.81941695673999</v>
      </c>
      <c r="J156" s="9">
        <f t="shared" si="16"/>
        <v>1240.63306888539</v>
      </c>
      <c r="K156" s="9">
        <f t="shared" si="17"/>
        <v>232.81941695673999</v>
      </c>
      <c r="L156" s="10">
        <f t="shared" si="14"/>
        <v>0.18766178558009072</v>
      </c>
      <c r="M156" s="10">
        <f t="shared" si="18"/>
        <v>0.19781522556136344</v>
      </c>
      <c r="P156" s="8">
        <f t="shared" si="19"/>
        <v>6.4473870848498605</v>
      </c>
    </row>
    <row r="157" spans="1:16" x14ac:dyDescent="0.2">
      <c r="A157" s="8">
        <v>77.5</v>
      </c>
      <c r="B157" s="8">
        <v>155</v>
      </c>
      <c r="D157">
        <v>1408.7335968379</v>
      </c>
      <c r="E157">
        <v>354.58418972331998</v>
      </c>
      <c r="F157">
        <v>140.54494828957999</v>
      </c>
      <c r="G157">
        <v>118.20047732697</v>
      </c>
      <c r="I157" s="9">
        <f t="shared" si="15"/>
        <v>236.38371239634998</v>
      </c>
      <c r="J157" s="9">
        <f t="shared" si="16"/>
        <v>1268.1886485483201</v>
      </c>
      <c r="K157" s="9">
        <f t="shared" si="17"/>
        <v>236.38371239634998</v>
      </c>
      <c r="L157" s="10">
        <f t="shared" si="14"/>
        <v>0.18639475496562399</v>
      </c>
      <c r="M157" s="10">
        <f t="shared" si="18"/>
        <v>0.19661412637534653</v>
      </c>
      <c r="P157" s="8">
        <f t="shared" si="19"/>
        <v>5.8010573111005757</v>
      </c>
    </row>
    <row r="158" spans="1:16" x14ac:dyDescent="0.2">
      <c r="A158" s="8">
        <v>78</v>
      </c>
      <c r="B158" s="8">
        <v>156</v>
      </c>
      <c r="D158">
        <v>1426.5636363635999</v>
      </c>
      <c r="E158">
        <v>354.37075098814</v>
      </c>
      <c r="F158">
        <v>140.30071599044999</v>
      </c>
      <c r="G158">
        <v>118.24184566428001</v>
      </c>
      <c r="I158" s="9">
        <f t="shared" si="15"/>
        <v>236.12890532386001</v>
      </c>
      <c r="J158" s="9">
        <f t="shared" si="16"/>
        <v>1286.2629203731499</v>
      </c>
      <c r="K158" s="9">
        <f t="shared" si="17"/>
        <v>236.12890532386001</v>
      </c>
      <c r="L158" s="10">
        <f t="shared" si="14"/>
        <v>0.1835774798323177</v>
      </c>
      <c r="M158" s="10">
        <f t="shared" si="18"/>
        <v>0.19386278267049006</v>
      </c>
      <c r="P158" s="8">
        <f t="shared" si="19"/>
        <v>4.3205173399067487</v>
      </c>
    </row>
    <row r="159" spans="1:16" x14ac:dyDescent="0.2">
      <c r="A159" s="8">
        <v>78.5</v>
      </c>
      <c r="B159" s="8">
        <v>157</v>
      </c>
      <c r="D159">
        <v>1421.3620553359999</v>
      </c>
      <c r="E159">
        <v>351.71304347825998</v>
      </c>
      <c r="F159">
        <v>141.15115354017999</v>
      </c>
      <c r="G159">
        <v>118.17740652347</v>
      </c>
      <c r="I159" s="9">
        <f t="shared" si="15"/>
        <v>233.53563695478999</v>
      </c>
      <c r="J159" s="9">
        <f t="shared" si="16"/>
        <v>1280.2109017958198</v>
      </c>
      <c r="K159" s="9">
        <f t="shared" si="17"/>
        <v>233.53563695478999</v>
      </c>
      <c r="L159" s="10">
        <f t="shared" si="14"/>
        <v>0.18241965962576726</v>
      </c>
      <c r="M159" s="10">
        <f t="shared" si="18"/>
        <v>0.19277089389238944</v>
      </c>
      <c r="P159" s="8">
        <f t="shared" si="19"/>
        <v>3.7329553507512365</v>
      </c>
    </row>
    <row r="160" spans="1:16" x14ac:dyDescent="0.2">
      <c r="A160" s="8">
        <v>79</v>
      </c>
      <c r="B160" s="8">
        <v>158</v>
      </c>
      <c r="D160">
        <v>1388.9075098814001</v>
      </c>
      <c r="E160">
        <v>345.33992094861998</v>
      </c>
      <c r="F160">
        <v>140.45664280032</v>
      </c>
      <c r="G160">
        <v>117.9093078759</v>
      </c>
      <c r="I160" s="9">
        <f t="shared" si="15"/>
        <v>227.43061307271998</v>
      </c>
      <c r="J160" s="9">
        <f t="shared" si="16"/>
        <v>1248.4508670810801</v>
      </c>
      <c r="K160" s="9">
        <f t="shared" si="17"/>
        <v>227.43061307271998</v>
      </c>
      <c r="L160" s="10">
        <f t="shared" si="14"/>
        <v>0.18217025520953048</v>
      </c>
      <c r="M160" s="10">
        <f t="shared" si="18"/>
        <v>0.19258742090460249</v>
      </c>
      <c r="P160" s="8">
        <f t="shared" si="19"/>
        <v>3.6342257403527021</v>
      </c>
    </row>
    <row r="161" spans="1:16" x14ac:dyDescent="0.2">
      <c r="A161" s="8">
        <v>79.5</v>
      </c>
      <c r="B161" s="8">
        <v>159</v>
      </c>
      <c r="D161">
        <v>1312.4845849802</v>
      </c>
      <c r="E161">
        <v>329.33122529643998</v>
      </c>
      <c r="F161">
        <v>140.50835322195999</v>
      </c>
      <c r="G161">
        <v>118.07319013524</v>
      </c>
      <c r="I161" s="9">
        <f t="shared" si="15"/>
        <v>211.25803516119998</v>
      </c>
      <c r="J161" s="9">
        <f t="shared" si="16"/>
        <v>1171.9762317582399</v>
      </c>
      <c r="K161" s="9">
        <f t="shared" si="17"/>
        <v>211.25803516119998</v>
      </c>
      <c r="L161" s="10">
        <f t="shared" si="14"/>
        <v>0.18025795185646662</v>
      </c>
      <c r="M161" s="10">
        <f t="shared" si="18"/>
        <v>0.19074104897998845</v>
      </c>
      <c r="P161" s="8">
        <f t="shared" si="19"/>
        <v>2.6406648736184</v>
      </c>
    </row>
    <row r="162" spans="1:16" x14ac:dyDescent="0.2">
      <c r="A162" s="8">
        <v>80</v>
      </c>
      <c r="B162" s="4">
        <v>160</v>
      </c>
      <c r="C162" s="4" t="s">
        <v>6</v>
      </c>
      <c r="D162">
        <v>1386.5588932805999</v>
      </c>
      <c r="E162">
        <v>341.14071146244999</v>
      </c>
      <c r="F162">
        <v>141.08989657916001</v>
      </c>
      <c r="G162">
        <v>117.91089896579</v>
      </c>
      <c r="H162" s="4"/>
      <c r="I162" s="5">
        <f t="shared" si="15"/>
        <v>223.22981249665997</v>
      </c>
      <c r="J162" s="5">
        <f t="shared" si="16"/>
        <v>1245.4689967014399</v>
      </c>
      <c r="K162" s="9">
        <f t="shared" si="17"/>
        <v>223.22981249665997</v>
      </c>
      <c r="L162" s="6">
        <f t="shared" si="14"/>
        <v>0.17923353619228785</v>
      </c>
      <c r="M162" s="6">
        <f t="shared" si="18"/>
        <v>0.1897825647442595</v>
      </c>
      <c r="N162" s="4"/>
      <c r="O162" s="4"/>
      <c r="P162" s="4">
        <f t="shared" si="19"/>
        <v>2.1248899014653295</v>
      </c>
    </row>
    <row r="163" spans="1:16" x14ac:dyDescent="0.2">
      <c r="A163" s="8">
        <v>80.5</v>
      </c>
      <c r="B163" s="8">
        <v>161</v>
      </c>
      <c r="D163">
        <v>1360.990513834</v>
      </c>
      <c r="E163">
        <v>341.12964426878</v>
      </c>
      <c r="F163">
        <v>140.34287987271</v>
      </c>
      <c r="G163">
        <v>117.75338106603</v>
      </c>
      <c r="I163" s="9">
        <f t="shared" si="15"/>
        <v>223.37626320275001</v>
      </c>
      <c r="J163" s="9">
        <f t="shared" si="16"/>
        <v>1220.64763396129</v>
      </c>
      <c r="K163" s="9">
        <f t="shared" si="17"/>
        <v>223.37626320275001</v>
      </c>
      <c r="L163" s="10">
        <f t="shared" si="14"/>
        <v>0.18299815359313912</v>
      </c>
      <c r="M163" s="10">
        <f t="shared" si="18"/>
        <v>0.19361311357356059</v>
      </c>
      <c r="P163" s="8">
        <f t="shared" si="19"/>
        <v>4.1861665945151501</v>
      </c>
    </row>
    <row r="164" spans="1:16" x14ac:dyDescent="0.2">
      <c r="A164" s="8">
        <v>81</v>
      </c>
      <c r="B164" s="8">
        <v>162</v>
      </c>
      <c r="D164">
        <v>1364.1541501976001</v>
      </c>
      <c r="E164">
        <v>339.39367588932998</v>
      </c>
      <c r="F164">
        <v>140.40891010342</v>
      </c>
      <c r="G164">
        <v>117.82577565632999</v>
      </c>
      <c r="I164" s="9">
        <f t="shared" si="15"/>
        <v>221.56790023299999</v>
      </c>
      <c r="J164" s="9">
        <f t="shared" si="16"/>
        <v>1223.7452400941802</v>
      </c>
      <c r="K164" s="9">
        <f t="shared" si="17"/>
        <v>221.56790023299999</v>
      </c>
      <c r="L164" s="10">
        <f t="shared" si="14"/>
        <v>0.1810572110711115</v>
      </c>
      <c r="M164" s="10">
        <f t="shared" si="18"/>
        <v>0.1917381024799828</v>
      </c>
      <c r="P164" s="8">
        <f t="shared" si="19"/>
        <v>3.1771945545720008</v>
      </c>
    </row>
    <row r="165" spans="1:16" x14ac:dyDescent="0.2">
      <c r="A165" s="8">
        <v>81.5</v>
      </c>
      <c r="B165" s="8">
        <v>163</v>
      </c>
      <c r="D165">
        <v>1316.7201581028</v>
      </c>
      <c r="E165">
        <v>332.21976284585003</v>
      </c>
      <c r="F165">
        <v>140.45346062053</v>
      </c>
      <c r="G165">
        <v>117.8353221957</v>
      </c>
      <c r="I165" s="9">
        <f t="shared" si="15"/>
        <v>214.38444065015003</v>
      </c>
      <c r="J165" s="9">
        <f t="shared" si="16"/>
        <v>1176.26669748227</v>
      </c>
      <c r="K165" s="9">
        <f t="shared" si="17"/>
        <v>214.38444065015003</v>
      </c>
      <c r="L165" s="10">
        <f t="shared" si="14"/>
        <v>0.18225836122796588</v>
      </c>
      <c r="M165" s="10">
        <f t="shared" si="18"/>
        <v>0.19300518406528699</v>
      </c>
      <c r="P165" s="8">
        <f t="shared" si="19"/>
        <v>3.8590304627848457</v>
      </c>
    </row>
    <row r="166" spans="1:16" x14ac:dyDescent="0.2">
      <c r="A166" s="8">
        <v>82</v>
      </c>
      <c r="B166" s="8">
        <v>164</v>
      </c>
      <c r="D166">
        <v>1370.790513834</v>
      </c>
      <c r="E166">
        <v>342.90750988142003</v>
      </c>
      <c r="F166">
        <v>141.07796340492999</v>
      </c>
      <c r="G166">
        <v>117.93715194908999</v>
      </c>
      <c r="I166" s="9">
        <f t="shared" si="15"/>
        <v>224.97035793233005</v>
      </c>
      <c r="J166" s="9">
        <f t="shared" si="16"/>
        <v>1229.71255042907</v>
      </c>
      <c r="K166" s="9">
        <f t="shared" si="17"/>
        <v>224.97035793233005</v>
      </c>
      <c r="L166" s="10">
        <f t="shared" si="14"/>
        <v>0.18294548417338152</v>
      </c>
      <c r="M166" s="10">
        <f t="shared" si="18"/>
        <v>0.19375823843915246</v>
      </c>
      <c r="P166" s="8">
        <f t="shared" si="19"/>
        <v>4.2642604960308486</v>
      </c>
    </row>
    <row r="167" spans="1:16" x14ac:dyDescent="0.2">
      <c r="A167" s="8">
        <v>82.5</v>
      </c>
      <c r="B167" s="8">
        <v>165</v>
      </c>
      <c r="D167">
        <v>1231.5984189722999</v>
      </c>
      <c r="E167">
        <v>316.69723320157999</v>
      </c>
      <c r="F167">
        <v>140.55210819410999</v>
      </c>
      <c r="G167">
        <v>118.10262529833</v>
      </c>
      <c r="I167" s="9">
        <f t="shared" si="15"/>
        <v>198.59460790324999</v>
      </c>
      <c r="J167" s="9">
        <f t="shared" si="16"/>
        <v>1091.04631077819</v>
      </c>
      <c r="K167" s="9">
        <f t="shared" si="17"/>
        <v>198.59460790324999</v>
      </c>
      <c r="L167" s="10">
        <f t="shared" si="14"/>
        <v>0.18202216160888915</v>
      </c>
      <c r="M167" s="10">
        <f t="shared" si="18"/>
        <v>0.19290084730310991</v>
      </c>
      <c r="P167" s="8">
        <f t="shared" si="19"/>
        <v>3.8028852612255326</v>
      </c>
    </row>
    <row r="168" spans="1:16" x14ac:dyDescent="0.2">
      <c r="A168" s="8">
        <v>83</v>
      </c>
      <c r="B168" s="8">
        <v>166</v>
      </c>
      <c r="D168">
        <v>1179.0735524257</v>
      </c>
      <c r="E168">
        <v>310.27230046948</v>
      </c>
      <c r="F168">
        <v>140.99602227526</v>
      </c>
      <c r="G168">
        <v>117.62370723946</v>
      </c>
      <c r="I168" s="9">
        <f t="shared" si="15"/>
        <v>192.64859323002</v>
      </c>
      <c r="J168" s="9">
        <f t="shared" si="16"/>
        <v>1038.07753015044</v>
      </c>
      <c r="K168" s="9">
        <f t="shared" si="17"/>
        <v>192.64859323002</v>
      </c>
      <c r="L168" s="10">
        <f t="shared" si="14"/>
        <v>0.18558208576396124</v>
      </c>
      <c r="M168" s="10">
        <f t="shared" si="18"/>
        <v>0.19652670288663182</v>
      </c>
      <c r="P168" s="8">
        <f t="shared" si="19"/>
        <v>5.7540133997074356</v>
      </c>
    </row>
    <row r="169" spans="1:16" x14ac:dyDescent="0.2">
      <c r="A169" s="8">
        <v>83.5</v>
      </c>
      <c r="B169" s="8">
        <v>167</v>
      </c>
      <c r="D169">
        <v>1259.5566929134</v>
      </c>
      <c r="E169">
        <v>325.30157480315</v>
      </c>
      <c r="F169">
        <v>140.49801113762999</v>
      </c>
      <c r="G169">
        <v>117.88941925219</v>
      </c>
      <c r="I169" s="9">
        <f t="shared" si="15"/>
        <v>207.41215555095999</v>
      </c>
      <c r="J169" s="9">
        <f t="shared" si="16"/>
        <v>1119.0586817757699</v>
      </c>
      <c r="K169" s="9">
        <f t="shared" si="17"/>
        <v>207.41215555095999</v>
      </c>
      <c r="L169" s="10">
        <f t="shared" si="14"/>
        <v>0.18534520032660806</v>
      </c>
      <c r="M169" s="10">
        <f t="shared" si="18"/>
        <v>0.19635574887772847</v>
      </c>
      <c r="P169" s="8">
        <f t="shared" si="19"/>
        <v>5.662020442604156</v>
      </c>
    </row>
    <row r="170" spans="1:16" x14ac:dyDescent="0.2">
      <c r="A170" s="8">
        <v>84</v>
      </c>
      <c r="B170" s="8">
        <v>168</v>
      </c>
      <c r="D170">
        <v>1273.3519685039</v>
      </c>
      <c r="E170">
        <v>328.99291338582998</v>
      </c>
      <c r="F170">
        <v>140.38663484487</v>
      </c>
      <c r="G170">
        <v>117.87828162291</v>
      </c>
      <c r="I170" s="9">
        <f t="shared" si="15"/>
        <v>211.11463176292</v>
      </c>
      <c r="J170" s="9">
        <f t="shared" si="16"/>
        <v>1132.96533365903</v>
      </c>
      <c r="K170" s="9">
        <f t="shared" si="17"/>
        <v>211.11463176292</v>
      </c>
      <c r="L170" s="10">
        <f t="shared" si="14"/>
        <v>0.18633812129194036</v>
      </c>
      <c r="M170" s="10">
        <f t="shared" si="18"/>
        <v>0.19741460127151059</v>
      </c>
      <c r="P170" s="8">
        <f t="shared" si="19"/>
        <v>6.2318050499658435</v>
      </c>
    </row>
    <row r="171" spans="1:16" x14ac:dyDescent="0.2">
      <c r="A171" s="8">
        <v>84.5</v>
      </c>
      <c r="B171" s="8">
        <v>169</v>
      </c>
      <c r="D171">
        <v>1264.9236220472001</v>
      </c>
      <c r="E171">
        <v>326.82125984252002</v>
      </c>
      <c r="F171">
        <v>140.76849642005001</v>
      </c>
      <c r="G171">
        <v>117.89419252188</v>
      </c>
      <c r="I171" s="9">
        <f t="shared" si="15"/>
        <v>208.92706732064002</v>
      </c>
      <c r="J171" s="9">
        <f t="shared" si="16"/>
        <v>1124.15512562715</v>
      </c>
      <c r="K171" s="9">
        <f t="shared" si="17"/>
        <v>208.92706732064002</v>
      </c>
      <c r="L171" s="10">
        <f t="shared" si="14"/>
        <v>0.18585252387127854</v>
      </c>
      <c r="M171" s="10">
        <f t="shared" si="18"/>
        <v>0.19699493527929859</v>
      </c>
      <c r="P171" s="8">
        <f t="shared" si="19"/>
        <v>6.0059763848943568</v>
      </c>
    </row>
    <row r="172" spans="1:16" x14ac:dyDescent="0.2">
      <c r="A172" s="8">
        <v>85</v>
      </c>
      <c r="B172" s="8">
        <v>170</v>
      </c>
      <c r="D172">
        <v>1279.1362204724001</v>
      </c>
      <c r="E172">
        <v>334.93937007874001</v>
      </c>
      <c r="F172">
        <v>140.44709626093999</v>
      </c>
      <c r="G172">
        <v>117.90533015115</v>
      </c>
      <c r="I172" s="9">
        <f t="shared" si="15"/>
        <v>217.03403992759002</v>
      </c>
      <c r="J172" s="9">
        <f t="shared" si="16"/>
        <v>1138.68912421146</v>
      </c>
      <c r="K172" s="9">
        <f t="shared" si="17"/>
        <v>217.03403992759002</v>
      </c>
      <c r="L172" s="10">
        <f t="shared" si="14"/>
        <v>0.19059990590310211</v>
      </c>
      <c r="M172" s="10">
        <f t="shared" si="18"/>
        <v>0.20180824873957198</v>
      </c>
      <c r="P172" s="8">
        <f t="shared" si="19"/>
        <v>8.5960937007503144</v>
      </c>
    </row>
    <row r="173" spans="1:16" x14ac:dyDescent="0.2">
      <c r="A173" s="8">
        <v>85.5</v>
      </c>
      <c r="B173" s="8">
        <v>171</v>
      </c>
      <c r="D173">
        <v>1230.1077891424</v>
      </c>
      <c r="E173">
        <v>317.50118017309001</v>
      </c>
      <c r="F173">
        <v>140.42641209228</v>
      </c>
      <c r="G173">
        <v>117.62529832936001</v>
      </c>
      <c r="I173" s="9">
        <f t="shared" si="15"/>
        <v>199.87588184372999</v>
      </c>
      <c r="J173" s="9">
        <f t="shared" si="16"/>
        <v>1089.6813770501199</v>
      </c>
      <c r="K173" s="9">
        <f t="shared" si="17"/>
        <v>199.87588184372999</v>
      </c>
      <c r="L173" s="10">
        <f t="shared" si="14"/>
        <v>0.18342598676396091</v>
      </c>
      <c r="M173" s="10">
        <f t="shared" si="18"/>
        <v>0.19470026102888061</v>
      </c>
      <c r="P173" s="8">
        <f t="shared" si="19"/>
        <v>4.7711772056364907</v>
      </c>
    </row>
    <row r="174" spans="1:16" x14ac:dyDescent="0.2">
      <c r="A174" s="8">
        <v>86</v>
      </c>
      <c r="B174" s="8">
        <v>172</v>
      </c>
      <c r="D174">
        <v>1227.9197482297</v>
      </c>
      <c r="E174">
        <v>314.96616837136003</v>
      </c>
      <c r="F174">
        <v>140.85521081940999</v>
      </c>
      <c r="G174">
        <v>117.68973747017</v>
      </c>
      <c r="I174" s="9">
        <f t="shared" si="15"/>
        <v>197.27643090119003</v>
      </c>
      <c r="J174" s="9">
        <f t="shared" si="16"/>
        <v>1087.0645374102901</v>
      </c>
      <c r="K174" s="9">
        <f t="shared" si="17"/>
        <v>197.27643090119003</v>
      </c>
      <c r="L174" s="10">
        <f t="shared" si="14"/>
        <v>0.18147628232925431</v>
      </c>
      <c r="M174" s="10">
        <f t="shared" si="18"/>
        <v>0.19281648802262383</v>
      </c>
      <c r="P174" s="8">
        <f t="shared" si="19"/>
        <v>3.7574902469711007</v>
      </c>
    </row>
    <row r="175" spans="1:16" x14ac:dyDescent="0.2">
      <c r="A175" s="8">
        <v>86.5</v>
      </c>
      <c r="B175" s="8">
        <v>173</v>
      </c>
      <c r="D175">
        <v>1228.2956521739</v>
      </c>
      <c r="E175">
        <v>318.42213438735001</v>
      </c>
      <c r="F175">
        <v>140.19968178202001</v>
      </c>
      <c r="G175">
        <v>118.34606205251001</v>
      </c>
      <c r="I175" s="9">
        <f t="shared" si="15"/>
        <v>200.07607233484001</v>
      </c>
      <c r="J175" s="9">
        <f t="shared" si="16"/>
        <v>1088.09597039188</v>
      </c>
      <c r="K175" s="9">
        <f t="shared" si="17"/>
        <v>200.07607233484001</v>
      </c>
      <c r="L175" s="10">
        <f t="shared" si="14"/>
        <v>0.18387722937966786</v>
      </c>
      <c r="M175" s="10">
        <f t="shared" si="18"/>
        <v>0.1952833665014872</v>
      </c>
      <c r="P175" s="8">
        <f t="shared" si="19"/>
        <v>5.0849551455180384</v>
      </c>
    </row>
    <row r="176" spans="1:16" x14ac:dyDescent="0.2">
      <c r="A176" s="8">
        <v>87</v>
      </c>
      <c r="B176" s="8">
        <v>174</v>
      </c>
      <c r="D176">
        <v>1202.9748031495999</v>
      </c>
      <c r="E176">
        <v>316.45590551180999</v>
      </c>
      <c r="F176">
        <v>140.78202068416999</v>
      </c>
      <c r="G176">
        <v>118.05807478123</v>
      </c>
      <c r="I176" s="9">
        <f t="shared" si="15"/>
        <v>198.39783073057998</v>
      </c>
      <c r="J176" s="9">
        <f t="shared" si="16"/>
        <v>1062.1927824654299</v>
      </c>
      <c r="K176" s="9">
        <f t="shared" si="17"/>
        <v>198.39783073057998</v>
      </c>
      <c r="L176" s="10">
        <f t="shared" si="14"/>
        <v>0.18678137717155599</v>
      </c>
      <c r="M176" s="10">
        <f t="shared" si="18"/>
        <v>0.19825344572182516</v>
      </c>
      <c r="P176" s="8">
        <f t="shared" si="19"/>
        <v>6.6832000305757351</v>
      </c>
    </row>
    <row r="177" spans="1:16" x14ac:dyDescent="0.2">
      <c r="A177" s="8">
        <v>87.5</v>
      </c>
      <c r="B177" s="8">
        <v>175</v>
      </c>
      <c r="D177">
        <v>1120.8805970149001</v>
      </c>
      <c r="E177">
        <v>294.05734485467002</v>
      </c>
      <c r="F177">
        <v>140.68257756563</v>
      </c>
      <c r="G177">
        <v>118.1185361973</v>
      </c>
      <c r="I177" s="9">
        <f t="shared" si="15"/>
        <v>175.93880865737003</v>
      </c>
      <c r="J177" s="9">
        <f t="shared" si="16"/>
        <v>980.19801944927008</v>
      </c>
      <c r="K177" s="9">
        <f t="shared" si="17"/>
        <v>175.93880865737003</v>
      </c>
      <c r="L177" s="10">
        <f t="shared" si="14"/>
        <v>0.1794931280887736</v>
      </c>
      <c r="M177" s="10">
        <f t="shared" si="18"/>
        <v>0.19103112806749259</v>
      </c>
      <c r="P177" s="8">
        <f t="shared" si="19"/>
        <v>2.7967608506856192</v>
      </c>
    </row>
    <row r="178" spans="1:16" x14ac:dyDescent="0.2">
      <c r="A178" s="8">
        <v>88</v>
      </c>
      <c r="B178" s="8">
        <v>176</v>
      </c>
      <c r="D178">
        <v>1114.6402199529</v>
      </c>
      <c r="E178">
        <v>294.17203456402001</v>
      </c>
      <c r="F178">
        <v>140.99124900557001</v>
      </c>
      <c r="G178">
        <v>118.19729514718</v>
      </c>
      <c r="I178" s="9">
        <f t="shared" si="15"/>
        <v>175.97473941684001</v>
      </c>
      <c r="J178" s="9">
        <f t="shared" si="16"/>
        <v>973.64897094732999</v>
      </c>
      <c r="K178" s="9">
        <f t="shared" si="17"/>
        <v>175.97473941684001</v>
      </c>
      <c r="L178" s="10">
        <f t="shared" si="14"/>
        <v>0.18073735470148147</v>
      </c>
      <c r="M178" s="10">
        <f t="shared" si="18"/>
        <v>0.19234128610865028</v>
      </c>
      <c r="P178" s="8">
        <f t="shared" si="19"/>
        <v>3.5017768561708968</v>
      </c>
    </row>
    <row r="179" spans="1:16" x14ac:dyDescent="0.2">
      <c r="A179" s="8">
        <v>88.5</v>
      </c>
      <c r="B179" s="8">
        <v>177</v>
      </c>
      <c r="D179">
        <v>1143.6917591125</v>
      </c>
      <c r="E179">
        <v>298.31933438985999</v>
      </c>
      <c r="F179">
        <v>140.92442322990999</v>
      </c>
      <c r="G179">
        <v>117.78838504376</v>
      </c>
      <c r="I179" s="9">
        <f t="shared" si="15"/>
        <v>180.53094934609999</v>
      </c>
      <c r="J179" s="9">
        <f t="shared" si="16"/>
        <v>1002.76733588259</v>
      </c>
      <c r="K179" s="9">
        <f t="shared" si="17"/>
        <v>180.53094934609999</v>
      </c>
      <c r="L179" s="10">
        <f t="shared" si="14"/>
        <v>0.18003273828939081</v>
      </c>
      <c r="M179" s="10">
        <f t="shared" si="18"/>
        <v>0.19170260112500945</v>
      </c>
      <c r="P179" s="8">
        <f t="shared" si="19"/>
        <v>3.1580907345088045</v>
      </c>
    </row>
    <row r="180" spans="1:16" x14ac:dyDescent="0.2">
      <c r="A180" s="8">
        <v>89</v>
      </c>
      <c r="B180" s="8">
        <v>178</v>
      </c>
      <c r="D180">
        <v>1192.7191455696</v>
      </c>
      <c r="E180">
        <v>305.39003164556999</v>
      </c>
      <c r="F180">
        <v>140.31344470963001</v>
      </c>
      <c r="G180">
        <v>117.42243436754001</v>
      </c>
      <c r="I180" s="9">
        <f t="shared" si="15"/>
        <v>187.96759727802998</v>
      </c>
      <c r="J180" s="9">
        <f t="shared" si="16"/>
        <v>1052.40570085997</v>
      </c>
      <c r="K180" s="9">
        <f t="shared" si="17"/>
        <v>187.96759727802998</v>
      </c>
      <c r="L180" s="10">
        <f t="shared" si="14"/>
        <v>0.17860754376799065</v>
      </c>
      <c r="M180" s="10">
        <f t="shared" si="18"/>
        <v>0.19034333803205911</v>
      </c>
      <c r="P180" s="8">
        <f t="shared" si="19"/>
        <v>2.4266505524154827</v>
      </c>
    </row>
    <row r="181" spans="1:16" x14ac:dyDescent="0.2">
      <c r="A181" s="8">
        <v>89.5</v>
      </c>
      <c r="B181" s="8">
        <v>179</v>
      </c>
      <c r="D181">
        <v>1145.8243670886</v>
      </c>
      <c r="E181">
        <v>295.17009493670997</v>
      </c>
      <c r="F181">
        <v>140.73190135242999</v>
      </c>
      <c r="G181">
        <v>118.10421638823</v>
      </c>
      <c r="I181" s="9">
        <f t="shared" si="15"/>
        <v>177.06587854847999</v>
      </c>
      <c r="J181" s="9">
        <f t="shared" si="16"/>
        <v>1005.09246573617</v>
      </c>
      <c r="K181" s="9">
        <f t="shared" si="17"/>
        <v>177.06587854847999</v>
      </c>
      <c r="L181" s="10">
        <f t="shared" si="14"/>
        <v>0.17616874524951279</v>
      </c>
      <c r="M181" s="10">
        <f t="shared" si="18"/>
        <v>0.18797047094203106</v>
      </c>
      <c r="P181" s="8">
        <f t="shared" si="19"/>
        <v>1.1497746146997443</v>
      </c>
    </row>
    <row r="182" spans="1:16" x14ac:dyDescent="0.2">
      <c r="A182" s="8">
        <v>90</v>
      </c>
      <c r="B182" s="8">
        <v>180</v>
      </c>
      <c r="D182">
        <v>1162.8235759494</v>
      </c>
      <c r="E182">
        <v>297.26740506329003</v>
      </c>
      <c r="F182">
        <v>140.67780429594001</v>
      </c>
      <c r="G182">
        <v>118.02386634845</v>
      </c>
      <c r="I182" s="9">
        <f t="shared" si="15"/>
        <v>179.24353871484004</v>
      </c>
      <c r="J182" s="9">
        <f t="shared" si="16"/>
        <v>1022.1457716534601</v>
      </c>
      <c r="K182" s="9">
        <f t="shared" si="17"/>
        <v>179.24353871484004</v>
      </c>
      <c r="L182" s="10">
        <f t="shared" si="14"/>
        <v>0.17536005498011226</v>
      </c>
      <c r="M182" s="10">
        <f>L182+ABS($N$2)*A182</f>
        <v>0.18722771210108036</v>
      </c>
      <c r="P182" s="8">
        <f t="shared" si="19"/>
        <v>0.75008476459339801</v>
      </c>
    </row>
    <row r="183" spans="1:16" x14ac:dyDescent="0.2">
      <c r="A183" s="8">
        <v>90.5</v>
      </c>
      <c r="B183" s="8">
        <v>181</v>
      </c>
      <c r="D183">
        <v>1236.1878930818</v>
      </c>
      <c r="E183">
        <v>309.7751572327</v>
      </c>
      <c r="F183">
        <v>140.82179793157999</v>
      </c>
      <c r="G183">
        <v>118.08591885442</v>
      </c>
      <c r="I183" s="9">
        <f t="shared" si="15"/>
        <v>191.68923837827998</v>
      </c>
      <c r="J183" s="9">
        <f t="shared" si="16"/>
        <v>1095.36609515022</v>
      </c>
      <c r="K183" s="9">
        <f t="shared" si="17"/>
        <v>191.68923837827998</v>
      </c>
      <c r="L183" s="10">
        <f t="shared" si="14"/>
        <v>0.17500015677588729</v>
      </c>
      <c r="M183" s="10">
        <f t="shared" ref="M183:M241" si="20">L183+ABS($N$2)*A183</f>
        <v>0.18693374532530521</v>
      </c>
      <c r="P183" s="8">
        <f t="shared" si="19"/>
        <v>0.59189676322888629</v>
      </c>
    </row>
    <row r="184" spans="1:16" x14ac:dyDescent="0.2">
      <c r="A184" s="8">
        <v>91</v>
      </c>
      <c r="B184" s="8">
        <v>182</v>
      </c>
      <c r="D184">
        <v>1238.9889937107</v>
      </c>
      <c r="E184">
        <v>310.35613207546999</v>
      </c>
      <c r="F184">
        <v>140.66825775656</v>
      </c>
      <c r="G184">
        <v>118.08910103421</v>
      </c>
      <c r="I184" s="9">
        <f t="shared" si="15"/>
        <v>192.26703104126</v>
      </c>
      <c r="J184" s="9">
        <f t="shared" si="16"/>
        <v>1098.32073595414</v>
      </c>
      <c r="K184" s="9">
        <f t="shared" si="17"/>
        <v>192.26703104126</v>
      </c>
      <c r="L184" s="10">
        <f t="shared" si="14"/>
        <v>0.17505545033184919</v>
      </c>
      <c r="M184" s="10">
        <f t="shared" si="20"/>
        <v>0.18705497030971696</v>
      </c>
      <c r="P184" s="8">
        <f t="shared" si="19"/>
        <v>0.65712977450702714</v>
      </c>
    </row>
    <row r="185" spans="1:16" x14ac:dyDescent="0.2">
      <c r="A185" s="8">
        <v>91.5</v>
      </c>
      <c r="B185" s="8">
        <v>183</v>
      </c>
      <c r="D185">
        <v>1285.0322327044</v>
      </c>
      <c r="E185">
        <v>319.97798742138002</v>
      </c>
      <c r="F185">
        <v>140.86634844868999</v>
      </c>
      <c r="G185">
        <v>118.21241050119001</v>
      </c>
      <c r="I185" s="9">
        <f t="shared" si="15"/>
        <v>201.76557692019003</v>
      </c>
      <c r="J185" s="9">
        <f t="shared" si="16"/>
        <v>1144.1658842557101</v>
      </c>
      <c r="K185" s="9">
        <f t="shared" si="17"/>
        <v>201.76557692019003</v>
      </c>
      <c r="L185" s="10">
        <f t="shared" si="14"/>
        <v>0.17634294091143987</v>
      </c>
      <c r="M185" s="10">
        <f t="shared" si="20"/>
        <v>0.18840839231775747</v>
      </c>
      <c r="P185" s="8">
        <f t="shared" si="19"/>
        <v>1.3854267798068123</v>
      </c>
    </row>
    <row r="186" spans="1:16" x14ac:dyDescent="0.2">
      <c r="A186" s="8">
        <v>92</v>
      </c>
      <c r="B186" s="8">
        <v>184</v>
      </c>
      <c r="D186">
        <v>1256.3144654088001</v>
      </c>
      <c r="E186">
        <v>324.38522012579</v>
      </c>
      <c r="F186">
        <v>140.53062848050999</v>
      </c>
      <c r="G186">
        <v>117.64439140812</v>
      </c>
      <c r="I186" s="9">
        <f t="shared" si="15"/>
        <v>206.74082871767001</v>
      </c>
      <c r="J186" s="9">
        <f t="shared" si="16"/>
        <v>1115.7838369282902</v>
      </c>
      <c r="K186" s="9">
        <f t="shared" si="17"/>
        <v>206.74082871767001</v>
      </c>
      <c r="L186" s="10">
        <f t="shared" si="14"/>
        <v>0.18528752781257302</v>
      </c>
      <c r="M186" s="10">
        <f t="shared" si="20"/>
        <v>0.19741891064734041</v>
      </c>
      <c r="P186" s="8">
        <f t="shared" si="19"/>
        <v>6.234123990764</v>
      </c>
    </row>
    <row r="187" spans="1:16" x14ac:dyDescent="0.2">
      <c r="A187" s="8">
        <v>92.5</v>
      </c>
      <c r="B187" s="8">
        <v>185</v>
      </c>
      <c r="D187">
        <v>1148.7960629920999</v>
      </c>
      <c r="E187">
        <v>296.60629921259999</v>
      </c>
      <c r="F187">
        <v>140.45982498011</v>
      </c>
      <c r="G187">
        <v>117.80190930788</v>
      </c>
      <c r="I187" s="9">
        <f t="shared" si="15"/>
        <v>178.80438990471998</v>
      </c>
      <c r="J187" s="9">
        <f t="shared" si="16"/>
        <v>1008.33623801199</v>
      </c>
      <c r="K187" s="9">
        <f t="shared" si="17"/>
        <v>178.80438990471998</v>
      </c>
      <c r="L187" s="10">
        <f t="shared" si="14"/>
        <v>0.17732615685542172</v>
      </c>
      <c r="M187" s="10">
        <f t="shared" si="20"/>
        <v>0.18952347111863893</v>
      </c>
      <c r="P187" s="8">
        <f t="shared" si="19"/>
        <v>1.9854676735787571</v>
      </c>
    </row>
    <row r="188" spans="1:16" x14ac:dyDescent="0.2">
      <c r="A188" s="8">
        <v>93</v>
      </c>
      <c r="B188" s="8">
        <v>186</v>
      </c>
      <c r="D188">
        <v>1167.9165354331001</v>
      </c>
      <c r="E188">
        <v>299.02677165353998</v>
      </c>
      <c r="F188">
        <v>140.66905330150999</v>
      </c>
      <c r="G188">
        <v>118.06762132061</v>
      </c>
      <c r="I188" s="9">
        <f t="shared" si="15"/>
        <v>180.95915033292999</v>
      </c>
      <c r="J188" s="9">
        <f t="shared" si="16"/>
        <v>1027.24748213159</v>
      </c>
      <c r="K188" s="9">
        <f t="shared" si="17"/>
        <v>180.95915033292999</v>
      </c>
      <c r="L188" s="10">
        <f t="shared" si="14"/>
        <v>0.17615925420175349</v>
      </c>
      <c r="M188" s="10">
        <f t="shared" si="20"/>
        <v>0.18842249989342055</v>
      </c>
      <c r="P188" s="8">
        <f t="shared" si="19"/>
        <v>1.3930182812353586</v>
      </c>
    </row>
    <row r="189" spans="1:16" x14ac:dyDescent="0.2">
      <c r="A189" s="8">
        <v>93.5</v>
      </c>
      <c r="B189" s="8">
        <v>187</v>
      </c>
      <c r="D189">
        <v>1185.2724409448999</v>
      </c>
      <c r="E189">
        <v>312.24960629920997</v>
      </c>
      <c r="F189">
        <v>140.39618138425001</v>
      </c>
      <c r="G189">
        <v>118.09069212411001</v>
      </c>
      <c r="I189" s="9">
        <f t="shared" si="15"/>
        <v>194.15891417509997</v>
      </c>
      <c r="J189" s="9">
        <f t="shared" si="16"/>
        <v>1044.8762595606499</v>
      </c>
      <c r="K189" s="9">
        <f t="shared" si="17"/>
        <v>194.15891417509997</v>
      </c>
      <c r="L189" s="10">
        <f t="shared" si="14"/>
        <v>0.18582000729611753</v>
      </c>
      <c r="M189" s="10">
        <f t="shared" si="20"/>
        <v>0.19814918441623441</v>
      </c>
      <c r="P189" s="8">
        <f t="shared" si="19"/>
        <v>6.6270954333553007</v>
      </c>
    </row>
    <row r="190" spans="1:16" x14ac:dyDescent="0.2">
      <c r="A190" s="8">
        <v>94</v>
      </c>
      <c r="B190" s="8">
        <v>188</v>
      </c>
      <c r="D190">
        <v>1134.8014240506</v>
      </c>
      <c r="E190">
        <v>290.04825949367</v>
      </c>
      <c r="F190">
        <v>141.03739061256999</v>
      </c>
      <c r="G190">
        <v>117.71439936356001</v>
      </c>
      <c r="I190" s="9">
        <f t="shared" si="15"/>
        <v>172.33386013011</v>
      </c>
      <c r="J190" s="9">
        <f t="shared" si="16"/>
        <v>993.76403343802997</v>
      </c>
      <c r="K190" s="9">
        <f t="shared" si="17"/>
        <v>172.33386013011</v>
      </c>
      <c r="L190" s="10">
        <f t="shared" si="14"/>
        <v>0.17341527196743386</v>
      </c>
      <c r="M190" s="10">
        <f t="shared" si="20"/>
        <v>0.18581038051600057</v>
      </c>
      <c r="P190" s="8">
        <f t="shared" si="19"/>
        <v>-1.2602957933655201E-2</v>
      </c>
    </row>
    <row r="191" spans="1:16" x14ac:dyDescent="0.2">
      <c r="A191" s="8">
        <v>94.5</v>
      </c>
      <c r="B191" s="8">
        <v>189</v>
      </c>
      <c r="D191">
        <v>1175.7990543735</v>
      </c>
      <c r="E191">
        <v>297.80929866036001</v>
      </c>
      <c r="F191">
        <v>140.76770087509999</v>
      </c>
      <c r="G191">
        <v>118.18933969769</v>
      </c>
      <c r="I191" s="9">
        <f t="shared" si="15"/>
        <v>179.61995896267001</v>
      </c>
      <c r="J191" s="9">
        <f t="shared" si="16"/>
        <v>1035.0313534984</v>
      </c>
      <c r="K191" s="9">
        <f t="shared" si="17"/>
        <v>179.61995896267001</v>
      </c>
      <c r="L191" s="10">
        <f t="shared" si="14"/>
        <v>0.17354059696409735</v>
      </c>
      <c r="M191" s="10">
        <f t="shared" si="20"/>
        <v>0.18600163694111388</v>
      </c>
      <c r="P191" s="8">
        <f t="shared" si="19"/>
        <v>9.031503869034746E-2</v>
      </c>
    </row>
    <row r="192" spans="1:16" x14ac:dyDescent="0.2">
      <c r="A192" s="8">
        <v>95</v>
      </c>
      <c r="B192" s="8">
        <v>190</v>
      </c>
      <c r="D192">
        <v>1174.4649330181001</v>
      </c>
      <c r="E192">
        <v>295.78644602049002</v>
      </c>
      <c r="F192">
        <v>140.73985680191001</v>
      </c>
      <c r="G192">
        <v>117.87669053302</v>
      </c>
      <c r="I192" s="9">
        <f t="shared" si="15"/>
        <v>177.90975548747002</v>
      </c>
      <c r="J192" s="9">
        <f t="shared" si="16"/>
        <v>1033.72507621619</v>
      </c>
      <c r="K192" s="9">
        <f t="shared" si="17"/>
        <v>177.90975548747002</v>
      </c>
      <c r="L192" s="10">
        <f t="shared" si="14"/>
        <v>0.17210548489225441</v>
      </c>
      <c r="M192" s="10">
        <f t="shared" si="20"/>
        <v>0.18463245629772077</v>
      </c>
      <c r="P192" s="8">
        <f t="shared" si="19"/>
        <v>-0.64646192841494465</v>
      </c>
    </row>
    <row r="193" spans="1:16" x14ac:dyDescent="0.2">
      <c r="A193" s="8">
        <v>95.5</v>
      </c>
      <c r="B193" s="8">
        <v>191</v>
      </c>
      <c r="D193">
        <v>1218.4184397163001</v>
      </c>
      <c r="E193">
        <v>302.29944838455998</v>
      </c>
      <c r="F193">
        <v>140.3245823389</v>
      </c>
      <c r="G193">
        <v>117.73349244232</v>
      </c>
      <c r="I193" s="9">
        <f t="shared" si="15"/>
        <v>184.56595594223998</v>
      </c>
      <c r="J193" s="9">
        <f t="shared" si="16"/>
        <v>1078.0938573774001</v>
      </c>
      <c r="K193" s="9">
        <f t="shared" si="17"/>
        <v>184.56595594223998</v>
      </c>
      <c r="L193" s="10">
        <f t="shared" si="14"/>
        <v>0.17119655647720697</v>
      </c>
      <c r="M193" s="10">
        <f t="shared" si="20"/>
        <v>0.18378945931112314</v>
      </c>
      <c r="P193" s="8">
        <f t="shared" si="19"/>
        <v>-1.1000914520730352</v>
      </c>
    </row>
    <row r="194" spans="1:16" x14ac:dyDescent="0.2">
      <c r="A194" s="8">
        <v>96</v>
      </c>
      <c r="B194" s="8">
        <v>192</v>
      </c>
      <c r="D194">
        <v>1207.4696611505001</v>
      </c>
      <c r="E194">
        <v>301.99133175729003</v>
      </c>
      <c r="F194">
        <v>140.60540970565</v>
      </c>
      <c r="G194">
        <v>117.53540175019999</v>
      </c>
      <c r="I194" s="9">
        <f t="shared" si="15"/>
        <v>184.45593000709005</v>
      </c>
      <c r="J194" s="9">
        <f t="shared" si="16"/>
        <v>1066.8642514448502</v>
      </c>
      <c r="K194" s="9">
        <f t="shared" si="17"/>
        <v>184.45593000709005</v>
      </c>
      <c r="L194" s="10">
        <f t="shared" ref="L194:L257" si="21">K194/J194</f>
        <v>0.17289540797461542</v>
      </c>
      <c r="M194" s="10">
        <f t="shared" si="20"/>
        <v>0.18555424223698141</v>
      </c>
      <c r="P194" s="8">
        <f t="shared" si="19"/>
        <v>-0.15043486878190154</v>
      </c>
    </row>
    <row r="195" spans="1:16" x14ac:dyDescent="0.2">
      <c r="A195" s="8">
        <v>96.5</v>
      </c>
      <c r="B195" s="8">
        <v>193</v>
      </c>
      <c r="D195">
        <v>1207.1126871552001</v>
      </c>
      <c r="E195">
        <v>304.30732860519998</v>
      </c>
      <c r="F195">
        <v>141.08353221957</v>
      </c>
      <c r="G195">
        <v>118.24502784406999</v>
      </c>
      <c r="I195" s="9">
        <f t="shared" ref="I195:I241" si="22">E195-G195</f>
        <v>186.06230076112999</v>
      </c>
      <c r="J195" s="9">
        <f t="shared" ref="J195:J241" si="23">D195-F195</f>
        <v>1066.02915493563</v>
      </c>
      <c r="K195" s="9">
        <f t="shared" ref="K195:K258" si="24">I195*1</f>
        <v>186.06230076112999</v>
      </c>
      <c r="L195" s="10">
        <f t="shared" si="21"/>
        <v>0.1745377224437778</v>
      </c>
      <c r="M195" s="10">
        <f t="shared" si="20"/>
        <v>0.18726248813459362</v>
      </c>
      <c r="P195" s="8">
        <f t="shared" ref="P195:P241" si="25">(M195-$O$2)/$O$2*100</f>
        <v>0.76879827812683199</v>
      </c>
    </row>
    <row r="196" spans="1:16" x14ac:dyDescent="0.2">
      <c r="A196" s="8">
        <v>97</v>
      </c>
      <c r="B196" s="8">
        <v>194</v>
      </c>
      <c r="D196">
        <v>1159.233386076</v>
      </c>
      <c r="E196">
        <v>291.25237341771998</v>
      </c>
      <c r="F196">
        <v>140.28957836117999</v>
      </c>
      <c r="G196">
        <v>117.87112171838</v>
      </c>
      <c r="I196" s="9">
        <f t="shared" si="22"/>
        <v>173.38125169934</v>
      </c>
      <c r="J196" s="9">
        <f t="shared" si="23"/>
        <v>1018.94380771482</v>
      </c>
      <c r="K196" s="9">
        <f t="shared" si="24"/>
        <v>173.38125169934</v>
      </c>
      <c r="L196" s="10">
        <f t="shared" si="21"/>
        <v>0.17015781477506717</v>
      </c>
      <c r="M196" s="10">
        <f t="shared" si="20"/>
        <v>0.18294851189433281</v>
      </c>
      <c r="P196" s="8">
        <f t="shared" si="25"/>
        <v>-1.5526180709874957</v>
      </c>
    </row>
    <row r="197" spans="1:16" x14ac:dyDescent="0.2">
      <c r="A197" s="8">
        <v>97.5</v>
      </c>
      <c r="B197" s="8">
        <v>195</v>
      </c>
      <c r="D197">
        <v>1215.9307631786</v>
      </c>
      <c r="E197">
        <v>302.80330448465998</v>
      </c>
      <c r="F197">
        <v>140.82657120127001</v>
      </c>
      <c r="G197">
        <v>117.92601431980999</v>
      </c>
      <c r="I197" s="9">
        <f t="shared" si="22"/>
        <v>184.87729016484997</v>
      </c>
      <c r="J197" s="9">
        <f t="shared" si="23"/>
        <v>1075.1041919773299</v>
      </c>
      <c r="K197" s="9">
        <f t="shared" si="24"/>
        <v>184.87729016484997</v>
      </c>
      <c r="L197" s="10">
        <f t="shared" si="21"/>
        <v>0.17196220751853264</v>
      </c>
      <c r="M197" s="10">
        <f t="shared" si="20"/>
        <v>0.1848188360662481</v>
      </c>
      <c r="P197" s="8">
        <f t="shared" si="25"/>
        <v>-0.54616813500792483</v>
      </c>
    </row>
    <row r="198" spans="1:16" x14ac:dyDescent="0.2">
      <c r="A198" s="8">
        <v>98</v>
      </c>
      <c r="B198" s="8">
        <v>196</v>
      </c>
      <c r="D198">
        <v>1236.6656176239001</v>
      </c>
      <c r="E198">
        <v>309.28874901652</v>
      </c>
      <c r="F198">
        <v>140.06682577565999</v>
      </c>
      <c r="G198">
        <v>117.55529037391</v>
      </c>
      <c r="I198" s="9">
        <f t="shared" si="22"/>
        <v>191.73345864261</v>
      </c>
      <c r="J198" s="9">
        <f t="shared" si="23"/>
        <v>1096.5987918482401</v>
      </c>
      <c r="K198" s="9">
        <f t="shared" si="24"/>
        <v>191.73345864261</v>
      </c>
      <c r="L198" s="10">
        <f t="shared" si="21"/>
        <v>0.17484376242970023</v>
      </c>
      <c r="M198" s="10">
        <f t="shared" si="20"/>
        <v>0.18776632240586552</v>
      </c>
      <c r="P198" s="8">
        <f t="shared" si="25"/>
        <v>1.0399191766749396</v>
      </c>
    </row>
    <row r="199" spans="1:16" x14ac:dyDescent="0.2">
      <c r="A199" s="8">
        <v>98.5</v>
      </c>
      <c r="B199" s="8">
        <v>197</v>
      </c>
      <c r="D199">
        <v>1269.4767899292001</v>
      </c>
      <c r="E199">
        <v>318.52399685287003</v>
      </c>
      <c r="F199">
        <v>141.02943516309</v>
      </c>
      <c r="G199">
        <v>118.07716785997999</v>
      </c>
      <c r="I199" s="9">
        <f t="shared" si="22"/>
        <v>200.44682899289003</v>
      </c>
      <c r="J199" s="9">
        <f t="shared" si="23"/>
        <v>1128.44735476611</v>
      </c>
      <c r="K199" s="9">
        <f t="shared" si="24"/>
        <v>200.44682899289003</v>
      </c>
      <c r="L199" s="10">
        <f t="shared" si="21"/>
        <v>0.17763064279984603</v>
      </c>
      <c r="M199" s="10">
        <f t="shared" si="20"/>
        <v>0.19061913420446114</v>
      </c>
      <c r="P199" s="8">
        <f t="shared" si="25"/>
        <v>2.5750606752302811</v>
      </c>
    </row>
    <row r="200" spans="1:16" x14ac:dyDescent="0.2">
      <c r="A200" s="8">
        <v>99</v>
      </c>
      <c r="B200" s="8">
        <v>198</v>
      </c>
      <c r="D200">
        <v>1281.1888276947</v>
      </c>
      <c r="E200">
        <v>324.24783634932999</v>
      </c>
      <c r="F200">
        <v>140.20206841686999</v>
      </c>
      <c r="G200">
        <v>117.96579156721999</v>
      </c>
      <c r="I200" s="9">
        <f t="shared" si="22"/>
        <v>206.28204478211001</v>
      </c>
      <c r="J200" s="9">
        <f t="shared" si="23"/>
        <v>1140.9867592778301</v>
      </c>
      <c r="K200" s="9">
        <f t="shared" si="24"/>
        <v>206.28204478211001</v>
      </c>
      <c r="L200" s="10">
        <f t="shared" si="21"/>
        <v>0.18079267187348699</v>
      </c>
      <c r="M200" s="10">
        <f t="shared" si="20"/>
        <v>0.19384709470655193</v>
      </c>
      <c r="P200" s="8">
        <f t="shared" si="25"/>
        <v>4.3120754074662235</v>
      </c>
    </row>
    <row r="201" spans="1:16" x14ac:dyDescent="0.2">
      <c r="A201" s="8">
        <v>99.5</v>
      </c>
      <c r="B201" s="8">
        <v>199</v>
      </c>
      <c r="D201">
        <v>1294.8650980391999</v>
      </c>
      <c r="E201">
        <v>316.67843137254999</v>
      </c>
      <c r="F201">
        <v>140.87509944312001</v>
      </c>
      <c r="G201">
        <v>118.03977724741</v>
      </c>
      <c r="I201" s="9">
        <f t="shared" si="22"/>
        <v>198.63865412513999</v>
      </c>
      <c r="J201" s="9">
        <f t="shared" si="23"/>
        <v>1153.9899985960799</v>
      </c>
      <c r="K201" s="9">
        <f t="shared" si="24"/>
        <v>198.63865412513999</v>
      </c>
      <c r="L201" s="10">
        <f t="shared" si="21"/>
        <v>0.17213204132340804</v>
      </c>
      <c r="M201" s="10">
        <f t="shared" si="20"/>
        <v>0.18525239558492279</v>
      </c>
      <c r="P201" s="8">
        <f t="shared" si="25"/>
        <v>-0.31286315164419903</v>
      </c>
    </row>
    <row r="202" spans="1:16" x14ac:dyDescent="0.2">
      <c r="A202" s="8">
        <v>100</v>
      </c>
      <c r="B202" s="8">
        <v>200</v>
      </c>
      <c r="D202">
        <v>1353.5341176470999</v>
      </c>
      <c r="E202">
        <v>326.17176470587998</v>
      </c>
      <c r="F202">
        <v>140.07478122513999</v>
      </c>
      <c r="G202">
        <v>117.79554494829</v>
      </c>
      <c r="I202" s="9">
        <f t="shared" si="22"/>
        <v>208.37621975758998</v>
      </c>
      <c r="J202" s="9">
        <f t="shared" si="23"/>
        <v>1213.45933642196</v>
      </c>
      <c r="K202" s="9">
        <f t="shared" si="24"/>
        <v>208.37621975758998</v>
      </c>
      <c r="L202" s="10">
        <f t="shared" si="21"/>
        <v>0.17172080967460673</v>
      </c>
      <c r="M202" s="10">
        <f t="shared" si="20"/>
        <v>0.18490709536457131</v>
      </c>
      <c r="P202" s="8">
        <f t="shared" si="25"/>
        <v>-0.49867446172880076</v>
      </c>
    </row>
    <row r="203" spans="1:16" x14ac:dyDescent="0.2">
      <c r="A203" s="8">
        <v>100.5</v>
      </c>
      <c r="B203" s="8">
        <v>201</v>
      </c>
      <c r="D203">
        <v>1384.5450980392</v>
      </c>
      <c r="E203">
        <v>328.48470588235</v>
      </c>
      <c r="F203">
        <v>140.54972155927001</v>
      </c>
      <c r="G203">
        <v>118.12490055687999</v>
      </c>
      <c r="I203" s="9">
        <f t="shared" si="22"/>
        <v>210.35980532547001</v>
      </c>
      <c r="J203" s="9">
        <f t="shared" si="23"/>
        <v>1243.99537647993</v>
      </c>
      <c r="K203" s="9">
        <f t="shared" si="24"/>
        <v>210.35980532547001</v>
      </c>
      <c r="L203" s="10">
        <f t="shared" si="21"/>
        <v>0.1691001504529015</v>
      </c>
      <c r="M203" s="10">
        <f t="shared" si="20"/>
        <v>0.1823523675713159</v>
      </c>
      <c r="P203" s="8">
        <f t="shared" si="25"/>
        <v>-1.8734124149543705</v>
      </c>
    </row>
    <row r="204" spans="1:16" x14ac:dyDescent="0.2">
      <c r="A204" s="8">
        <v>101</v>
      </c>
      <c r="B204" s="8">
        <v>202</v>
      </c>
      <c r="D204">
        <v>1403.5898039215999</v>
      </c>
      <c r="E204">
        <v>328.42039215685998</v>
      </c>
      <c r="F204">
        <v>140.60302307079999</v>
      </c>
      <c r="G204">
        <v>117.86475735879</v>
      </c>
      <c r="I204" s="9">
        <f t="shared" si="22"/>
        <v>210.55563479806997</v>
      </c>
      <c r="J204" s="9">
        <f t="shared" si="23"/>
        <v>1262.9867808508</v>
      </c>
      <c r="K204" s="9">
        <f t="shared" si="24"/>
        <v>210.55563479806997</v>
      </c>
      <c r="L204" s="10">
        <f t="shared" si="21"/>
        <v>0.16671246127867706</v>
      </c>
      <c r="M204" s="10">
        <f t="shared" si="20"/>
        <v>0.18003060982554128</v>
      </c>
      <c r="P204" s="8">
        <f t="shared" si="25"/>
        <v>-3.1227856357485058</v>
      </c>
    </row>
    <row r="205" spans="1:16" x14ac:dyDescent="0.2">
      <c r="A205" s="8">
        <v>101.5</v>
      </c>
      <c r="B205" s="8">
        <v>203</v>
      </c>
      <c r="D205">
        <v>1366.4460204886</v>
      </c>
      <c r="E205">
        <v>317.51851851852001</v>
      </c>
      <c r="F205">
        <v>140.32219570405999</v>
      </c>
      <c r="G205">
        <v>117.90055688146001</v>
      </c>
      <c r="I205" s="9">
        <f t="shared" si="22"/>
        <v>199.61796163706001</v>
      </c>
      <c r="J205" s="9">
        <f t="shared" si="23"/>
        <v>1226.1238247845399</v>
      </c>
      <c r="K205" s="9">
        <f t="shared" si="24"/>
        <v>199.61796163706001</v>
      </c>
      <c r="L205" s="10">
        <f t="shared" si="21"/>
        <v>0.16280408030741739</v>
      </c>
      <c r="M205" s="10">
        <f t="shared" si="20"/>
        <v>0.17618816028273143</v>
      </c>
      <c r="P205" s="8">
        <f t="shared" si="25"/>
        <v>-5.1904662840745592</v>
      </c>
    </row>
    <row r="206" spans="1:16" x14ac:dyDescent="0.2">
      <c r="A206" s="8">
        <v>102</v>
      </c>
      <c r="B206" s="8">
        <v>204</v>
      </c>
      <c r="D206">
        <v>1355.5665878645</v>
      </c>
      <c r="E206">
        <v>317.25453112687001</v>
      </c>
      <c r="F206">
        <v>140.62927605409999</v>
      </c>
      <c r="G206">
        <v>117.52267303103</v>
      </c>
      <c r="I206" s="9">
        <f t="shared" si="22"/>
        <v>199.73185809584001</v>
      </c>
      <c r="J206" s="9">
        <f t="shared" si="23"/>
        <v>1214.9373118103999</v>
      </c>
      <c r="K206" s="9">
        <f t="shared" si="24"/>
        <v>199.73185809584001</v>
      </c>
      <c r="L206" s="10">
        <f t="shared" si="21"/>
        <v>0.16439684266360705</v>
      </c>
      <c r="M206" s="10">
        <f t="shared" si="20"/>
        <v>0.17784685406737091</v>
      </c>
      <c r="P206" s="8">
        <f t="shared" si="25"/>
        <v>-4.2978978842069653</v>
      </c>
    </row>
    <row r="207" spans="1:16" x14ac:dyDescent="0.2">
      <c r="A207" s="8">
        <v>102.5</v>
      </c>
      <c r="B207" s="8">
        <v>205</v>
      </c>
      <c r="D207">
        <v>1332.7549251379</v>
      </c>
      <c r="E207">
        <v>315.59968479116998</v>
      </c>
      <c r="F207">
        <v>140.15035799523</v>
      </c>
      <c r="G207">
        <v>117.98965791566999</v>
      </c>
      <c r="I207" s="9">
        <f t="shared" si="22"/>
        <v>197.61002687549998</v>
      </c>
      <c r="J207" s="9">
        <f t="shared" si="23"/>
        <v>1192.60456714267</v>
      </c>
      <c r="K207" s="9">
        <f t="shared" si="24"/>
        <v>197.61002687549998</v>
      </c>
      <c r="L207" s="10">
        <f t="shared" si="21"/>
        <v>0.16569618490473223</v>
      </c>
      <c r="M207" s="10">
        <f t="shared" si="20"/>
        <v>0.17921212773694592</v>
      </c>
      <c r="P207" s="8">
        <f t="shared" si="25"/>
        <v>-3.5632233192457257</v>
      </c>
    </row>
    <row r="208" spans="1:16" x14ac:dyDescent="0.2">
      <c r="A208" s="8">
        <v>103</v>
      </c>
      <c r="B208" s="8">
        <v>206</v>
      </c>
      <c r="D208">
        <v>1324.1725768322001</v>
      </c>
      <c r="E208">
        <v>313.19070133963999</v>
      </c>
      <c r="F208">
        <v>140.22752585520999</v>
      </c>
      <c r="G208">
        <v>117.73747016706</v>
      </c>
      <c r="I208" s="9">
        <f t="shared" si="22"/>
        <v>195.45323117257999</v>
      </c>
      <c r="J208" s="9">
        <f t="shared" si="23"/>
        <v>1183.9450509769902</v>
      </c>
      <c r="K208" s="9">
        <f t="shared" si="24"/>
        <v>195.45323117257999</v>
      </c>
      <c r="L208" s="10">
        <f t="shared" si="21"/>
        <v>0.16508640414628381</v>
      </c>
      <c r="M208" s="10">
        <f t="shared" si="20"/>
        <v>0.17866827840694732</v>
      </c>
      <c r="P208" s="8">
        <f t="shared" si="25"/>
        <v>-3.8558769306242828</v>
      </c>
    </row>
    <row r="209" spans="1:16" x14ac:dyDescent="0.2">
      <c r="A209" s="8">
        <v>103.5</v>
      </c>
      <c r="B209" s="8">
        <v>207</v>
      </c>
      <c r="D209">
        <v>1315.6367218282001</v>
      </c>
      <c r="E209">
        <v>312.44365642238</v>
      </c>
      <c r="F209">
        <v>140.19093078758999</v>
      </c>
      <c r="G209">
        <v>117.67462211615</v>
      </c>
      <c r="I209" s="9">
        <f t="shared" si="22"/>
        <v>194.76903430623</v>
      </c>
      <c r="J209" s="9">
        <f t="shared" si="23"/>
        <v>1175.4457910406099</v>
      </c>
      <c r="K209" s="9">
        <f t="shared" si="24"/>
        <v>194.76903430623</v>
      </c>
      <c r="L209" s="10">
        <f t="shared" si="21"/>
        <v>0.16569801499208484</v>
      </c>
      <c r="M209" s="10">
        <f t="shared" si="20"/>
        <v>0.17934582068119817</v>
      </c>
      <c r="P209" s="8">
        <f t="shared" si="25"/>
        <v>-3.4912811087968239</v>
      </c>
    </row>
    <row r="210" spans="1:16" x14ac:dyDescent="0.2">
      <c r="A210" s="8">
        <v>104</v>
      </c>
      <c r="B210" s="8">
        <v>208</v>
      </c>
      <c r="D210">
        <v>1242.4436564224</v>
      </c>
      <c r="E210">
        <v>302.82584712372</v>
      </c>
      <c r="F210">
        <v>140.46778042958999</v>
      </c>
      <c r="G210">
        <v>117.43038981703</v>
      </c>
      <c r="I210" s="9">
        <f t="shared" si="22"/>
        <v>185.39545730668999</v>
      </c>
      <c r="J210" s="9">
        <f t="shared" si="23"/>
        <v>1101.97587599281</v>
      </c>
      <c r="K210" s="9">
        <f t="shared" si="24"/>
        <v>185.39545730668999</v>
      </c>
      <c r="L210" s="10">
        <f t="shared" si="21"/>
        <v>0.16823912514387895</v>
      </c>
      <c r="M210" s="10">
        <f t="shared" si="20"/>
        <v>0.18195286226144211</v>
      </c>
      <c r="P210" s="8">
        <f t="shared" si="25"/>
        <v>-2.0883923096611916</v>
      </c>
    </row>
    <row r="211" spans="1:16" x14ac:dyDescent="0.2">
      <c r="A211" s="8">
        <v>104.5</v>
      </c>
      <c r="B211" s="8">
        <v>209</v>
      </c>
      <c r="D211">
        <v>1371.5587076438001</v>
      </c>
      <c r="E211">
        <v>328.76516942474001</v>
      </c>
      <c r="F211">
        <v>140.45425616547001</v>
      </c>
      <c r="G211">
        <v>118.45107398568</v>
      </c>
      <c r="I211" s="9">
        <f t="shared" si="22"/>
        <v>210.31409543906</v>
      </c>
      <c r="J211" s="9">
        <f t="shared" si="23"/>
        <v>1231.10445147833</v>
      </c>
      <c r="K211" s="9">
        <f t="shared" si="24"/>
        <v>210.31409543906</v>
      </c>
      <c r="L211" s="10">
        <f t="shared" si="21"/>
        <v>0.17083367311889047</v>
      </c>
      <c r="M211" s="10">
        <f t="shared" si="20"/>
        <v>0.18461334166490345</v>
      </c>
      <c r="P211" s="8">
        <f t="shared" si="25"/>
        <v>-0.65674780359323381</v>
      </c>
    </row>
    <row r="212" spans="1:16" x14ac:dyDescent="0.2">
      <c r="A212" s="8">
        <v>105</v>
      </c>
      <c r="B212" s="8">
        <v>210</v>
      </c>
      <c r="D212">
        <v>1374.1623325452999</v>
      </c>
      <c r="E212">
        <v>331.20803782505999</v>
      </c>
      <c r="F212">
        <v>140.95385839299999</v>
      </c>
      <c r="G212">
        <v>117.81941129674</v>
      </c>
      <c r="I212" s="9">
        <f t="shared" si="22"/>
        <v>213.38862652832</v>
      </c>
      <c r="J212" s="9">
        <f t="shared" si="23"/>
        <v>1233.2084741522999</v>
      </c>
      <c r="K212" s="9">
        <f t="shared" si="24"/>
        <v>213.38862652832</v>
      </c>
      <c r="L212" s="10">
        <f t="shared" si="21"/>
        <v>0.1730353229002923</v>
      </c>
      <c r="M212" s="10">
        <f t="shared" si="20"/>
        <v>0.18688092287475511</v>
      </c>
      <c r="P212" s="8">
        <f t="shared" si="25"/>
        <v>0.56347219770557599</v>
      </c>
    </row>
    <row r="213" spans="1:16" x14ac:dyDescent="0.2">
      <c r="A213" s="8">
        <v>105.5</v>
      </c>
      <c r="B213" s="8">
        <v>211</v>
      </c>
      <c r="D213">
        <v>1376.2899921198</v>
      </c>
      <c r="E213">
        <v>332.69109535067003</v>
      </c>
      <c r="F213">
        <v>140.33412887828001</v>
      </c>
      <c r="G213">
        <v>117.7907716786</v>
      </c>
      <c r="I213" s="9">
        <f t="shared" si="22"/>
        <v>214.90032367207004</v>
      </c>
      <c r="J213" s="9">
        <f t="shared" si="23"/>
        <v>1235.9558632415201</v>
      </c>
      <c r="K213" s="9">
        <f t="shared" si="24"/>
        <v>214.90032367207004</v>
      </c>
      <c r="L213" s="10">
        <f t="shared" si="21"/>
        <v>0.17387378470656281</v>
      </c>
      <c r="M213" s="10">
        <f t="shared" si="20"/>
        <v>0.18778531610947544</v>
      </c>
      <c r="P213" s="8">
        <f t="shared" si="25"/>
        <v>1.0501399780040688</v>
      </c>
    </row>
    <row r="214" spans="1:16" x14ac:dyDescent="0.2">
      <c r="A214" s="8">
        <v>106</v>
      </c>
      <c r="B214" s="8">
        <v>212</v>
      </c>
      <c r="D214">
        <v>1342.8232994527</v>
      </c>
      <c r="E214">
        <v>321.70289288507001</v>
      </c>
      <c r="F214">
        <v>140.57438345266999</v>
      </c>
      <c r="G214">
        <v>117.37470167063999</v>
      </c>
      <c r="I214" s="9">
        <f t="shared" si="22"/>
        <v>204.32819121443003</v>
      </c>
      <c r="J214" s="9">
        <f t="shared" si="23"/>
        <v>1202.24891600003</v>
      </c>
      <c r="K214" s="9">
        <f t="shared" si="24"/>
        <v>204.32819121443003</v>
      </c>
      <c r="L214" s="10">
        <f t="shared" si="21"/>
        <v>0.16995498061603154</v>
      </c>
      <c r="M214" s="10">
        <f t="shared" si="20"/>
        <v>0.18393244344739398</v>
      </c>
      <c r="P214" s="8">
        <f t="shared" si="25"/>
        <v>-1.023149509624355</v>
      </c>
    </row>
    <row r="215" spans="1:16" x14ac:dyDescent="0.2">
      <c r="A215" s="8">
        <v>106.5</v>
      </c>
      <c r="B215" s="8">
        <v>213</v>
      </c>
      <c r="D215">
        <v>1278.5715402658</v>
      </c>
      <c r="E215">
        <v>313.64034401877001</v>
      </c>
      <c r="F215">
        <v>140.44709626093999</v>
      </c>
      <c r="G215">
        <v>117.67780429594001</v>
      </c>
      <c r="I215" s="9">
        <f t="shared" si="22"/>
        <v>195.96253972283</v>
      </c>
      <c r="J215" s="9">
        <f t="shared" si="23"/>
        <v>1138.1244440048599</v>
      </c>
      <c r="K215" s="9">
        <f t="shared" si="24"/>
        <v>195.96253972283</v>
      </c>
      <c r="L215" s="10">
        <f t="shared" si="21"/>
        <v>0.17218023982796843</v>
      </c>
      <c r="M215" s="10">
        <f t="shared" si="20"/>
        <v>0.1862236340877807</v>
      </c>
      <c r="P215" s="8">
        <f t="shared" si="25"/>
        <v>0.20977508599416134</v>
      </c>
    </row>
    <row r="216" spans="1:16" x14ac:dyDescent="0.2">
      <c r="A216" s="8">
        <v>107</v>
      </c>
      <c r="B216" s="8">
        <v>214</v>
      </c>
      <c r="D216">
        <v>1245.7599687255999</v>
      </c>
      <c r="E216">
        <v>307.23768569194999</v>
      </c>
      <c r="F216">
        <v>140.16149562449999</v>
      </c>
      <c r="G216">
        <v>117.80509148767</v>
      </c>
      <c r="I216" s="9">
        <f t="shared" si="22"/>
        <v>189.43259420428001</v>
      </c>
      <c r="J216" s="9">
        <f t="shared" si="23"/>
        <v>1105.5984731010999</v>
      </c>
      <c r="K216" s="9">
        <f t="shared" si="24"/>
        <v>189.43259420428001</v>
      </c>
      <c r="L216" s="10">
        <f t="shared" si="21"/>
        <v>0.17133941373212949</v>
      </c>
      <c r="M216" s="10">
        <f t="shared" si="20"/>
        <v>0.18544873942039158</v>
      </c>
      <c r="P216" s="8">
        <f t="shared" si="25"/>
        <v>-0.20720754198847369</v>
      </c>
    </row>
    <row r="217" spans="1:16" x14ac:dyDescent="0.2">
      <c r="A217" s="8">
        <v>107.5</v>
      </c>
      <c r="B217" s="8">
        <v>215</v>
      </c>
      <c r="D217">
        <v>1330.7094220111001</v>
      </c>
      <c r="E217">
        <v>322.17656373712998</v>
      </c>
      <c r="F217">
        <v>140.48369132856001</v>
      </c>
      <c r="G217">
        <v>117.76133651551</v>
      </c>
      <c r="I217" s="9">
        <f t="shared" si="22"/>
        <v>204.41522722162</v>
      </c>
      <c r="J217" s="9">
        <f t="shared" si="23"/>
        <v>1190.22573068254</v>
      </c>
      <c r="K217" s="9">
        <f t="shared" si="24"/>
        <v>204.41522722162</v>
      </c>
      <c r="L217" s="10">
        <f t="shared" si="21"/>
        <v>0.17174492363259297</v>
      </c>
      <c r="M217" s="10">
        <f t="shared" si="20"/>
        <v>0.18592018074930489</v>
      </c>
      <c r="P217" s="8">
        <f t="shared" si="25"/>
        <v>4.6482220688884232E-2</v>
      </c>
    </row>
    <row r="218" spans="1:16" x14ac:dyDescent="0.2">
      <c r="A218" s="8">
        <v>108</v>
      </c>
      <c r="B218" s="8">
        <v>216</v>
      </c>
      <c r="D218">
        <v>1317.4117181314</v>
      </c>
      <c r="E218">
        <v>321.91923990498998</v>
      </c>
      <c r="F218">
        <v>140.00079554494999</v>
      </c>
      <c r="G218">
        <v>117.79554494829</v>
      </c>
      <c r="I218" s="9">
        <f t="shared" si="22"/>
        <v>204.12369495669998</v>
      </c>
      <c r="J218" s="9">
        <f t="shared" si="23"/>
        <v>1177.4109225864499</v>
      </c>
      <c r="K218" s="9">
        <f t="shared" si="24"/>
        <v>204.12369495669998</v>
      </c>
      <c r="L218" s="10">
        <f t="shared" si="21"/>
        <v>0.17336657155200838</v>
      </c>
      <c r="M218" s="10">
        <f t="shared" si="20"/>
        <v>0.18760776009717012</v>
      </c>
      <c r="P218" s="8">
        <f t="shared" si="25"/>
        <v>0.95459438227213855</v>
      </c>
    </row>
    <row r="219" spans="1:16" x14ac:dyDescent="0.2">
      <c r="A219" s="8">
        <v>108.5</v>
      </c>
      <c r="B219" s="8">
        <v>217</v>
      </c>
      <c r="D219">
        <v>1260.6595407759</v>
      </c>
      <c r="E219">
        <v>313.34045922407</v>
      </c>
      <c r="F219">
        <v>140.21241050118999</v>
      </c>
      <c r="G219">
        <v>117.49244232299</v>
      </c>
      <c r="I219" s="9">
        <f t="shared" si="22"/>
        <v>195.84801690108</v>
      </c>
      <c r="J219" s="9">
        <f t="shared" si="23"/>
        <v>1120.4471302747102</v>
      </c>
      <c r="K219" s="9">
        <f t="shared" si="24"/>
        <v>195.84801690108</v>
      </c>
      <c r="L219" s="10">
        <f t="shared" si="21"/>
        <v>0.17479451873205493</v>
      </c>
      <c r="M219" s="10">
        <f t="shared" si="20"/>
        <v>0.18910163870566649</v>
      </c>
      <c r="P219" s="8">
        <f t="shared" si="25"/>
        <v>1.7584732244852272</v>
      </c>
    </row>
    <row r="220" spans="1:16" x14ac:dyDescent="0.2">
      <c r="A220" s="8">
        <v>109</v>
      </c>
      <c r="B220" s="8">
        <v>218</v>
      </c>
      <c r="D220">
        <v>1297.7395091052999</v>
      </c>
      <c r="E220">
        <v>319.64053840063002</v>
      </c>
      <c r="F220">
        <v>140.58392999205</v>
      </c>
      <c r="G220">
        <v>117.38424821002</v>
      </c>
      <c r="I220" s="9">
        <f t="shared" si="22"/>
        <v>202.25629019061</v>
      </c>
      <c r="J220" s="9">
        <f t="shared" si="23"/>
        <v>1157.15557911325</v>
      </c>
      <c r="K220" s="9">
        <f t="shared" si="24"/>
        <v>202.25629019061</v>
      </c>
      <c r="L220" s="10">
        <f t="shared" si="21"/>
        <v>0.17478746491945601</v>
      </c>
      <c r="M220" s="10">
        <f t="shared" si="20"/>
        <v>0.1891605163215174</v>
      </c>
      <c r="P220" s="8">
        <f t="shared" si="25"/>
        <v>1.7901561667225059</v>
      </c>
    </row>
    <row r="221" spans="1:16" x14ac:dyDescent="0.2">
      <c r="A221" s="8">
        <v>109.5</v>
      </c>
      <c r="B221" s="8">
        <v>219</v>
      </c>
      <c r="D221">
        <v>1339.3491686461</v>
      </c>
      <c r="E221">
        <v>334.29612034837999</v>
      </c>
      <c r="F221">
        <v>140.42959427208001</v>
      </c>
      <c r="G221">
        <v>117.85441527446</v>
      </c>
      <c r="I221" s="9">
        <f t="shared" si="22"/>
        <v>216.44170507391999</v>
      </c>
      <c r="J221" s="9">
        <f t="shared" si="23"/>
        <v>1198.9195743740199</v>
      </c>
      <c r="K221" s="9">
        <f t="shared" si="24"/>
        <v>216.44170507391999</v>
      </c>
      <c r="L221" s="10">
        <f t="shared" si="21"/>
        <v>0.18053062915994891</v>
      </c>
      <c r="M221" s="10">
        <f t="shared" si="20"/>
        <v>0.19496961199046012</v>
      </c>
      <c r="P221" s="8">
        <f t="shared" si="25"/>
        <v>4.9161190622987663</v>
      </c>
    </row>
    <row r="222" spans="1:16" x14ac:dyDescent="0.2">
      <c r="A222" s="8">
        <v>110</v>
      </c>
      <c r="B222" s="8">
        <v>220</v>
      </c>
      <c r="D222">
        <v>1241.1916072842</v>
      </c>
      <c r="E222">
        <v>314.67537608868003</v>
      </c>
      <c r="F222">
        <v>140.19968178202001</v>
      </c>
      <c r="G222">
        <v>117.79634049324</v>
      </c>
      <c r="I222" s="9">
        <f t="shared" si="22"/>
        <v>196.87903559544003</v>
      </c>
      <c r="J222" s="9">
        <f t="shared" si="23"/>
        <v>1100.99192550218</v>
      </c>
      <c r="K222" s="9">
        <f t="shared" si="24"/>
        <v>196.87903559544003</v>
      </c>
      <c r="L222" s="10">
        <f t="shared" si="21"/>
        <v>0.17881969071266382</v>
      </c>
      <c r="M222" s="10">
        <f t="shared" si="20"/>
        <v>0.19332460497162485</v>
      </c>
      <c r="P222" s="8">
        <f t="shared" si="25"/>
        <v>4.0309157196625653</v>
      </c>
    </row>
    <row r="223" spans="1:16" x14ac:dyDescent="0.2">
      <c r="A223" s="8">
        <v>110.5</v>
      </c>
      <c r="B223" s="8">
        <v>221</v>
      </c>
      <c r="D223">
        <v>1269.4006334124999</v>
      </c>
      <c r="E223">
        <v>320.81235154394</v>
      </c>
      <c r="F223">
        <v>140.49403341288999</v>
      </c>
      <c r="G223">
        <v>117.74542561654999</v>
      </c>
      <c r="I223" s="9">
        <f t="shared" si="22"/>
        <v>203.06692592739</v>
      </c>
      <c r="J223" s="9">
        <f t="shared" si="23"/>
        <v>1128.9065999996099</v>
      </c>
      <c r="K223" s="9">
        <f t="shared" si="24"/>
        <v>203.06692592739</v>
      </c>
      <c r="L223" s="10">
        <f t="shared" si="21"/>
        <v>0.17987929730188501</v>
      </c>
      <c r="M223" s="10">
        <f t="shared" si="20"/>
        <v>0.19445014298929586</v>
      </c>
      <c r="P223" s="8">
        <f t="shared" si="25"/>
        <v>4.6365848773613241</v>
      </c>
    </row>
    <row r="224" spans="1:16" x14ac:dyDescent="0.2">
      <c r="A224" s="8">
        <v>111</v>
      </c>
      <c r="B224" s="8">
        <v>222</v>
      </c>
      <c r="D224">
        <v>1282.7878068092</v>
      </c>
      <c r="E224">
        <v>323.65320665082999</v>
      </c>
      <c r="F224">
        <v>140.37390612569999</v>
      </c>
      <c r="G224">
        <v>117.31901352426</v>
      </c>
      <c r="I224" s="9">
        <f t="shared" si="22"/>
        <v>206.33419312656997</v>
      </c>
      <c r="J224" s="9">
        <f t="shared" si="23"/>
        <v>1142.4139006835001</v>
      </c>
      <c r="K224" s="9">
        <f t="shared" si="24"/>
        <v>206.33419312656997</v>
      </c>
      <c r="L224" s="10">
        <f t="shared" si="21"/>
        <v>0.18061246716546545</v>
      </c>
      <c r="M224" s="10">
        <f t="shared" si="20"/>
        <v>0.19524924428132612</v>
      </c>
      <c r="P224" s="8">
        <f t="shared" si="25"/>
        <v>5.0665934589118962</v>
      </c>
    </row>
    <row r="225" spans="1:16" x14ac:dyDescent="0.2">
      <c r="A225" s="8">
        <v>111.5</v>
      </c>
      <c r="B225" s="8">
        <v>223</v>
      </c>
      <c r="D225">
        <v>1295.8456057006999</v>
      </c>
      <c r="E225">
        <v>328.57323832146</v>
      </c>
      <c r="F225">
        <v>140.10023866348001</v>
      </c>
      <c r="G225">
        <v>117.55449482896</v>
      </c>
      <c r="I225" s="9">
        <f t="shared" si="22"/>
        <v>211.01874349249999</v>
      </c>
      <c r="J225" s="9">
        <f t="shared" si="23"/>
        <v>1155.7453670372199</v>
      </c>
      <c r="K225" s="9">
        <f t="shared" si="24"/>
        <v>211.01874349249999</v>
      </c>
      <c r="L225" s="10">
        <f t="shared" si="21"/>
        <v>0.18258238320561165</v>
      </c>
      <c r="M225" s="10">
        <f t="shared" si="20"/>
        <v>0.19728509174992215</v>
      </c>
      <c r="P225" s="8">
        <f t="shared" si="25"/>
        <v>6.1621140029972574</v>
      </c>
    </row>
    <row r="226" spans="1:16" x14ac:dyDescent="0.2">
      <c r="A226" s="8">
        <v>112</v>
      </c>
      <c r="B226" s="8">
        <v>224</v>
      </c>
      <c r="D226">
        <v>1282.0570071259001</v>
      </c>
      <c r="E226">
        <v>322.50197941408999</v>
      </c>
      <c r="F226">
        <v>139.89737470167</v>
      </c>
      <c r="G226">
        <v>117.66268894193</v>
      </c>
      <c r="I226" s="9">
        <f t="shared" si="22"/>
        <v>204.83929047215997</v>
      </c>
      <c r="J226" s="9">
        <f t="shared" si="23"/>
        <v>1142.15963242423</v>
      </c>
      <c r="K226" s="9">
        <f t="shared" si="24"/>
        <v>204.83929047215997</v>
      </c>
      <c r="L226" s="10">
        <f t="shared" si="21"/>
        <v>0.17934383658559991</v>
      </c>
      <c r="M226" s="10">
        <f t="shared" si="20"/>
        <v>0.19411247655836023</v>
      </c>
      <c r="P226" s="8">
        <f t="shared" si="25"/>
        <v>4.4548814256812852</v>
      </c>
    </row>
    <row r="227" spans="1:16" x14ac:dyDescent="0.2">
      <c r="A227" s="8">
        <v>112.5</v>
      </c>
      <c r="B227" s="8">
        <v>225</v>
      </c>
      <c r="D227">
        <v>1259.7133808393</v>
      </c>
      <c r="E227">
        <v>318.37608867774998</v>
      </c>
      <c r="F227">
        <v>139.89817024662</v>
      </c>
      <c r="G227">
        <v>117.48210023866</v>
      </c>
      <c r="I227" s="9">
        <f t="shared" si="22"/>
        <v>200.89398843908998</v>
      </c>
      <c r="J227" s="9">
        <f t="shared" si="23"/>
        <v>1119.8152105926802</v>
      </c>
      <c r="K227" s="9">
        <f t="shared" si="24"/>
        <v>200.89398843908998</v>
      </c>
      <c r="L227" s="10">
        <f t="shared" si="21"/>
        <v>0.17939923171142105</v>
      </c>
      <c r="M227" s="10">
        <f t="shared" si="20"/>
        <v>0.19423380311263119</v>
      </c>
      <c r="P227" s="8">
        <f t="shared" si="25"/>
        <v>4.5201690932483416</v>
      </c>
    </row>
    <row r="228" spans="1:16" x14ac:dyDescent="0.2">
      <c r="A228" s="8">
        <v>113</v>
      </c>
      <c r="B228" s="8">
        <v>226</v>
      </c>
      <c r="D228">
        <v>1251.530482977</v>
      </c>
      <c r="E228">
        <v>318.64370546318003</v>
      </c>
      <c r="F228">
        <v>139.91328560063999</v>
      </c>
      <c r="G228">
        <v>117.27844073190001</v>
      </c>
      <c r="I228" s="9">
        <f t="shared" si="22"/>
        <v>201.36526473128004</v>
      </c>
      <c r="J228" s="9">
        <f t="shared" si="23"/>
        <v>1111.6171973763601</v>
      </c>
      <c r="K228" s="9">
        <f t="shared" si="24"/>
        <v>201.36526473128004</v>
      </c>
      <c r="L228" s="10">
        <f t="shared" si="21"/>
        <v>0.18114623020095633</v>
      </c>
      <c r="M228" s="10">
        <f t="shared" si="20"/>
        <v>0.19604673303061629</v>
      </c>
      <c r="P228" s="8">
        <f t="shared" si="25"/>
        <v>5.495734306642901</v>
      </c>
    </row>
    <row r="229" spans="1:16" x14ac:dyDescent="0.2">
      <c r="A229" s="8">
        <v>113.5</v>
      </c>
      <c r="B229" s="8">
        <v>227</v>
      </c>
      <c r="D229">
        <v>1290.2375296912001</v>
      </c>
      <c r="E229">
        <v>324.93586698336998</v>
      </c>
      <c r="F229">
        <v>140.24264120922999</v>
      </c>
      <c r="G229">
        <v>117.5369928401</v>
      </c>
      <c r="I229" s="9">
        <f t="shared" si="22"/>
        <v>207.39887414326998</v>
      </c>
      <c r="J229" s="9">
        <f t="shared" si="23"/>
        <v>1149.9948884819701</v>
      </c>
      <c r="K229" s="9">
        <f t="shared" si="24"/>
        <v>207.39887414326998</v>
      </c>
      <c r="L229" s="10">
        <f t="shared" si="21"/>
        <v>0.18034764869002426</v>
      </c>
      <c r="M229" s="10">
        <f t="shared" si="20"/>
        <v>0.19531408294813404</v>
      </c>
      <c r="P229" s="8">
        <f t="shared" si="25"/>
        <v>5.1014841335006826</v>
      </c>
    </row>
    <row r="230" spans="1:16" x14ac:dyDescent="0.2">
      <c r="A230" s="8">
        <v>114</v>
      </c>
      <c r="B230" s="8">
        <v>228</v>
      </c>
      <c r="D230">
        <v>1313.0799683293999</v>
      </c>
      <c r="E230">
        <v>329.22565320665001</v>
      </c>
      <c r="F230">
        <v>140.22195704057</v>
      </c>
      <c r="G230">
        <v>117.41447891806</v>
      </c>
      <c r="I230" s="9">
        <f t="shared" si="22"/>
        <v>211.81117428859</v>
      </c>
      <c r="J230" s="9">
        <f t="shared" si="23"/>
        <v>1172.8580112888299</v>
      </c>
      <c r="K230" s="9">
        <f t="shared" si="24"/>
        <v>211.81117428859</v>
      </c>
      <c r="L230" s="10">
        <f t="shared" si="21"/>
        <v>0.18059404655115499</v>
      </c>
      <c r="M230" s="10">
        <f t="shared" si="20"/>
        <v>0.1956264122377146</v>
      </c>
      <c r="P230" s="8">
        <f t="shared" si="25"/>
        <v>5.2695532833427619</v>
      </c>
    </row>
    <row r="231" spans="1:16" x14ac:dyDescent="0.2">
      <c r="A231" s="8">
        <v>114.5</v>
      </c>
      <c r="B231" s="8">
        <v>229</v>
      </c>
      <c r="D231">
        <v>1315.8258115598001</v>
      </c>
      <c r="E231">
        <v>333.64687252572998</v>
      </c>
      <c r="F231">
        <v>140.76451869530999</v>
      </c>
      <c r="G231">
        <v>117.66746221162001</v>
      </c>
      <c r="I231" s="9">
        <f t="shared" si="22"/>
        <v>215.97941031410997</v>
      </c>
      <c r="J231" s="9">
        <f t="shared" si="23"/>
        <v>1175.06129286449</v>
      </c>
      <c r="K231" s="9">
        <f t="shared" si="24"/>
        <v>215.97941031410997</v>
      </c>
      <c r="L231" s="10">
        <f t="shared" si="21"/>
        <v>0.18380267618858334</v>
      </c>
      <c r="M231" s="10">
        <f t="shared" si="20"/>
        <v>0.19890097330359277</v>
      </c>
      <c r="P231" s="8">
        <f t="shared" si="25"/>
        <v>7.0316444890289711</v>
      </c>
    </row>
    <row r="232" spans="1:16" x14ac:dyDescent="0.2">
      <c r="A232" s="8">
        <v>115</v>
      </c>
      <c r="B232" s="8">
        <v>230</v>
      </c>
      <c r="D232">
        <v>1279.0451306412999</v>
      </c>
      <c r="E232">
        <v>325.76722090261001</v>
      </c>
      <c r="F232">
        <v>139.91726332537999</v>
      </c>
      <c r="G232">
        <v>117.32537788385</v>
      </c>
      <c r="I232" s="9">
        <f t="shared" si="22"/>
        <v>208.44184301876001</v>
      </c>
      <c r="J232" s="9">
        <f t="shared" si="23"/>
        <v>1139.12786731592</v>
      </c>
      <c r="K232" s="9">
        <f t="shared" si="24"/>
        <v>208.44184301876001</v>
      </c>
      <c r="L232" s="10">
        <f t="shared" si="21"/>
        <v>0.18298370973041239</v>
      </c>
      <c r="M232" s="10">
        <f t="shared" si="20"/>
        <v>0.19814793827387164</v>
      </c>
      <c r="P232" s="8">
        <f t="shared" si="25"/>
        <v>6.6264248651617947</v>
      </c>
    </row>
    <row r="233" spans="1:16" x14ac:dyDescent="0.2">
      <c r="A233" s="8">
        <v>115.5</v>
      </c>
      <c r="B233" s="8">
        <v>231</v>
      </c>
      <c r="D233">
        <v>1276.3586698337001</v>
      </c>
      <c r="E233">
        <v>326.82501979414002</v>
      </c>
      <c r="F233">
        <v>140.35799522673</v>
      </c>
      <c r="G233">
        <v>117.61097852029</v>
      </c>
      <c r="I233" s="9">
        <f t="shared" si="22"/>
        <v>209.21404127385</v>
      </c>
      <c r="J233" s="9">
        <f t="shared" si="23"/>
        <v>1136.0006746069701</v>
      </c>
      <c r="K233" s="9">
        <f t="shared" si="24"/>
        <v>209.21404127385</v>
      </c>
      <c r="L233" s="10">
        <f t="shared" si="21"/>
        <v>0.1841671804871359</v>
      </c>
      <c r="M233" s="10">
        <f t="shared" si="20"/>
        <v>0.19939734045904497</v>
      </c>
      <c r="P233" s="8">
        <f t="shared" si="25"/>
        <v>7.2987472187742934</v>
      </c>
    </row>
    <row r="234" spans="1:16" x14ac:dyDescent="0.2">
      <c r="A234" s="8">
        <v>116</v>
      </c>
      <c r="B234" s="8">
        <v>232</v>
      </c>
      <c r="D234">
        <v>1288.9992082343999</v>
      </c>
      <c r="E234">
        <v>330.68725257324002</v>
      </c>
      <c r="F234">
        <v>139.84248210024001</v>
      </c>
      <c r="G234">
        <v>117.41288782816</v>
      </c>
      <c r="I234" s="9">
        <f t="shared" si="22"/>
        <v>213.27436474508002</v>
      </c>
      <c r="J234" s="9">
        <f t="shared" si="23"/>
        <v>1149.15672613416</v>
      </c>
      <c r="K234" s="9">
        <f t="shared" si="24"/>
        <v>213.27436474508002</v>
      </c>
      <c r="L234" s="10">
        <f t="shared" si="21"/>
        <v>0.1855920605908554</v>
      </c>
      <c r="M234" s="10">
        <f t="shared" si="20"/>
        <v>0.20088815199121429</v>
      </c>
      <c r="P234" s="8">
        <f t="shared" si="25"/>
        <v>8.1009756204812078</v>
      </c>
    </row>
    <row r="235" spans="1:16" x14ac:dyDescent="0.2">
      <c r="A235" s="8">
        <v>116.5</v>
      </c>
      <c r="B235" s="8">
        <v>233</v>
      </c>
      <c r="D235">
        <v>1312.1900237530001</v>
      </c>
      <c r="E235">
        <v>338.48614410135002</v>
      </c>
      <c r="F235">
        <v>140.26491646778001</v>
      </c>
      <c r="G235">
        <v>117.72553699284001</v>
      </c>
      <c r="I235" s="9">
        <f t="shared" si="22"/>
        <v>220.76060710851002</v>
      </c>
      <c r="J235" s="9">
        <f t="shared" si="23"/>
        <v>1171.9251072852201</v>
      </c>
      <c r="K235" s="9">
        <f t="shared" si="24"/>
        <v>220.76060710851002</v>
      </c>
      <c r="L235" s="10">
        <f t="shared" si="21"/>
        <v>0.1883743301821606</v>
      </c>
      <c r="M235" s="10">
        <f t="shared" si="20"/>
        <v>0.20373635301096932</v>
      </c>
      <c r="P235" s="8">
        <f t="shared" si="25"/>
        <v>9.6336359886856648</v>
      </c>
    </row>
    <row r="236" spans="1:16" x14ac:dyDescent="0.2">
      <c r="A236" s="8">
        <v>117</v>
      </c>
      <c r="B236" s="8">
        <v>234</v>
      </c>
      <c r="D236">
        <v>1247.4790182106001</v>
      </c>
      <c r="E236">
        <v>324.19398258116001</v>
      </c>
      <c r="F236">
        <v>139.79474940334001</v>
      </c>
      <c r="G236">
        <v>117.33969769292</v>
      </c>
      <c r="I236" s="9">
        <f t="shared" si="22"/>
        <v>206.85428488824002</v>
      </c>
      <c r="J236" s="9">
        <f t="shared" si="23"/>
        <v>1107.6842688072602</v>
      </c>
      <c r="K236" s="9">
        <f t="shared" si="24"/>
        <v>206.85428488824002</v>
      </c>
      <c r="L236" s="10">
        <f t="shared" si="21"/>
        <v>0.18674480690330467</v>
      </c>
      <c r="M236" s="10">
        <f t="shared" si="20"/>
        <v>0.20217276116056321</v>
      </c>
      <c r="P236" s="8">
        <f t="shared" si="25"/>
        <v>8.7922433887451472</v>
      </c>
    </row>
    <row r="237" spans="1:16" x14ac:dyDescent="0.2">
      <c r="A237" s="8">
        <v>117.5</v>
      </c>
      <c r="B237" s="8">
        <v>235</v>
      </c>
      <c r="D237">
        <v>1264.6935866982999</v>
      </c>
      <c r="E237">
        <v>327.4766429137</v>
      </c>
      <c r="F237">
        <v>139.59506762132</v>
      </c>
      <c r="G237">
        <v>117.31980906921</v>
      </c>
      <c r="I237" s="9">
        <f t="shared" si="22"/>
        <v>210.15683384449</v>
      </c>
      <c r="J237" s="9">
        <f t="shared" si="23"/>
        <v>1125.09851907698</v>
      </c>
      <c r="K237" s="9">
        <f t="shared" si="24"/>
        <v>210.15683384449</v>
      </c>
      <c r="L237" s="10">
        <f t="shared" si="21"/>
        <v>0.18678971688354959</v>
      </c>
      <c r="M237" s="10">
        <f t="shared" si="20"/>
        <v>0.20228360256925795</v>
      </c>
      <c r="P237" s="8">
        <f t="shared" si="25"/>
        <v>8.8518888397101918</v>
      </c>
    </row>
    <row r="238" spans="1:16" x14ac:dyDescent="0.2">
      <c r="A238" s="8">
        <v>118</v>
      </c>
      <c r="B238" s="8">
        <v>236</v>
      </c>
      <c r="D238">
        <v>1207.2517814727</v>
      </c>
      <c r="E238">
        <v>313.08788598575001</v>
      </c>
      <c r="F238">
        <v>139.91646778043</v>
      </c>
      <c r="G238">
        <v>117.22513922037</v>
      </c>
      <c r="I238" s="9">
        <f t="shared" si="22"/>
        <v>195.86274676538</v>
      </c>
      <c r="J238" s="9">
        <f t="shared" si="23"/>
        <v>1067.3353136922701</v>
      </c>
      <c r="K238" s="9">
        <f t="shared" si="24"/>
        <v>195.86274676538</v>
      </c>
      <c r="L238" s="10">
        <f t="shared" si="21"/>
        <v>0.1835062929641344</v>
      </c>
      <c r="M238" s="10">
        <f t="shared" si="20"/>
        <v>0.19906611007829259</v>
      </c>
      <c r="P238" s="8">
        <f t="shared" si="25"/>
        <v>7.1205071037671974</v>
      </c>
    </row>
    <row r="239" spans="1:16" x14ac:dyDescent="0.2">
      <c r="A239" s="8">
        <v>118.5</v>
      </c>
      <c r="B239" s="8">
        <v>237</v>
      </c>
      <c r="D239">
        <v>1201.1646872526001</v>
      </c>
      <c r="E239">
        <v>309.96437054632003</v>
      </c>
      <c r="F239">
        <v>139.77008750994</v>
      </c>
      <c r="G239">
        <v>117.81145584726001</v>
      </c>
      <c r="I239" s="9">
        <f t="shared" si="22"/>
        <v>192.15291469906003</v>
      </c>
      <c r="J239" s="9">
        <f t="shared" si="23"/>
        <v>1061.3945997426601</v>
      </c>
      <c r="K239" s="9">
        <f t="shared" si="24"/>
        <v>192.15291469906003</v>
      </c>
      <c r="L239" s="10">
        <f t="shared" si="21"/>
        <v>0.18103814994503303</v>
      </c>
      <c r="M239" s="10">
        <f t="shared" si="20"/>
        <v>0.19666389848764104</v>
      </c>
      <c r="P239" s="8">
        <f t="shared" si="25"/>
        <v>5.8278404431290092</v>
      </c>
    </row>
    <row r="240" spans="1:16" x14ac:dyDescent="0.2">
      <c r="A240" s="8">
        <v>119</v>
      </c>
      <c r="B240" s="8">
        <v>238</v>
      </c>
      <c r="D240">
        <v>1199.6231195565999</v>
      </c>
      <c r="E240">
        <v>307.31670625495002</v>
      </c>
      <c r="F240">
        <v>139.91328560063999</v>
      </c>
      <c r="G240">
        <v>117.04295942720999</v>
      </c>
      <c r="I240" s="9">
        <f t="shared" si="22"/>
        <v>190.27374682774001</v>
      </c>
      <c r="J240" s="9">
        <f t="shared" si="23"/>
        <v>1059.70983395596</v>
      </c>
      <c r="K240" s="9">
        <f t="shared" si="24"/>
        <v>190.27374682774001</v>
      </c>
      <c r="L240" s="10">
        <f t="shared" si="21"/>
        <v>0.17955268577383751</v>
      </c>
      <c r="M240" s="10">
        <f t="shared" si="20"/>
        <v>0.19524436574489534</v>
      </c>
      <c r="P240" s="8">
        <f t="shared" si="25"/>
        <v>5.0639682441217779</v>
      </c>
    </row>
    <row r="241" spans="1:16" x14ac:dyDescent="0.2">
      <c r="A241" s="8">
        <v>119.5</v>
      </c>
      <c r="B241" s="8">
        <v>239</v>
      </c>
      <c r="D241">
        <v>1282.9710031348</v>
      </c>
      <c r="E241">
        <v>325.84090909090997</v>
      </c>
      <c r="F241">
        <v>139.65871121718001</v>
      </c>
      <c r="G241">
        <v>117.43675417660999</v>
      </c>
      <c r="I241" s="9">
        <f t="shared" si="22"/>
        <v>208.40415491429997</v>
      </c>
      <c r="J241" s="9">
        <f t="shared" si="23"/>
        <v>1143.3122919176199</v>
      </c>
      <c r="K241" s="9">
        <f t="shared" si="24"/>
        <v>208.40415491429997</v>
      </c>
      <c r="L241" s="10">
        <f t="shared" si="21"/>
        <v>0.18228104113597363</v>
      </c>
      <c r="M241" s="10">
        <f t="shared" si="20"/>
        <v>0.19803865253548128</v>
      </c>
      <c r="P241" s="8">
        <f t="shared" si="25"/>
        <v>6.5676165440920711</v>
      </c>
    </row>
    <row r="242" spans="1:16" x14ac:dyDescent="0.2">
      <c r="A242" s="8">
        <v>120</v>
      </c>
      <c r="B242" s="8">
        <v>240</v>
      </c>
      <c r="D242">
        <v>1289.3095611285</v>
      </c>
      <c r="E242">
        <v>327.71081504701999</v>
      </c>
      <c r="F242">
        <v>139.77167859983999</v>
      </c>
      <c r="G242">
        <v>117.28480509149</v>
      </c>
      <c r="I242" s="9">
        <f>E242-G242</f>
        <v>210.42600995552999</v>
      </c>
      <c r="J242" s="9">
        <f>D242-F242</f>
        <v>1149.53788252866</v>
      </c>
      <c r="K242" s="9">
        <f t="shared" si="24"/>
        <v>210.42600995552999</v>
      </c>
      <c r="L242" s="10">
        <f t="shared" si="21"/>
        <v>0.18305269722181922</v>
      </c>
      <c r="M242" s="10">
        <f>L242+ABS($N$2)*A242</f>
        <v>0.19887624004977669</v>
      </c>
      <c r="O242" s="11"/>
      <c r="P242" s="8">
        <f>(M242-$O$2)/$O$2*100</f>
        <v>7.0183351482774867</v>
      </c>
    </row>
    <row r="243" spans="1:16" x14ac:dyDescent="0.2">
      <c r="A243" s="8">
        <v>120.5</v>
      </c>
      <c r="B243" s="8">
        <v>241</v>
      </c>
      <c r="D243">
        <v>1275.6269592476999</v>
      </c>
      <c r="E243">
        <v>325.24921630094002</v>
      </c>
      <c r="F243">
        <v>140.1169451074</v>
      </c>
      <c r="G243">
        <v>117.34844868735</v>
      </c>
      <c r="I243" s="9">
        <f t="shared" ref="I243:I274" si="26">E243-G243</f>
        <v>207.90076761359001</v>
      </c>
      <c r="J243" s="9">
        <f t="shared" ref="J243:J274" si="27">D243-F243</f>
        <v>1135.5100141403</v>
      </c>
      <c r="K243" s="9">
        <f t="shared" si="24"/>
        <v>207.90076761359001</v>
      </c>
      <c r="L243" s="10">
        <f t="shared" si="21"/>
        <v>0.18309021058787639</v>
      </c>
      <c r="M243" s="10">
        <f t="shared" ref="M243:M274" si="28">L243+ABS($N$2)*A243</f>
        <v>0.19897968484428369</v>
      </c>
      <c r="P243" s="8">
        <f t="shared" ref="P243:P274" si="29">(M243-$O$2)/$O$2*100</f>
        <v>7.0740003684421655</v>
      </c>
    </row>
    <row r="244" spans="1:16" x14ac:dyDescent="0.2">
      <c r="A244" s="8">
        <v>121</v>
      </c>
      <c r="B244" s="8">
        <v>242</v>
      </c>
      <c r="D244">
        <v>1295.6175548588999</v>
      </c>
      <c r="E244">
        <v>331.76018808777002</v>
      </c>
      <c r="F244">
        <v>140.05091487669</v>
      </c>
      <c r="G244">
        <v>117.14081145585</v>
      </c>
      <c r="I244" s="9">
        <f t="shared" si="26"/>
        <v>214.61937663192003</v>
      </c>
      <c r="J244" s="9">
        <f t="shared" si="27"/>
        <v>1155.5666399822098</v>
      </c>
      <c r="K244" s="9">
        <f t="shared" si="24"/>
        <v>214.61937663192003</v>
      </c>
      <c r="L244" s="10">
        <f t="shared" si="21"/>
        <v>0.18572652515758342</v>
      </c>
      <c r="M244" s="10">
        <f t="shared" si="28"/>
        <v>0.20168193084244054</v>
      </c>
      <c r="N244" s="1"/>
      <c r="P244" s="8">
        <f t="shared" si="29"/>
        <v>8.5281201155344313</v>
      </c>
    </row>
    <row r="245" spans="1:16" x14ac:dyDescent="0.2">
      <c r="A245" s="8">
        <v>121.5</v>
      </c>
      <c r="B245" s="8">
        <v>243</v>
      </c>
      <c r="D245">
        <v>1235.4796238245001</v>
      </c>
      <c r="E245">
        <v>315.70141065831001</v>
      </c>
      <c r="F245">
        <v>139.83850437550001</v>
      </c>
      <c r="G245">
        <v>117.39936356404</v>
      </c>
      <c r="I245" s="9">
        <f t="shared" si="26"/>
        <v>198.30204709426999</v>
      </c>
      <c r="J245" s="9">
        <f t="shared" si="27"/>
        <v>1095.6411194490001</v>
      </c>
      <c r="K245" s="9">
        <f t="shared" si="24"/>
        <v>198.30204709426999</v>
      </c>
      <c r="L245" s="10">
        <f t="shared" si="21"/>
        <v>0.18099178971486252</v>
      </c>
      <c r="M245" s="10">
        <f t="shared" si="28"/>
        <v>0.19701312682816946</v>
      </c>
      <c r="P245" s="8">
        <f t="shared" si="29"/>
        <v>6.0157655345355678</v>
      </c>
    </row>
    <row r="246" spans="1:16" x14ac:dyDescent="0.2">
      <c r="A246" s="8">
        <v>122</v>
      </c>
      <c r="B246" s="8">
        <v>244</v>
      </c>
      <c r="D246">
        <v>1253.2938871473</v>
      </c>
      <c r="E246">
        <v>320.73275862068999</v>
      </c>
      <c r="F246">
        <v>139.60938743039</v>
      </c>
      <c r="G246">
        <v>117.61575178998</v>
      </c>
      <c r="I246" s="9">
        <f t="shared" si="26"/>
        <v>203.11700683071001</v>
      </c>
      <c r="J246" s="9">
        <f t="shared" si="27"/>
        <v>1113.6844997169101</v>
      </c>
      <c r="K246" s="9">
        <f t="shared" si="24"/>
        <v>203.11700683071001</v>
      </c>
      <c r="L246" s="10">
        <f t="shared" si="21"/>
        <v>0.18238289828253942</v>
      </c>
      <c r="M246" s="10">
        <f t="shared" si="28"/>
        <v>0.19847016682429619</v>
      </c>
      <c r="P246" s="8">
        <f t="shared" si="29"/>
        <v>6.7998209581040525</v>
      </c>
    </row>
    <row r="247" spans="1:16" x14ac:dyDescent="0.2">
      <c r="A247" s="8">
        <v>122.5</v>
      </c>
      <c r="B247" s="8">
        <v>245</v>
      </c>
      <c r="D247">
        <v>1263.3876582278999</v>
      </c>
      <c r="E247">
        <v>313.93354430379998</v>
      </c>
      <c r="F247">
        <v>139.70803500398</v>
      </c>
      <c r="G247">
        <v>117.51710421639</v>
      </c>
      <c r="I247" s="9">
        <f t="shared" si="26"/>
        <v>196.41644008740997</v>
      </c>
      <c r="J247" s="9">
        <f t="shared" si="27"/>
        <v>1123.6796232239199</v>
      </c>
      <c r="K247" s="9">
        <f t="shared" si="24"/>
        <v>196.41644008740997</v>
      </c>
      <c r="L247" s="10">
        <f t="shared" si="21"/>
        <v>0.17479754551735724</v>
      </c>
      <c r="M247" s="10">
        <f t="shared" si="28"/>
        <v>0.19095074548756383</v>
      </c>
      <c r="P247" s="8">
        <f t="shared" si="29"/>
        <v>2.7535057595960732</v>
      </c>
    </row>
    <row r="248" spans="1:16" x14ac:dyDescent="0.2">
      <c r="A248" s="8">
        <v>123</v>
      </c>
      <c r="B248" s="8">
        <v>246</v>
      </c>
      <c r="D248">
        <v>1228.545886076</v>
      </c>
      <c r="E248">
        <v>305.09493670886002</v>
      </c>
      <c r="F248">
        <v>139.63802704853001</v>
      </c>
      <c r="G248">
        <v>117.18536197295001</v>
      </c>
      <c r="I248" s="9">
        <f t="shared" si="26"/>
        <v>187.90957473591001</v>
      </c>
      <c r="J248" s="9">
        <f t="shared" si="27"/>
        <v>1088.9078590274701</v>
      </c>
      <c r="K248" s="9">
        <f t="shared" si="24"/>
        <v>187.90957473591001</v>
      </c>
      <c r="L248" s="10">
        <f t="shared" si="21"/>
        <v>0.17256701122878901</v>
      </c>
      <c r="M248" s="10">
        <f t="shared" si="28"/>
        <v>0.18878614262744542</v>
      </c>
      <c r="P248" s="8">
        <f t="shared" si="29"/>
        <v>1.5886999774217339</v>
      </c>
    </row>
    <row r="249" spans="1:16" x14ac:dyDescent="0.2">
      <c r="A249" s="8">
        <v>123.5</v>
      </c>
      <c r="B249" s="8">
        <v>247</v>
      </c>
      <c r="D249">
        <v>1259.1943793911</v>
      </c>
      <c r="E249">
        <v>313.07181889149001</v>
      </c>
      <c r="F249">
        <v>139.41766109784999</v>
      </c>
      <c r="G249">
        <v>117.48210023866</v>
      </c>
      <c r="I249" s="9">
        <f t="shared" si="26"/>
        <v>195.58971865283002</v>
      </c>
      <c r="J249" s="9">
        <f t="shared" si="27"/>
        <v>1119.77671829325</v>
      </c>
      <c r="K249" s="9">
        <f t="shared" si="24"/>
        <v>195.58971865283002</v>
      </c>
      <c r="L249" s="10">
        <f t="shared" si="21"/>
        <v>0.17466849904769002</v>
      </c>
      <c r="M249" s="10">
        <f t="shared" si="28"/>
        <v>0.19095356187479626</v>
      </c>
      <c r="P249" s="8">
        <f t="shared" si="29"/>
        <v>2.7550213004805553</v>
      </c>
    </row>
    <row r="250" spans="1:16" x14ac:dyDescent="0.2">
      <c r="A250" s="8">
        <v>124</v>
      </c>
      <c r="B250" s="8">
        <v>248</v>
      </c>
      <c r="D250">
        <v>1188.6526151444</v>
      </c>
      <c r="E250">
        <v>299.29039812645999</v>
      </c>
      <c r="F250">
        <v>139.85282418457001</v>
      </c>
      <c r="G250">
        <v>116.94908512331</v>
      </c>
      <c r="I250" s="9">
        <f t="shared" si="26"/>
        <v>182.34131300314999</v>
      </c>
      <c r="J250" s="9">
        <f t="shared" si="27"/>
        <v>1048.79979095983</v>
      </c>
      <c r="K250" s="9">
        <f t="shared" si="24"/>
        <v>182.34131300314999</v>
      </c>
      <c r="L250" s="10">
        <f t="shared" si="21"/>
        <v>0.1738571218023191</v>
      </c>
      <c r="M250" s="10">
        <f t="shared" si="28"/>
        <v>0.19020811605787516</v>
      </c>
      <c r="P250" s="8">
        <f t="shared" si="29"/>
        <v>2.3538855476617355</v>
      </c>
    </row>
    <row r="251" spans="1:16" x14ac:dyDescent="0.2">
      <c r="A251" s="8">
        <v>124.5</v>
      </c>
      <c r="B251" s="8">
        <v>249</v>
      </c>
      <c r="D251">
        <v>1240.3696162881999</v>
      </c>
      <c r="E251">
        <v>310.03758809710001</v>
      </c>
      <c r="F251">
        <v>139.88703261734</v>
      </c>
      <c r="G251">
        <v>117.30628480509</v>
      </c>
      <c r="I251" s="9">
        <f t="shared" si="26"/>
        <v>192.73130329201001</v>
      </c>
      <c r="J251" s="9">
        <f t="shared" si="27"/>
        <v>1100.4825836708599</v>
      </c>
      <c r="K251" s="9">
        <f t="shared" si="24"/>
        <v>192.73130329201001</v>
      </c>
      <c r="L251" s="10">
        <f t="shared" si="21"/>
        <v>0.17513344250221544</v>
      </c>
      <c r="M251" s="10">
        <f t="shared" si="28"/>
        <v>0.19155036818622131</v>
      </c>
      <c r="P251" s="8">
        <f t="shared" si="29"/>
        <v>3.0761718704969043</v>
      </c>
    </row>
    <row r="252" spans="1:16" x14ac:dyDescent="0.2">
      <c r="A252" s="8">
        <v>125</v>
      </c>
      <c r="B252" s="8">
        <v>250</v>
      </c>
      <c r="D252">
        <v>1229.2560689115001</v>
      </c>
      <c r="E252">
        <v>307.92404072044002</v>
      </c>
      <c r="F252">
        <v>139.43038981703</v>
      </c>
      <c r="G252">
        <v>117.12967382657</v>
      </c>
      <c r="I252" s="9">
        <f t="shared" si="26"/>
        <v>190.79436689387001</v>
      </c>
      <c r="J252" s="9">
        <f t="shared" si="27"/>
        <v>1089.8256790944702</v>
      </c>
      <c r="K252" s="9">
        <f t="shared" si="24"/>
        <v>190.79436689387001</v>
      </c>
      <c r="L252" s="10">
        <f t="shared" si="21"/>
        <v>0.17506870186101683</v>
      </c>
      <c r="M252" s="10">
        <f t="shared" si="28"/>
        <v>0.19155155897347254</v>
      </c>
      <c r="P252" s="8">
        <f t="shared" si="29"/>
        <v>3.0768126512614118</v>
      </c>
    </row>
    <row r="253" spans="1:16" x14ac:dyDescent="0.2">
      <c r="A253" s="8">
        <v>125.5</v>
      </c>
      <c r="B253" s="8">
        <v>251</v>
      </c>
      <c r="D253">
        <v>1207.8582615504999</v>
      </c>
      <c r="E253">
        <v>302.15974941269002</v>
      </c>
      <c r="F253">
        <v>139.77486077962999</v>
      </c>
      <c r="G253">
        <v>116.92442322991</v>
      </c>
      <c r="I253" s="9">
        <f t="shared" si="26"/>
        <v>185.23532618278</v>
      </c>
      <c r="J253" s="9">
        <f t="shared" si="27"/>
        <v>1068.08340077087</v>
      </c>
      <c r="K253" s="9">
        <f t="shared" si="24"/>
        <v>185.23532618278</v>
      </c>
      <c r="L253" s="10">
        <f t="shared" si="21"/>
        <v>0.1734277735700131</v>
      </c>
      <c r="M253" s="10">
        <f t="shared" si="28"/>
        <v>0.18997656211091862</v>
      </c>
      <c r="P253" s="8">
        <f t="shared" si="29"/>
        <v>2.2292828405002423</v>
      </c>
    </row>
    <row r="254" spans="1:16" x14ac:dyDescent="0.2">
      <c r="A254" s="8">
        <v>126</v>
      </c>
      <c r="B254" s="8">
        <v>252</v>
      </c>
      <c r="D254">
        <v>1262.9764336214</v>
      </c>
      <c r="E254">
        <v>315.47761194029999</v>
      </c>
      <c r="F254">
        <v>139.75656324581999</v>
      </c>
      <c r="G254">
        <v>117.14956245028</v>
      </c>
      <c r="I254" s="9">
        <f t="shared" si="26"/>
        <v>198.32804949001999</v>
      </c>
      <c r="J254" s="9">
        <f t="shared" si="27"/>
        <v>1123.2198703755801</v>
      </c>
      <c r="K254" s="9">
        <f t="shared" si="24"/>
        <v>198.32804949001999</v>
      </c>
      <c r="L254" s="10">
        <f t="shared" si="21"/>
        <v>0.17657099444270288</v>
      </c>
      <c r="M254" s="10">
        <f t="shared" si="28"/>
        <v>0.19318571441205823</v>
      </c>
      <c r="P254" s="8">
        <f t="shared" si="29"/>
        <v>3.9561765932143187</v>
      </c>
    </row>
    <row r="255" spans="1:16" x14ac:dyDescent="0.2">
      <c r="A255" s="8">
        <v>126.5</v>
      </c>
      <c r="B255" s="8">
        <v>253</v>
      </c>
      <c r="D255">
        <v>1264.5459544383</v>
      </c>
      <c r="E255">
        <v>314.54516889237999</v>
      </c>
      <c r="F255">
        <v>139.82338902148001</v>
      </c>
      <c r="G255">
        <v>117.58870326173</v>
      </c>
      <c r="I255" s="9">
        <f t="shared" si="26"/>
        <v>196.95646563064997</v>
      </c>
      <c r="J255" s="9">
        <f t="shared" si="27"/>
        <v>1124.7225654168201</v>
      </c>
      <c r="K255" s="9">
        <f t="shared" si="24"/>
        <v>196.95646563064997</v>
      </c>
      <c r="L255" s="10">
        <f t="shared" si="21"/>
        <v>0.17511559889229952</v>
      </c>
      <c r="M255" s="10">
        <f t="shared" si="28"/>
        <v>0.19179625029010472</v>
      </c>
      <c r="P255" s="8">
        <f t="shared" si="29"/>
        <v>3.2084847772260927</v>
      </c>
    </row>
    <row r="256" spans="1:16" x14ac:dyDescent="0.2">
      <c r="A256" s="8">
        <v>127</v>
      </c>
      <c r="B256" s="8">
        <v>254</v>
      </c>
      <c r="D256">
        <v>1253.9505106049</v>
      </c>
      <c r="E256">
        <v>313.75019638649002</v>
      </c>
      <c r="F256">
        <v>139.31424025457</v>
      </c>
      <c r="G256">
        <v>117.32378679395001</v>
      </c>
      <c r="I256" s="9">
        <f t="shared" si="26"/>
        <v>196.42640959254001</v>
      </c>
      <c r="J256" s="9">
        <f t="shared" si="27"/>
        <v>1114.6362703503301</v>
      </c>
      <c r="K256" s="9">
        <f t="shared" si="24"/>
        <v>196.42640959254001</v>
      </c>
      <c r="L256" s="10">
        <f t="shared" si="21"/>
        <v>0.17622467061008451</v>
      </c>
      <c r="M256" s="10">
        <f t="shared" si="28"/>
        <v>0.19297125343633953</v>
      </c>
      <c r="P256" s="8">
        <f t="shared" si="29"/>
        <v>3.8407718743301218</v>
      </c>
    </row>
    <row r="257" spans="1:16" x14ac:dyDescent="0.2">
      <c r="A257" s="8">
        <v>127.5</v>
      </c>
      <c r="B257" s="8">
        <v>255</v>
      </c>
      <c r="D257">
        <v>1297.6457187746</v>
      </c>
      <c r="E257">
        <v>321.64650432050001</v>
      </c>
      <c r="F257">
        <v>139.72792362768999</v>
      </c>
      <c r="G257">
        <v>116.73587907717</v>
      </c>
      <c r="I257" s="9">
        <f t="shared" si="26"/>
        <v>204.91062524333</v>
      </c>
      <c r="J257" s="9">
        <f t="shared" si="27"/>
        <v>1157.9177951469101</v>
      </c>
      <c r="K257" s="9">
        <f t="shared" si="24"/>
        <v>204.91062524333</v>
      </c>
      <c r="L257" s="10">
        <f t="shared" si="21"/>
        <v>0.1769647431813863</v>
      </c>
      <c r="M257" s="10">
        <f t="shared" si="28"/>
        <v>0.19377725743609114</v>
      </c>
      <c r="P257" s="8">
        <f t="shared" si="29"/>
        <v>4.2744949080855932</v>
      </c>
    </row>
    <row r="258" spans="1:16" x14ac:dyDescent="0.2">
      <c r="A258" s="8">
        <v>128</v>
      </c>
      <c r="B258" s="8">
        <v>256</v>
      </c>
      <c r="D258">
        <v>1262.3495679497</v>
      </c>
      <c r="E258">
        <v>312.94265514532998</v>
      </c>
      <c r="F258">
        <v>139.35719968178</v>
      </c>
      <c r="G258">
        <v>117.10660302306999</v>
      </c>
      <c r="I258" s="9">
        <f t="shared" si="26"/>
        <v>195.83605212225999</v>
      </c>
      <c r="J258" s="9">
        <f t="shared" si="27"/>
        <v>1122.99236826792</v>
      </c>
      <c r="K258" s="9">
        <f t="shared" si="24"/>
        <v>195.83605212225999</v>
      </c>
      <c r="L258" s="10">
        <f t="shared" ref="L258:L321" si="30">K258/J258</f>
        <v>0.17438769635123472</v>
      </c>
      <c r="M258" s="10">
        <f t="shared" si="28"/>
        <v>0.19126614203438935</v>
      </c>
      <c r="P258" s="8">
        <f t="shared" si="29"/>
        <v>2.9232254472990151</v>
      </c>
    </row>
    <row r="259" spans="1:16" x14ac:dyDescent="0.2">
      <c r="A259" s="8">
        <v>128.5</v>
      </c>
      <c r="B259" s="8">
        <v>257</v>
      </c>
      <c r="D259">
        <v>1286.3919874313001</v>
      </c>
      <c r="E259">
        <v>316.79261586803</v>
      </c>
      <c r="F259">
        <v>139.71758154336001</v>
      </c>
      <c r="G259">
        <v>117.38981702466</v>
      </c>
      <c r="I259" s="9">
        <f t="shared" si="26"/>
        <v>199.40279884336999</v>
      </c>
      <c r="J259" s="9">
        <f t="shared" si="27"/>
        <v>1146.6744058879401</v>
      </c>
      <c r="K259" s="9">
        <f t="shared" ref="K259:K321" si="31">I259*1</f>
        <v>199.40279884336999</v>
      </c>
      <c r="L259" s="10">
        <f t="shared" si="30"/>
        <v>0.17389661600492445</v>
      </c>
      <c r="M259" s="10">
        <f t="shared" si="28"/>
        <v>0.19084099311652891</v>
      </c>
      <c r="P259" s="8">
        <f t="shared" si="29"/>
        <v>2.6944463363899986</v>
      </c>
    </row>
    <row r="260" spans="1:16" x14ac:dyDescent="0.2">
      <c r="A260" s="8">
        <v>129</v>
      </c>
      <c r="B260" s="8">
        <v>258</v>
      </c>
      <c r="D260">
        <v>1296.6135113903999</v>
      </c>
      <c r="E260">
        <v>320.20816967793002</v>
      </c>
      <c r="F260">
        <v>139.15990453461001</v>
      </c>
      <c r="G260">
        <v>117.40970564836999</v>
      </c>
      <c r="I260" s="9">
        <f t="shared" si="26"/>
        <v>202.79846402956002</v>
      </c>
      <c r="J260" s="9">
        <f t="shared" si="27"/>
        <v>1157.45360685579</v>
      </c>
      <c r="K260" s="9">
        <f t="shared" si="31"/>
        <v>202.79846402956002</v>
      </c>
      <c r="L260" s="10">
        <f t="shared" si="30"/>
        <v>0.17521087914742417</v>
      </c>
      <c r="M260" s="10">
        <f t="shared" si="28"/>
        <v>0.19222118768747848</v>
      </c>
      <c r="P260" s="8">
        <f t="shared" si="29"/>
        <v>3.4371500657381824</v>
      </c>
    </row>
    <row r="261" spans="1:16" x14ac:dyDescent="0.2">
      <c r="A261" s="8">
        <v>129.5</v>
      </c>
      <c r="B261" s="8">
        <v>259</v>
      </c>
      <c r="D261">
        <v>1194.2783505155001</v>
      </c>
      <c r="E261">
        <v>300.1641554322</v>
      </c>
      <c r="F261">
        <v>139.34924423230001</v>
      </c>
      <c r="G261">
        <v>117.14876690533001</v>
      </c>
      <c r="I261" s="9">
        <f t="shared" si="26"/>
        <v>183.01538852687</v>
      </c>
      <c r="J261" s="9">
        <f t="shared" si="27"/>
        <v>1054.9291062832001</v>
      </c>
      <c r="K261" s="9">
        <f t="shared" si="31"/>
        <v>183.01538852687</v>
      </c>
      <c r="L261" s="10">
        <f t="shared" si="30"/>
        <v>0.17348595980224926</v>
      </c>
      <c r="M261" s="10">
        <f t="shared" si="28"/>
        <v>0.19056219977075339</v>
      </c>
      <c r="P261" s="8">
        <f t="shared" si="29"/>
        <v>2.5444233889134851</v>
      </c>
    </row>
    <row r="262" spans="1:16" x14ac:dyDescent="0.2">
      <c r="A262" s="8">
        <v>130</v>
      </c>
      <c r="B262" s="8">
        <v>260</v>
      </c>
      <c r="D262">
        <v>1220.7763679619</v>
      </c>
      <c r="E262">
        <v>309.13402061855999</v>
      </c>
      <c r="F262">
        <v>139.60540970565</v>
      </c>
      <c r="G262">
        <v>116.80588703262001</v>
      </c>
      <c r="I262" s="9">
        <f t="shared" si="26"/>
        <v>192.32813358593998</v>
      </c>
      <c r="J262" s="9">
        <f t="shared" si="27"/>
        <v>1081.1709582562498</v>
      </c>
      <c r="K262" s="9">
        <f t="shared" si="31"/>
        <v>192.32813358593998</v>
      </c>
      <c r="L262" s="10">
        <f t="shared" si="30"/>
        <v>0.17788873454031126</v>
      </c>
      <c r="M262" s="10">
        <f t="shared" si="28"/>
        <v>0.19503090593726519</v>
      </c>
      <c r="P262" s="8">
        <f t="shared" si="29"/>
        <v>4.9491022690413295</v>
      </c>
    </row>
    <row r="263" spans="1:16" x14ac:dyDescent="0.2">
      <c r="A263" s="8">
        <v>130.5</v>
      </c>
      <c r="B263" s="8">
        <v>261</v>
      </c>
      <c r="D263">
        <v>1193.7767369242999</v>
      </c>
      <c r="E263">
        <v>306.01327088212003</v>
      </c>
      <c r="F263">
        <v>139.21638822593999</v>
      </c>
      <c r="G263">
        <v>117.53460620525</v>
      </c>
      <c r="I263" s="9">
        <f t="shared" si="26"/>
        <v>188.47866467687004</v>
      </c>
      <c r="J263" s="9">
        <f t="shared" si="27"/>
        <v>1054.56034869836</v>
      </c>
      <c r="K263" s="9">
        <f t="shared" si="31"/>
        <v>188.47866467687004</v>
      </c>
      <c r="L263" s="10">
        <f t="shared" si="30"/>
        <v>0.17872724392635145</v>
      </c>
      <c r="M263" s="10">
        <f t="shared" si="28"/>
        <v>0.19593534675175522</v>
      </c>
      <c r="P263" s="8">
        <f t="shared" si="29"/>
        <v>5.4357956527388991</v>
      </c>
    </row>
    <row r="264" spans="1:16" x14ac:dyDescent="0.2">
      <c r="A264" s="8">
        <v>131</v>
      </c>
      <c r="B264" s="8">
        <v>262</v>
      </c>
      <c r="D264">
        <v>1176.8766588603</v>
      </c>
      <c r="E264">
        <v>303.41608118657001</v>
      </c>
      <c r="F264">
        <v>139.42243436754001</v>
      </c>
      <c r="G264">
        <v>116.92601431980999</v>
      </c>
      <c r="I264" s="9">
        <f t="shared" si="26"/>
        <v>186.49006686676</v>
      </c>
      <c r="J264" s="9">
        <f t="shared" si="27"/>
        <v>1037.45422449276</v>
      </c>
      <c r="K264" s="9">
        <f t="shared" si="31"/>
        <v>186.49006686676</v>
      </c>
      <c r="L264" s="10">
        <f t="shared" si="30"/>
        <v>0.17975739311094921</v>
      </c>
      <c r="M264" s="10">
        <f t="shared" si="28"/>
        <v>0.19703142736480281</v>
      </c>
      <c r="P264" s="8">
        <f t="shared" si="29"/>
        <v>6.0256133321524716</v>
      </c>
    </row>
    <row r="265" spans="1:16" x14ac:dyDescent="0.2">
      <c r="A265" s="8">
        <v>131.5</v>
      </c>
      <c r="B265" s="8">
        <v>263</v>
      </c>
      <c r="D265">
        <v>1187.8711943794001</v>
      </c>
      <c r="E265">
        <v>303.47853239657002</v>
      </c>
      <c r="F265">
        <v>139.37549721559</v>
      </c>
      <c r="G265">
        <v>117.13206046142</v>
      </c>
      <c r="I265" s="9">
        <f t="shared" si="26"/>
        <v>186.34647193515002</v>
      </c>
      <c r="J265" s="9">
        <f t="shared" si="27"/>
        <v>1048.4956971638101</v>
      </c>
      <c r="K265" s="9">
        <f t="shared" si="31"/>
        <v>186.34647193515002</v>
      </c>
      <c r="L265" s="10">
        <f t="shared" si="30"/>
        <v>0.17772745509516047</v>
      </c>
      <c r="M265" s="10">
        <f t="shared" si="28"/>
        <v>0.19506742077746389</v>
      </c>
      <c r="P265" s="8">
        <f t="shared" si="29"/>
        <v>4.9687514609472743</v>
      </c>
    </row>
    <row r="266" spans="1:16" x14ac:dyDescent="0.2">
      <c r="A266" s="8">
        <v>132</v>
      </c>
      <c r="B266" s="8">
        <v>264</v>
      </c>
      <c r="D266">
        <v>1196.6846213895001</v>
      </c>
      <c r="E266">
        <v>304.22794691646999</v>
      </c>
      <c r="F266">
        <v>138.77565632458001</v>
      </c>
      <c r="G266">
        <v>116.9291964996</v>
      </c>
      <c r="I266" s="9">
        <f t="shared" si="26"/>
        <v>187.29875041687001</v>
      </c>
      <c r="J266" s="9">
        <f t="shared" si="27"/>
        <v>1057.90896506492</v>
      </c>
      <c r="K266" s="9">
        <f t="shared" si="31"/>
        <v>187.29875041687001</v>
      </c>
      <c r="L266" s="10">
        <f t="shared" si="30"/>
        <v>0.17704618885177531</v>
      </c>
      <c r="M266" s="10">
        <f t="shared" si="28"/>
        <v>0.19445208596252855</v>
      </c>
      <c r="P266" s="8">
        <f t="shared" si="29"/>
        <v>4.6376304208638981</v>
      </c>
    </row>
    <row r="267" spans="1:16" x14ac:dyDescent="0.2">
      <c r="A267" s="8">
        <v>132.5</v>
      </c>
      <c r="B267" s="8">
        <v>265</v>
      </c>
      <c r="D267">
        <v>1164.5822187254</v>
      </c>
      <c r="E267">
        <v>293.74822974035999</v>
      </c>
      <c r="F267">
        <v>139.35799522673</v>
      </c>
      <c r="G267">
        <v>116.75894988067</v>
      </c>
      <c r="I267" s="9">
        <f t="shared" si="26"/>
        <v>176.98927985968999</v>
      </c>
      <c r="J267" s="9">
        <f t="shared" si="27"/>
        <v>1025.22422349867</v>
      </c>
      <c r="K267" s="9">
        <f t="shared" si="31"/>
        <v>176.98927985968999</v>
      </c>
      <c r="L267" s="10">
        <f t="shared" si="30"/>
        <v>0.17263470351461083</v>
      </c>
      <c r="M267" s="10">
        <f t="shared" si="28"/>
        <v>0.19010653205381389</v>
      </c>
      <c r="P267" s="8">
        <f t="shared" si="29"/>
        <v>2.2992216471897047</v>
      </c>
    </row>
    <row r="268" spans="1:16" x14ac:dyDescent="0.2">
      <c r="A268" s="8">
        <v>133</v>
      </c>
      <c r="B268" s="8">
        <v>266</v>
      </c>
      <c r="D268">
        <v>1169.577498033</v>
      </c>
      <c r="E268">
        <v>293.80330448465998</v>
      </c>
      <c r="F268">
        <v>139.50596658711001</v>
      </c>
      <c r="G268">
        <v>116.77565632458</v>
      </c>
      <c r="I268" s="9">
        <f t="shared" si="26"/>
        <v>177.02764816007999</v>
      </c>
      <c r="J268" s="9">
        <f t="shared" si="27"/>
        <v>1030.0715314458901</v>
      </c>
      <c r="K268" s="9">
        <f t="shared" si="31"/>
        <v>177.02764816007999</v>
      </c>
      <c r="L268" s="10">
        <f t="shared" si="30"/>
        <v>0.17185956776379399</v>
      </c>
      <c r="M268" s="10">
        <f t="shared" si="28"/>
        <v>0.18939732773144688</v>
      </c>
      <c r="P268" s="8">
        <f t="shared" si="29"/>
        <v>1.917587994820354</v>
      </c>
    </row>
    <row r="269" spans="1:16" x14ac:dyDescent="0.2">
      <c r="A269" s="8">
        <v>133.5</v>
      </c>
      <c r="B269" s="8">
        <v>267</v>
      </c>
      <c r="D269">
        <v>1127.2153484729999</v>
      </c>
      <c r="E269">
        <v>281.83711824589</v>
      </c>
      <c r="F269">
        <v>139.26809864757001</v>
      </c>
      <c r="G269">
        <v>116.7446300716</v>
      </c>
      <c r="I269" s="9">
        <f t="shared" si="26"/>
        <v>165.09248817429</v>
      </c>
      <c r="J269" s="9">
        <f t="shared" si="27"/>
        <v>987.94724982542994</v>
      </c>
      <c r="K269" s="9">
        <f t="shared" si="31"/>
        <v>165.09248817429</v>
      </c>
      <c r="L269" s="10">
        <f t="shared" si="30"/>
        <v>0.16710658206039017</v>
      </c>
      <c r="M269" s="10">
        <f t="shared" si="28"/>
        <v>0.18471027345649288</v>
      </c>
      <c r="P269" s="8">
        <f t="shared" si="29"/>
        <v>-0.60458732954040595</v>
      </c>
    </row>
    <row r="270" spans="1:16" x14ac:dyDescent="0.2">
      <c r="A270" s="8">
        <v>134</v>
      </c>
      <c r="B270" s="8">
        <v>268</v>
      </c>
      <c r="D270">
        <v>1137.3030540329</v>
      </c>
      <c r="E270">
        <v>285.66797180893002</v>
      </c>
      <c r="F270">
        <v>139.57279236277</v>
      </c>
      <c r="G270">
        <v>116.76929196499999</v>
      </c>
      <c r="I270" s="9">
        <f t="shared" si="26"/>
        <v>168.89867984393004</v>
      </c>
      <c r="J270" s="9">
        <f t="shared" si="27"/>
        <v>997.73026167013006</v>
      </c>
      <c r="K270" s="9">
        <f t="shared" si="31"/>
        <v>168.89867984393004</v>
      </c>
      <c r="L270" s="10">
        <f t="shared" si="30"/>
        <v>0.16928290774823807</v>
      </c>
      <c r="M270" s="10">
        <f t="shared" si="28"/>
        <v>0.1869525305727906</v>
      </c>
      <c r="P270" s="8">
        <f t="shared" si="29"/>
        <v>0.60200539114105556</v>
      </c>
    </row>
    <row r="271" spans="1:16" x14ac:dyDescent="0.2">
      <c r="A271" s="8">
        <v>134.5</v>
      </c>
      <c r="B271" s="8">
        <v>269</v>
      </c>
      <c r="D271">
        <v>1115.2834768990001</v>
      </c>
      <c r="E271">
        <v>281.49021143304998</v>
      </c>
      <c r="F271">
        <v>139.49721559267999</v>
      </c>
      <c r="G271">
        <v>117.03898170247</v>
      </c>
      <c r="I271" s="9">
        <f t="shared" si="26"/>
        <v>164.45122973058</v>
      </c>
      <c r="J271" s="9">
        <f t="shared" si="27"/>
        <v>975.78626130632006</v>
      </c>
      <c r="K271" s="9">
        <f t="shared" si="31"/>
        <v>164.45122973058</v>
      </c>
      <c r="L271" s="10">
        <f t="shared" si="30"/>
        <v>0.16853202002498296</v>
      </c>
      <c r="M271" s="10">
        <f t="shared" si="28"/>
        <v>0.18626757427798532</v>
      </c>
      <c r="P271" s="8">
        <f t="shared" si="29"/>
        <v>0.23341997188209015</v>
      </c>
    </row>
    <row r="272" spans="1:16" x14ac:dyDescent="0.2">
      <c r="A272" s="8">
        <v>135</v>
      </c>
      <c r="B272" s="8">
        <v>270</v>
      </c>
      <c r="D272">
        <v>1184.8659305993999</v>
      </c>
      <c r="E272">
        <v>300.42981072555</v>
      </c>
      <c r="F272">
        <v>139.39936356403999</v>
      </c>
      <c r="G272">
        <v>116.89578361177</v>
      </c>
      <c r="I272" s="9">
        <f t="shared" si="26"/>
        <v>183.53402711377998</v>
      </c>
      <c r="J272" s="9">
        <f t="shared" si="27"/>
        <v>1045.46656703536</v>
      </c>
      <c r="K272" s="9">
        <f t="shared" si="31"/>
        <v>183.53402711377998</v>
      </c>
      <c r="L272" s="10">
        <f t="shared" si="30"/>
        <v>0.17555226814591429</v>
      </c>
      <c r="M272" s="10">
        <f t="shared" si="28"/>
        <v>0.19335375382736647</v>
      </c>
      <c r="P272" s="8">
        <f t="shared" si="29"/>
        <v>4.0466011630929364</v>
      </c>
    </row>
    <row r="273" spans="1:16" x14ac:dyDescent="0.2">
      <c r="A273" s="8">
        <v>135.5</v>
      </c>
      <c r="B273" s="8">
        <v>271</v>
      </c>
      <c r="D273">
        <v>1180.8044164037999</v>
      </c>
      <c r="E273">
        <v>299.36435331230001</v>
      </c>
      <c r="F273">
        <v>139.26571201273001</v>
      </c>
      <c r="G273">
        <v>116.87112171838</v>
      </c>
      <c r="I273" s="9">
        <f t="shared" si="26"/>
        <v>182.49323159392003</v>
      </c>
      <c r="J273" s="9">
        <f t="shared" si="27"/>
        <v>1041.5387043910698</v>
      </c>
      <c r="K273" s="9">
        <f t="shared" si="31"/>
        <v>182.49323159392003</v>
      </c>
      <c r="L273" s="10">
        <f t="shared" si="30"/>
        <v>0.17521502640712114</v>
      </c>
      <c r="M273" s="10">
        <f t="shared" si="28"/>
        <v>0.19308244351702314</v>
      </c>
      <c r="P273" s="8">
        <f t="shared" si="29"/>
        <v>3.9006049510052661</v>
      </c>
    </row>
    <row r="274" spans="1:16" x14ac:dyDescent="0.2">
      <c r="A274" s="8">
        <v>136</v>
      </c>
      <c r="B274" s="8">
        <v>272</v>
      </c>
      <c r="D274">
        <v>1187.1884858044</v>
      </c>
      <c r="E274">
        <v>303.61356466876998</v>
      </c>
      <c r="F274">
        <v>139.59108989658</v>
      </c>
      <c r="G274">
        <v>116.77565632458</v>
      </c>
      <c r="I274" s="9">
        <f t="shared" si="26"/>
        <v>186.83790834419</v>
      </c>
      <c r="J274" s="9">
        <f t="shared" si="27"/>
        <v>1047.5973959078201</v>
      </c>
      <c r="K274" s="9">
        <f t="shared" si="31"/>
        <v>186.83790834419</v>
      </c>
      <c r="L274" s="10">
        <f t="shared" si="30"/>
        <v>0.17834896218148885</v>
      </c>
      <c r="M274" s="10">
        <f t="shared" si="28"/>
        <v>0.19628231071984067</v>
      </c>
      <c r="P274" s="8">
        <f t="shared" si="29"/>
        <v>5.6225022508305136</v>
      </c>
    </row>
    <row r="275" spans="1:16" x14ac:dyDescent="0.2">
      <c r="A275" s="8">
        <v>136.5</v>
      </c>
      <c r="B275" s="8">
        <v>273</v>
      </c>
      <c r="D275">
        <v>1181.4700315457001</v>
      </c>
      <c r="E275">
        <v>300.73659305993999</v>
      </c>
      <c r="F275">
        <v>139.02386634845001</v>
      </c>
      <c r="G275">
        <v>116.81941129674</v>
      </c>
      <c r="I275" s="9">
        <f>E275-G275</f>
        <v>183.91718176320001</v>
      </c>
      <c r="J275" s="9">
        <f>D275-F275</f>
        <v>1042.4461651972501</v>
      </c>
      <c r="K275" s="9">
        <f t="shared" si="31"/>
        <v>183.91718176320001</v>
      </c>
      <c r="L275" s="10">
        <f t="shared" si="30"/>
        <v>0.17642846978903651</v>
      </c>
      <c r="M275" s="10">
        <f>L275+ABS($N$2)*A275</f>
        <v>0.19442774975583815</v>
      </c>
      <c r="O275" s="11"/>
      <c r="P275" s="8">
        <f>(M275-$O$2)/$O$2*100</f>
        <v>4.6245347372207481</v>
      </c>
    </row>
    <row r="276" spans="1:16" x14ac:dyDescent="0.2">
      <c r="A276" s="8">
        <v>137</v>
      </c>
      <c r="B276" s="8">
        <v>274</v>
      </c>
      <c r="D276">
        <v>1087.6257911391999</v>
      </c>
      <c r="E276">
        <v>274.61867088608</v>
      </c>
      <c r="F276">
        <v>139.03898170247001</v>
      </c>
      <c r="G276">
        <v>116.75019888624</v>
      </c>
      <c r="I276" s="9">
        <f t="shared" ref="I276:I291" si="32">E276-G276</f>
        <v>157.86847199983998</v>
      </c>
      <c r="J276" s="9">
        <f t="shared" ref="J276:J291" si="33">D276-F276</f>
        <v>948.58680943672994</v>
      </c>
      <c r="K276" s="9">
        <f t="shared" si="31"/>
        <v>157.86847199983998</v>
      </c>
      <c r="L276" s="10">
        <f t="shared" si="30"/>
        <v>0.16642490748272384</v>
      </c>
      <c r="M276" s="10">
        <f t="shared" ref="M276:M291" si="34">L276+ABS($N$2)*A276</f>
        <v>0.18449011887797531</v>
      </c>
      <c r="P276" s="8">
        <f t="shared" ref="P276:P291" si="35">(M276-$O$2)/$O$2*100</f>
        <v>-0.72305586284696799</v>
      </c>
    </row>
    <row r="277" spans="1:16" x14ac:dyDescent="0.2">
      <c r="A277" s="8">
        <v>137.5</v>
      </c>
      <c r="B277" s="8">
        <v>275</v>
      </c>
      <c r="D277">
        <v>1041.2634493671001</v>
      </c>
      <c r="E277">
        <v>266.32515822785001</v>
      </c>
      <c r="F277">
        <v>139.14876690533001</v>
      </c>
      <c r="G277">
        <v>116.76849642005</v>
      </c>
      <c r="I277" s="9">
        <f t="shared" si="32"/>
        <v>149.55666180780003</v>
      </c>
      <c r="J277" s="9">
        <f t="shared" si="33"/>
        <v>902.11468246177003</v>
      </c>
      <c r="K277" s="9">
        <f t="shared" si="31"/>
        <v>149.55666180780003</v>
      </c>
      <c r="L277" s="10">
        <f t="shared" si="30"/>
        <v>0.16578453351371761</v>
      </c>
      <c r="M277" s="10">
        <f t="shared" si="34"/>
        <v>0.1839156763374189</v>
      </c>
      <c r="N277" s="1"/>
      <c r="P277" s="8">
        <f t="shared" si="35"/>
        <v>-1.0321721469908529</v>
      </c>
    </row>
    <row r="278" spans="1:16" x14ac:dyDescent="0.2">
      <c r="A278" s="8">
        <v>138</v>
      </c>
      <c r="B278" s="8">
        <v>276</v>
      </c>
      <c r="D278">
        <v>1160.1106719367999</v>
      </c>
      <c r="E278">
        <v>289.12964426878</v>
      </c>
      <c r="F278">
        <v>138.77804295943</v>
      </c>
      <c r="G278">
        <v>117.01034208433001</v>
      </c>
      <c r="I278" s="9">
        <f t="shared" si="32"/>
        <v>172.11930218444999</v>
      </c>
      <c r="J278" s="9">
        <f t="shared" si="33"/>
        <v>1021.33262897737</v>
      </c>
      <c r="K278" s="9">
        <f t="shared" si="31"/>
        <v>172.11930218444999</v>
      </c>
      <c r="L278" s="10">
        <f t="shared" si="30"/>
        <v>0.16852423715943349</v>
      </c>
      <c r="M278" s="10">
        <f t="shared" si="34"/>
        <v>0.1867213114115846</v>
      </c>
      <c r="P278" s="8">
        <f t="shared" si="35"/>
        <v>0.47758283729322676</v>
      </c>
    </row>
    <row r="279" spans="1:16" x14ac:dyDescent="0.2">
      <c r="A279" s="8">
        <v>138.5</v>
      </c>
      <c r="B279" s="8">
        <v>277</v>
      </c>
      <c r="D279">
        <v>1140.1343873517999</v>
      </c>
      <c r="E279">
        <v>284.79762845850001</v>
      </c>
      <c r="F279">
        <v>139.13365155131001</v>
      </c>
      <c r="G279">
        <v>116.95465393795</v>
      </c>
      <c r="I279" s="9">
        <f t="shared" si="32"/>
        <v>167.84297452055</v>
      </c>
      <c r="J279" s="9">
        <f t="shared" si="33"/>
        <v>1001.0007358004899</v>
      </c>
      <c r="K279" s="9">
        <f t="shared" si="31"/>
        <v>167.84297452055</v>
      </c>
      <c r="L279" s="10">
        <f t="shared" si="30"/>
        <v>0.16767517596910428</v>
      </c>
      <c r="M279" s="10">
        <f t="shared" si="34"/>
        <v>0.18593818164970521</v>
      </c>
      <c r="P279" s="8">
        <f t="shared" si="35"/>
        <v>5.6168779483091555E-2</v>
      </c>
    </row>
    <row r="280" spans="1:16" x14ac:dyDescent="0.2">
      <c r="A280" s="8">
        <v>139</v>
      </c>
      <c r="B280" s="8">
        <v>278</v>
      </c>
      <c r="D280">
        <v>1122.3296442687999</v>
      </c>
      <c r="E280">
        <v>280.13675889327999</v>
      </c>
      <c r="F280">
        <v>138.46778042958999</v>
      </c>
      <c r="G280">
        <v>117.12649164678</v>
      </c>
      <c r="I280" s="9">
        <f t="shared" si="32"/>
        <v>163.01026724650001</v>
      </c>
      <c r="J280" s="9">
        <f t="shared" si="33"/>
        <v>983.86186383920995</v>
      </c>
      <c r="K280" s="9">
        <f t="shared" si="31"/>
        <v>163.01026724650001</v>
      </c>
      <c r="L280" s="10">
        <f t="shared" si="30"/>
        <v>0.16568409980889387</v>
      </c>
      <c r="M280" s="10">
        <f t="shared" si="34"/>
        <v>0.18401303691794463</v>
      </c>
      <c r="P280" s="8">
        <f t="shared" si="35"/>
        <v>-0.97978093507772801</v>
      </c>
    </row>
    <row r="281" spans="1:16" x14ac:dyDescent="0.2">
      <c r="A281" s="8">
        <v>139.5</v>
      </c>
      <c r="B281" s="8">
        <v>279</v>
      </c>
      <c r="D281">
        <v>1150.55256917</v>
      </c>
      <c r="E281">
        <v>289.69644268774999</v>
      </c>
      <c r="F281">
        <v>138.86396181384001</v>
      </c>
      <c r="G281">
        <v>117.12967382657</v>
      </c>
      <c r="I281" s="9">
        <f t="shared" si="32"/>
        <v>172.56676886117998</v>
      </c>
      <c r="J281" s="9">
        <f t="shared" si="33"/>
        <v>1011.68860735616</v>
      </c>
      <c r="K281" s="9">
        <f t="shared" si="31"/>
        <v>172.56676886117998</v>
      </c>
      <c r="L281" s="10">
        <f t="shared" si="30"/>
        <v>0.17057300794574304</v>
      </c>
      <c r="M281" s="10">
        <f t="shared" si="34"/>
        <v>0.18896787648324362</v>
      </c>
      <c r="P281" s="8">
        <f t="shared" si="35"/>
        <v>1.68649373439709</v>
      </c>
    </row>
    <row r="282" spans="1:16" x14ac:dyDescent="0.2">
      <c r="A282" s="8">
        <v>140</v>
      </c>
      <c r="B282" s="8">
        <v>280</v>
      </c>
      <c r="D282">
        <v>1193.7209486166</v>
      </c>
      <c r="E282">
        <v>299.54624505929002</v>
      </c>
      <c r="F282">
        <v>138.78042959427</v>
      </c>
      <c r="G282">
        <v>116.80111376293</v>
      </c>
      <c r="I282" s="9">
        <f t="shared" si="32"/>
        <v>182.74513129636</v>
      </c>
      <c r="J282" s="9">
        <f t="shared" si="33"/>
        <v>1054.9405190223301</v>
      </c>
      <c r="K282" s="9">
        <f t="shared" si="31"/>
        <v>182.74513129636</v>
      </c>
      <c r="L282" s="10">
        <f t="shared" si="30"/>
        <v>0.1732279005319842</v>
      </c>
      <c r="M282" s="10">
        <f t="shared" si="34"/>
        <v>0.1916887004979346</v>
      </c>
      <c r="P282" s="8">
        <f t="shared" si="35"/>
        <v>3.1506105952689691</v>
      </c>
    </row>
    <row r="283" spans="1:16" x14ac:dyDescent="0.2">
      <c r="A283" s="8">
        <v>140.5</v>
      </c>
      <c r="B283" s="8">
        <v>281</v>
      </c>
      <c r="D283">
        <v>1147.0517647059</v>
      </c>
      <c r="E283">
        <v>283.42666666666997</v>
      </c>
      <c r="F283">
        <v>139.10898965792001</v>
      </c>
      <c r="G283">
        <v>117.12887828162</v>
      </c>
      <c r="I283" s="9">
        <f t="shared" si="32"/>
        <v>166.29778838504996</v>
      </c>
      <c r="J283" s="9">
        <f t="shared" si="33"/>
        <v>1007.94277504798</v>
      </c>
      <c r="K283" s="9">
        <f t="shared" si="31"/>
        <v>166.29778838504996</v>
      </c>
      <c r="L283" s="10">
        <f t="shared" si="30"/>
        <v>0.1649873311281326</v>
      </c>
      <c r="M283" s="10">
        <f t="shared" si="34"/>
        <v>0.18351406252253283</v>
      </c>
      <c r="P283" s="8">
        <f t="shared" si="35"/>
        <v>-1.2482866603731368</v>
      </c>
    </row>
    <row r="284" spans="1:16" x14ac:dyDescent="0.2">
      <c r="A284" s="8">
        <v>141</v>
      </c>
      <c r="B284" s="8">
        <v>282</v>
      </c>
      <c r="D284">
        <v>1166.8462745098</v>
      </c>
      <c r="E284">
        <v>289.69960784313997</v>
      </c>
      <c r="F284">
        <v>138.80827366746001</v>
      </c>
      <c r="G284">
        <v>116.91805887033</v>
      </c>
      <c r="I284" s="9">
        <f t="shared" si="32"/>
        <v>172.78154897280996</v>
      </c>
      <c r="J284" s="9">
        <f t="shared" si="33"/>
        <v>1028.0380008423399</v>
      </c>
      <c r="K284" s="9">
        <f t="shared" si="31"/>
        <v>172.78154897280996</v>
      </c>
      <c r="L284" s="10">
        <f t="shared" si="30"/>
        <v>0.16806922393067042</v>
      </c>
      <c r="M284" s="10">
        <f t="shared" si="34"/>
        <v>0.18666188675352047</v>
      </c>
      <c r="P284" s="8">
        <f t="shared" si="35"/>
        <v>0.44560552330545483</v>
      </c>
    </row>
    <row r="285" spans="1:16" x14ac:dyDescent="0.2">
      <c r="A285" s="8">
        <v>141.5</v>
      </c>
      <c r="B285" s="8">
        <v>283</v>
      </c>
      <c r="D285">
        <v>1187.2290196078</v>
      </c>
      <c r="E285">
        <v>291.90980392157002</v>
      </c>
      <c r="F285">
        <v>139.2076372315</v>
      </c>
      <c r="G285">
        <v>116.65791567223999</v>
      </c>
      <c r="I285" s="9">
        <f t="shared" si="32"/>
        <v>175.25188824933002</v>
      </c>
      <c r="J285" s="9">
        <f t="shared" si="33"/>
        <v>1048.0213823762999</v>
      </c>
      <c r="K285" s="9">
        <f t="shared" si="31"/>
        <v>175.25188824933002</v>
      </c>
      <c r="L285" s="10">
        <f t="shared" si="30"/>
        <v>0.16722167237844057</v>
      </c>
      <c r="M285" s="10">
        <f t="shared" si="34"/>
        <v>0.18588026662974044</v>
      </c>
      <c r="P285" s="8">
        <f t="shared" si="35"/>
        <v>2.5003824759702697E-2</v>
      </c>
    </row>
    <row r="286" spans="1:16" x14ac:dyDescent="0.2">
      <c r="A286" s="8">
        <v>142</v>
      </c>
      <c r="B286" s="8">
        <v>284</v>
      </c>
      <c r="D286">
        <v>1171.5046801871999</v>
      </c>
      <c r="E286">
        <v>291.72152886114998</v>
      </c>
      <c r="F286">
        <v>138.58790771679</v>
      </c>
      <c r="G286">
        <v>117.06284805092</v>
      </c>
      <c r="I286" s="9">
        <f t="shared" si="32"/>
        <v>174.65868081022998</v>
      </c>
      <c r="J286" s="9">
        <f t="shared" si="33"/>
        <v>1032.91677247041</v>
      </c>
      <c r="K286" s="9">
        <f t="shared" si="31"/>
        <v>174.65868081022998</v>
      </c>
      <c r="L286" s="10">
        <f t="shared" si="30"/>
        <v>0.16909269504115196</v>
      </c>
      <c r="M286" s="10">
        <f t="shared" si="34"/>
        <v>0.18781722072090165</v>
      </c>
      <c r="P286" s="8">
        <f t="shared" si="35"/>
        <v>1.0673083355591573</v>
      </c>
    </row>
    <row r="287" spans="1:16" x14ac:dyDescent="0.2">
      <c r="A287" s="8">
        <v>142.5</v>
      </c>
      <c r="B287" s="8">
        <v>285</v>
      </c>
      <c r="D287">
        <v>1114.3712948518</v>
      </c>
      <c r="E287">
        <v>276.86427457098</v>
      </c>
      <c r="F287">
        <v>139.03818615751999</v>
      </c>
      <c r="G287">
        <v>116.92601431980999</v>
      </c>
      <c r="I287" s="9">
        <f t="shared" si="32"/>
        <v>159.93826025116999</v>
      </c>
      <c r="J287" s="9">
        <f t="shared" si="33"/>
        <v>975.3331086942801</v>
      </c>
      <c r="K287" s="9">
        <f t="shared" si="31"/>
        <v>159.93826025116999</v>
      </c>
      <c r="L287" s="10">
        <f t="shared" si="30"/>
        <v>0.1639832164267305</v>
      </c>
      <c r="M287" s="10">
        <f t="shared" si="34"/>
        <v>0.18277367353493001</v>
      </c>
      <c r="P287" s="8">
        <f t="shared" si="35"/>
        <v>-1.6467012562823315</v>
      </c>
    </row>
    <row r="288" spans="1:16" x14ac:dyDescent="0.2">
      <c r="A288" s="8">
        <v>143</v>
      </c>
      <c r="B288" s="8">
        <v>286</v>
      </c>
      <c r="D288">
        <v>1130.6263650546</v>
      </c>
      <c r="E288">
        <v>283.18486739470001</v>
      </c>
      <c r="F288">
        <v>139.22354813046999</v>
      </c>
      <c r="G288">
        <v>116.56801909308</v>
      </c>
      <c r="I288" s="9">
        <f t="shared" si="32"/>
        <v>166.61684830162</v>
      </c>
      <c r="J288" s="9">
        <f t="shared" si="33"/>
        <v>991.40281692412998</v>
      </c>
      <c r="K288" s="9">
        <f t="shared" si="31"/>
        <v>166.61684830162</v>
      </c>
      <c r="L288" s="10">
        <f t="shared" si="30"/>
        <v>0.16806170555229605</v>
      </c>
      <c r="M288" s="10">
        <f t="shared" si="34"/>
        <v>0.18691809408894539</v>
      </c>
      <c r="P288" s="8">
        <f t="shared" si="35"/>
        <v>0.58347459445788807</v>
      </c>
    </row>
    <row r="289" spans="1:16" x14ac:dyDescent="0.2">
      <c r="A289" s="8">
        <v>143.5</v>
      </c>
      <c r="B289" s="8">
        <v>287</v>
      </c>
      <c r="D289">
        <v>1146.1006240249999</v>
      </c>
      <c r="E289">
        <v>287.49921996879999</v>
      </c>
      <c r="F289">
        <v>138.50198886237001</v>
      </c>
      <c r="G289">
        <v>116.73747016706</v>
      </c>
      <c r="I289" s="9">
        <f t="shared" si="32"/>
        <v>170.76174980174</v>
      </c>
      <c r="J289" s="9">
        <f t="shared" si="33"/>
        <v>1007.5986351626299</v>
      </c>
      <c r="K289" s="9">
        <f t="shared" si="31"/>
        <v>170.76174980174</v>
      </c>
      <c r="L289" s="10">
        <f t="shared" si="30"/>
        <v>0.16947397886677215</v>
      </c>
      <c r="M289" s="10">
        <f t="shared" si="34"/>
        <v>0.18839629883187131</v>
      </c>
      <c r="P289" s="8">
        <f t="shared" si="35"/>
        <v>1.3789190907769331</v>
      </c>
    </row>
    <row r="290" spans="1:16" x14ac:dyDescent="0.2">
      <c r="A290" s="8">
        <v>144</v>
      </c>
      <c r="B290" s="8">
        <v>288</v>
      </c>
      <c r="D290">
        <v>1140.4001560061999</v>
      </c>
      <c r="E290">
        <v>282.78315132605002</v>
      </c>
      <c r="F290">
        <v>138.89578361177001</v>
      </c>
      <c r="G290">
        <v>116.54017501989</v>
      </c>
      <c r="I290" s="9">
        <f t="shared" si="32"/>
        <v>166.24297630616002</v>
      </c>
      <c r="J290" s="9">
        <f t="shared" si="33"/>
        <v>1001.50437239443</v>
      </c>
      <c r="K290" s="9">
        <f t="shared" si="31"/>
        <v>166.24297630616002</v>
      </c>
      <c r="L290" s="10">
        <f t="shared" si="30"/>
        <v>0.16599326062721101</v>
      </c>
      <c r="M290" s="10">
        <f t="shared" si="34"/>
        <v>0.18498151202075999</v>
      </c>
      <c r="P290" s="8">
        <f t="shared" si="35"/>
        <v>-0.45862972510957939</v>
      </c>
    </row>
    <row r="291" spans="1:16" x14ac:dyDescent="0.2">
      <c r="A291" s="8">
        <v>144.5</v>
      </c>
      <c r="B291" s="8">
        <v>289</v>
      </c>
      <c r="D291">
        <v>1160.9539781591</v>
      </c>
      <c r="E291">
        <v>289.67316692667998</v>
      </c>
      <c r="F291">
        <v>138.91805887032999</v>
      </c>
      <c r="G291">
        <v>116.67064439140999</v>
      </c>
      <c r="I291" s="9">
        <f t="shared" si="32"/>
        <v>173.00252253526997</v>
      </c>
      <c r="J291" s="9">
        <f t="shared" si="33"/>
        <v>1022.0359192887699</v>
      </c>
      <c r="K291" s="9">
        <f t="shared" si="31"/>
        <v>173.00252253526997</v>
      </c>
      <c r="L291" s="10">
        <f t="shared" si="30"/>
        <v>0.16927244852183046</v>
      </c>
      <c r="M291" s="10">
        <f t="shared" si="34"/>
        <v>0.18832663134382926</v>
      </c>
      <c r="P291" s="8">
        <f t="shared" si="35"/>
        <v>1.3414299539028838</v>
      </c>
    </row>
    <row r="292" spans="1:16" x14ac:dyDescent="0.2">
      <c r="A292" s="8">
        <v>145</v>
      </c>
      <c r="B292" s="8">
        <v>290</v>
      </c>
      <c r="D292">
        <v>1151.4204368175001</v>
      </c>
      <c r="E292">
        <v>285.53588143526002</v>
      </c>
      <c r="F292">
        <v>139.16388225935</v>
      </c>
      <c r="G292">
        <v>116.74383452665001</v>
      </c>
      <c r="I292" s="9">
        <f>E292-G292</f>
        <v>168.79204690861002</v>
      </c>
      <c r="J292" s="9">
        <f>D292-F292</f>
        <v>1012.2565545581501</v>
      </c>
      <c r="K292" s="9">
        <f t="shared" si="31"/>
        <v>168.79204690861002</v>
      </c>
      <c r="L292" s="10">
        <f t="shared" si="30"/>
        <v>0.16674828742629158</v>
      </c>
      <c r="M292" s="10">
        <f>L292+ABS($N$2)*A292</f>
        <v>0.18586840167674021</v>
      </c>
      <c r="O292" s="11"/>
      <c r="P292" s="8">
        <f>(M292-$O$2)/$O$2*100</f>
        <v>1.8619112758008292E-2</v>
      </c>
    </row>
    <row r="293" spans="1:16" x14ac:dyDescent="0.2">
      <c r="A293" s="8">
        <v>145.5</v>
      </c>
      <c r="B293" s="8">
        <v>291</v>
      </c>
      <c r="D293">
        <v>1155.3580343214001</v>
      </c>
      <c r="E293">
        <v>283.41107644305998</v>
      </c>
      <c r="F293">
        <v>139.23627684964001</v>
      </c>
      <c r="G293">
        <v>116.51153540175</v>
      </c>
      <c r="I293" s="9">
        <f t="shared" ref="I293:I301" si="36">E293-G293</f>
        <v>166.89954104130999</v>
      </c>
      <c r="J293" s="9">
        <f t="shared" ref="J293:J301" si="37">D293-F293</f>
        <v>1016.12175747176</v>
      </c>
      <c r="K293" s="9">
        <f t="shared" si="31"/>
        <v>166.89954104130999</v>
      </c>
      <c r="L293" s="10">
        <f t="shared" si="30"/>
        <v>0.16425151790527273</v>
      </c>
      <c r="M293" s="10">
        <f t="shared" ref="M293:M301" si="38">L293+ABS($N$2)*A293</f>
        <v>0.18343756358417118</v>
      </c>
      <c r="P293" s="8">
        <f t="shared" ref="P293:P301" si="39">(M293-$O$2)/$O$2*100</f>
        <v>-1.2894519047584141</v>
      </c>
    </row>
    <row r="294" spans="1:16" x14ac:dyDescent="0.2">
      <c r="A294" s="8">
        <v>146</v>
      </c>
      <c r="B294" s="8">
        <v>292</v>
      </c>
      <c r="D294">
        <v>1133.4758190328</v>
      </c>
      <c r="E294">
        <v>280.80109204368</v>
      </c>
      <c r="F294">
        <v>138.68416865552999</v>
      </c>
      <c r="G294">
        <v>116.39697692919999</v>
      </c>
      <c r="I294" s="9">
        <f t="shared" si="36"/>
        <v>164.40411511448002</v>
      </c>
      <c r="J294" s="9">
        <f t="shared" si="37"/>
        <v>994.79165037727</v>
      </c>
      <c r="K294" s="9">
        <f t="shared" si="31"/>
        <v>164.40411511448002</v>
      </c>
      <c r="L294" s="10">
        <f t="shared" si="30"/>
        <v>0.16526487235003484</v>
      </c>
      <c r="M294" s="10">
        <f t="shared" si="38"/>
        <v>0.18451684945738311</v>
      </c>
      <c r="N294" s="1"/>
      <c r="P294" s="8">
        <f t="shared" si="39"/>
        <v>-0.70867173076032042</v>
      </c>
    </row>
    <row r="295" spans="1:16" x14ac:dyDescent="0.2">
      <c r="A295" s="8">
        <v>146.5</v>
      </c>
      <c r="B295" s="8">
        <v>293</v>
      </c>
      <c r="D295">
        <v>1166.2644305772001</v>
      </c>
      <c r="E295">
        <v>292.35101404056002</v>
      </c>
      <c r="F295">
        <v>138.72394590293999</v>
      </c>
      <c r="G295">
        <v>116.69132856006</v>
      </c>
      <c r="I295" s="9">
        <f t="shared" si="36"/>
        <v>175.6596854805</v>
      </c>
      <c r="J295" s="9">
        <f t="shared" si="37"/>
        <v>1027.5404846742601</v>
      </c>
      <c r="K295" s="9">
        <f t="shared" si="31"/>
        <v>175.6596854805</v>
      </c>
      <c r="L295" s="10">
        <f t="shared" si="30"/>
        <v>0.17095159567964444</v>
      </c>
      <c r="M295" s="10">
        <f t="shared" si="38"/>
        <v>0.19026950421544253</v>
      </c>
      <c r="P295" s="8">
        <f t="shared" si="39"/>
        <v>2.3869194506510314</v>
      </c>
    </row>
    <row r="296" spans="1:16" x14ac:dyDescent="0.2">
      <c r="A296" s="8">
        <v>147</v>
      </c>
      <c r="B296" s="8">
        <v>294</v>
      </c>
      <c r="D296">
        <v>1190.5702028081</v>
      </c>
      <c r="E296">
        <v>299.45709828393001</v>
      </c>
      <c r="F296">
        <v>138.51312649165001</v>
      </c>
      <c r="G296">
        <v>116.54494828958001</v>
      </c>
      <c r="I296" s="9">
        <f t="shared" si="36"/>
        <v>182.91214999434999</v>
      </c>
      <c r="J296" s="9">
        <f t="shared" si="37"/>
        <v>1052.0570763164501</v>
      </c>
      <c r="K296" s="9">
        <f t="shared" si="31"/>
        <v>182.91214999434999</v>
      </c>
      <c r="L296" s="10">
        <f t="shared" si="30"/>
        <v>0.17386143215230987</v>
      </c>
      <c r="M296" s="10">
        <f t="shared" si="38"/>
        <v>0.19324527211655779</v>
      </c>
      <c r="P296" s="8">
        <f t="shared" si="39"/>
        <v>3.9882255015162875</v>
      </c>
    </row>
    <row r="297" spans="1:16" x14ac:dyDescent="0.2">
      <c r="A297" s="8">
        <v>147.5</v>
      </c>
      <c r="B297" s="8">
        <v>295</v>
      </c>
      <c r="D297">
        <v>1150.2925117005</v>
      </c>
      <c r="E297">
        <v>286.66926677066999</v>
      </c>
      <c r="F297">
        <v>139.03659506762</v>
      </c>
      <c r="G297">
        <v>116.40652346858</v>
      </c>
      <c r="I297" s="9">
        <f t="shared" si="36"/>
        <v>170.26274330208997</v>
      </c>
      <c r="J297" s="9">
        <f t="shared" si="37"/>
        <v>1011.2559166328799</v>
      </c>
      <c r="K297" s="9">
        <f t="shared" si="31"/>
        <v>170.26274330208997</v>
      </c>
      <c r="L297" s="10">
        <f t="shared" si="30"/>
        <v>0.16836761150333135</v>
      </c>
      <c r="M297" s="10">
        <f t="shared" si="38"/>
        <v>0.18781738289602909</v>
      </c>
      <c r="P297" s="8">
        <f t="shared" si="39"/>
        <v>1.0673956044663762</v>
      </c>
    </row>
    <row r="298" spans="1:16" x14ac:dyDescent="0.2">
      <c r="A298" s="8">
        <v>148</v>
      </c>
      <c r="B298" s="8">
        <v>296</v>
      </c>
      <c r="D298">
        <v>1182.4399375974999</v>
      </c>
      <c r="E298">
        <v>296.10764430577001</v>
      </c>
      <c r="F298">
        <v>138.53301511535</v>
      </c>
      <c r="G298">
        <v>116.75576770088</v>
      </c>
      <c r="I298" s="9">
        <f t="shared" si="36"/>
        <v>179.35187660489001</v>
      </c>
      <c r="J298" s="9">
        <f t="shared" si="37"/>
        <v>1043.9069224821499</v>
      </c>
      <c r="K298" s="9">
        <f t="shared" si="31"/>
        <v>179.35187660489001</v>
      </c>
      <c r="L298" s="10">
        <f t="shared" si="30"/>
        <v>0.1718083027732358</v>
      </c>
      <c r="M298" s="10">
        <f t="shared" si="38"/>
        <v>0.19132400559438337</v>
      </c>
      <c r="P298" s="8">
        <f t="shared" si="39"/>
        <v>2.9543627106280184</v>
      </c>
    </row>
    <row r="299" spans="1:16" x14ac:dyDescent="0.2">
      <c r="A299" s="8">
        <v>148.5</v>
      </c>
      <c r="B299" s="8">
        <v>297</v>
      </c>
      <c r="D299">
        <v>1168.3588143525999</v>
      </c>
      <c r="E299">
        <v>292.59828393136002</v>
      </c>
      <c r="F299">
        <v>138.82418456643001</v>
      </c>
      <c r="G299">
        <v>116.62132060461001</v>
      </c>
      <c r="I299" s="9">
        <f t="shared" si="36"/>
        <v>175.97696332675002</v>
      </c>
      <c r="J299" s="9">
        <f t="shared" si="37"/>
        <v>1029.5346297861699</v>
      </c>
      <c r="K299" s="9">
        <f t="shared" si="31"/>
        <v>175.97696332675002</v>
      </c>
      <c r="L299" s="10">
        <f t="shared" si="30"/>
        <v>0.17092864895987006</v>
      </c>
      <c r="M299" s="10">
        <f t="shared" si="38"/>
        <v>0.19051028320946745</v>
      </c>
      <c r="P299" s="8">
        <f t="shared" si="39"/>
        <v>2.5164862962067094</v>
      </c>
    </row>
    <row r="300" spans="1:16" x14ac:dyDescent="0.2">
      <c r="A300" s="8">
        <v>149</v>
      </c>
      <c r="B300" s="8">
        <v>298</v>
      </c>
      <c r="D300">
        <v>1181.4890795632</v>
      </c>
      <c r="E300">
        <v>296.24960998440002</v>
      </c>
      <c r="F300">
        <v>138.69451073985999</v>
      </c>
      <c r="G300">
        <v>116.78679395386</v>
      </c>
      <c r="I300" s="9">
        <f t="shared" si="36"/>
        <v>179.46281603054001</v>
      </c>
      <c r="J300" s="9">
        <f t="shared" si="37"/>
        <v>1042.7945688233399</v>
      </c>
      <c r="K300" s="9">
        <f t="shared" si="31"/>
        <v>179.46281603054001</v>
      </c>
      <c r="L300" s="10">
        <f t="shared" si="30"/>
        <v>0.1720979581175234</v>
      </c>
      <c r="M300" s="10">
        <f t="shared" si="38"/>
        <v>0.19174552379557061</v>
      </c>
      <c r="P300" s="8">
        <f t="shared" si="39"/>
        <v>3.181188077572128</v>
      </c>
    </row>
    <row r="301" spans="1:16" x14ac:dyDescent="0.2">
      <c r="A301" s="8">
        <v>149.5</v>
      </c>
      <c r="B301" s="8">
        <v>299</v>
      </c>
      <c r="D301">
        <v>1140.1162246490001</v>
      </c>
      <c r="E301">
        <v>284.74570982838998</v>
      </c>
      <c r="F301">
        <v>138.87828162291001</v>
      </c>
      <c r="G301">
        <v>116.67143993636</v>
      </c>
      <c r="I301" s="9">
        <f t="shared" si="36"/>
        <v>168.07426989202997</v>
      </c>
      <c r="J301" s="9">
        <f t="shared" si="37"/>
        <v>1001.2379430260901</v>
      </c>
      <c r="K301" s="9">
        <f t="shared" si="31"/>
        <v>168.07426989202997</v>
      </c>
      <c r="L301" s="10">
        <f t="shared" si="30"/>
        <v>0.16786646077759593</v>
      </c>
      <c r="M301" s="10">
        <f t="shared" si="38"/>
        <v>0.18757995788409296</v>
      </c>
      <c r="P301" s="8">
        <f t="shared" si="39"/>
        <v>0.93963358777898687</v>
      </c>
    </row>
    <row r="302" spans="1:16" x14ac:dyDescent="0.2">
      <c r="A302" s="8">
        <v>150</v>
      </c>
      <c r="B302" s="8">
        <v>300</v>
      </c>
      <c r="D302">
        <v>1143.2160686428001</v>
      </c>
      <c r="E302">
        <v>284.42979719188997</v>
      </c>
      <c r="F302">
        <v>138.75338106602999</v>
      </c>
      <c r="G302">
        <v>116.76451869531</v>
      </c>
      <c r="I302" s="9">
        <f>E302-G302</f>
        <v>167.66527849657996</v>
      </c>
      <c r="J302" s="9">
        <f>D302-F302</f>
        <v>1004.4626875767701</v>
      </c>
      <c r="K302" s="9">
        <f t="shared" si="31"/>
        <v>167.66527849657996</v>
      </c>
      <c r="L302" s="10">
        <f t="shared" si="30"/>
        <v>0.16692036505712957</v>
      </c>
      <c r="M302" s="10">
        <f>L302+ABS($N$2)*A302</f>
        <v>0.18669979359207642</v>
      </c>
      <c r="O302" s="11"/>
      <c r="P302" s="8">
        <f>(M302-$O$2)/$O$2*100</f>
        <v>0.46600377073801419</v>
      </c>
    </row>
    <row r="303" spans="1:16" x14ac:dyDescent="0.2">
      <c r="A303" s="8">
        <v>150.5</v>
      </c>
      <c r="B303" s="8">
        <v>301</v>
      </c>
      <c r="D303">
        <v>1147.7199687988</v>
      </c>
      <c r="E303">
        <v>286.19656786271997</v>
      </c>
      <c r="F303">
        <v>138.70962609387001</v>
      </c>
      <c r="G303">
        <v>116.71280827367001</v>
      </c>
      <c r="I303" s="9">
        <f t="shared" ref="I303:I309" si="40">E303-G303</f>
        <v>169.48375958904995</v>
      </c>
      <c r="J303" s="9">
        <f t="shared" ref="J303:J309" si="41">D303-F303</f>
        <v>1009.0103427049299</v>
      </c>
      <c r="K303" s="9">
        <f t="shared" si="31"/>
        <v>169.48375958904995</v>
      </c>
      <c r="L303" s="10">
        <f t="shared" si="30"/>
        <v>0.16797028971447617</v>
      </c>
      <c r="M303" s="10">
        <f t="shared" ref="M303:M309" si="42">L303+ABS($N$2)*A303</f>
        <v>0.18781564967787284</v>
      </c>
      <c r="P303" s="8">
        <f t="shared" ref="P303:P309" si="43">(M303-$O$2)/$O$2*100</f>
        <v>1.0664629333665809</v>
      </c>
    </row>
    <row r="304" spans="1:16" x14ac:dyDescent="0.2">
      <c r="A304" s="8">
        <v>151</v>
      </c>
      <c r="B304" s="8">
        <v>302</v>
      </c>
      <c r="D304">
        <v>1186.0943837754</v>
      </c>
      <c r="E304">
        <v>294.33619344774002</v>
      </c>
      <c r="F304">
        <v>138.41766109784999</v>
      </c>
      <c r="G304">
        <v>116.63007159905</v>
      </c>
      <c r="I304" s="9">
        <f t="shared" si="40"/>
        <v>177.70612184869003</v>
      </c>
      <c r="J304" s="9">
        <f t="shared" si="41"/>
        <v>1047.6767226775501</v>
      </c>
      <c r="K304" s="9">
        <f t="shared" si="31"/>
        <v>177.70612184869003</v>
      </c>
      <c r="L304" s="10">
        <f t="shared" si="30"/>
        <v>0.16961923272908655</v>
      </c>
      <c r="M304" s="10">
        <f t="shared" si="42"/>
        <v>0.18953052412093305</v>
      </c>
      <c r="N304" s="1"/>
      <c r="P304" s="8">
        <f t="shared" si="43"/>
        <v>1.9892630015833714</v>
      </c>
    </row>
    <row r="305" spans="1:16" x14ac:dyDescent="0.2">
      <c r="A305" s="8">
        <v>151.5</v>
      </c>
      <c r="B305" s="8">
        <v>303</v>
      </c>
      <c r="D305">
        <v>1149.6450858034</v>
      </c>
      <c r="E305">
        <v>286.20436817473001</v>
      </c>
      <c r="F305">
        <v>138.6276849642</v>
      </c>
      <c r="G305">
        <v>116.40970564836999</v>
      </c>
      <c r="I305" s="9">
        <f t="shared" si="40"/>
        <v>169.79466252636001</v>
      </c>
      <c r="J305" s="9">
        <f t="shared" si="41"/>
        <v>1011.0174008392</v>
      </c>
      <c r="K305" s="9">
        <f t="shared" si="31"/>
        <v>169.79466252636001</v>
      </c>
      <c r="L305" s="10">
        <f t="shared" si="30"/>
        <v>0.16794435227862656</v>
      </c>
      <c r="M305" s="10">
        <f t="shared" si="42"/>
        <v>0.18792157509892288</v>
      </c>
      <c r="P305" s="8">
        <f t="shared" si="43"/>
        <v>1.123463016472626</v>
      </c>
    </row>
    <row r="306" spans="1:16" x14ac:dyDescent="0.2">
      <c r="A306" s="8">
        <v>152</v>
      </c>
      <c r="B306" s="8">
        <v>304</v>
      </c>
      <c r="D306">
        <v>1102.2292490119</v>
      </c>
      <c r="E306">
        <v>272.91620553360002</v>
      </c>
      <c r="F306">
        <v>138.52187748608</v>
      </c>
      <c r="G306">
        <v>116.54494828958001</v>
      </c>
      <c r="I306" s="9">
        <f t="shared" si="40"/>
        <v>156.37125724402</v>
      </c>
      <c r="J306" s="9">
        <f t="shared" si="41"/>
        <v>963.70737152582001</v>
      </c>
      <c r="K306" s="9">
        <f t="shared" si="31"/>
        <v>156.37125724402</v>
      </c>
      <c r="L306" s="10">
        <f t="shared" si="30"/>
        <v>0.16226010287380108</v>
      </c>
      <c r="M306" s="10">
        <f t="shared" si="42"/>
        <v>0.18230325712254722</v>
      </c>
      <c r="P306" s="8">
        <f t="shared" si="43"/>
        <v>-1.8998394957574543</v>
      </c>
    </row>
    <row r="307" spans="1:16" x14ac:dyDescent="0.2">
      <c r="A307" s="8">
        <v>152.5</v>
      </c>
      <c r="B307" s="8">
        <v>305</v>
      </c>
      <c r="D307">
        <v>1114.2339920949</v>
      </c>
      <c r="E307">
        <v>280.59446640316003</v>
      </c>
      <c r="F307">
        <v>138.71678599840999</v>
      </c>
      <c r="G307">
        <v>116.22036595068001</v>
      </c>
      <c r="I307" s="9">
        <f t="shared" si="40"/>
        <v>164.37410045248004</v>
      </c>
      <c r="J307" s="9">
        <f t="shared" si="41"/>
        <v>975.5172060964901</v>
      </c>
      <c r="K307" s="9">
        <f t="shared" si="31"/>
        <v>164.37410045248004</v>
      </c>
      <c r="L307" s="10">
        <f t="shared" si="30"/>
        <v>0.16849943745248663</v>
      </c>
      <c r="M307" s="10">
        <f t="shared" si="42"/>
        <v>0.1886085231296826</v>
      </c>
      <c r="P307" s="8">
        <f t="shared" si="43"/>
        <v>1.4931202191977619</v>
      </c>
    </row>
    <row r="308" spans="1:16" x14ac:dyDescent="0.2">
      <c r="A308" s="8">
        <v>153</v>
      </c>
      <c r="B308" s="8">
        <v>306</v>
      </c>
      <c r="D308">
        <v>1120.1612648221001</v>
      </c>
      <c r="E308">
        <v>281.22845849802002</v>
      </c>
      <c r="F308">
        <v>139.12171837708999</v>
      </c>
      <c r="G308">
        <v>116.2553699284</v>
      </c>
      <c r="I308" s="9">
        <f t="shared" si="40"/>
        <v>164.97308856962002</v>
      </c>
      <c r="J308" s="9">
        <f t="shared" si="41"/>
        <v>981.03954644501005</v>
      </c>
      <c r="K308" s="9">
        <f t="shared" si="31"/>
        <v>164.97308856962002</v>
      </c>
      <c r="L308" s="10">
        <f t="shared" si="30"/>
        <v>0.16816150701307861</v>
      </c>
      <c r="M308" s="10">
        <f t="shared" si="42"/>
        <v>0.1883365241187244</v>
      </c>
      <c r="P308" s="8">
        <f t="shared" si="43"/>
        <v>1.3467534068151508</v>
      </c>
    </row>
    <row r="309" spans="1:16" x14ac:dyDescent="0.2">
      <c r="A309" s="8">
        <v>153.5</v>
      </c>
      <c r="B309" s="8">
        <v>307</v>
      </c>
      <c r="D309">
        <v>1152.3992094862001</v>
      </c>
      <c r="E309">
        <v>286.97470355731002</v>
      </c>
      <c r="F309">
        <v>138.63245823388999</v>
      </c>
      <c r="G309">
        <v>116.32696897375</v>
      </c>
      <c r="I309" s="9">
        <f t="shared" si="40"/>
        <v>170.64773458356001</v>
      </c>
      <c r="J309" s="9">
        <f t="shared" si="41"/>
        <v>1013.7667512523101</v>
      </c>
      <c r="K309" s="9">
        <f t="shared" si="31"/>
        <v>170.64773458356001</v>
      </c>
      <c r="L309" s="10">
        <f t="shared" si="30"/>
        <v>0.16833037222098493</v>
      </c>
      <c r="M309" s="10">
        <f t="shared" si="42"/>
        <v>0.18857132075508054</v>
      </c>
      <c r="P309" s="8">
        <f t="shared" si="43"/>
        <v>1.4731010545530647</v>
      </c>
    </row>
    <row r="310" spans="1:16" x14ac:dyDescent="0.2">
      <c r="A310" s="8">
        <v>154</v>
      </c>
      <c r="B310" s="8">
        <v>308</v>
      </c>
      <c r="D310">
        <v>1182.4541176471</v>
      </c>
      <c r="E310">
        <v>285.53960784314</v>
      </c>
      <c r="F310">
        <v>138.58472553698999</v>
      </c>
      <c r="G310">
        <v>116.08750994431</v>
      </c>
      <c r="I310" s="9">
        <f>E310-G310</f>
        <v>169.45209789883</v>
      </c>
      <c r="J310" s="9">
        <f>D310-F310</f>
        <v>1043.8693921101101</v>
      </c>
      <c r="K310" s="9">
        <f t="shared" si="31"/>
        <v>169.45209789883</v>
      </c>
      <c r="L310" s="10">
        <f t="shared" si="30"/>
        <v>0.16233074671946676</v>
      </c>
      <c r="M310" s="10">
        <f>L310+ABS($N$2)*A310</f>
        <v>0.18263762668201219</v>
      </c>
      <c r="O310" s="11"/>
      <c r="P310" s="8">
        <f>(M310-$O$2)/$O$2*100</f>
        <v>-1.7199101408518689</v>
      </c>
    </row>
    <row r="311" spans="1:16" x14ac:dyDescent="0.2">
      <c r="A311" s="8">
        <v>154.5</v>
      </c>
      <c r="B311" s="8">
        <v>309</v>
      </c>
      <c r="D311">
        <v>1169.2211764706001</v>
      </c>
      <c r="E311">
        <v>282.32941176471002</v>
      </c>
      <c r="F311">
        <v>138.84168655529001</v>
      </c>
      <c r="G311">
        <v>116.4184566428</v>
      </c>
      <c r="I311" s="9">
        <f t="shared" ref="I311:I319" si="44">E311-G311</f>
        <v>165.91095512191004</v>
      </c>
      <c r="J311" s="9">
        <f t="shared" ref="J311:J319" si="45">D311-F311</f>
        <v>1030.3794899153102</v>
      </c>
      <c r="K311" s="9">
        <f t="shared" si="31"/>
        <v>165.91095512191004</v>
      </c>
      <c r="L311" s="10">
        <f t="shared" si="30"/>
        <v>0.16101927177873729</v>
      </c>
      <c r="M311" s="10">
        <f t="shared" ref="M311:M319" si="46">L311+ABS($N$2)*A311</f>
        <v>0.18139208316973254</v>
      </c>
      <c r="P311" s="8">
        <f t="shared" ref="P311:P319" si="47">(M311-$O$2)/$O$2*100</f>
        <v>-2.390156083783733</v>
      </c>
    </row>
    <row r="312" spans="1:16" x14ac:dyDescent="0.2">
      <c r="A312" s="8">
        <v>155</v>
      </c>
      <c r="B312" s="8">
        <v>310</v>
      </c>
      <c r="D312">
        <v>1166.5992156863001</v>
      </c>
      <c r="E312">
        <v>281.74745098039</v>
      </c>
      <c r="F312">
        <v>138.87509944312001</v>
      </c>
      <c r="G312">
        <v>116.17183770883</v>
      </c>
      <c r="I312" s="9">
        <f t="shared" si="44"/>
        <v>165.57561327156</v>
      </c>
      <c r="J312" s="9">
        <f t="shared" si="45"/>
        <v>1027.7241162431801</v>
      </c>
      <c r="K312" s="9">
        <f t="shared" si="31"/>
        <v>165.57561327156</v>
      </c>
      <c r="L312" s="10">
        <f t="shared" si="30"/>
        <v>0.16110900839499373</v>
      </c>
      <c r="M312" s="10">
        <f t="shared" si="46"/>
        <v>0.18154775121443881</v>
      </c>
      <c r="N312" s="1"/>
      <c r="P312" s="8">
        <f t="shared" si="47"/>
        <v>-2.3063887369348466</v>
      </c>
    </row>
    <row r="313" spans="1:16" x14ac:dyDescent="0.2">
      <c r="A313" s="8">
        <v>155.5</v>
      </c>
      <c r="B313" s="8">
        <v>311</v>
      </c>
      <c r="D313">
        <v>1107.4941176471</v>
      </c>
      <c r="E313">
        <v>274.40078431373001</v>
      </c>
      <c r="F313">
        <v>138.60461416070001</v>
      </c>
      <c r="G313">
        <v>116.47255369928</v>
      </c>
      <c r="I313" s="9">
        <f t="shared" si="44"/>
        <v>157.92823061445</v>
      </c>
      <c r="J313" s="9">
        <f t="shared" si="45"/>
        <v>968.88950348639992</v>
      </c>
      <c r="K313" s="9">
        <f t="shared" si="31"/>
        <v>157.92823061445</v>
      </c>
      <c r="L313" s="10">
        <f t="shared" si="30"/>
        <v>0.16299921719264121</v>
      </c>
      <c r="M313" s="10">
        <f t="shared" si="46"/>
        <v>0.18350389144053611</v>
      </c>
      <c r="P313" s="8">
        <f t="shared" si="47"/>
        <v>-1.253759874577473</v>
      </c>
    </row>
    <row r="314" spans="1:16" x14ac:dyDescent="0.2">
      <c r="A314" s="8">
        <v>156</v>
      </c>
      <c r="B314" s="8">
        <v>312</v>
      </c>
      <c r="D314">
        <v>1130.0582218725001</v>
      </c>
      <c r="E314">
        <v>285.16522423289001</v>
      </c>
      <c r="F314">
        <v>137.79793158313001</v>
      </c>
      <c r="G314">
        <v>116.37311058074999</v>
      </c>
      <c r="I314" s="9">
        <f t="shared" si="44"/>
        <v>168.79211365214002</v>
      </c>
      <c r="J314" s="9">
        <f t="shared" si="45"/>
        <v>992.26029028937012</v>
      </c>
      <c r="K314" s="9">
        <f t="shared" si="31"/>
        <v>168.79211365214002</v>
      </c>
      <c r="L314" s="10">
        <f t="shared" si="30"/>
        <v>0.17010870565314634</v>
      </c>
      <c r="M314" s="10">
        <f t="shared" si="46"/>
        <v>0.19067931132949106</v>
      </c>
      <c r="P314" s="8">
        <f t="shared" si="47"/>
        <v>2.6074429031580646</v>
      </c>
    </row>
    <row r="315" spans="1:16" x14ac:dyDescent="0.2">
      <c r="A315" s="8">
        <v>156.5</v>
      </c>
      <c r="B315" s="8">
        <v>313</v>
      </c>
      <c r="D315">
        <v>1140.9307631786</v>
      </c>
      <c r="E315">
        <v>284.67427222659001</v>
      </c>
      <c r="F315">
        <v>138.22116149563001</v>
      </c>
      <c r="G315">
        <v>116.39299920446</v>
      </c>
      <c r="I315" s="9">
        <f t="shared" si="44"/>
        <v>168.28127302212999</v>
      </c>
      <c r="J315" s="9">
        <f t="shared" si="45"/>
        <v>1002.7096016829701</v>
      </c>
      <c r="K315" s="9">
        <f t="shared" si="31"/>
        <v>168.28127302212999</v>
      </c>
      <c r="L315" s="10">
        <f t="shared" si="30"/>
        <v>0.16782652997406525</v>
      </c>
      <c r="M315" s="10">
        <f t="shared" si="46"/>
        <v>0.18846306707885979</v>
      </c>
      <c r="P315" s="8">
        <f t="shared" si="47"/>
        <v>1.4148481018628611</v>
      </c>
    </row>
    <row r="316" spans="1:16" x14ac:dyDescent="0.2">
      <c r="A316" s="8">
        <v>157</v>
      </c>
      <c r="B316" s="8">
        <v>314</v>
      </c>
      <c r="D316">
        <v>1151.6522423289</v>
      </c>
      <c r="E316">
        <v>285.21636506687997</v>
      </c>
      <c r="F316">
        <v>138.26014319808999</v>
      </c>
      <c r="G316">
        <v>116.39140811455999</v>
      </c>
      <c r="I316" s="9">
        <f t="shared" si="44"/>
        <v>168.82495695231998</v>
      </c>
      <c r="J316" s="9">
        <f t="shared" si="45"/>
        <v>1013.39209913081</v>
      </c>
      <c r="K316" s="9">
        <f t="shared" si="31"/>
        <v>168.82495695231998</v>
      </c>
      <c r="L316" s="10">
        <f t="shared" si="30"/>
        <v>0.16659391473164409</v>
      </c>
      <c r="M316" s="10">
        <f t="shared" si="46"/>
        <v>0.18729638326488846</v>
      </c>
      <c r="P316" s="8">
        <f t="shared" si="47"/>
        <v>0.78703776421566518</v>
      </c>
    </row>
    <row r="317" spans="1:16" x14ac:dyDescent="0.2">
      <c r="A317" s="8">
        <v>157.5</v>
      </c>
      <c r="B317" s="8">
        <v>315</v>
      </c>
      <c r="D317">
        <v>1156.6782061368999</v>
      </c>
      <c r="E317">
        <v>285.58929976397002</v>
      </c>
      <c r="F317">
        <v>138.52983293555999</v>
      </c>
      <c r="G317">
        <v>116.21161495625</v>
      </c>
      <c r="I317" s="9">
        <f t="shared" si="44"/>
        <v>169.37768480772002</v>
      </c>
      <c r="J317" s="9">
        <f t="shared" si="45"/>
        <v>1018.14837320134</v>
      </c>
      <c r="K317" s="9">
        <f t="shared" si="31"/>
        <v>169.37768480772002</v>
      </c>
      <c r="L317" s="10">
        <f t="shared" si="30"/>
        <v>0.16635854779706591</v>
      </c>
      <c r="M317" s="10">
        <f t="shared" si="46"/>
        <v>0.1871269477587601</v>
      </c>
      <c r="P317" s="8">
        <f t="shared" si="47"/>
        <v>0.69586193659380302</v>
      </c>
    </row>
    <row r="318" spans="1:16" x14ac:dyDescent="0.2">
      <c r="A318" s="8">
        <v>158</v>
      </c>
      <c r="B318" s="8">
        <v>316</v>
      </c>
      <c r="D318">
        <v>1157.6813532652</v>
      </c>
      <c r="E318">
        <v>284.92210857591999</v>
      </c>
      <c r="F318">
        <v>138.29514717582001</v>
      </c>
      <c r="G318">
        <v>115.91964996022</v>
      </c>
      <c r="I318" s="9">
        <f t="shared" si="44"/>
        <v>169.00245861569999</v>
      </c>
      <c r="J318" s="9">
        <f t="shared" si="45"/>
        <v>1019.3862060893799</v>
      </c>
      <c r="K318" s="9">
        <f t="shared" si="31"/>
        <v>169.00245861569999</v>
      </c>
      <c r="L318" s="10">
        <f t="shared" si="30"/>
        <v>0.16578844956519045</v>
      </c>
      <c r="M318" s="10">
        <f t="shared" si="46"/>
        <v>0.18662278095533447</v>
      </c>
      <c r="P318" s="8">
        <f t="shared" si="47"/>
        <v>0.4245620974268135</v>
      </c>
    </row>
    <row r="319" spans="1:16" x14ac:dyDescent="0.2">
      <c r="A319" s="8">
        <v>158.5</v>
      </c>
      <c r="B319" s="8">
        <v>317</v>
      </c>
      <c r="D319">
        <v>1167.3359559401999</v>
      </c>
      <c r="E319">
        <v>286.26671911879998</v>
      </c>
      <c r="F319">
        <v>138.06125696102001</v>
      </c>
      <c r="G319">
        <v>116.59665871122</v>
      </c>
      <c r="I319" s="9">
        <f t="shared" si="44"/>
        <v>169.67006040757997</v>
      </c>
      <c r="J319" s="9">
        <f t="shared" si="45"/>
        <v>1029.2746989791799</v>
      </c>
      <c r="K319" s="9">
        <f t="shared" si="31"/>
        <v>169.67006040757997</v>
      </c>
      <c r="L319" s="10">
        <f t="shared" si="30"/>
        <v>0.16484429334156989</v>
      </c>
      <c r="M319" s="10">
        <f t="shared" si="46"/>
        <v>0.18574455616016372</v>
      </c>
      <c r="P319" s="8">
        <f t="shared" si="47"/>
        <v>-4.8024046808347154E-2</v>
      </c>
    </row>
    <row r="320" spans="1:16" x14ac:dyDescent="0.2">
      <c r="A320" s="8">
        <v>159</v>
      </c>
      <c r="B320" s="8">
        <v>318</v>
      </c>
      <c r="D320">
        <v>1181.8780487805</v>
      </c>
      <c r="E320">
        <v>290.34303697875998</v>
      </c>
      <c r="F320">
        <v>138.5369928401</v>
      </c>
      <c r="G320">
        <v>116.29912490056</v>
      </c>
      <c r="I320" s="9">
        <f>E320-G320</f>
        <v>174.04391207819998</v>
      </c>
      <c r="J320" s="9">
        <f>D320-F320</f>
        <v>1043.3410559403999</v>
      </c>
      <c r="K320" s="9">
        <f t="shared" si="31"/>
        <v>174.04391207819998</v>
      </c>
      <c r="L320" s="10">
        <f t="shared" si="30"/>
        <v>0.16681401645919905</v>
      </c>
      <c r="M320" s="10">
        <f>L320+ABS($N$2)*A320</f>
        <v>0.18778021070624271</v>
      </c>
      <c r="O320" s="11"/>
      <c r="P320" s="8">
        <f>(M320-$O$2)/$O$2*100</f>
        <v>1.0473926827309348</v>
      </c>
    </row>
    <row r="321" spans="1:16" x14ac:dyDescent="0.2">
      <c r="A321" s="8">
        <v>159.5</v>
      </c>
      <c r="B321" s="8">
        <v>319</v>
      </c>
      <c r="D321">
        <v>1125.1282454760001</v>
      </c>
      <c r="E321">
        <v>274.33752950433001</v>
      </c>
      <c r="F321">
        <v>138.42641209228</v>
      </c>
      <c r="G321">
        <v>116.1861575179</v>
      </c>
      <c r="I321" s="9">
        <f t="shared" ref="I321" si="48">E321-G321</f>
        <v>158.15137198643001</v>
      </c>
      <c r="J321" s="9">
        <f t="shared" ref="J321" si="49">D321-F321</f>
        <v>986.7018333837201</v>
      </c>
      <c r="K321" s="9">
        <f t="shared" si="31"/>
        <v>158.15137198643001</v>
      </c>
      <c r="L321" s="10">
        <f t="shared" si="30"/>
        <v>0.16028283989711231</v>
      </c>
      <c r="M321" s="10">
        <f t="shared" ref="M321" si="50">L321+ABS($N$2)*A321</f>
        <v>0.18131496557260579</v>
      </c>
      <c r="P321" s="8">
        <f t="shared" ref="P321" si="51">(M321-$O$2)/$O$2*100</f>
        <v>-2.4316542378773289</v>
      </c>
    </row>
    <row r="322" spans="1:16" x14ac:dyDescent="0.2">
      <c r="A322" s="8">
        <v>160</v>
      </c>
      <c r="D322">
        <v>1128.3477576711</v>
      </c>
      <c r="E322">
        <v>275.23288749017001</v>
      </c>
      <c r="F322">
        <v>137.93476531424</v>
      </c>
      <c r="G322">
        <v>116.49005568814999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329-F3E7-AF4F-A36D-9C37DB66BD25}">
  <dimension ref="A1:Y798"/>
  <sheetViews>
    <sheetView topLeftCell="G1" zoomScale="93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1035.9221871714001</v>
      </c>
      <c r="E2">
        <v>444.90851735016003</v>
      </c>
      <c r="F2">
        <v>148.19522326064001</v>
      </c>
      <c r="G2">
        <v>122.53167185878</v>
      </c>
      <c r="H2" s="4"/>
      <c r="I2" s="5">
        <f>E2-G2</f>
        <v>322.37684549138004</v>
      </c>
      <c r="J2" s="5">
        <f>D2-F2</f>
        <v>887.72696391076011</v>
      </c>
      <c r="K2" s="9">
        <f>I2*1</f>
        <v>322.37684549138004</v>
      </c>
      <c r="L2" s="6">
        <f t="shared" ref="L2:L65" si="0">K2/J2</f>
        <v>0.3631486465964634</v>
      </c>
      <c r="M2" s="6">
        <f>L2+ABS($N$2)*A2</f>
        <v>0.3631486465964634</v>
      </c>
      <c r="N2" s="4">
        <f>LINEST(V64:V103,U64:U103)</f>
        <v>-5.542172886780246E-4</v>
      </c>
      <c r="O2" s="7">
        <f>AVERAGE(M62:M81)</f>
        <v>0.41003693807551739</v>
      </c>
      <c r="P2" s="4">
        <f>(M2-$O$2)/$O$2*100</f>
        <v>-11.435138429020867</v>
      </c>
    </row>
    <row r="3" spans="1:16" x14ac:dyDescent="0.2">
      <c r="A3" s="8">
        <v>0.5</v>
      </c>
      <c r="B3" s="8">
        <v>1</v>
      </c>
      <c r="D3">
        <v>1054.0820189274</v>
      </c>
      <c r="E3">
        <v>449.77181913775001</v>
      </c>
      <c r="F3">
        <v>148.24922118379999</v>
      </c>
      <c r="G3">
        <v>121.80685358256</v>
      </c>
      <c r="I3" s="9">
        <f t="shared" ref="I3:I66" si="1">E3-G3</f>
        <v>327.96496555519002</v>
      </c>
      <c r="J3" s="9">
        <f t="shared" ref="J3:J66" si="2">D3-F3</f>
        <v>905.83279774359994</v>
      </c>
      <c r="K3" s="9">
        <f t="shared" ref="K3:K66" si="3">I3*1</f>
        <v>327.96496555519002</v>
      </c>
      <c r="L3" s="10">
        <f t="shared" si="0"/>
        <v>0.36205905369306574</v>
      </c>
      <c r="M3" s="10">
        <f t="shared" ref="M3:M66" si="4">L3+ABS($N$2)*A3</f>
        <v>0.36233616233740473</v>
      </c>
      <c r="P3" s="8">
        <f t="shared" ref="P3:P66" si="5">(M3-$O$2)/$O$2*100</f>
        <v>-11.633287469659013</v>
      </c>
    </row>
    <row r="4" spans="1:16" ht="16" x14ac:dyDescent="0.2">
      <c r="A4" s="8">
        <v>1</v>
      </c>
      <c r="B4" s="8">
        <v>2</v>
      </c>
      <c r="D4">
        <v>984.12174817898006</v>
      </c>
      <c r="E4">
        <v>432.43080124869999</v>
      </c>
      <c r="F4">
        <v>148.29075804777</v>
      </c>
      <c r="G4">
        <v>122.14226375909</v>
      </c>
      <c r="I4" s="9">
        <f t="shared" si="1"/>
        <v>310.28853748961001</v>
      </c>
      <c r="J4" s="9">
        <f t="shared" si="2"/>
        <v>835.83099013121</v>
      </c>
      <c r="K4" s="9">
        <f t="shared" si="3"/>
        <v>310.28853748961001</v>
      </c>
      <c r="L4" s="10">
        <f t="shared" si="0"/>
        <v>0.3712335880737091</v>
      </c>
      <c r="M4" s="10">
        <f t="shared" si="4"/>
        <v>0.37178780536238715</v>
      </c>
      <c r="N4" s="1" t="s">
        <v>7</v>
      </c>
      <c r="P4" s="8">
        <f t="shared" si="5"/>
        <v>-9.3282163535436933</v>
      </c>
    </row>
    <row r="5" spans="1:16" x14ac:dyDescent="0.2">
      <c r="A5" s="8">
        <v>1.5</v>
      </c>
      <c r="B5" s="8">
        <v>3</v>
      </c>
      <c r="D5">
        <v>958.42323651452</v>
      </c>
      <c r="E5">
        <v>427.98651452282002</v>
      </c>
      <c r="F5">
        <v>147.44652128764</v>
      </c>
      <c r="G5">
        <v>122.71443406023</v>
      </c>
      <c r="I5" s="9">
        <f t="shared" si="1"/>
        <v>305.27208046259</v>
      </c>
      <c r="J5" s="9">
        <f t="shared" si="2"/>
        <v>810.97671522688006</v>
      </c>
      <c r="K5" s="9">
        <f t="shared" si="3"/>
        <v>305.27208046259</v>
      </c>
      <c r="L5" s="10">
        <f t="shared" si="0"/>
        <v>0.37642521015808278</v>
      </c>
      <c r="M5" s="10">
        <f t="shared" si="4"/>
        <v>0.37725653609109983</v>
      </c>
      <c r="N5" s="8">
        <f>RSQ(V64:V83,U64:U83)</f>
        <v>0.2481286830774172</v>
      </c>
      <c r="P5" s="8">
        <f t="shared" si="5"/>
        <v>-7.9944997487958815</v>
      </c>
    </row>
    <row r="6" spans="1:16" x14ac:dyDescent="0.2">
      <c r="A6" s="8">
        <v>2</v>
      </c>
      <c r="B6" s="8">
        <v>4</v>
      </c>
      <c r="D6">
        <v>957.27074688796995</v>
      </c>
      <c r="E6">
        <v>424.27385892116001</v>
      </c>
      <c r="F6">
        <v>148.07995846314</v>
      </c>
      <c r="G6">
        <v>122.32710280374</v>
      </c>
      <c r="I6" s="9">
        <f t="shared" si="1"/>
        <v>301.94675611742002</v>
      </c>
      <c r="J6" s="9">
        <f t="shared" si="2"/>
        <v>809.19078842482998</v>
      </c>
      <c r="K6" s="9">
        <f t="shared" si="3"/>
        <v>301.94675611742002</v>
      </c>
      <c r="L6" s="10">
        <f t="shared" si="0"/>
        <v>0.37314655633338251</v>
      </c>
      <c r="M6" s="10">
        <f t="shared" si="4"/>
        <v>0.37425499091073855</v>
      </c>
      <c r="P6" s="8">
        <f t="shared" si="5"/>
        <v>-8.7265179895058136</v>
      </c>
    </row>
    <row r="7" spans="1:16" x14ac:dyDescent="0.2">
      <c r="A7" s="8">
        <v>2.5</v>
      </c>
      <c r="B7" s="8">
        <v>5</v>
      </c>
      <c r="D7">
        <v>958.87460815046995</v>
      </c>
      <c r="E7">
        <v>428.95611285267</v>
      </c>
      <c r="F7">
        <v>147.90238836968001</v>
      </c>
      <c r="G7">
        <v>122.40083073728</v>
      </c>
      <c r="I7" s="9">
        <f t="shared" si="1"/>
        <v>306.55528211539001</v>
      </c>
      <c r="J7" s="9">
        <f t="shared" si="2"/>
        <v>810.97221978078994</v>
      </c>
      <c r="K7" s="9">
        <f t="shared" si="3"/>
        <v>306.55528211539001</v>
      </c>
      <c r="L7" s="10">
        <f t="shared" si="0"/>
        <v>0.37800959716999127</v>
      </c>
      <c r="M7" s="10">
        <f t="shared" si="4"/>
        <v>0.37939514039168631</v>
      </c>
      <c r="P7" s="8">
        <f t="shared" si="5"/>
        <v>-7.4729359329543401</v>
      </c>
    </row>
    <row r="8" spans="1:16" x14ac:dyDescent="0.2">
      <c r="A8" s="8">
        <v>3</v>
      </c>
      <c r="B8" s="8">
        <v>6</v>
      </c>
      <c r="D8">
        <v>981.36781609194998</v>
      </c>
      <c r="E8">
        <v>437.32079414838</v>
      </c>
      <c r="F8">
        <v>148.14641744548001</v>
      </c>
      <c r="G8">
        <v>122.3769470405</v>
      </c>
      <c r="I8" s="9">
        <f t="shared" si="1"/>
        <v>314.94384710788</v>
      </c>
      <c r="J8" s="9">
        <f t="shared" si="2"/>
        <v>833.22139864646999</v>
      </c>
      <c r="K8" s="9">
        <f t="shared" si="3"/>
        <v>314.94384710788</v>
      </c>
      <c r="L8" s="10">
        <f t="shared" si="0"/>
        <v>0.37798338787204921</v>
      </c>
      <c r="M8" s="10">
        <f t="shared" si="4"/>
        <v>0.37964603973808331</v>
      </c>
      <c r="P8" s="8">
        <f t="shared" si="5"/>
        <v>-7.4117464831514575</v>
      </c>
    </row>
    <row r="9" spans="1:16" x14ac:dyDescent="0.2">
      <c r="A9" s="8">
        <v>3.5</v>
      </c>
      <c r="B9" s="8">
        <v>7</v>
      </c>
      <c r="D9">
        <v>1015.3897596656</v>
      </c>
      <c r="E9">
        <v>441.34169278997001</v>
      </c>
      <c r="F9">
        <v>147.94600207683999</v>
      </c>
      <c r="G9">
        <v>121.96573208722999</v>
      </c>
      <c r="I9" s="9">
        <f t="shared" si="1"/>
        <v>319.37596070274003</v>
      </c>
      <c r="J9" s="9">
        <f t="shared" si="2"/>
        <v>867.44375758876004</v>
      </c>
      <c r="K9" s="9">
        <f t="shared" si="3"/>
        <v>319.37596070274003</v>
      </c>
      <c r="L9" s="10">
        <f t="shared" si="0"/>
        <v>0.36818059719573265</v>
      </c>
      <c r="M9" s="10">
        <f t="shared" si="4"/>
        <v>0.37012035770610574</v>
      </c>
      <c r="P9" s="8">
        <f t="shared" si="5"/>
        <v>-9.7348742668788848</v>
      </c>
    </row>
    <row r="10" spans="1:16" x14ac:dyDescent="0.2">
      <c r="A10" s="8">
        <v>4</v>
      </c>
      <c r="B10" s="8">
        <v>8</v>
      </c>
      <c r="D10">
        <v>1178.8622129436001</v>
      </c>
      <c r="E10">
        <v>478.39144050103999</v>
      </c>
      <c r="F10">
        <v>148.49117341640999</v>
      </c>
      <c r="G10">
        <v>122.26791277258999</v>
      </c>
      <c r="I10" s="9">
        <f t="shared" si="1"/>
        <v>356.12352772844997</v>
      </c>
      <c r="J10" s="9">
        <f t="shared" si="2"/>
        <v>1030.3710395271901</v>
      </c>
      <c r="K10" s="9">
        <f t="shared" si="3"/>
        <v>356.12352772844997</v>
      </c>
      <c r="L10" s="10">
        <f t="shared" si="0"/>
        <v>0.3456264918818619</v>
      </c>
      <c r="M10" s="10">
        <f t="shared" si="4"/>
        <v>0.34784336103657398</v>
      </c>
      <c r="P10" s="8">
        <f t="shared" si="5"/>
        <v>-15.167798620984014</v>
      </c>
    </row>
    <row r="11" spans="1:16" x14ac:dyDescent="0.2">
      <c r="A11" s="8">
        <v>4.5</v>
      </c>
      <c r="B11" s="8">
        <v>9</v>
      </c>
      <c r="D11">
        <v>1201.481210856</v>
      </c>
      <c r="E11">
        <v>483.59290187891003</v>
      </c>
      <c r="F11">
        <v>148.25545171339999</v>
      </c>
      <c r="G11">
        <v>122.36240913811</v>
      </c>
      <c r="I11" s="9">
        <f t="shared" si="1"/>
        <v>361.23049274080006</v>
      </c>
      <c r="J11" s="9">
        <f t="shared" si="2"/>
        <v>1053.2257591426001</v>
      </c>
      <c r="K11" s="9">
        <f t="shared" si="3"/>
        <v>361.23049274080006</v>
      </c>
      <c r="L11" s="10">
        <f t="shared" si="0"/>
        <v>0.34297536839097736</v>
      </c>
      <c r="M11" s="10">
        <f t="shared" si="4"/>
        <v>0.34546934619002845</v>
      </c>
      <c r="P11" s="8">
        <f t="shared" si="5"/>
        <v>-15.74677447074229</v>
      </c>
    </row>
    <row r="12" spans="1:16" x14ac:dyDescent="0.2">
      <c r="A12" s="8">
        <v>5</v>
      </c>
      <c r="B12" s="8">
        <v>10</v>
      </c>
      <c r="D12">
        <v>1177.3915289255999</v>
      </c>
      <c r="E12">
        <v>467.7055785124</v>
      </c>
      <c r="F12">
        <v>148.13707165109</v>
      </c>
      <c r="G12">
        <v>122.29595015576</v>
      </c>
      <c r="I12" s="9">
        <f t="shared" si="1"/>
        <v>345.40962835663998</v>
      </c>
      <c r="J12" s="9">
        <f t="shared" si="2"/>
        <v>1029.2544572745098</v>
      </c>
      <c r="K12" s="9">
        <f t="shared" si="3"/>
        <v>345.40962835663998</v>
      </c>
      <c r="L12" s="10">
        <f t="shared" si="0"/>
        <v>0.33559206463996555</v>
      </c>
      <c r="M12" s="10">
        <f t="shared" si="4"/>
        <v>0.33836315108335568</v>
      </c>
      <c r="P12" s="8">
        <f t="shared" si="5"/>
        <v>-17.479836652902083</v>
      </c>
    </row>
    <row r="13" spans="1:16" x14ac:dyDescent="0.2">
      <c r="A13" s="8">
        <v>5.5</v>
      </c>
      <c r="B13" s="8">
        <v>11</v>
      </c>
      <c r="D13">
        <v>1168.3747390397</v>
      </c>
      <c r="E13">
        <v>459.02818371607998</v>
      </c>
      <c r="F13">
        <v>147.51298026999001</v>
      </c>
      <c r="G13">
        <v>121.74454828659999</v>
      </c>
      <c r="I13" s="9">
        <f t="shared" si="1"/>
        <v>337.28363542948</v>
      </c>
      <c r="J13" s="9">
        <f t="shared" si="2"/>
        <v>1020.8617587697099</v>
      </c>
      <c r="K13" s="9">
        <f t="shared" si="3"/>
        <v>337.28363542948</v>
      </c>
      <c r="L13" s="10">
        <f t="shared" si="0"/>
        <v>0.33039109608332951</v>
      </c>
      <c r="M13" s="10">
        <f t="shared" si="4"/>
        <v>0.33343929117105864</v>
      </c>
      <c r="P13" s="8">
        <f t="shared" si="5"/>
        <v>-18.680669908414835</v>
      </c>
    </row>
    <row r="14" spans="1:16" x14ac:dyDescent="0.2">
      <c r="A14" s="8">
        <v>6</v>
      </c>
      <c r="B14" s="8">
        <v>12</v>
      </c>
      <c r="D14">
        <v>1180.9509394572001</v>
      </c>
      <c r="E14">
        <v>461.09916492692997</v>
      </c>
      <c r="F14">
        <v>147.46417445482999</v>
      </c>
      <c r="G14">
        <v>122.38940809969</v>
      </c>
      <c r="I14" s="9">
        <f t="shared" si="1"/>
        <v>338.70975682723997</v>
      </c>
      <c r="J14" s="9">
        <f t="shared" si="2"/>
        <v>1033.48676500237</v>
      </c>
      <c r="K14" s="9">
        <f t="shared" si="3"/>
        <v>338.70975682723997</v>
      </c>
      <c r="L14" s="10">
        <f t="shared" si="0"/>
        <v>0.32773497280970332</v>
      </c>
      <c r="M14" s="10">
        <f t="shared" si="4"/>
        <v>0.33106027654177145</v>
      </c>
      <c r="P14" s="8">
        <f t="shared" si="5"/>
        <v>-19.26086510752371</v>
      </c>
    </row>
    <row r="15" spans="1:16" x14ac:dyDescent="0.2">
      <c r="A15" s="8">
        <v>6.5</v>
      </c>
      <c r="B15" s="8">
        <v>13</v>
      </c>
      <c r="D15">
        <v>1177.0073068894001</v>
      </c>
      <c r="E15">
        <v>453.33507306888998</v>
      </c>
      <c r="F15">
        <v>147.79543094496</v>
      </c>
      <c r="G15">
        <v>121.86396677051</v>
      </c>
      <c r="I15" s="9">
        <f t="shared" si="1"/>
        <v>331.47110629837999</v>
      </c>
      <c r="J15" s="9">
        <f t="shared" si="2"/>
        <v>1029.2118759444402</v>
      </c>
      <c r="K15" s="9">
        <f t="shared" si="3"/>
        <v>331.47110629837999</v>
      </c>
      <c r="L15" s="10">
        <f t="shared" si="0"/>
        <v>0.32206304070695913</v>
      </c>
      <c r="M15" s="10">
        <f t="shared" si="4"/>
        <v>0.32566545308336631</v>
      </c>
      <c r="P15" s="8">
        <f t="shared" si="5"/>
        <v>-20.576557172664334</v>
      </c>
    </row>
    <row r="16" spans="1:16" x14ac:dyDescent="0.2">
      <c r="A16" s="8">
        <v>7</v>
      </c>
      <c r="B16" s="8">
        <v>14</v>
      </c>
      <c r="D16">
        <v>1211.7150313151999</v>
      </c>
      <c r="E16">
        <v>463.45302713988002</v>
      </c>
      <c r="F16">
        <v>147.52024922117999</v>
      </c>
      <c r="G16">
        <v>121.8712357217</v>
      </c>
      <c r="I16" s="9">
        <f t="shared" si="1"/>
        <v>341.58179141818005</v>
      </c>
      <c r="J16" s="9">
        <f t="shared" si="2"/>
        <v>1064.19478209402</v>
      </c>
      <c r="K16" s="9">
        <f t="shared" si="3"/>
        <v>341.58179141818005</v>
      </c>
      <c r="L16" s="10">
        <f t="shared" si="0"/>
        <v>0.32097675835813472</v>
      </c>
      <c r="M16" s="10">
        <f t="shared" si="4"/>
        <v>0.3248562793788809</v>
      </c>
      <c r="P16" s="8">
        <f t="shared" si="5"/>
        <v>-20.773898833706681</v>
      </c>
    </row>
    <row r="17" spans="1:16" x14ac:dyDescent="0.2">
      <c r="A17" s="8">
        <v>7.5</v>
      </c>
      <c r="B17" s="8">
        <v>15</v>
      </c>
      <c r="D17">
        <v>1178.7340980188001</v>
      </c>
      <c r="E17">
        <v>451.13868613138999</v>
      </c>
      <c r="F17">
        <v>147.25337487019999</v>
      </c>
      <c r="G17">
        <v>121.89200415369</v>
      </c>
      <c r="I17" s="9">
        <f t="shared" si="1"/>
        <v>329.24668197770001</v>
      </c>
      <c r="J17" s="9">
        <f t="shared" si="2"/>
        <v>1031.4807231486002</v>
      </c>
      <c r="K17" s="9">
        <f t="shared" si="3"/>
        <v>329.24668197770001</v>
      </c>
      <c r="L17" s="10">
        <f t="shared" si="0"/>
        <v>0.319198095115799</v>
      </c>
      <c r="M17" s="10">
        <f t="shared" si="4"/>
        <v>0.32335472478088417</v>
      </c>
      <c r="P17" s="8">
        <f t="shared" si="5"/>
        <v>-21.140098670493135</v>
      </c>
    </row>
    <row r="18" spans="1:16" x14ac:dyDescent="0.2">
      <c r="A18" s="8">
        <v>8</v>
      </c>
      <c r="B18" s="8">
        <v>16</v>
      </c>
      <c r="D18">
        <v>1190.9416058393999</v>
      </c>
      <c r="E18">
        <v>446.75391032325001</v>
      </c>
      <c r="F18">
        <v>147.30529595016</v>
      </c>
      <c r="G18">
        <v>121.95223260644001</v>
      </c>
      <c r="I18" s="9">
        <f t="shared" si="1"/>
        <v>324.80167771680999</v>
      </c>
      <c r="J18" s="9">
        <f t="shared" si="2"/>
        <v>1043.63630988924</v>
      </c>
      <c r="K18" s="9">
        <f t="shared" si="3"/>
        <v>324.80167771680999</v>
      </c>
      <c r="L18" s="10">
        <f t="shared" si="0"/>
        <v>0.31122113579133792</v>
      </c>
      <c r="M18" s="10">
        <f t="shared" si="4"/>
        <v>0.3156548741007621</v>
      </c>
      <c r="P18" s="8">
        <f t="shared" si="5"/>
        <v>-23.017941851222375</v>
      </c>
    </row>
    <row r="19" spans="1:16" x14ac:dyDescent="0.2">
      <c r="A19" s="8">
        <v>8.5</v>
      </c>
      <c r="B19" s="8">
        <v>17</v>
      </c>
      <c r="D19">
        <v>1179.6124352331999</v>
      </c>
      <c r="E19">
        <v>450.18341968912</v>
      </c>
      <c r="F19">
        <v>147.69366562824999</v>
      </c>
      <c r="G19">
        <v>121.70716510903</v>
      </c>
      <c r="I19" s="9">
        <f t="shared" si="1"/>
        <v>328.47625458008997</v>
      </c>
      <c r="J19" s="9">
        <f t="shared" si="2"/>
        <v>1031.9187696049498</v>
      </c>
      <c r="K19" s="9">
        <f t="shared" si="3"/>
        <v>328.47625458008997</v>
      </c>
      <c r="L19" s="10">
        <f t="shared" si="0"/>
        <v>0.31831599952953737</v>
      </c>
      <c r="M19" s="10">
        <f t="shared" si="4"/>
        <v>0.3230268464833006</v>
      </c>
      <c r="P19" s="8">
        <f t="shared" si="5"/>
        <v>-21.220061782870879</v>
      </c>
    </row>
    <row r="20" spans="1:16" x14ac:dyDescent="0.2">
      <c r="A20" s="8">
        <v>9</v>
      </c>
      <c r="B20" s="8">
        <v>18</v>
      </c>
      <c r="D20">
        <v>1154.207253886</v>
      </c>
      <c r="E20">
        <v>437.12227979275002</v>
      </c>
      <c r="F20">
        <v>147.51713395639001</v>
      </c>
      <c r="G20">
        <v>121.5067497404</v>
      </c>
      <c r="I20" s="9">
        <f t="shared" si="1"/>
        <v>315.61553005235004</v>
      </c>
      <c r="J20" s="9">
        <f t="shared" si="2"/>
        <v>1006.69011992961</v>
      </c>
      <c r="K20" s="9">
        <f t="shared" si="3"/>
        <v>315.61553005235004</v>
      </c>
      <c r="L20" s="10">
        <f t="shared" si="0"/>
        <v>0.31351805665324162</v>
      </c>
      <c r="M20" s="10">
        <f t="shared" si="4"/>
        <v>0.31850601225134384</v>
      </c>
      <c r="P20" s="8">
        <f t="shared" si="5"/>
        <v>-22.322604947195295</v>
      </c>
    </row>
    <row r="21" spans="1:16" x14ac:dyDescent="0.2">
      <c r="A21" s="8">
        <v>9.5</v>
      </c>
      <c r="B21" s="8">
        <v>19</v>
      </c>
      <c r="D21">
        <v>1165.2829015544</v>
      </c>
      <c r="E21">
        <v>438.68911917098001</v>
      </c>
      <c r="F21">
        <v>147.39044652128999</v>
      </c>
      <c r="G21">
        <v>121.45482866044</v>
      </c>
      <c r="I21" s="9">
        <f t="shared" si="1"/>
        <v>317.23429051054001</v>
      </c>
      <c r="J21" s="9">
        <f t="shared" si="2"/>
        <v>1017.8924550331101</v>
      </c>
      <c r="K21" s="9">
        <f t="shared" si="3"/>
        <v>317.23429051054001</v>
      </c>
      <c r="L21" s="10">
        <f t="shared" si="0"/>
        <v>0.31165796439685861</v>
      </c>
      <c r="M21" s="10">
        <f t="shared" si="4"/>
        <v>0.31692302863929983</v>
      </c>
      <c r="P21" s="8">
        <f t="shared" si="5"/>
        <v>-22.708663729965853</v>
      </c>
    </row>
    <row r="22" spans="1:16" x14ac:dyDescent="0.2">
      <c r="A22" s="8">
        <v>10</v>
      </c>
      <c r="B22" s="8">
        <v>20</v>
      </c>
      <c r="D22">
        <v>1130.0678496869</v>
      </c>
      <c r="E22">
        <v>432.99164926931002</v>
      </c>
      <c r="F22">
        <v>146.52232606438</v>
      </c>
      <c r="G22">
        <v>122.11318795431001</v>
      </c>
      <c r="I22" s="9">
        <f t="shared" si="1"/>
        <v>310.87846131499998</v>
      </c>
      <c r="J22" s="9">
        <f t="shared" si="2"/>
        <v>983.54552362252002</v>
      </c>
      <c r="K22" s="9">
        <f t="shared" si="3"/>
        <v>310.87846131499998</v>
      </c>
      <c r="L22" s="10">
        <f t="shared" si="0"/>
        <v>0.31607938204018876</v>
      </c>
      <c r="M22" s="10">
        <f t="shared" si="4"/>
        <v>0.32162155492696903</v>
      </c>
      <c r="P22" s="8">
        <f t="shared" si="5"/>
        <v>-21.562784944088307</v>
      </c>
    </row>
    <row r="23" spans="1:16" x14ac:dyDescent="0.2">
      <c r="A23" s="8">
        <v>10.5</v>
      </c>
      <c r="B23" s="8">
        <v>21</v>
      </c>
      <c r="D23">
        <v>1147.8736951983001</v>
      </c>
      <c r="E23">
        <v>440.14509394572002</v>
      </c>
      <c r="F23">
        <v>146.71235721702999</v>
      </c>
      <c r="G23">
        <v>121.50986500518999</v>
      </c>
      <c r="I23" s="9">
        <f t="shared" si="1"/>
        <v>318.63522894053006</v>
      </c>
      <c r="J23" s="9">
        <f t="shared" si="2"/>
        <v>1001.1613379812701</v>
      </c>
      <c r="K23" s="9">
        <f t="shared" si="3"/>
        <v>318.63522894053006</v>
      </c>
      <c r="L23" s="10">
        <f t="shared" si="0"/>
        <v>0.31826561499370559</v>
      </c>
      <c r="M23" s="10">
        <f t="shared" si="4"/>
        <v>0.32408489652482486</v>
      </c>
      <c r="P23" s="8">
        <f t="shared" si="5"/>
        <v>-20.962024044492928</v>
      </c>
    </row>
    <row r="24" spans="1:16" x14ac:dyDescent="0.2">
      <c r="A24" s="8">
        <v>11</v>
      </c>
      <c r="B24" s="8">
        <v>22</v>
      </c>
      <c r="D24">
        <v>1145.9196242170999</v>
      </c>
      <c r="E24">
        <v>441.75991649269002</v>
      </c>
      <c r="F24">
        <v>147.10695742471</v>
      </c>
      <c r="G24">
        <v>121.53582554517</v>
      </c>
      <c r="I24" s="9">
        <f t="shared" si="1"/>
        <v>320.22409094752004</v>
      </c>
      <c r="J24" s="9">
        <f t="shared" si="2"/>
        <v>998.8126667923899</v>
      </c>
      <c r="K24" s="9">
        <f t="shared" si="3"/>
        <v>320.22409094752004</v>
      </c>
      <c r="L24" s="10">
        <f t="shared" si="0"/>
        <v>0.32060475562038582</v>
      </c>
      <c r="M24" s="10">
        <f t="shared" si="4"/>
        <v>0.32670114579584408</v>
      </c>
      <c r="P24" s="8">
        <f t="shared" si="5"/>
        <v>-20.323971950138105</v>
      </c>
    </row>
    <row r="25" spans="1:16" x14ac:dyDescent="0.2">
      <c r="A25" s="8">
        <v>11.5</v>
      </c>
      <c r="B25" s="8">
        <v>23</v>
      </c>
      <c r="D25">
        <v>1125.7554179567001</v>
      </c>
      <c r="E25">
        <v>439.08875128999</v>
      </c>
      <c r="F25">
        <v>146.61682242991</v>
      </c>
      <c r="G25">
        <v>121.59709241952</v>
      </c>
      <c r="I25" s="9">
        <f t="shared" si="1"/>
        <v>317.49165887047002</v>
      </c>
      <c r="J25" s="9">
        <f t="shared" si="2"/>
        <v>979.13859552679003</v>
      </c>
      <c r="K25" s="9">
        <f t="shared" si="3"/>
        <v>317.49165887047002</v>
      </c>
      <c r="L25" s="10">
        <f t="shared" si="0"/>
        <v>0.32425609645144787</v>
      </c>
      <c r="M25" s="10">
        <f t="shared" si="4"/>
        <v>0.33062959527124514</v>
      </c>
      <c r="P25" s="8">
        <f t="shared" si="5"/>
        <v>-19.365899856965481</v>
      </c>
    </row>
    <row r="26" spans="1:16" x14ac:dyDescent="0.2">
      <c r="A26" s="8">
        <v>12</v>
      </c>
      <c r="B26" s="8">
        <v>24</v>
      </c>
      <c r="D26">
        <v>1177.4794952681</v>
      </c>
      <c r="E26">
        <v>458.34805467928999</v>
      </c>
      <c r="F26">
        <v>146.73727933540999</v>
      </c>
      <c r="G26">
        <v>121.61578400831</v>
      </c>
      <c r="I26" s="9">
        <f t="shared" si="1"/>
        <v>336.73227067097997</v>
      </c>
      <c r="J26" s="9">
        <f t="shared" si="2"/>
        <v>1030.74221593269</v>
      </c>
      <c r="K26" s="9">
        <f t="shared" si="3"/>
        <v>336.73227067097997</v>
      </c>
      <c r="L26" s="10">
        <f t="shared" si="0"/>
        <v>0.32668912310560627</v>
      </c>
      <c r="M26" s="10">
        <f t="shared" si="4"/>
        <v>0.33333973056974259</v>
      </c>
      <c r="P26" s="8">
        <f t="shared" si="5"/>
        <v>-18.704950794371925</v>
      </c>
    </row>
    <row r="27" spans="1:16" x14ac:dyDescent="0.2">
      <c r="A27" s="8">
        <v>12.5</v>
      </c>
      <c r="B27" s="8">
        <v>25</v>
      </c>
      <c r="D27">
        <v>1155.7392218717</v>
      </c>
      <c r="E27">
        <v>456.56466876972002</v>
      </c>
      <c r="F27">
        <v>147.26479750779001</v>
      </c>
      <c r="G27">
        <v>121.63759086189</v>
      </c>
      <c r="I27" s="9">
        <f t="shared" si="1"/>
        <v>334.92707790783004</v>
      </c>
      <c r="J27" s="9">
        <f t="shared" si="2"/>
        <v>1008.47442436391</v>
      </c>
      <c r="K27" s="9">
        <f t="shared" si="3"/>
        <v>334.92707790783004</v>
      </c>
      <c r="L27" s="10">
        <f t="shared" si="0"/>
        <v>0.33211261467447084</v>
      </c>
      <c r="M27" s="10">
        <f t="shared" si="4"/>
        <v>0.33904033078294615</v>
      </c>
      <c r="P27" s="8">
        <f t="shared" si="5"/>
        <v>-17.314685751432382</v>
      </c>
    </row>
    <row r="28" spans="1:16" x14ac:dyDescent="0.2">
      <c r="A28" s="8">
        <v>13</v>
      </c>
      <c r="B28" s="8">
        <v>26</v>
      </c>
      <c r="D28">
        <v>1196.9662802951</v>
      </c>
      <c r="E28">
        <v>472.56796628030003</v>
      </c>
      <c r="F28">
        <v>147.09345794392999</v>
      </c>
      <c r="G28">
        <v>121.32294911734</v>
      </c>
      <c r="I28" s="9">
        <f t="shared" si="1"/>
        <v>351.24501716296004</v>
      </c>
      <c r="J28" s="9">
        <f t="shared" si="2"/>
        <v>1049.87282235117</v>
      </c>
      <c r="K28" s="9">
        <f t="shared" si="3"/>
        <v>351.24501716296004</v>
      </c>
      <c r="L28" s="10">
        <f t="shared" si="0"/>
        <v>0.33455958634718591</v>
      </c>
      <c r="M28" s="10">
        <f t="shared" si="4"/>
        <v>0.34176441110000022</v>
      </c>
      <c r="P28" s="8">
        <f t="shared" si="5"/>
        <v>-16.65033577119905</v>
      </c>
    </row>
    <row r="29" spans="1:16" x14ac:dyDescent="0.2">
      <c r="A29" s="8">
        <v>13.5</v>
      </c>
      <c r="B29" s="8">
        <v>27</v>
      </c>
      <c r="D29">
        <v>1166.1409326425</v>
      </c>
      <c r="E29">
        <v>460.07772020725002</v>
      </c>
      <c r="F29">
        <v>146.88265835928999</v>
      </c>
      <c r="G29">
        <v>121.60436137072</v>
      </c>
      <c r="I29" s="9">
        <f t="shared" si="1"/>
        <v>338.47335883653</v>
      </c>
      <c r="J29" s="9">
        <f t="shared" si="2"/>
        <v>1019.2582742832101</v>
      </c>
      <c r="K29" s="9">
        <f t="shared" si="3"/>
        <v>338.47335883653</v>
      </c>
      <c r="L29" s="10">
        <f t="shared" si="0"/>
        <v>0.33207810755773381</v>
      </c>
      <c r="M29" s="10">
        <f t="shared" si="4"/>
        <v>0.33956004095488712</v>
      </c>
      <c r="P29" s="8">
        <f t="shared" si="5"/>
        <v>-17.187938591925196</v>
      </c>
    </row>
    <row r="30" spans="1:16" x14ac:dyDescent="0.2">
      <c r="A30" s="8">
        <v>14</v>
      </c>
      <c r="B30" s="8">
        <v>28</v>
      </c>
      <c r="D30">
        <v>1161.9295336788</v>
      </c>
      <c r="E30">
        <v>457.64766839378001</v>
      </c>
      <c r="F30">
        <v>147.15680166147999</v>
      </c>
      <c r="G30">
        <v>121.09657320872</v>
      </c>
      <c r="I30" s="9">
        <f t="shared" si="1"/>
        <v>336.55109518506003</v>
      </c>
      <c r="J30" s="9">
        <f t="shared" si="2"/>
        <v>1014.77273201732</v>
      </c>
      <c r="K30" s="9">
        <f t="shared" si="3"/>
        <v>336.55109518506003</v>
      </c>
      <c r="L30" s="10">
        <f t="shared" si="0"/>
        <v>0.33165169359252733</v>
      </c>
      <c r="M30" s="10">
        <f t="shared" si="4"/>
        <v>0.33941073563401969</v>
      </c>
      <c r="P30" s="8">
        <f t="shared" si="5"/>
        <v>-17.22435124332392</v>
      </c>
    </row>
    <row r="31" spans="1:16" x14ac:dyDescent="0.2">
      <c r="A31" s="8">
        <v>14.5</v>
      </c>
      <c r="B31" s="8">
        <v>29</v>
      </c>
      <c r="D31">
        <v>1150.5139318885001</v>
      </c>
      <c r="E31">
        <v>454.23323013416001</v>
      </c>
      <c r="F31">
        <v>146.58255451713001</v>
      </c>
      <c r="G31">
        <v>121.70612668744</v>
      </c>
      <c r="I31" s="9">
        <f t="shared" si="1"/>
        <v>332.52710344671999</v>
      </c>
      <c r="J31" s="9">
        <f t="shared" si="2"/>
        <v>1003.9313773713701</v>
      </c>
      <c r="K31" s="9">
        <f t="shared" si="3"/>
        <v>332.52710344671999</v>
      </c>
      <c r="L31" s="10">
        <f t="shared" si="0"/>
        <v>0.33122493323934926</v>
      </c>
      <c r="M31" s="10">
        <f t="shared" si="4"/>
        <v>0.33926108392518062</v>
      </c>
      <c r="P31" s="8">
        <f t="shared" si="5"/>
        <v>-17.260848371982974</v>
      </c>
    </row>
    <row r="32" spans="1:16" x14ac:dyDescent="0.2">
      <c r="A32" s="8">
        <v>15</v>
      </c>
      <c r="B32" s="8">
        <v>30</v>
      </c>
      <c r="D32">
        <v>1142.7341640705999</v>
      </c>
      <c r="E32">
        <v>451.52751817237998</v>
      </c>
      <c r="F32">
        <v>146.82346832814</v>
      </c>
      <c r="G32">
        <v>121.36656282451</v>
      </c>
      <c r="I32" s="9">
        <f t="shared" si="1"/>
        <v>330.16095534786996</v>
      </c>
      <c r="J32" s="9">
        <f t="shared" si="2"/>
        <v>995.91069574245989</v>
      </c>
      <c r="K32" s="9">
        <f t="shared" si="3"/>
        <v>330.16095534786996</v>
      </c>
      <c r="L32" s="10">
        <f t="shared" si="0"/>
        <v>0.3315166277049893</v>
      </c>
      <c r="M32" s="10">
        <f t="shared" si="4"/>
        <v>0.33982988703515965</v>
      </c>
      <c r="P32" s="8">
        <f t="shared" si="5"/>
        <v>-17.122128403814084</v>
      </c>
    </row>
    <row r="33" spans="1:16" x14ac:dyDescent="0.2">
      <c r="A33" s="8">
        <v>15.5</v>
      </c>
      <c r="B33" s="8">
        <v>31</v>
      </c>
      <c r="D33">
        <v>1126.8245067497</v>
      </c>
      <c r="E33">
        <v>451.73624091380998</v>
      </c>
      <c r="F33">
        <v>146.30010384216001</v>
      </c>
      <c r="G33">
        <v>121.36033229490999</v>
      </c>
      <c r="I33" s="9">
        <f t="shared" si="1"/>
        <v>330.37590861889998</v>
      </c>
      <c r="J33" s="9">
        <f t="shared" si="2"/>
        <v>980.52440290753998</v>
      </c>
      <c r="K33" s="9">
        <f t="shared" si="3"/>
        <v>330.37590861889998</v>
      </c>
      <c r="L33" s="10">
        <f t="shared" si="0"/>
        <v>0.33693797690219573</v>
      </c>
      <c r="M33" s="10">
        <f t="shared" si="4"/>
        <v>0.34552834487670514</v>
      </c>
      <c r="P33" s="8">
        <f t="shared" si="5"/>
        <v>-15.73238584347529</v>
      </c>
    </row>
    <row r="34" spans="1:16" x14ac:dyDescent="0.2">
      <c r="A34" s="8">
        <v>16</v>
      </c>
      <c r="B34" s="8">
        <v>32</v>
      </c>
      <c r="D34">
        <v>1125.0010384216</v>
      </c>
      <c r="E34">
        <v>451.87642782969999</v>
      </c>
      <c r="F34">
        <v>146.78089304258</v>
      </c>
      <c r="G34">
        <v>121.10799584631</v>
      </c>
      <c r="I34" s="9">
        <f t="shared" si="1"/>
        <v>330.76843198338997</v>
      </c>
      <c r="J34" s="9">
        <f t="shared" si="2"/>
        <v>978.22014537901998</v>
      </c>
      <c r="K34" s="9">
        <f t="shared" si="3"/>
        <v>330.76843198338997</v>
      </c>
      <c r="L34" s="10">
        <f t="shared" si="0"/>
        <v>0.33813291777509941</v>
      </c>
      <c r="M34" s="10">
        <f t="shared" si="4"/>
        <v>0.34700039439394781</v>
      </c>
      <c r="P34" s="8">
        <f t="shared" si="5"/>
        <v>-15.373381719565959</v>
      </c>
    </row>
    <row r="35" spans="1:16" x14ac:dyDescent="0.2">
      <c r="A35" s="8">
        <v>16.5</v>
      </c>
      <c r="B35" s="8">
        <v>33</v>
      </c>
      <c r="D35">
        <v>1127.9086188993001</v>
      </c>
      <c r="E35">
        <v>454.06749740394997</v>
      </c>
      <c r="F35">
        <v>146.61993769470001</v>
      </c>
      <c r="G35">
        <v>120.83073727934</v>
      </c>
      <c r="I35" s="9">
        <f t="shared" si="1"/>
        <v>333.23676012460999</v>
      </c>
      <c r="J35" s="9">
        <f t="shared" si="2"/>
        <v>981.28868120460015</v>
      </c>
      <c r="K35" s="9">
        <f t="shared" si="3"/>
        <v>333.23676012460999</v>
      </c>
      <c r="L35" s="10">
        <f t="shared" si="0"/>
        <v>0.33959095473876116</v>
      </c>
      <c r="M35" s="10">
        <f t="shared" si="4"/>
        <v>0.34873554000194856</v>
      </c>
      <c r="P35" s="8">
        <f t="shared" si="5"/>
        <v>-14.950213598141445</v>
      </c>
    </row>
    <row r="36" spans="1:16" x14ac:dyDescent="0.2">
      <c r="A36" s="8">
        <v>17</v>
      </c>
      <c r="B36" s="8">
        <v>34</v>
      </c>
      <c r="D36">
        <v>1162.4953271028</v>
      </c>
      <c r="E36">
        <v>467.74766355140002</v>
      </c>
      <c r="F36">
        <v>145.84423676013</v>
      </c>
      <c r="G36">
        <v>120.81516095535</v>
      </c>
      <c r="I36" s="9">
        <f t="shared" si="1"/>
        <v>346.93250259605003</v>
      </c>
      <c r="J36" s="9">
        <f t="shared" si="2"/>
        <v>1016.65109034267</v>
      </c>
      <c r="K36" s="9">
        <f t="shared" si="3"/>
        <v>346.93250259605003</v>
      </c>
      <c r="L36" s="10">
        <f t="shared" si="0"/>
        <v>0.34125031280801926</v>
      </c>
      <c r="M36" s="10">
        <f t="shared" si="4"/>
        <v>0.35067200671554566</v>
      </c>
      <c r="P36" s="8">
        <f t="shared" si="5"/>
        <v>-14.47794719144019</v>
      </c>
    </row>
    <row r="37" spans="1:16" x14ac:dyDescent="0.2">
      <c r="A37" s="8">
        <v>17.5</v>
      </c>
      <c r="B37" s="8">
        <v>35</v>
      </c>
      <c r="D37">
        <v>1177.9979231568</v>
      </c>
      <c r="E37">
        <v>473.53271028037</v>
      </c>
      <c r="F37">
        <v>146.82035306334001</v>
      </c>
      <c r="G37">
        <v>121.32917964694001</v>
      </c>
      <c r="I37" s="9">
        <f t="shared" si="1"/>
        <v>352.20353063342998</v>
      </c>
      <c r="J37" s="9">
        <f t="shared" si="2"/>
        <v>1031.17757009346</v>
      </c>
      <c r="K37" s="9">
        <f t="shared" si="3"/>
        <v>352.20353063342998</v>
      </c>
      <c r="L37" s="10">
        <f t="shared" si="0"/>
        <v>0.34155468548594231</v>
      </c>
      <c r="M37" s="10">
        <f t="shared" si="4"/>
        <v>0.35125348803780776</v>
      </c>
      <c r="P37" s="8">
        <f t="shared" si="5"/>
        <v>-14.336135254937288</v>
      </c>
    </row>
    <row r="38" spans="1:16" x14ac:dyDescent="0.2">
      <c r="A38" s="8">
        <v>18</v>
      </c>
      <c r="B38" s="8">
        <v>36</v>
      </c>
      <c r="D38">
        <v>1155.6012461058999</v>
      </c>
      <c r="E38">
        <v>466.75493250260001</v>
      </c>
      <c r="F38">
        <v>146.31983385254</v>
      </c>
      <c r="G38">
        <v>121.14434060229</v>
      </c>
      <c r="I38" s="9">
        <f t="shared" si="1"/>
        <v>345.61059190031</v>
      </c>
      <c r="J38" s="9">
        <f t="shared" si="2"/>
        <v>1009.2814122533599</v>
      </c>
      <c r="K38" s="9">
        <f t="shared" si="3"/>
        <v>345.61059190031</v>
      </c>
      <c r="L38" s="10">
        <f t="shared" si="0"/>
        <v>0.3424323362189805</v>
      </c>
      <c r="M38" s="10">
        <f t="shared" si="4"/>
        <v>0.35240824741518495</v>
      </c>
      <c r="P38" s="8">
        <f t="shared" si="5"/>
        <v>-14.05451199855532</v>
      </c>
    </row>
    <row r="39" spans="1:16" x14ac:dyDescent="0.2">
      <c r="A39" s="8">
        <v>18.5</v>
      </c>
      <c r="B39" s="8">
        <v>37</v>
      </c>
      <c r="D39">
        <v>1153.1339563863</v>
      </c>
      <c r="E39">
        <v>465.22845275181999</v>
      </c>
      <c r="F39">
        <v>145.98961578401</v>
      </c>
      <c r="G39">
        <v>120.85358255452</v>
      </c>
      <c r="I39" s="9">
        <f t="shared" si="1"/>
        <v>344.37487019729997</v>
      </c>
      <c r="J39" s="9">
        <f t="shared" si="2"/>
        <v>1007.1443406022901</v>
      </c>
      <c r="K39" s="9">
        <f t="shared" si="3"/>
        <v>344.37487019729997</v>
      </c>
      <c r="L39" s="10">
        <f t="shared" si="0"/>
        <v>0.34193199158658599</v>
      </c>
      <c r="M39" s="10">
        <f t="shared" si="4"/>
        <v>0.35218501142712944</v>
      </c>
      <c r="P39" s="8">
        <f t="shared" si="5"/>
        <v>-14.108954895603389</v>
      </c>
    </row>
    <row r="40" spans="1:16" x14ac:dyDescent="0.2">
      <c r="A40" s="8">
        <v>19</v>
      </c>
      <c r="B40" s="8">
        <v>38</v>
      </c>
      <c r="D40">
        <v>1191.53894081</v>
      </c>
      <c r="E40">
        <v>470.47767393561998</v>
      </c>
      <c r="F40">
        <v>146.55140186916</v>
      </c>
      <c r="G40">
        <v>121.01349948079</v>
      </c>
      <c r="I40" s="9">
        <f t="shared" si="1"/>
        <v>349.46417445482996</v>
      </c>
      <c r="J40" s="9">
        <f t="shared" si="2"/>
        <v>1044.9875389408401</v>
      </c>
      <c r="K40" s="9">
        <f t="shared" si="3"/>
        <v>349.46417445482996</v>
      </c>
      <c r="L40" s="10">
        <f t="shared" si="0"/>
        <v>0.33441946571825504</v>
      </c>
      <c r="M40" s="10">
        <f t="shared" si="4"/>
        <v>0.34494959420313753</v>
      </c>
      <c r="P40" s="8">
        <f t="shared" si="5"/>
        <v>-15.873531828099003</v>
      </c>
    </row>
    <row r="41" spans="1:16" x14ac:dyDescent="0.2">
      <c r="A41" s="8">
        <v>19.5</v>
      </c>
      <c r="B41" s="8">
        <v>39</v>
      </c>
      <c r="D41">
        <v>1198.6947040498001</v>
      </c>
      <c r="E41">
        <v>479.11734164070998</v>
      </c>
      <c r="F41">
        <v>147.36344755971001</v>
      </c>
      <c r="G41">
        <v>120.90446521288</v>
      </c>
      <c r="I41" s="9">
        <f t="shared" si="1"/>
        <v>358.21287642783</v>
      </c>
      <c r="J41" s="9">
        <f t="shared" si="2"/>
        <v>1051.33125649009</v>
      </c>
      <c r="K41" s="9">
        <f t="shared" si="3"/>
        <v>358.21287642783</v>
      </c>
      <c r="L41" s="10">
        <f t="shared" si="0"/>
        <v>0.3407231300472674</v>
      </c>
      <c r="M41" s="10">
        <f t="shared" si="4"/>
        <v>0.35153036717648889</v>
      </c>
      <c r="P41" s="8">
        <f t="shared" si="5"/>
        <v>-14.268609841256112</v>
      </c>
    </row>
    <row r="42" spans="1:16" x14ac:dyDescent="0.2">
      <c r="A42" s="8">
        <v>20</v>
      </c>
      <c r="B42" s="8">
        <v>40</v>
      </c>
      <c r="D42">
        <v>1206.0913811006999</v>
      </c>
      <c r="E42">
        <v>481.18691588784998</v>
      </c>
      <c r="F42">
        <v>146.26479750779001</v>
      </c>
      <c r="G42">
        <v>120.58463136032999</v>
      </c>
      <c r="I42" s="9">
        <f t="shared" si="1"/>
        <v>360.60228452752</v>
      </c>
      <c r="J42" s="9">
        <f t="shared" si="2"/>
        <v>1059.8265835929099</v>
      </c>
      <c r="K42" s="9">
        <f t="shared" si="3"/>
        <v>360.60228452752</v>
      </c>
      <c r="L42" s="10">
        <f t="shared" si="0"/>
        <v>0.34024649891781822</v>
      </c>
      <c r="M42" s="10">
        <f t="shared" si="4"/>
        <v>0.35133084469137871</v>
      </c>
      <c r="P42" s="8">
        <f t="shared" si="5"/>
        <v>-14.317269478128495</v>
      </c>
    </row>
    <row r="43" spans="1:16" x14ac:dyDescent="0.2">
      <c r="A43" s="8">
        <v>20.5</v>
      </c>
      <c r="B43" s="8">
        <v>41</v>
      </c>
      <c r="D43">
        <v>1193.5939771547</v>
      </c>
      <c r="E43">
        <v>474.53582554516998</v>
      </c>
      <c r="F43">
        <v>146.09865005192</v>
      </c>
      <c r="G43">
        <v>120.82139148493999</v>
      </c>
      <c r="I43" s="9">
        <f t="shared" si="1"/>
        <v>353.71443406023002</v>
      </c>
      <c r="J43" s="9">
        <f t="shared" si="2"/>
        <v>1047.49532710278</v>
      </c>
      <c r="K43" s="9">
        <f t="shared" si="3"/>
        <v>353.71443406023002</v>
      </c>
      <c r="L43" s="10">
        <f t="shared" si="0"/>
        <v>0.3376763837587255</v>
      </c>
      <c r="M43" s="10">
        <f t="shared" si="4"/>
        <v>0.34903783817662498</v>
      </c>
      <c r="P43" s="8">
        <f t="shared" si="5"/>
        <v>-14.876488978087647</v>
      </c>
    </row>
    <row r="44" spans="1:16" x14ac:dyDescent="0.2">
      <c r="A44" s="8">
        <v>21</v>
      </c>
      <c r="B44" s="8">
        <v>42</v>
      </c>
      <c r="D44">
        <v>1190.5786749481999</v>
      </c>
      <c r="E44">
        <v>473.30538302277</v>
      </c>
      <c r="F44">
        <v>146.36344755971001</v>
      </c>
      <c r="G44">
        <v>120.63551401869</v>
      </c>
      <c r="I44" s="9">
        <f t="shared" si="1"/>
        <v>352.66986900408</v>
      </c>
      <c r="J44" s="9">
        <f t="shared" si="2"/>
        <v>1044.2152273884899</v>
      </c>
      <c r="K44" s="9">
        <f t="shared" si="3"/>
        <v>352.66986900408</v>
      </c>
      <c r="L44" s="10">
        <f t="shared" si="0"/>
        <v>0.33773676130550495</v>
      </c>
      <c r="M44" s="10">
        <f t="shared" si="4"/>
        <v>0.34937532436774349</v>
      </c>
      <c r="P44" s="8">
        <f t="shared" si="5"/>
        <v>-14.794182688146432</v>
      </c>
    </row>
    <row r="45" spans="1:16" x14ac:dyDescent="0.2">
      <c r="A45" s="8">
        <v>21.5</v>
      </c>
      <c r="B45" s="8">
        <v>43</v>
      </c>
      <c r="D45">
        <v>1184.7028985507</v>
      </c>
      <c r="E45">
        <v>465.30641821946</v>
      </c>
      <c r="F45">
        <v>145.47040498441999</v>
      </c>
      <c r="G45">
        <v>120.54620976116</v>
      </c>
      <c r="I45" s="9">
        <f t="shared" si="1"/>
        <v>344.76020845829999</v>
      </c>
      <c r="J45" s="9">
        <f t="shared" si="2"/>
        <v>1039.23249356628</v>
      </c>
      <c r="K45" s="9">
        <f t="shared" si="3"/>
        <v>344.76020845829999</v>
      </c>
      <c r="L45" s="10">
        <f t="shared" si="0"/>
        <v>0.33174502394089345</v>
      </c>
      <c r="M45" s="10">
        <f t="shared" si="4"/>
        <v>0.34366069564747098</v>
      </c>
      <c r="P45" s="8">
        <f t="shared" si="5"/>
        <v>-16.187869009943139</v>
      </c>
    </row>
    <row r="46" spans="1:16" x14ac:dyDescent="0.2">
      <c r="A46" s="8">
        <v>22</v>
      </c>
      <c r="B46" s="8">
        <v>44</v>
      </c>
      <c r="D46">
        <v>1187.6542443064</v>
      </c>
      <c r="E46">
        <v>460.89440993788998</v>
      </c>
      <c r="F46">
        <v>145.49221183801001</v>
      </c>
      <c r="G46">
        <v>120.1277258567</v>
      </c>
      <c r="I46" s="9">
        <f t="shared" si="1"/>
        <v>340.76668408118996</v>
      </c>
      <c r="J46" s="9">
        <f t="shared" si="2"/>
        <v>1042.16203246839</v>
      </c>
      <c r="K46" s="9">
        <f t="shared" si="3"/>
        <v>340.76668408118996</v>
      </c>
      <c r="L46" s="10">
        <f t="shared" si="0"/>
        <v>0.32698052074884604</v>
      </c>
      <c r="M46" s="10">
        <f t="shared" si="4"/>
        <v>0.33917330109976257</v>
      </c>
      <c r="P46" s="8">
        <f t="shared" si="5"/>
        <v>-17.282256888452256</v>
      </c>
    </row>
    <row r="47" spans="1:16" x14ac:dyDescent="0.2">
      <c r="A47" s="8">
        <v>22.5</v>
      </c>
      <c r="B47" s="8">
        <v>45</v>
      </c>
      <c r="D47">
        <v>1168.9552083333001</v>
      </c>
      <c r="E47">
        <v>459.13854166666999</v>
      </c>
      <c r="F47">
        <v>145.75700934579001</v>
      </c>
      <c r="G47">
        <v>120.63759086189</v>
      </c>
      <c r="I47" s="9">
        <f t="shared" si="1"/>
        <v>338.50095080478002</v>
      </c>
      <c r="J47" s="9">
        <f t="shared" si="2"/>
        <v>1023.1981989875101</v>
      </c>
      <c r="K47" s="9">
        <f t="shared" si="3"/>
        <v>338.50095080478002</v>
      </c>
      <c r="L47" s="10">
        <f t="shared" si="0"/>
        <v>0.3308263747333981</v>
      </c>
      <c r="M47" s="10">
        <f t="shared" si="4"/>
        <v>0.34329626372865363</v>
      </c>
      <c r="P47" s="8">
        <f t="shared" si="5"/>
        <v>-16.276746836542806</v>
      </c>
    </row>
    <row r="48" spans="1:16" x14ac:dyDescent="0.2">
      <c r="A48" s="8">
        <v>23</v>
      </c>
      <c r="B48" s="8">
        <v>46</v>
      </c>
      <c r="D48">
        <v>1171.7458333333</v>
      </c>
      <c r="E48">
        <v>462.63749999999999</v>
      </c>
      <c r="F48">
        <v>146.11318795431001</v>
      </c>
      <c r="G48">
        <v>120.71754932503001</v>
      </c>
      <c r="I48" s="9">
        <f t="shared" si="1"/>
        <v>341.91995067496998</v>
      </c>
      <c r="J48" s="9">
        <f t="shared" si="2"/>
        <v>1025.63264537899</v>
      </c>
      <c r="K48" s="9">
        <f t="shared" si="3"/>
        <v>341.91995067496998</v>
      </c>
      <c r="L48" s="10">
        <f t="shared" si="0"/>
        <v>0.33337467583105673</v>
      </c>
      <c r="M48" s="10">
        <f t="shared" si="4"/>
        <v>0.34612167347065131</v>
      </c>
      <c r="P48" s="8">
        <f t="shared" si="5"/>
        <v>-15.587684588819814</v>
      </c>
    </row>
    <row r="49" spans="1:25" x14ac:dyDescent="0.2">
      <c r="A49" s="8">
        <v>23.5</v>
      </c>
      <c r="B49" s="8">
        <v>47</v>
      </c>
      <c r="D49">
        <v>1143.1541666666999</v>
      </c>
      <c r="E49">
        <v>461.19375000000002</v>
      </c>
      <c r="F49">
        <v>145.92419522326</v>
      </c>
      <c r="G49">
        <v>120.76427829699</v>
      </c>
      <c r="I49" s="9">
        <f t="shared" si="1"/>
        <v>340.42947170300999</v>
      </c>
      <c r="J49" s="9">
        <f t="shared" si="2"/>
        <v>997.22997144343992</v>
      </c>
      <c r="K49" s="9">
        <f t="shared" si="3"/>
        <v>340.42947170300999</v>
      </c>
      <c r="L49" s="10">
        <f t="shared" si="0"/>
        <v>0.34137509045206049</v>
      </c>
      <c r="M49" s="10">
        <f t="shared" si="4"/>
        <v>0.35439919673599407</v>
      </c>
      <c r="P49" s="8">
        <f t="shared" si="5"/>
        <v>-13.568958348156524</v>
      </c>
    </row>
    <row r="50" spans="1:25" x14ac:dyDescent="0.2">
      <c r="A50" s="8">
        <v>24</v>
      </c>
      <c r="B50" s="8">
        <v>48</v>
      </c>
      <c r="D50">
        <v>1201.5532359081001</v>
      </c>
      <c r="E50">
        <v>481.55741127349</v>
      </c>
      <c r="F50">
        <v>145.72793354102001</v>
      </c>
      <c r="G50">
        <v>120.96988577362001</v>
      </c>
      <c r="I50" s="9">
        <f t="shared" si="1"/>
        <v>360.58752549987003</v>
      </c>
      <c r="J50" s="9">
        <f t="shared" si="2"/>
        <v>1055.82530236708</v>
      </c>
      <c r="K50" s="9">
        <f t="shared" si="3"/>
        <v>360.58752549987003</v>
      </c>
      <c r="L50" s="10">
        <f t="shared" si="0"/>
        <v>0.34152195888037562</v>
      </c>
      <c r="M50" s="10">
        <f t="shared" si="4"/>
        <v>0.3548231738086482</v>
      </c>
      <c r="P50" s="8">
        <f t="shared" si="5"/>
        <v>-13.465558621623586</v>
      </c>
    </row>
    <row r="51" spans="1:25" x14ac:dyDescent="0.2">
      <c r="A51" s="8">
        <v>24.5</v>
      </c>
      <c r="B51" s="8">
        <v>49</v>
      </c>
      <c r="D51">
        <v>1198.6189979123001</v>
      </c>
      <c r="E51">
        <v>485.83820459290001</v>
      </c>
      <c r="F51">
        <v>146.10488058152001</v>
      </c>
      <c r="G51">
        <v>120.85981308411</v>
      </c>
      <c r="I51" s="9">
        <f t="shared" si="1"/>
        <v>364.97839150879003</v>
      </c>
      <c r="J51" s="9">
        <f t="shared" si="2"/>
        <v>1052.51411733078</v>
      </c>
      <c r="K51" s="9">
        <f t="shared" si="3"/>
        <v>364.97839150879003</v>
      </c>
      <c r="L51" s="10">
        <f t="shared" si="0"/>
        <v>0.34676816728538573</v>
      </c>
      <c r="M51" s="10">
        <f t="shared" si="4"/>
        <v>0.36034649085799736</v>
      </c>
      <c r="P51" s="8">
        <f t="shared" si="5"/>
        <v>-12.118529479499827</v>
      </c>
    </row>
    <row r="52" spans="1:25" x14ac:dyDescent="0.2">
      <c r="A52" s="8">
        <v>25</v>
      </c>
      <c r="B52" s="8">
        <v>50</v>
      </c>
      <c r="D52">
        <v>1204.9292403746001</v>
      </c>
      <c r="E52">
        <v>490.39021852236999</v>
      </c>
      <c r="F52">
        <v>145.61370716510999</v>
      </c>
      <c r="G52">
        <v>120.51505711319</v>
      </c>
      <c r="I52" s="9">
        <f t="shared" si="1"/>
        <v>369.87516140918001</v>
      </c>
      <c r="J52" s="9">
        <f t="shared" si="2"/>
        <v>1059.3155332094902</v>
      </c>
      <c r="K52" s="9">
        <f t="shared" si="3"/>
        <v>369.87516140918001</v>
      </c>
      <c r="L52" s="10">
        <f t="shared" si="0"/>
        <v>0.34916429506942148</v>
      </c>
      <c r="M52" s="10">
        <f t="shared" si="4"/>
        <v>0.36301972728637211</v>
      </c>
      <c r="P52" s="8">
        <f t="shared" si="5"/>
        <v>-11.466579330588509</v>
      </c>
    </row>
    <row r="53" spans="1:25" x14ac:dyDescent="0.2">
      <c r="A53" s="8">
        <v>25.5</v>
      </c>
      <c r="B53" s="8">
        <v>51</v>
      </c>
      <c r="D53">
        <v>1186.0395421436001</v>
      </c>
      <c r="E53">
        <v>483.04266389178002</v>
      </c>
      <c r="F53">
        <v>145.67808930426</v>
      </c>
      <c r="G53">
        <v>121.17030114226</v>
      </c>
      <c r="I53" s="9">
        <f t="shared" si="1"/>
        <v>361.87236274951999</v>
      </c>
      <c r="J53" s="9">
        <f t="shared" si="2"/>
        <v>1040.36145283934</v>
      </c>
      <c r="K53" s="9">
        <f t="shared" si="3"/>
        <v>361.87236274951999</v>
      </c>
      <c r="L53" s="10">
        <f t="shared" si="0"/>
        <v>0.34783330520551581</v>
      </c>
      <c r="M53" s="10">
        <f t="shared" si="4"/>
        <v>0.36196584606680543</v>
      </c>
      <c r="P53" s="8">
        <f t="shared" si="5"/>
        <v>-11.723600374720046</v>
      </c>
      <c r="S53" s="11"/>
      <c r="U53" s="12"/>
    </row>
    <row r="54" spans="1:25" x14ac:dyDescent="0.2">
      <c r="A54" s="8">
        <v>26</v>
      </c>
      <c r="B54" s="8">
        <v>52</v>
      </c>
      <c r="D54">
        <v>1178.0478668054</v>
      </c>
      <c r="E54">
        <v>487.62122788762002</v>
      </c>
      <c r="F54">
        <v>145.35306334372001</v>
      </c>
      <c r="G54">
        <v>120.58566978192999</v>
      </c>
      <c r="I54" s="9">
        <f t="shared" si="1"/>
        <v>367.03555810569003</v>
      </c>
      <c r="J54" s="9">
        <f t="shared" si="2"/>
        <v>1032.6948034616798</v>
      </c>
      <c r="K54" s="9">
        <f t="shared" si="3"/>
        <v>367.03555810569003</v>
      </c>
      <c r="L54" s="10">
        <f t="shared" si="0"/>
        <v>0.35541532394213271</v>
      </c>
      <c r="M54" s="10">
        <f t="shared" si="4"/>
        <v>0.36982497344776133</v>
      </c>
      <c r="P54" s="8">
        <f t="shared" si="5"/>
        <v>-9.8069127177879114</v>
      </c>
      <c r="S54" s="11"/>
    </row>
    <row r="55" spans="1:25" x14ac:dyDescent="0.2">
      <c r="A55" s="8">
        <v>26.5</v>
      </c>
      <c r="B55" s="8">
        <v>53</v>
      </c>
      <c r="D55">
        <v>1189.8501560873999</v>
      </c>
      <c r="E55">
        <v>491.72944849115999</v>
      </c>
      <c r="F55">
        <v>145.35306334372001</v>
      </c>
      <c r="G55">
        <v>120.52959501558</v>
      </c>
      <c r="I55" s="9">
        <f t="shared" si="1"/>
        <v>371.19985347557997</v>
      </c>
      <c r="J55" s="9">
        <f t="shared" si="2"/>
        <v>1044.4970927436798</v>
      </c>
      <c r="K55" s="9">
        <f t="shared" si="3"/>
        <v>371.19985347557997</v>
      </c>
      <c r="L55" s="10">
        <f t="shared" si="0"/>
        <v>0.35538620074136734</v>
      </c>
      <c r="M55" s="10">
        <f t="shared" si="4"/>
        <v>0.37007295889133501</v>
      </c>
      <c r="P55" s="8">
        <f t="shared" si="5"/>
        <v>-9.7464339119667613</v>
      </c>
      <c r="S55" s="11"/>
    </row>
    <row r="56" spans="1:25" x14ac:dyDescent="0.2">
      <c r="A56" s="8">
        <v>27</v>
      </c>
      <c r="B56" s="8">
        <v>54</v>
      </c>
      <c r="D56">
        <v>1163.0041493776</v>
      </c>
      <c r="E56">
        <v>493.15248962656</v>
      </c>
      <c r="F56">
        <v>145.78193146416999</v>
      </c>
      <c r="G56">
        <v>120.22949117342</v>
      </c>
      <c r="I56" s="9">
        <f t="shared" si="1"/>
        <v>372.92299845314</v>
      </c>
      <c r="J56" s="9">
        <f t="shared" si="2"/>
        <v>1017.2222179134301</v>
      </c>
      <c r="K56" s="9">
        <f t="shared" si="3"/>
        <v>372.92299845314</v>
      </c>
      <c r="L56" s="10">
        <f t="shared" si="0"/>
        <v>0.36660917534626375</v>
      </c>
      <c r="M56" s="10">
        <f t="shared" si="4"/>
        <v>0.38157304214057042</v>
      </c>
      <c r="P56" s="8">
        <f t="shared" si="5"/>
        <v>-6.9417882370648067</v>
      </c>
      <c r="S56" s="11"/>
    </row>
    <row r="57" spans="1:25" x14ac:dyDescent="0.2">
      <c r="A57" s="8">
        <v>27.5</v>
      </c>
      <c r="B57" s="8">
        <v>55</v>
      </c>
      <c r="D57">
        <v>1173.0383817427</v>
      </c>
      <c r="E57">
        <v>500.55601659750999</v>
      </c>
      <c r="F57">
        <v>145.24299065420999</v>
      </c>
      <c r="G57">
        <v>120.10384215992001</v>
      </c>
      <c r="I57" s="9">
        <f t="shared" si="1"/>
        <v>380.45217443758997</v>
      </c>
      <c r="J57" s="9">
        <f t="shared" si="2"/>
        <v>1027.7953910884901</v>
      </c>
      <c r="K57" s="9">
        <f t="shared" si="3"/>
        <v>380.45217443758997</v>
      </c>
      <c r="L57" s="10">
        <f t="shared" si="0"/>
        <v>0.37016333964552112</v>
      </c>
      <c r="M57" s="10">
        <f t="shared" si="4"/>
        <v>0.38540431508416678</v>
      </c>
      <c r="P57" s="8">
        <f t="shared" si="5"/>
        <v>-6.0074156018631575</v>
      </c>
      <c r="S57" s="11"/>
    </row>
    <row r="58" spans="1:25" x14ac:dyDescent="0.2">
      <c r="A58" s="8">
        <v>28</v>
      </c>
      <c r="B58" s="8">
        <v>56</v>
      </c>
      <c r="D58">
        <v>1189.8563995838001</v>
      </c>
      <c r="E58">
        <v>509.02913631633999</v>
      </c>
      <c r="F58">
        <v>145.12772585670001</v>
      </c>
      <c r="G58">
        <v>120.42367601246001</v>
      </c>
      <c r="I58" s="9">
        <f t="shared" si="1"/>
        <v>388.60546030387997</v>
      </c>
      <c r="J58" s="9">
        <f t="shared" si="2"/>
        <v>1044.7286737271002</v>
      </c>
      <c r="K58" s="9">
        <f t="shared" si="3"/>
        <v>388.60546030387997</v>
      </c>
      <c r="L58" s="10">
        <f t="shared" si="0"/>
        <v>0.37196783248756693</v>
      </c>
      <c r="M58" s="10">
        <f t="shared" si="4"/>
        <v>0.38748591657055159</v>
      </c>
      <c r="P58" s="8">
        <f t="shared" si="5"/>
        <v>-5.4997536589770659</v>
      </c>
      <c r="S58" s="11"/>
    </row>
    <row r="59" spans="1:25" x14ac:dyDescent="0.2">
      <c r="A59" s="8">
        <v>28.5</v>
      </c>
      <c r="B59" s="8">
        <v>57</v>
      </c>
      <c r="D59">
        <v>1196.1331945889999</v>
      </c>
      <c r="E59">
        <v>511.58168574401998</v>
      </c>
      <c r="F59">
        <v>146.15472481827999</v>
      </c>
      <c r="G59">
        <v>120.68535825545</v>
      </c>
      <c r="I59" s="9">
        <f t="shared" si="1"/>
        <v>390.89632748856997</v>
      </c>
      <c r="J59" s="9">
        <f t="shared" si="2"/>
        <v>1049.97846977072</v>
      </c>
      <c r="K59" s="9">
        <f t="shared" si="3"/>
        <v>390.89632748856997</v>
      </c>
      <c r="L59" s="10">
        <f t="shared" si="0"/>
        <v>0.37228985045181789</v>
      </c>
      <c r="M59" s="10">
        <f t="shared" si="4"/>
        <v>0.38808504317914161</v>
      </c>
      <c r="P59" s="8">
        <f t="shared" si="5"/>
        <v>-5.3536383818018001</v>
      </c>
      <c r="R59" s="1"/>
      <c r="S59" s="11"/>
    </row>
    <row r="60" spans="1:25" x14ac:dyDescent="0.2">
      <c r="A60" s="8">
        <v>29</v>
      </c>
      <c r="B60" s="8">
        <v>58</v>
      </c>
      <c r="D60">
        <v>1173.2564901349999</v>
      </c>
      <c r="E60">
        <v>506.16822429907</v>
      </c>
      <c r="F60">
        <v>145.34890965732001</v>
      </c>
      <c r="G60">
        <v>120.16614745587</v>
      </c>
      <c r="I60" s="9">
        <f t="shared" si="1"/>
        <v>386.00207684320003</v>
      </c>
      <c r="J60" s="9">
        <f t="shared" si="2"/>
        <v>1027.9075804776799</v>
      </c>
      <c r="K60" s="9">
        <f t="shared" si="3"/>
        <v>386.00207684320003</v>
      </c>
      <c r="L60" s="10">
        <f t="shared" si="0"/>
        <v>0.3755221618891269</v>
      </c>
      <c r="M60" s="10">
        <f t="shared" si="4"/>
        <v>0.39159446326078962</v>
      </c>
      <c r="P60" s="8">
        <f t="shared" si="5"/>
        <v>-4.4977593729204912</v>
      </c>
      <c r="S60" s="11"/>
    </row>
    <row r="61" spans="1:25" x14ac:dyDescent="0.2">
      <c r="A61" s="8">
        <v>29.5</v>
      </c>
      <c r="B61" s="8">
        <v>59</v>
      </c>
      <c r="C61" s="2"/>
      <c r="D61">
        <v>1167.1090342678999</v>
      </c>
      <c r="E61">
        <v>505.85150571131999</v>
      </c>
      <c r="F61">
        <v>145.05607476636001</v>
      </c>
      <c r="G61">
        <v>119.89200415369</v>
      </c>
      <c r="I61" s="9">
        <f t="shared" si="1"/>
        <v>385.95950155763001</v>
      </c>
      <c r="J61" s="9">
        <f t="shared" si="2"/>
        <v>1022.0529595015399</v>
      </c>
      <c r="K61" s="9">
        <f t="shared" si="3"/>
        <v>385.95950155763001</v>
      </c>
      <c r="L61" s="10">
        <f t="shared" si="0"/>
        <v>0.37763160702148379</v>
      </c>
      <c r="M61" s="10">
        <f t="shared" si="4"/>
        <v>0.3939810170374855</v>
      </c>
      <c r="P61" s="8">
        <f t="shared" si="5"/>
        <v>-3.9157255230197898</v>
      </c>
      <c r="S61" s="11"/>
    </row>
    <row r="62" spans="1:25" x14ac:dyDescent="0.2">
      <c r="A62" s="8">
        <v>30</v>
      </c>
      <c r="B62" s="8">
        <v>60</v>
      </c>
      <c r="D62">
        <v>1121.1123829344001</v>
      </c>
      <c r="E62">
        <v>495.21852237253</v>
      </c>
      <c r="F62">
        <v>144.96573208723001</v>
      </c>
      <c r="G62">
        <v>120.59916926272</v>
      </c>
      <c r="I62" s="9">
        <f t="shared" si="1"/>
        <v>374.61935310980999</v>
      </c>
      <c r="J62" s="9">
        <f t="shared" si="2"/>
        <v>976.14665084717012</v>
      </c>
      <c r="K62" s="9">
        <f t="shared" si="3"/>
        <v>374.61935310980999</v>
      </c>
      <c r="L62" s="10">
        <f t="shared" si="0"/>
        <v>0.38377363973403833</v>
      </c>
      <c r="M62" s="10">
        <f t="shared" si="4"/>
        <v>0.40040015839437909</v>
      </c>
      <c r="P62" s="8">
        <f t="shared" si="5"/>
        <v>-2.3502223303022203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1104.5426195426001</v>
      </c>
      <c r="E63">
        <v>489.86902286902</v>
      </c>
      <c r="F63">
        <v>145.21495327103</v>
      </c>
      <c r="G63">
        <v>120.56178608515</v>
      </c>
      <c r="I63" s="9">
        <f t="shared" si="1"/>
        <v>369.30723678387</v>
      </c>
      <c r="J63" s="9">
        <f t="shared" si="2"/>
        <v>959.32766627157002</v>
      </c>
      <c r="K63" s="9">
        <f t="shared" si="3"/>
        <v>369.30723678387</v>
      </c>
      <c r="L63" s="10">
        <f t="shared" si="0"/>
        <v>0.38496464739642478</v>
      </c>
      <c r="M63" s="10">
        <f t="shared" si="4"/>
        <v>0.40186827470110453</v>
      </c>
      <c r="P63" s="8">
        <f t="shared" si="5"/>
        <v>-1.9921774396111636</v>
      </c>
    </row>
    <row r="64" spans="1:25" x14ac:dyDescent="0.2">
      <c r="A64" s="8">
        <v>31</v>
      </c>
      <c r="B64" s="8">
        <v>62</v>
      </c>
      <c r="D64">
        <v>1206.8421052632</v>
      </c>
      <c r="E64">
        <v>539.01368421052996</v>
      </c>
      <c r="F64">
        <v>145.01973001037999</v>
      </c>
      <c r="G64">
        <v>119.9979231568</v>
      </c>
      <c r="I64" s="9">
        <f t="shared" si="1"/>
        <v>419.01576105372999</v>
      </c>
      <c r="J64" s="9">
        <f t="shared" si="2"/>
        <v>1061.8223752528199</v>
      </c>
      <c r="K64" s="9">
        <f t="shared" si="3"/>
        <v>419.01576105372999</v>
      </c>
      <c r="L64" s="10">
        <f t="shared" si="0"/>
        <v>0.3946194493725585</v>
      </c>
      <c r="M64" s="10">
        <f t="shared" si="4"/>
        <v>0.41180018532157725</v>
      </c>
      <c r="P64" s="8">
        <f t="shared" si="5"/>
        <v>0.43002156204159381</v>
      </c>
      <c r="U64" s="8">
        <v>30.5</v>
      </c>
      <c r="V64" s="10">
        <f>L62</f>
        <v>0.38377363973403833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1227.3031578947</v>
      </c>
      <c r="E65">
        <v>548.11263157894996</v>
      </c>
      <c r="F65">
        <v>144.83592938733</v>
      </c>
      <c r="G65">
        <v>120.30841121495</v>
      </c>
      <c r="I65" s="9">
        <f t="shared" si="1"/>
        <v>427.80422036399995</v>
      </c>
      <c r="J65" s="9">
        <f t="shared" si="2"/>
        <v>1082.46722850737</v>
      </c>
      <c r="K65" s="9">
        <f t="shared" si="3"/>
        <v>427.80422036399995</v>
      </c>
      <c r="L65" s="10">
        <f t="shared" si="0"/>
        <v>0.3952121681816691</v>
      </c>
      <c r="M65" s="10">
        <f t="shared" si="4"/>
        <v>0.41267001277502685</v>
      </c>
      <c r="P65" s="8">
        <f t="shared" si="5"/>
        <v>0.64215548771474928</v>
      </c>
      <c r="U65" s="8">
        <v>31</v>
      </c>
      <c r="V65" s="10">
        <f t="shared" ref="V65:V83" si="6">L63</f>
        <v>0.38496464739642478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1232.0252631579001</v>
      </c>
      <c r="E66">
        <v>552.35473684211001</v>
      </c>
      <c r="F66">
        <v>144.28452751816999</v>
      </c>
      <c r="G66">
        <v>120.32398753894</v>
      </c>
      <c r="I66" s="9">
        <f t="shared" si="1"/>
        <v>432.03074930317001</v>
      </c>
      <c r="J66" s="9">
        <f t="shared" si="2"/>
        <v>1087.74073563973</v>
      </c>
      <c r="K66" s="9">
        <f t="shared" si="3"/>
        <v>432.03074930317001</v>
      </c>
      <c r="L66" s="10">
        <f t="shared" ref="L66:L129" si="7">K66/J66</f>
        <v>0.39718173195847162</v>
      </c>
      <c r="M66" s="10">
        <f t="shared" si="4"/>
        <v>0.41491668519616842</v>
      </c>
      <c r="P66" s="8">
        <f t="shared" si="5"/>
        <v>1.1900750072795445</v>
      </c>
      <c r="U66" s="8">
        <v>31.5</v>
      </c>
      <c r="V66" s="10">
        <f t="shared" si="6"/>
        <v>0.3946194493725585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1208.8493292054</v>
      </c>
      <c r="E67">
        <v>542.59442724457995</v>
      </c>
      <c r="F67">
        <v>145.03322949117</v>
      </c>
      <c r="G67">
        <v>120.07788161994</v>
      </c>
      <c r="I67" s="9">
        <f t="shared" ref="I67:I130" si="8">E67-G67</f>
        <v>422.51654562463995</v>
      </c>
      <c r="J67" s="9">
        <f t="shared" ref="J67:J130" si="9">D67-F67</f>
        <v>1063.8160997142299</v>
      </c>
      <c r="K67" s="9">
        <f t="shared" ref="K67:K130" si="10">I67*1</f>
        <v>422.51654562463995</v>
      </c>
      <c r="L67" s="10">
        <f t="shared" si="7"/>
        <v>0.39717066299160109</v>
      </c>
      <c r="M67" s="10">
        <f t="shared" ref="M67:M130" si="11">L67+ABS($N$2)*A67</f>
        <v>0.41518272487363689</v>
      </c>
      <c r="P67" s="8">
        <f t="shared" ref="P67:P130" si="12">(M67-$O$2)/$O$2*100</f>
        <v>1.2549568880966988</v>
      </c>
      <c r="U67" s="8">
        <v>32</v>
      </c>
      <c r="V67" s="10">
        <f t="shared" si="6"/>
        <v>0.3952121681816691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1183.1247401247001</v>
      </c>
      <c r="E68">
        <v>531.57796257795997</v>
      </c>
      <c r="F68">
        <v>145.55140186916</v>
      </c>
      <c r="G68">
        <v>120.46728971963</v>
      </c>
      <c r="I68" s="9">
        <f t="shared" si="8"/>
        <v>411.11067285832996</v>
      </c>
      <c r="J68" s="9">
        <f t="shared" si="9"/>
        <v>1037.5733382555402</v>
      </c>
      <c r="K68" s="9">
        <f t="shared" si="10"/>
        <v>411.11067285832996</v>
      </c>
      <c r="L68" s="10">
        <f t="shared" si="7"/>
        <v>0.39622324292712213</v>
      </c>
      <c r="M68" s="10">
        <f t="shared" si="11"/>
        <v>0.41451241345349693</v>
      </c>
      <c r="P68" s="8">
        <f t="shared" si="12"/>
        <v>1.0914810258277963</v>
      </c>
      <c r="U68" s="8">
        <v>32.5</v>
      </c>
      <c r="V68" s="10">
        <f t="shared" si="6"/>
        <v>0.39718173195847162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1159.6486486486999</v>
      </c>
      <c r="E69">
        <v>525.24532224532004</v>
      </c>
      <c r="F69">
        <v>145.09449636552</v>
      </c>
      <c r="G69">
        <v>119.88785046728999</v>
      </c>
      <c r="I69" s="9">
        <f t="shared" si="8"/>
        <v>405.35747177803006</v>
      </c>
      <c r="J69" s="9">
        <f t="shared" si="9"/>
        <v>1014.55415228318</v>
      </c>
      <c r="K69" s="9">
        <f t="shared" si="10"/>
        <v>405.35747177803006</v>
      </c>
      <c r="L69" s="10">
        <f t="shared" si="7"/>
        <v>0.39954246982854752</v>
      </c>
      <c r="M69" s="10">
        <f t="shared" si="11"/>
        <v>0.41810874899926131</v>
      </c>
      <c r="P69" s="8">
        <f t="shared" si="12"/>
        <v>1.9685570186989652</v>
      </c>
      <c r="U69" s="8">
        <v>33</v>
      </c>
      <c r="V69" s="10">
        <f t="shared" si="6"/>
        <v>0.39717066299160109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1214.0474183351</v>
      </c>
      <c r="E70">
        <v>542.51001053741004</v>
      </c>
      <c r="F70">
        <v>144.98026998962001</v>
      </c>
      <c r="G70">
        <v>120.43509865004999</v>
      </c>
      <c r="I70" s="9">
        <f t="shared" si="8"/>
        <v>422.07491188736003</v>
      </c>
      <c r="J70" s="9">
        <f t="shared" si="9"/>
        <v>1069.0671483454801</v>
      </c>
      <c r="K70" s="9">
        <f t="shared" si="10"/>
        <v>422.07491188736003</v>
      </c>
      <c r="L70" s="10">
        <f t="shared" si="7"/>
        <v>0.39480673645296804</v>
      </c>
      <c r="M70" s="10">
        <f t="shared" si="11"/>
        <v>0.41365012426802089</v>
      </c>
      <c r="P70" s="8">
        <f t="shared" si="12"/>
        <v>0.88118553646941333</v>
      </c>
      <c r="U70" s="8">
        <v>33.5</v>
      </c>
      <c r="V70" s="10">
        <f t="shared" si="6"/>
        <v>0.39622324292712213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1218.856691254</v>
      </c>
      <c r="E71">
        <v>541.98524762908005</v>
      </c>
      <c r="F71">
        <v>145.72377985462001</v>
      </c>
      <c r="G71">
        <v>120.29906542056</v>
      </c>
      <c r="I71" s="9">
        <f t="shared" si="8"/>
        <v>421.68618220852005</v>
      </c>
      <c r="J71" s="9">
        <f t="shared" si="9"/>
        <v>1073.13291139938</v>
      </c>
      <c r="K71" s="9">
        <f t="shared" si="10"/>
        <v>421.68618220852005</v>
      </c>
      <c r="L71" s="10">
        <f t="shared" si="7"/>
        <v>0.39294869976416574</v>
      </c>
      <c r="M71" s="10">
        <f t="shared" si="11"/>
        <v>0.41206919622355759</v>
      </c>
      <c r="P71" s="8">
        <f t="shared" si="12"/>
        <v>0.49562806648066293</v>
      </c>
      <c r="U71" s="8">
        <v>34</v>
      </c>
      <c r="V71" s="10">
        <f t="shared" si="6"/>
        <v>0.39954246982854752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1219.7629083245999</v>
      </c>
      <c r="E72">
        <v>545.50579557429</v>
      </c>
      <c r="F72">
        <v>145.22429906542001</v>
      </c>
      <c r="G72">
        <v>120.05503634476</v>
      </c>
      <c r="I72" s="9">
        <f t="shared" si="8"/>
        <v>425.45075922953004</v>
      </c>
      <c r="J72" s="9">
        <f t="shared" si="9"/>
        <v>1074.53860925918</v>
      </c>
      <c r="K72" s="9">
        <f t="shared" si="10"/>
        <v>425.45075922953004</v>
      </c>
      <c r="L72" s="10">
        <f t="shared" si="7"/>
        <v>0.39593808501943811</v>
      </c>
      <c r="M72" s="10">
        <f t="shared" si="11"/>
        <v>0.41533569012316895</v>
      </c>
      <c r="P72" s="8">
        <f t="shared" si="12"/>
        <v>1.2922621246078285</v>
      </c>
      <c r="U72" s="8">
        <v>34.5</v>
      </c>
      <c r="V72" s="10">
        <f t="shared" si="6"/>
        <v>0.39480673645296804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1226.9610115912001</v>
      </c>
      <c r="E73">
        <v>545.29083245521997</v>
      </c>
      <c r="F73">
        <v>145.01453790239</v>
      </c>
      <c r="G73">
        <v>120.20041536863999</v>
      </c>
      <c r="I73" s="9">
        <f t="shared" si="8"/>
        <v>425.09041708657998</v>
      </c>
      <c r="J73" s="9">
        <f t="shared" si="9"/>
        <v>1081.9464736888101</v>
      </c>
      <c r="K73" s="9">
        <f t="shared" si="10"/>
        <v>425.09041708657998</v>
      </c>
      <c r="L73" s="10">
        <f t="shared" si="7"/>
        <v>0.39289412870607926</v>
      </c>
      <c r="M73" s="10">
        <f t="shared" si="11"/>
        <v>0.41256884245414915</v>
      </c>
      <c r="P73" s="8">
        <f t="shared" si="12"/>
        <v>0.61748202259901275</v>
      </c>
      <c r="U73" s="8">
        <v>35</v>
      </c>
      <c r="V73" s="10">
        <f t="shared" si="6"/>
        <v>0.39294869976416574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1184.9169262721</v>
      </c>
      <c r="E74">
        <v>528.87746625130001</v>
      </c>
      <c r="F74">
        <v>145.39460020768001</v>
      </c>
      <c r="G74">
        <v>120.01246105919</v>
      </c>
      <c r="I74" s="9">
        <f t="shared" si="8"/>
        <v>408.86500519211</v>
      </c>
      <c r="J74" s="9">
        <f t="shared" si="9"/>
        <v>1039.52232606442</v>
      </c>
      <c r="K74" s="9">
        <f t="shared" si="10"/>
        <v>408.86500519211</v>
      </c>
      <c r="L74" s="10">
        <f t="shared" si="7"/>
        <v>0.39332008071443031</v>
      </c>
      <c r="M74" s="10">
        <f t="shared" si="11"/>
        <v>0.4132719031068392</v>
      </c>
      <c r="P74" s="8">
        <f t="shared" si="12"/>
        <v>0.78894478300050674</v>
      </c>
      <c r="U74" s="8">
        <v>35.5</v>
      </c>
      <c r="V74" s="10">
        <f t="shared" si="6"/>
        <v>0.39593808501943811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1189.6095534787</v>
      </c>
      <c r="E75">
        <v>525.91381100727006</v>
      </c>
      <c r="F75">
        <v>144.54309449637</v>
      </c>
      <c r="G75">
        <v>119.98026998962</v>
      </c>
      <c r="I75" s="9">
        <f t="shared" si="8"/>
        <v>405.93354101765004</v>
      </c>
      <c r="J75" s="9">
        <f t="shared" si="9"/>
        <v>1045.06645898233</v>
      </c>
      <c r="K75" s="9">
        <f t="shared" si="10"/>
        <v>405.93354101765004</v>
      </c>
      <c r="L75" s="10">
        <f t="shared" si="7"/>
        <v>0.38842844637167095</v>
      </c>
      <c r="M75" s="10">
        <f t="shared" si="11"/>
        <v>0.40865737740841884</v>
      </c>
      <c r="P75" s="8">
        <f t="shared" si="12"/>
        <v>-0.33644789993151014</v>
      </c>
      <c r="U75" s="8">
        <v>36</v>
      </c>
      <c r="V75" s="10">
        <f t="shared" si="6"/>
        <v>0.39289412870607926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1181.1364583333</v>
      </c>
      <c r="E76">
        <v>524.56770833332996</v>
      </c>
      <c r="F76">
        <v>144.88369678089001</v>
      </c>
      <c r="G76">
        <v>119.89719626167999</v>
      </c>
      <c r="I76" s="9">
        <f t="shared" si="8"/>
        <v>404.67051207164997</v>
      </c>
      <c r="J76" s="9">
        <f t="shared" si="9"/>
        <v>1036.25276155241</v>
      </c>
      <c r="K76" s="9">
        <f t="shared" si="10"/>
        <v>404.67051207164997</v>
      </c>
      <c r="L76" s="10">
        <f t="shared" si="7"/>
        <v>0.39051332559578722</v>
      </c>
      <c r="M76" s="10">
        <f t="shared" si="11"/>
        <v>0.4110193652768741</v>
      </c>
      <c r="P76" s="8">
        <f t="shared" si="12"/>
        <v>0.23959480479189932</v>
      </c>
      <c r="U76" s="8">
        <v>36.5</v>
      </c>
      <c r="V76" s="10">
        <f t="shared" si="6"/>
        <v>0.39332008071443031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1179.7427083333</v>
      </c>
      <c r="E77">
        <v>522.91979166666999</v>
      </c>
      <c r="F77">
        <v>144.82035306334001</v>
      </c>
      <c r="G77">
        <v>120.31568016615</v>
      </c>
      <c r="I77" s="9">
        <f t="shared" si="8"/>
        <v>402.60411150051999</v>
      </c>
      <c r="J77" s="9">
        <f t="shared" si="9"/>
        <v>1034.92235526996</v>
      </c>
      <c r="K77" s="9">
        <f t="shared" si="10"/>
        <v>402.60411150051999</v>
      </c>
      <c r="L77" s="10">
        <f t="shared" si="7"/>
        <v>0.38901866352621256</v>
      </c>
      <c r="M77" s="10">
        <f t="shared" si="11"/>
        <v>0.4098018118516385</v>
      </c>
      <c r="P77" s="8">
        <f t="shared" si="12"/>
        <v>-5.734269331500718E-2</v>
      </c>
      <c r="U77" s="8">
        <v>37</v>
      </c>
      <c r="V77" s="10">
        <f t="shared" si="6"/>
        <v>0.38842844637167095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1218.4389233955001</v>
      </c>
      <c r="E78">
        <v>536.60869565217001</v>
      </c>
      <c r="F78">
        <v>144.61889927311</v>
      </c>
      <c r="G78">
        <v>119.96677050883</v>
      </c>
      <c r="I78" s="9">
        <f t="shared" si="8"/>
        <v>416.64192514334002</v>
      </c>
      <c r="J78" s="9">
        <f t="shared" si="9"/>
        <v>1073.8200241223901</v>
      </c>
      <c r="K78" s="9">
        <f t="shared" si="10"/>
        <v>416.64192514334002</v>
      </c>
      <c r="L78" s="10">
        <f t="shared" si="7"/>
        <v>0.3879997725725523</v>
      </c>
      <c r="M78" s="10">
        <f t="shared" si="11"/>
        <v>0.40906002954231724</v>
      </c>
      <c r="P78" s="8">
        <f t="shared" si="12"/>
        <v>-0.23824890942391874</v>
      </c>
      <c r="U78" s="8">
        <v>37.5</v>
      </c>
      <c r="V78" s="10">
        <f t="shared" si="6"/>
        <v>0.39051332559578722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1200.3426501035001</v>
      </c>
      <c r="E79">
        <v>527.80124223603002</v>
      </c>
      <c r="F79">
        <v>144.17964693665999</v>
      </c>
      <c r="G79">
        <v>119.97923156802</v>
      </c>
      <c r="I79" s="9">
        <f t="shared" si="8"/>
        <v>407.82201066801002</v>
      </c>
      <c r="J79" s="9">
        <f t="shared" si="9"/>
        <v>1056.1630031668401</v>
      </c>
      <c r="K79" s="9">
        <f t="shared" si="10"/>
        <v>407.82201066801002</v>
      </c>
      <c r="L79" s="10">
        <f t="shared" si="7"/>
        <v>0.38613548234995987</v>
      </c>
      <c r="M79" s="10">
        <f t="shared" si="11"/>
        <v>0.4074728479640638</v>
      </c>
      <c r="P79" s="8">
        <f t="shared" si="12"/>
        <v>-0.62533149415464451</v>
      </c>
      <c r="U79" s="8">
        <v>38</v>
      </c>
      <c r="V79" s="10">
        <f t="shared" si="6"/>
        <v>0.38901866352621256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1214.1790890269001</v>
      </c>
      <c r="E80">
        <v>526.22360248447001</v>
      </c>
      <c r="F80">
        <v>144.37383177570001</v>
      </c>
      <c r="G80">
        <v>120.02803738318001</v>
      </c>
      <c r="I80" s="9">
        <f t="shared" si="8"/>
        <v>406.19556510129001</v>
      </c>
      <c r="J80" s="9">
        <f t="shared" si="9"/>
        <v>1069.8052572512001</v>
      </c>
      <c r="K80" s="9">
        <f t="shared" si="10"/>
        <v>406.19556510129001</v>
      </c>
      <c r="L80" s="10">
        <f t="shared" si="7"/>
        <v>0.37969112821990136</v>
      </c>
      <c r="M80" s="10">
        <f t="shared" si="11"/>
        <v>0.40130560247834435</v>
      </c>
      <c r="P80" s="8">
        <f t="shared" si="12"/>
        <v>-2.1294022041411722</v>
      </c>
      <c r="U80" s="8">
        <v>38.5</v>
      </c>
      <c r="V80" s="10">
        <f t="shared" si="6"/>
        <v>0.3879997725725523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1219.5051759834</v>
      </c>
      <c r="E81">
        <v>523.33022774327003</v>
      </c>
      <c r="F81">
        <v>144.66770508827</v>
      </c>
      <c r="G81">
        <v>120.07788161994</v>
      </c>
      <c r="I81" s="9">
        <f t="shared" si="8"/>
        <v>403.25234612333003</v>
      </c>
      <c r="J81" s="9">
        <f t="shared" si="9"/>
        <v>1074.8374708951301</v>
      </c>
      <c r="K81" s="9">
        <f t="shared" si="10"/>
        <v>403.25234612333003</v>
      </c>
      <c r="L81" s="10">
        <f t="shared" si="7"/>
        <v>0.37517518419552254</v>
      </c>
      <c r="M81" s="10">
        <f t="shared" si="11"/>
        <v>0.39706676709830452</v>
      </c>
      <c r="P81" s="8">
        <f t="shared" si="12"/>
        <v>-3.1631713567288724</v>
      </c>
      <c r="U81" s="8">
        <v>39</v>
      </c>
      <c r="V81" s="10">
        <f t="shared" si="6"/>
        <v>0.38613548234995987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1203.4278296989</v>
      </c>
      <c r="E82">
        <v>526.68431983385005</v>
      </c>
      <c r="F82">
        <v>145.05399792316001</v>
      </c>
      <c r="G82">
        <v>119.66458982347</v>
      </c>
      <c r="H82" s="13"/>
      <c r="I82" s="14">
        <f t="shared" si="8"/>
        <v>407.01973001038004</v>
      </c>
      <c r="J82" s="14">
        <f t="shared" si="9"/>
        <v>1058.37383177574</v>
      </c>
      <c r="K82" s="9">
        <f t="shared" si="10"/>
        <v>407.01973001038004</v>
      </c>
      <c r="L82" s="15">
        <f t="shared" si="7"/>
        <v>0.38457085558085108</v>
      </c>
      <c r="M82" s="15">
        <f t="shared" si="11"/>
        <v>0.40673954712797206</v>
      </c>
      <c r="N82" s="13"/>
      <c r="O82" s="13"/>
      <c r="P82" s="13">
        <f t="shared" si="12"/>
        <v>-0.80416924461035844</v>
      </c>
      <c r="U82" s="8">
        <v>39.5</v>
      </c>
      <c r="V82" s="10">
        <f t="shared" si="6"/>
        <v>0.37969112821990136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1204.4101765317</v>
      </c>
      <c r="E83">
        <v>527.53894080996997</v>
      </c>
      <c r="F83">
        <v>144.35306334372001</v>
      </c>
      <c r="G83">
        <v>120.27622014537999</v>
      </c>
      <c r="I83" s="9">
        <f t="shared" si="8"/>
        <v>407.26272066459001</v>
      </c>
      <c r="J83" s="9">
        <f t="shared" si="9"/>
        <v>1060.0571131879801</v>
      </c>
      <c r="K83" s="9">
        <f t="shared" si="10"/>
        <v>407.26272066459001</v>
      </c>
      <c r="L83" s="10">
        <f t="shared" si="7"/>
        <v>0.38418941356829517</v>
      </c>
      <c r="M83" s="10">
        <f t="shared" si="11"/>
        <v>0.40663521375975514</v>
      </c>
      <c r="P83" s="8">
        <f t="shared" si="12"/>
        <v>-0.8296141151887495</v>
      </c>
      <c r="U83" s="8">
        <v>40</v>
      </c>
      <c r="V83" s="10">
        <f t="shared" si="6"/>
        <v>0.37517518419552254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1185.6474895398001</v>
      </c>
      <c r="E84">
        <v>513.35041841003999</v>
      </c>
      <c r="F84">
        <v>144.86188992730999</v>
      </c>
      <c r="G84">
        <v>119.94911734164</v>
      </c>
      <c r="I84" s="9">
        <f t="shared" si="8"/>
        <v>393.40130106840002</v>
      </c>
      <c r="J84" s="9">
        <f t="shared" si="9"/>
        <v>1040.7855996124902</v>
      </c>
      <c r="K84" s="9">
        <f t="shared" si="10"/>
        <v>393.40130106840002</v>
      </c>
      <c r="L84" s="10">
        <f t="shared" si="7"/>
        <v>0.37798495791532177</v>
      </c>
      <c r="M84" s="10">
        <f t="shared" si="11"/>
        <v>0.4007078667511208</v>
      </c>
      <c r="P84" s="8">
        <f t="shared" si="12"/>
        <v>-2.2751782725190557</v>
      </c>
      <c r="U84" s="8">
        <v>150.5</v>
      </c>
      <c r="V84" s="10">
        <f>L302</f>
        <v>0.31424820376572304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1178.9487447699</v>
      </c>
      <c r="E85">
        <v>516.14225941423001</v>
      </c>
      <c r="F85">
        <v>144.93769470404999</v>
      </c>
      <c r="G85">
        <v>120.56801661474999</v>
      </c>
      <c r="I85" s="9">
        <f t="shared" si="8"/>
        <v>395.57424279948003</v>
      </c>
      <c r="J85" s="9">
        <f t="shared" si="9"/>
        <v>1034.01105006585</v>
      </c>
      <c r="K85" s="9">
        <f t="shared" si="10"/>
        <v>395.57424279948003</v>
      </c>
      <c r="L85" s="10">
        <f t="shared" si="7"/>
        <v>0.38256287761556151</v>
      </c>
      <c r="M85" s="10">
        <f t="shared" si="11"/>
        <v>0.40556289509569954</v>
      </c>
      <c r="P85" s="8">
        <f t="shared" si="12"/>
        <v>-1.0911316918950007</v>
      </c>
      <c r="U85" s="8">
        <v>151</v>
      </c>
      <c r="V85" s="10">
        <f t="shared" ref="V85:V103" si="13">L303</f>
        <v>0.31601783805427153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1116.2654958677999</v>
      </c>
      <c r="E86">
        <v>499.13636363635999</v>
      </c>
      <c r="F86">
        <v>144.96884735203</v>
      </c>
      <c r="G86">
        <v>119.99273104881</v>
      </c>
      <c r="I86" s="9">
        <f t="shared" si="8"/>
        <v>379.14363258754997</v>
      </c>
      <c r="J86" s="9">
        <f t="shared" si="9"/>
        <v>971.2966485157699</v>
      </c>
      <c r="K86" s="9">
        <f t="shared" si="10"/>
        <v>379.14363258754997</v>
      </c>
      <c r="L86" s="10">
        <f t="shared" si="7"/>
        <v>0.39034792631778986</v>
      </c>
      <c r="M86" s="10">
        <f t="shared" si="11"/>
        <v>0.41362505244226688</v>
      </c>
      <c r="P86" s="8">
        <f t="shared" si="12"/>
        <v>0.87507100789262671</v>
      </c>
      <c r="U86" s="8">
        <v>151.5</v>
      </c>
      <c r="V86" s="10">
        <f t="shared" si="13"/>
        <v>0.31706669978298341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1111.7024793388</v>
      </c>
      <c r="E87">
        <v>495.41322314050001</v>
      </c>
      <c r="F87">
        <v>144.84008307373</v>
      </c>
      <c r="G87">
        <v>119.97300103841999</v>
      </c>
      <c r="I87" s="9">
        <f t="shared" si="8"/>
        <v>375.44022210208004</v>
      </c>
      <c r="J87" s="9">
        <f t="shared" si="9"/>
        <v>966.86239626506995</v>
      </c>
      <c r="K87" s="9">
        <f t="shared" si="10"/>
        <v>375.44022210208004</v>
      </c>
      <c r="L87" s="10">
        <f t="shared" si="7"/>
        <v>0.38830781252056401</v>
      </c>
      <c r="M87" s="10">
        <f t="shared" si="11"/>
        <v>0.41186204728938003</v>
      </c>
      <c r="P87" s="8">
        <f t="shared" si="12"/>
        <v>0.44510848764715605</v>
      </c>
      <c r="U87" s="8">
        <v>152</v>
      </c>
      <c r="V87" s="10">
        <f t="shared" si="13"/>
        <v>0.31762061123008239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1097.1002066116</v>
      </c>
      <c r="E88">
        <v>498.54028925620003</v>
      </c>
      <c r="F88">
        <v>144.35306334372001</v>
      </c>
      <c r="G88">
        <v>120.53374870197</v>
      </c>
      <c r="I88" s="9">
        <f t="shared" si="8"/>
        <v>378.00654055423001</v>
      </c>
      <c r="J88" s="9">
        <f t="shared" si="9"/>
        <v>952.74714326788001</v>
      </c>
      <c r="K88" s="9">
        <f t="shared" si="10"/>
        <v>378.00654055423001</v>
      </c>
      <c r="L88" s="10">
        <f t="shared" si="7"/>
        <v>0.39675431537656941</v>
      </c>
      <c r="M88" s="10">
        <f t="shared" si="11"/>
        <v>0.42058565878972448</v>
      </c>
      <c r="P88" s="8">
        <f t="shared" si="12"/>
        <v>2.5726269354455851</v>
      </c>
      <c r="U88" s="8">
        <v>152.5</v>
      </c>
      <c r="V88" s="10">
        <f t="shared" si="13"/>
        <v>0.31751818859460956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1161.2713097712999</v>
      </c>
      <c r="E89">
        <v>526.80353430353</v>
      </c>
      <c r="F89">
        <v>144.53374870197001</v>
      </c>
      <c r="G89">
        <v>119.81100726894999</v>
      </c>
      <c r="I89" s="9">
        <f t="shared" si="8"/>
        <v>406.99252703458001</v>
      </c>
      <c r="J89" s="9">
        <f t="shared" si="9"/>
        <v>1016.7375610693299</v>
      </c>
      <c r="K89" s="9">
        <f t="shared" si="10"/>
        <v>406.99252703458001</v>
      </c>
      <c r="L89" s="10">
        <f t="shared" si="7"/>
        <v>0.40029260511093456</v>
      </c>
      <c r="M89" s="10">
        <f t="shared" si="11"/>
        <v>0.42440105716842863</v>
      </c>
      <c r="P89" s="8">
        <f t="shared" si="12"/>
        <v>3.5031280743457729</v>
      </c>
      <c r="U89" s="8">
        <v>153</v>
      </c>
      <c r="V89" s="10">
        <f t="shared" si="13"/>
        <v>0.31954780121077542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1155.2536382536</v>
      </c>
      <c r="E90">
        <v>528.41787941788004</v>
      </c>
      <c r="F90">
        <v>144.53063343718</v>
      </c>
      <c r="G90">
        <v>120.20768431982999</v>
      </c>
      <c r="I90" s="9">
        <f t="shared" si="8"/>
        <v>408.21019509805006</v>
      </c>
      <c r="J90" s="9">
        <f t="shared" si="9"/>
        <v>1010.72300481642</v>
      </c>
      <c r="K90" s="9">
        <f t="shared" si="10"/>
        <v>408.21019509805006</v>
      </c>
      <c r="L90" s="10">
        <f t="shared" si="7"/>
        <v>0.40387939440657555</v>
      </c>
      <c r="M90" s="10">
        <f t="shared" si="11"/>
        <v>0.42826495510840862</v>
      </c>
      <c r="P90" s="8">
        <f t="shared" si="12"/>
        <v>4.4454573089057012</v>
      </c>
      <c r="U90" s="8">
        <v>153.5</v>
      </c>
      <c r="V90" s="10">
        <f t="shared" si="13"/>
        <v>0.31902939195770974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1179.4094240838001</v>
      </c>
      <c r="E91">
        <v>533.15602094241001</v>
      </c>
      <c r="F91">
        <v>144.60124610592001</v>
      </c>
      <c r="G91">
        <v>119.59293873313</v>
      </c>
      <c r="I91" s="9">
        <f t="shared" si="8"/>
        <v>413.56308220928003</v>
      </c>
      <c r="J91" s="9">
        <f t="shared" si="9"/>
        <v>1034.8081779778802</v>
      </c>
      <c r="K91" s="9">
        <f t="shared" si="10"/>
        <v>413.56308220928003</v>
      </c>
      <c r="L91" s="10">
        <f t="shared" si="7"/>
        <v>0.39965192681161849</v>
      </c>
      <c r="M91" s="10">
        <f t="shared" si="11"/>
        <v>0.4243145961577906</v>
      </c>
      <c r="P91" s="8">
        <f t="shared" si="12"/>
        <v>3.4820419226825043</v>
      </c>
      <c r="U91" s="8">
        <v>154</v>
      </c>
      <c r="V91" s="10">
        <f t="shared" si="13"/>
        <v>0.31846306619414189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1172.2942408377</v>
      </c>
      <c r="E92">
        <v>530.02303664921999</v>
      </c>
      <c r="F92">
        <v>144.19730010384001</v>
      </c>
      <c r="G92">
        <v>119.61059190031</v>
      </c>
      <c r="I92" s="9">
        <f t="shared" si="8"/>
        <v>410.41244474890999</v>
      </c>
      <c r="J92" s="9">
        <f t="shared" si="9"/>
        <v>1028.09694073386</v>
      </c>
      <c r="K92" s="9">
        <f t="shared" si="10"/>
        <v>410.41244474890999</v>
      </c>
      <c r="L92" s="10">
        <f t="shared" si="7"/>
        <v>0.3991962513339995</v>
      </c>
      <c r="M92" s="10">
        <f t="shared" si="11"/>
        <v>0.42413602932451061</v>
      </c>
      <c r="P92" s="8">
        <f t="shared" si="12"/>
        <v>3.4384929599675638</v>
      </c>
      <c r="U92" s="8">
        <v>154.5</v>
      </c>
      <c r="V92" s="10">
        <f t="shared" si="13"/>
        <v>0.32289004397587046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1192.3742138365001</v>
      </c>
      <c r="E93">
        <v>536.24109014675003</v>
      </c>
      <c r="F93">
        <v>144.71339563863</v>
      </c>
      <c r="G93">
        <v>119.67705088266</v>
      </c>
      <c r="I93" s="9">
        <f t="shared" si="8"/>
        <v>416.56403926409001</v>
      </c>
      <c r="J93" s="9">
        <f t="shared" si="9"/>
        <v>1047.66081819787</v>
      </c>
      <c r="K93" s="9">
        <f t="shared" si="10"/>
        <v>416.56403926409001</v>
      </c>
      <c r="L93" s="10">
        <f t="shared" si="7"/>
        <v>0.39761345659623043</v>
      </c>
      <c r="M93" s="10">
        <f t="shared" si="11"/>
        <v>0.42283034323108054</v>
      </c>
      <c r="P93" s="8">
        <f t="shared" si="12"/>
        <v>3.1200616255716369</v>
      </c>
      <c r="U93" s="8">
        <v>155</v>
      </c>
      <c r="V93" s="10">
        <f t="shared" si="13"/>
        <v>0.32463444458208879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1160.7044025156999</v>
      </c>
      <c r="E94">
        <v>523.35639412998</v>
      </c>
      <c r="F94">
        <v>145.15472481827999</v>
      </c>
      <c r="G94">
        <v>119.54620976116</v>
      </c>
      <c r="I94" s="9">
        <f t="shared" si="8"/>
        <v>403.81018436881999</v>
      </c>
      <c r="J94" s="9">
        <f t="shared" si="9"/>
        <v>1015.54967769742</v>
      </c>
      <c r="K94" s="9">
        <f t="shared" si="10"/>
        <v>403.81018436881999</v>
      </c>
      <c r="L94" s="10">
        <f t="shared" si="7"/>
        <v>0.39762720941863572</v>
      </c>
      <c r="M94" s="10">
        <f t="shared" si="11"/>
        <v>0.42312120469782483</v>
      </c>
      <c r="P94" s="8">
        <f t="shared" si="12"/>
        <v>3.1909970559524763</v>
      </c>
      <c r="U94" s="8">
        <v>155.5</v>
      </c>
      <c r="V94" s="10">
        <f t="shared" si="13"/>
        <v>0.32657162664407574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1217.8476890756001</v>
      </c>
      <c r="E95">
        <v>543.54936974789996</v>
      </c>
      <c r="F95">
        <v>144.26687435099001</v>
      </c>
      <c r="G95">
        <v>119.748701973</v>
      </c>
      <c r="I95" s="9">
        <f t="shared" si="8"/>
        <v>423.80066777489998</v>
      </c>
      <c r="J95" s="9">
        <f t="shared" si="9"/>
        <v>1073.58081472461</v>
      </c>
      <c r="K95" s="9">
        <f t="shared" si="10"/>
        <v>423.80066777489998</v>
      </c>
      <c r="L95" s="10">
        <f t="shared" si="7"/>
        <v>0.39475432306752928</v>
      </c>
      <c r="M95" s="10">
        <f t="shared" si="11"/>
        <v>0.42052542699105744</v>
      </c>
      <c r="P95" s="8">
        <f t="shared" si="12"/>
        <v>2.5579375762503531</v>
      </c>
      <c r="U95" s="8">
        <v>156</v>
      </c>
      <c r="V95" s="10">
        <f t="shared" si="13"/>
        <v>0.32729697760143195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1218.5304621849</v>
      </c>
      <c r="E96">
        <v>537.39180672269003</v>
      </c>
      <c r="F96">
        <v>144.37590861890001</v>
      </c>
      <c r="G96">
        <v>119.96573208722999</v>
      </c>
      <c r="I96" s="9">
        <f t="shared" si="8"/>
        <v>417.42607463546005</v>
      </c>
      <c r="J96" s="9">
        <f t="shared" si="9"/>
        <v>1074.154553566</v>
      </c>
      <c r="K96" s="9">
        <f t="shared" si="10"/>
        <v>417.42607463546005</v>
      </c>
      <c r="L96" s="10">
        <f t="shared" si="7"/>
        <v>0.38860895133729179</v>
      </c>
      <c r="M96" s="10">
        <f t="shared" si="11"/>
        <v>0.41465716390515894</v>
      </c>
      <c r="P96" s="8">
        <f t="shared" si="12"/>
        <v>1.126782833596967</v>
      </c>
      <c r="U96" s="8">
        <v>156.5</v>
      </c>
      <c r="V96" s="10">
        <f t="shared" si="13"/>
        <v>0.32518560958477627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1218.1943277311</v>
      </c>
      <c r="E97">
        <v>533.59243697478996</v>
      </c>
      <c r="F97">
        <v>144.61786085150999</v>
      </c>
      <c r="G97">
        <v>119.89615784007999</v>
      </c>
      <c r="I97" s="9">
        <f t="shared" si="8"/>
        <v>413.69627913470998</v>
      </c>
      <c r="J97" s="9">
        <f t="shared" si="9"/>
        <v>1073.57646687959</v>
      </c>
      <c r="K97" s="9">
        <f t="shared" si="10"/>
        <v>413.69627913470998</v>
      </c>
      <c r="L97" s="10">
        <f t="shared" si="7"/>
        <v>0.38534402708839299</v>
      </c>
      <c r="M97" s="10">
        <f t="shared" si="11"/>
        <v>0.41166934830059915</v>
      </c>
      <c r="P97" s="8">
        <f t="shared" si="12"/>
        <v>0.39811296824704978</v>
      </c>
      <c r="U97" s="8">
        <v>157</v>
      </c>
      <c r="V97" s="10">
        <f t="shared" si="13"/>
        <v>0.32732517335323114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1182.5417106652999</v>
      </c>
      <c r="E98">
        <v>512.10031678986002</v>
      </c>
      <c r="F98">
        <v>145.08722741432999</v>
      </c>
      <c r="G98">
        <v>119.86396677051</v>
      </c>
      <c r="I98" s="9">
        <f t="shared" si="8"/>
        <v>392.23635001935003</v>
      </c>
      <c r="J98" s="9">
        <f t="shared" si="9"/>
        <v>1037.4544832509698</v>
      </c>
      <c r="K98" s="9">
        <f t="shared" si="10"/>
        <v>392.23635001935003</v>
      </c>
      <c r="L98" s="10">
        <f t="shared" si="7"/>
        <v>0.37807571932239115</v>
      </c>
      <c r="M98" s="10">
        <f t="shared" si="11"/>
        <v>0.4046781491789363</v>
      </c>
      <c r="P98" s="8">
        <f t="shared" si="12"/>
        <v>-1.3069039393700064</v>
      </c>
      <c r="U98" s="8">
        <v>157.5</v>
      </c>
      <c r="V98" s="10">
        <f t="shared" si="13"/>
        <v>0.3290918739355681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1144.8343881856999</v>
      </c>
      <c r="E99">
        <v>494.15189873418001</v>
      </c>
      <c r="F99">
        <v>144.47975077882001</v>
      </c>
      <c r="G99">
        <v>119.47663551402</v>
      </c>
      <c r="I99" s="9">
        <f t="shared" si="8"/>
        <v>374.67526322015999</v>
      </c>
      <c r="J99" s="9">
        <f t="shared" si="9"/>
        <v>1000.3546374068799</v>
      </c>
      <c r="K99" s="9">
        <f t="shared" si="10"/>
        <v>374.67526322015999</v>
      </c>
      <c r="L99" s="10">
        <f t="shared" si="7"/>
        <v>0.37454243646172675</v>
      </c>
      <c r="M99" s="10">
        <f t="shared" si="11"/>
        <v>0.40142197496261095</v>
      </c>
      <c r="P99" s="8">
        <f t="shared" si="12"/>
        <v>-2.101021228316704</v>
      </c>
      <c r="U99" s="8">
        <v>158</v>
      </c>
      <c r="V99" s="10">
        <f t="shared" si="13"/>
        <v>0.32771551308485813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1146.0453586497999</v>
      </c>
      <c r="E100">
        <v>491.88924050633</v>
      </c>
      <c r="F100">
        <v>144.59709241952001</v>
      </c>
      <c r="G100">
        <v>119.89511941847999</v>
      </c>
      <c r="I100" s="9">
        <f t="shared" si="8"/>
        <v>371.99412108784998</v>
      </c>
      <c r="J100" s="9">
        <f t="shared" si="9"/>
        <v>1001.44826623028</v>
      </c>
      <c r="K100" s="9">
        <f t="shared" si="10"/>
        <v>371.99412108784998</v>
      </c>
      <c r="L100" s="10">
        <f t="shared" si="7"/>
        <v>0.37145615368443913</v>
      </c>
      <c r="M100" s="10">
        <f t="shared" si="11"/>
        <v>0.39861280082966233</v>
      </c>
      <c r="P100" s="8">
        <f t="shared" si="12"/>
        <v>-2.7861239281206056</v>
      </c>
      <c r="U100" s="8">
        <v>158.5</v>
      </c>
      <c r="V100" s="10">
        <f t="shared" si="13"/>
        <v>0.32935087288065623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1149.1943573668</v>
      </c>
      <c r="E101">
        <v>493.62591431557001</v>
      </c>
      <c r="F101">
        <v>144.61993769470001</v>
      </c>
      <c r="G101">
        <v>119.88785046728999</v>
      </c>
      <c r="I101" s="9">
        <f t="shared" si="8"/>
        <v>373.73806384828004</v>
      </c>
      <c r="J101" s="9">
        <f t="shared" si="9"/>
        <v>1004.5744196721</v>
      </c>
      <c r="K101" s="9">
        <f t="shared" si="10"/>
        <v>373.73806384828004</v>
      </c>
      <c r="L101" s="10">
        <f t="shared" si="7"/>
        <v>0.37203621407189597</v>
      </c>
      <c r="M101" s="10">
        <f t="shared" si="11"/>
        <v>0.39946996986145816</v>
      </c>
      <c r="P101" s="8">
        <f t="shared" si="12"/>
        <v>-2.5770771442335478</v>
      </c>
      <c r="U101" s="8">
        <v>159</v>
      </c>
      <c r="V101" s="10">
        <f t="shared" si="13"/>
        <v>0.33117232613247888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1141.3500522465999</v>
      </c>
      <c r="E102">
        <v>489.60501567398001</v>
      </c>
      <c r="F102">
        <v>144.74558670819999</v>
      </c>
      <c r="G102">
        <v>120.02180685358</v>
      </c>
      <c r="I102" s="9">
        <f t="shared" si="8"/>
        <v>369.58320882039999</v>
      </c>
      <c r="J102" s="9">
        <f t="shared" si="9"/>
        <v>996.60446553839995</v>
      </c>
      <c r="K102" s="9">
        <f t="shared" si="10"/>
        <v>369.58320882039999</v>
      </c>
      <c r="L102" s="10">
        <f t="shared" si="7"/>
        <v>0.37084241702723902</v>
      </c>
      <c r="M102" s="10">
        <f t="shared" si="11"/>
        <v>0.39855328146114027</v>
      </c>
      <c r="P102" s="8">
        <f t="shared" si="12"/>
        <v>-2.8006395395192771</v>
      </c>
      <c r="U102" s="8">
        <v>159.5</v>
      </c>
      <c r="V102" s="10">
        <f t="shared" si="13"/>
        <v>0.33299444883074963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1162.1436058700001</v>
      </c>
      <c r="E103">
        <v>489.99475890985002</v>
      </c>
      <c r="F103">
        <v>144.64693665627999</v>
      </c>
      <c r="G103">
        <v>119.33021806854001</v>
      </c>
      <c r="I103" s="9">
        <f t="shared" si="8"/>
        <v>370.66454084130999</v>
      </c>
      <c r="J103" s="9">
        <f t="shared" si="9"/>
        <v>1017.4966692137201</v>
      </c>
      <c r="K103" s="9">
        <f t="shared" si="10"/>
        <v>370.66454084130999</v>
      </c>
      <c r="L103" s="10">
        <f t="shared" si="7"/>
        <v>0.36429066753382533</v>
      </c>
      <c r="M103" s="10">
        <f t="shared" si="11"/>
        <v>0.39227864061206558</v>
      </c>
      <c r="P103" s="8">
        <f t="shared" si="12"/>
        <v>-4.3309018808888942</v>
      </c>
      <c r="U103" s="8">
        <v>160</v>
      </c>
      <c r="V103" s="10">
        <f t="shared" si="13"/>
        <v>0.33588850648559532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1164.1939203354</v>
      </c>
      <c r="E104">
        <v>483.24633123690001</v>
      </c>
      <c r="F104">
        <v>144.43717549325001</v>
      </c>
      <c r="G104">
        <v>119.8722741433</v>
      </c>
      <c r="I104" s="9">
        <f t="shared" si="8"/>
        <v>363.37405709360002</v>
      </c>
      <c r="J104" s="9">
        <f t="shared" si="9"/>
        <v>1019.7567448421499</v>
      </c>
      <c r="K104" s="9">
        <f t="shared" si="10"/>
        <v>363.37405709360002</v>
      </c>
      <c r="L104" s="10">
        <f t="shared" si="7"/>
        <v>0.3563340560692711</v>
      </c>
      <c r="M104" s="10">
        <f t="shared" si="11"/>
        <v>0.38459913779185034</v>
      </c>
      <c r="P104" s="8">
        <f t="shared" si="12"/>
        <v>-6.2037826160388772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1160.7274633124</v>
      </c>
      <c r="E105">
        <v>482.27777777777999</v>
      </c>
      <c r="F105">
        <v>144.31152647975</v>
      </c>
      <c r="G105">
        <v>119.40498442368001</v>
      </c>
      <c r="I105" s="9">
        <f t="shared" si="8"/>
        <v>362.8727933541</v>
      </c>
      <c r="J105" s="9">
        <f t="shared" si="9"/>
        <v>1016.41593683265</v>
      </c>
      <c r="K105" s="9">
        <f t="shared" si="10"/>
        <v>362.8727933541</v>
      </c>
      <c r="L105" s="10">
        <f t="shared" si="7"/>
        <v>0.35701210518686111</v>
      </c>
      <c r="M105" s="10">
        <f t="shared" si="11"/>
        <v>0.38555429555377935</v>
      </c>
      <c r="P105" s="8">
        <f t="shared" si="12"/>
        <v>-5.9708382948730874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1155.8421052632</v>
      </c>
      <c r="E106">
        <v>480.12631578947003</v>
      </c>
      <c r="F106">
        <v>144.68847352025</v>
      </c>
      <c r="G106">
        <v>119.80996884735001</v>
      </c>
      <c r="I106" s="9">
        <f t="shared" si="8"/>
        <v>360.31634694212005</v>
      </c>
      <c r="J106" s="9">
        <f t="shared" si="9"/>
        <v>1011.15363174295</v>
      </c>
      <c r="K106" s="9">
        <f t="shared" si="10"/>
        <v>360.31634694212005</v>
      </c>
      <c r="L106" s="10">
        <f t="shared" si="7"/>
        <v>0.35634184126998986</v>
      </c>
      <c r="M106" s="10">
        <f t="shared" si="11"/>
        <v>0.38516114028124715</v>
      </c>
      <c r="P106" s="8">
        <f t="shared" si="12"/>
        <v>-6.0667211863943855</v>
      </c>
      <c r="X106" s="8">
        <v>-13</v>
      </c>
    </row>
    <row r="107" spans="1:25" x14ac:dyDescent="0.2">
      <c r="A107" s="8">
        <v>52.5</v>
      </c>
      <c r="B107" s="8">
        <v>105</v>
      </c>
      <c r="D107">
        <v>1180.7268951194001</v>
      </c>
      <c r="E107">
        <v>485.87123572169997</v>
      </c>
      <c r="F107">
        <v>144.66874350987001</v>
      </c>
      <c r="G107">
        <v>120.04049844236999</v>
      </c>
      <c r="I107" s="9">
        <f t="shared" si="8"/>
        <v>365.83073727932998</v>
      </c>
      <c r="J107" s="9">
        <f t="shared" si="9"/>
        <v>1036.0581516095301</v>
      </c>
      <c r="K107" s="9">
        <f t="shared" si="10"/>
        <v>365.83073727932998</v>
      </c>
      <c r="L107" s="10">
        <f t="shared" si="7"/>
        <v>0.35309865253316819</v>
      </c>
      <c r="M107" s="10">
        <f t="shared" si="11"/>
        <v>0.38219506018876448</v>
      </c>
      <c r="P107" s="8">
        <f t="shared" si="12"/>
        <v>-6.7900901849055382</v>
      </c>
      <c r="X107" s="8">
        <v>-13</v>
      </c>
    </row>
    <row r="108" spans="1:25" x14ac:dyDescent="0.2">
      <c r="A108" s="8">
        <v>53</v>
      </c>
      <c r="B108" s="8">
        <v>106</v>
      </c>
      <c r="D108">
        <v>1185.2326064382</v>
      </c>
      <c r="E108">
        <v>483.84839044652</v>
      </c>
      <c r="F108">
        <v>143.86812045690999</v>
      </c>
      <c r="G108">
        <v>120.11734164070999</v>
      </c>
      <c r="I108" s="9">
        <f t="shared" si="8"/>
        <v>363.73104880581002</v>
      </c>
      <c r="J108" s="9">
        <f t="shared" si="9"/>
        <v>1041.36448598129</v>
      </c>
      <c r="K108" s="9">
        <f t="shared" si="10"/>
        <v>363.73104880581002</v>
      </c>
      <c r="L108" s="10">
        <f t="shared" si="7"/>
        <v>0.34928313160503255</v>
      </c>
      <c r="M108" s="10">
        <f t="shared" si="11"/>
        <v>0.37865664790496784</v>
      </c>
      <c r="P108" s="8">
        <f t="shared" si="12"/>
        <v>-7.6530398255900982</v>
      </c>
      <c r="X108" s="8">
        <v>-13</v>
      </c>
    </row>
    <row r="109" spans="1:25" x14ac:dyDescent="0.2">
      <c r="A109" s="8">
        <v>53.5</v>
      </c>
      <c r="B109" s="8">
        <v>107</v>
      </c>
      <c r="D109">
        <v>1181.2294911734</v>
      </c>
      <c r="E109">
        <v>479.51194184838999</v>
      </c>
      <c r="F109">
        <v>144.17757009345999</v>
      </c>
      <c r="G109">
        <v>119.65316718587999</v>
      </c>
      <c r="I109" s="9">
        <f t="shared" si="8"/>
        <v>359.85877466250997</v>
      </c>
      <c r="J109" s="9">
        <f t="shared" si="9"/>
        <v>1037.05192107994</v>
      </c>
      <c r="K109" s="9">
        <f t="shared" si="10"/>
        <v>359.85877466250997</v>
      </c>
      <c r="L109" s="10">
        <f t="shared" si="7"/>
        <v>0.34700169523601959</v>
      </c>
      <c r="M109" s="10">
        <f t="shared" si="11"/>
        <v>0.37665232018029393</v>
      </c>
      <c r="P109" s="8">
        <f t="shared" si="12"/>
        <v>-8.1418562073729408</v>
      </c>
      <c r="X109" s="8">
        <v>-13</v>
      </c>
    </row>
    <row r="110" spans="1:25" x14ac:dyDescent="0.2">
      <c r="A110" s="8">
        <v>54</v>
      </c>
      <c r="B110" s="8">
        <v>108</v>
      </c>
      <c r="D110">
        <v>1145.4058272632999</v>
      </c>
      <c r="E110">
        <v>464.38397502601998</v>
      </c>
      <c r="F110">
        <v>144.57528556593999</v>
      </c>
      <c r="G110">
        <v>119.54205607477</v>
      </c>
      <c r="I110" s="9">
        <f t="shared" si="8"/>
        <v>344.84191895124997</v>
      </c>
      <c r="J110" s="9">
        <f t="shared" si="9"/>
        <v>1000.8305416973599</v>
      </c>
      <c r="K110" s="9">
        <f t="shared" si="10"/>
        <v>344.84191895124997</v>
      </c>
      <c r="L110" s="10">
        <f t="shared" si="7"/>
        <v>0.34455575103295194</v>
      </c>
      <c r="M110" s="10">
        <f t="shared" si="11"/>
        <v>0.37448348462156528</v>
      </c>
      <c r="P110" s="8">
        <f t="shared" si="12"/>
        <v>-8.6707928365722395</v>
      </c>
      <c r="X110" s="8">
        <v>-13</v>
      </c>
    </row>
    <row r="111" spans="1:25" x14ac:dyDescent="0.2">
      <c r="A111" s="8">
        <v>54.5</v>
      </c>
      <c r="B111" s="8">
        <v>109</v>
      </c>
      <c r="D111">
        <v>1110.5223725286</v>
      </c>
      <c r="E111">
        <v>450.60353798126999</v>
      </c>
      <c r="F111">
        <v>143.39563862928</v>
      </c>
      <c r="G111">
        <v>119.67601246106</v>
      </c>
      <c r="I111" s="9">
        <f t="shared" si="8"/>
        <v>330.92752552021</v>
      </c>
      <c r="J111" s="9">
        <f t="shared" si="9"/>
        <v>967.12673389932002</v>
      </c>
      <c r="K111" s="9">
        <f t="shared" si="10"/>
        <v>330.92752552021</v>
      </c>
      <c r="L111" s="10">
        <f t="shared" si="7"/>
        <v>0.34217596714130361</v>
      </c>
      <c r="M111" s="10">
        <f t="shared" si="11"/>
        <v>0.37238080937425594</v>
      </c>
      <c r="P111" s="8">
        <f t="shared" si="12"/>
        <v>-9.1835942581168712</v>
      </c>
      <c r="X111" s="8">
        <v>-13</v>
      </c>
    </row>
    <row r="112" spans="1:25" x14ac:dyDescent="0.2">
      <c r="A112" s="8">
        <v>55</v>
      </c>
      <c r="B112" s="8">
        <v>110</v>
      </c>
      <c r="D112">
        <v>1133.2554517133999</v>
      </c>
      <c r="E112">
        <v>457.42990654206</v>
      </c>
      <c r="F112">
        <v>144.15160955348</v>
      </c>
      <c r="G112">
        <v>119.70093457944</v>
      </c>
      <c r="I112" s="9">
        <f t="shared" si="8"/>
        <v>337.72897196261999</v>
      </c>
      <c r="J112" s="9">
        <f t="shared" si="9"/>
        <v>989.10384215991985</v>
      </c>
      <c r="K112" s="9">
        <f t="shared" si="10"/>
        <v>337.72897196261999</v>
      </c>
      <c r="L112" s="10">
        <f t="shared" si="7"/>
        <v>0.34144945916408181</v>
      </c>
      <c r="M112" s="10">
        <f t="shared" si="11"/>
        <v>0.37193141004137314</v>
      </c>
      <c r="P112" s="8">
        <f t="shared" si="12"/>
        <v>-9.2931939773499792</v>
      </c>
      <c r="X112" s="8">
        <v>-13</v>
      </c>
    </row>
    <row r="113" spans="1:24" x14ac:dyDescent="0.2">
      <c r="A113" s="8">
        <v>55.5</v>
      </c>
      <c r="B113" s="8">
        <v>111</v>
      </c>
      <c r="D113">
        <v>1131.1806853583</v>
      </c>
      <c r="E113">
        <v>453.80789200415001</v>
      </c>
      <c r="F113">
        <v>143.82762201454</v>
      </c>
      <c r="G113">
        <v>119.71443406023</v>
      </c>
      <c r="I113" s="9">
        <f t="shared" si="8"/>
        <v>334.09345794391999</v>
      </c>
      <c r="J113" s="9">
        <f t="shared" si="9"/>
        <v>987.35306334376003</v>
      </c>
      <c r="K113" s="9">
        <f t="shared" si="10"/>
        <v>334.09345794391999</v>
      </c>
      <c r="L113" s="10">
        <f t="shared" si="7"/>
        <v>0.33837283778963767</v>
      </c>
      <c r="M113" s="10">
        <f t="shared" si="11"/>
        <v>0.36913189731126805</v>
      </c>
      <c r="P113" s="8">
        <f t="shared" si="12"/>
        <v>-9.9759404497152318</v>
      </c>
      <c r="X113" s="8">
        <v>-13</v>
      </c>
    </row>
    <row r="114" spans="1:24" x14ac:dyDescent="0.2">
      <c r="A114" s="8">
        <v>56</v>
      </c>
      <c r="B114" s="8">
        <v>112</v>
      </c>
      <c r="D114">
        <v>1149.5576323988</v>
      </c>
      <c r="E114">
        <v>456.63343717548997</v>
      </c>
      <c r="F114">
        <v>144.19003115264999</v>
      </c>
      <c r="G114">
        <v>119.39771547248</v>
      </c>
      <c r="I114" s="9">
        <f t="shared" si="8"/>
        <v>337.23572170300997</v>
      </c>
      <c r="J114" s="9">
        <f t="shared" si="9"/>
        <v>1005.36760124615</v>
      </c>
      <c r="K114" s="9">
        <f t="shared" si="10"/>
        <v>337.23572170300997</v>
      </c>
      <c r="L114" s="10">
        <f t="shared" si="7"/>
        <v>0.33543523909563761</v>
      </c>
      <c r="M114" s="10">
        <f t="shared" si="11"/>
        <v>0.36647140726160699</v>
      </c>
      <c r="P114" s="8">
        <f t="shared" si="12"/>
        <v>-10.624782005831593</v>
      </c>
      <c r="X114" s="8">
        <v>-13</v>
      </c>
    </row>
    <row r="115" spans="1:24" x14ac:dyDescent="0.2">
      <c r="A115" s="8">
        <v>56.5</v>
      </c>
      <c r="B115" s="8">
        <v>113</v>
      </c>
      <c r="D115">
        <v>1157.5430944964</v>
      </c>
      <c r="E115">
        <v>454.75700934578998</v>
      </c>
      <c r="F115">
        <v>144.78193146416999</v>
      </c>
      <c r="G115">
        <v>119.83696780893</v>
      </c>
      <c r="I115" s="9">
        <f t="shared" si="8"/>
        <v>334.92004153685997</v>
      </c>
      <c r="J115" s="9">
        <f t="shared" si="9"/>
        <v>1012.7611630322301</v>
      </c>
      <c r="K115" s="9">
        <f t="shared" si="10"/>
        <v>334.92004153685997</v>
      </c>
      <c r="L115" s="10">
        <f t="shared" si="7"/>
        <v>0.33069992586811059</v>
      </c>
      <c r="M115" s="10">
        <f t="shared" si="11"/>
        <v>0.36201320267841897</v>
      </c>
      <c r="P115" s="8">
        <f t="shared" si="12"/>
        <v>-11.712051022157858</v>
      </c>
      <c r="X115" s="8">
        <v>-13</v>
      </c>
    </row>
    <row r="116" spans="1:24" x14ac:dyDescent="0.2">
      <c r="A116" s="8">
        <v>57</v>
      </c>
      <c r="B116" s="8">
        <v>114</v>
      </c>
      <c r="D116">
        <v>1157.0342679128</v>
      </c>
      <c r="E116">
        <v>453.07268951193998</v>
      </c>
      <c r="F116">
        <v>143.96573208723001</v>
      </c>
      <c r="G116">
        <v>119.52232606438</v>
      </c>
      <c r="I116" s="9">
        <f t="shared" si="8"/>
        <v>333.55036344756002</v>
      </c>
      <c r="J116" s="9">
        <f t="shared" si="9"/>
        <v>1013.0685358255701</v>
      </c>
      <c r="K116" s="9">
        <f t="shared" si="10"/>
        <v>333.55036344756002</v>
      </c>
      <c r="L116" s="10">
        <f t="shared" si="7"/>
        <v>0.32924757965732604</v>
      </c>
      <c r="M116" s="10">
        <f t="shared" si="11"/>
        <v>0.36083796511197341</v>
      </c>
      <c r="P116" s="8">
        <f t="shared" si="12"/>
        <v>-11.998668508855877</v>
      </c>
      <c r="X116" s="8">
        <v>-13</v>
      </c>
    </row>
    <row r="117" spans="1:24" x14ac:dyDescent="0.2">
      <c r="A117" s="8">
        <v>57.5</v>
      </c>
      <c r="B117" s="8">
        <v>115</v>
      </c>
      <c r="D117">
        <v>1129.8074534161999</v>
      </c>
      <c r="E117">
        <v>445.41407867495002</v>
      </c>
      <c r="F117">
        <v>144.39771547248</v>
      </c>
      <c r="G117">
        <v>119.41536863967001</v>
      </c>
      <c r="I117" s="9">
        <f t="shared" si="8"/>
        <v>325.99871003528</v>
      </c>
      <c r="J117" s="9">
        <f t="shared" si="9"/>
        <v>985.40973794371985</v>
      </c>
      <c r="K117" s="9">
        <f t="shared" si="10"/>
        <v>325.99871003528</v>
      </c>
      <c r="L117" s="10">
        <f t="shared" si="7"/>
        <v>0.33082554137890902</v>
      </c>
      <c r="M117" s="10">
        <f t="shared" si="11"/>
        <v>0.36269303547789544</v>
      </c>
      <c r="P117" s="8">
        <f t="shared" si="12"/>
        <v>-11.546253081448606</v>
      </c>
      <c r="X117" s="8">
        <v>-13</v>
      </c>
    </row>
    <row r="118" spans="1:24" x14ac:dyDescent="0.2">
      <c r="A118" s="8">
        <v>58</v>
      </c>
      <c r="B118" s="8">
        <v>116</v>
      </c>
      <c r="D118">
        <v>1115.2412008281999</v>
      </c>
      <c r="E118">
        <v>435.40786749481998</v>
      </c>
      <c r="F118">
        <v>144.89719626167999</v>
      </c>
      <c r="G118">
        <v>119.47767393562</v>
      </c>
      <c r="I118" s="9">
        <f t="shared" si="8"/>
        <v>315.93019355920001</v>
      </c>
      <c r="J118" s="9">
        <f t="shared" si="9"/>
        <v>970.34400456651997</v>
      </c>
      <c r="K118" s="9">
        <f t="shared" si="10"/>
        <v>315.93019355920001</v>
      </c>
      <c r="L118" s="10">
        <f t="shared" si="7"/>
        <v>0.32558576347399076</v>
      </c>
      <c r="M118" s="10">
        <f t="shared" si="11"/>
        <v>0.35773036621731619</v>
      </c>
      <c r="P118" s="8">
        <f t="shared" si="12"/>
        <v>-12.756551178949588</v>
      </c>
      <c r="X118" s="8">
        <v>-13</v>
      </c>
    </row>
    <row r="119" spans="1:24" x14ac:dyDescent="0.2">
      <c r="A119" s="8">
        <v>58.5</v>
      </c>
      <c r="B119" s="8">
        <v>117</v>
      </c>
      <c r="D119">
        <v>1102.4544513458</v>
      </c>
      <c r="E119">
        <v>431.82194616977</v>
      </c>
      <c r="F119">
        <v>144.82866043614001</v>
      </c>
      <c r="G119">
        <v>119.95950155763001</v>
      </c>
      <c r="I119" s="9">
        <f t="shared" si="8"/>
        <v>311.86244461214</v>
      </c>
      <c r="J119" s="9">
        <f t="shared" si="9"/>
        <v>957.62579090965994</v>
      </c>
      <c r="K119" s="9">
        <f t="shared" si="10"/>
        <v>311.86244461214</v>
      </c>
      <c r="L119" s="10">
        <f t="shared" si="7"/>
        <v>0.32566211935029254</v>
      </c>
      <c r="M119" s="10">
        <f t="shared" si="11"/>
        <v>0.35808383073795697</v>
      </c>
      <c r="P119" s="8">
        <f t="shared" si="12"/>
        <v>-12.670348086540464</v>
      </c>
      <c r="X119" s="8">
        <v>-13</v>
      </c>
    </row>
    <row r="120" spans="1:24" x14ac:dyDescent="0.2">
      <c r="A120" s="8">
        <v>59</v>
      </c>
      <c r="B120" s="8">
        <v>118</v>
      </c>
      <c r="D120">
        <v>1114.6790890269001</v>
      </c>
      <c r="E120">
        <v>431.43271221532001</v>
      </c>
      <c r="F120">
        <v>144.61889927311</v>
      </c>
      <c r="G120">
        <v>119.21599169263</v>
      </c>
      <c r="I120" s="9">
        <f t="shared" si="8"/>
        <v>312.21672052269003</v>
      </c>
      <c r="J120" s="9">
        <f t="shared" si="9"/>
        <v>970.06018975379016</v>
      </c>
      <c r="K120" s="9">
        <f t="shared" si="10"/>
        <v>312.21672052269003</v>
      </c>
      <c r="L120" s="10">
        <f t="shared" si="7"/>
        <v>0.32185293636463258</v>
      </c>
      <c r="M120" s="10">
        <f t="shared" si="11"/>
        <v>0.35455175639663605</v>
      </c>
      <c r="P120" s="8">
        <f t="shared" si="12"/>
        <v>-13.531752026853372</v>
      </c>
      <c r="X120" s="8">
        <v>-13</v>
      </c>
    </row>
    <row r="121" spans="1:24" x14ac:dyDescent="0.2">
      <c r="A121" s="8">
        <v>59.5</v>
      </c>
      <c r="B121" s="8">
        <v>119</v>
      </c>
      <c r="D121">
        <v>1104.5098445596</v>
      </c>
      <c r="E121">
        <v>425.61243523316</v>
      </c>
      <c r="F121">
        <v>144.59916926272001</v>
      </c>
      <c r="G121">
        <v>119.58255451713001</v>
      </c>
      <c r="I121" s="9">
        <f t="shared" si="8"/>
        <v>306.02988071602999</v>
      </c>
      <c r="J121" s="9">
        <f t="shared" si="9"/>
        <v>959.91067529687996</v>
      </c>
      <c r="K121" s="9">
        <f t="shared" si="10"/>
        <v>306.02988071602999</v>
      </c>
      <c r="L121" s="10">
        <f t="shared" si="7"/>
        <v>0.31881078999499768</v>
      </c>
      <c r="M121" s="10">
        <f t="shared" si="11"/>
        <v>0.35178671867134015</v>
      </c>
      <c r="P121" s="8">
        <f t="shared" si="12"/>
        <v>-14.206090718941319</v>
      </c>
      <c r="X121" s="8">
        <v>-13</v>
      </c>
    </row>
    <row r="122" spans="1:24" x14ac:dyDescent="0.2">
      <c r="A122" s="8">
        <v>60</v>
      </c>
      <c r="B122" s="8">
        <v>120</v>
      </c>
      <c r="D122">
        <v>1114.1979274611001</v>
      </c>
      <c r="E122">
        <v>430.03212435233002</v>
      </c>
      <c r="F122">
        <v>144.27829698858</v>
      </c>
      <c r="G122">
        <v>119.60747663551</v>
      </c>
      <c r="I122" s="9">
        <f t="shared" si="8"/>
        <v>310.42464771682</v>
      </c>
      <c r="J122" s="9">
        <f t="shared" si="9"/>
        <v>969.91963047252011</v>
      </c>
      <c r="K122" s="9">
        <f t="shared" si="10"/>
        <v>310.42464771682</v>
      </c>
      <c r="L122" s="10">
        <f t="shared" si="7"/>
        <v>0.32005192797839244</v>
      </c>
      <c r="M122" s="10">
        <f t="shared" si="11"/>
        <v>0.3533049652990739</v>
      </c>
      <c r="P122" s="8">
        <f t="shared" si="12"/>
        <v>-13.835820022145185</v>
      </c>
      <c r="X122" s="8">
        <v>-13</v>
      </c>
    </row>
    <row r="123" spans="1:24" x14ac:dyDescent="0.2">
      <c r="A123" s="8">
        <v>60.5</v>
      </c>
      <c r="B123" s="8">
        <v>121</v>
      </c>
      <c r="D123">
        <v>1130.5015576323999</v>
      </c>
      <c r="E123">
        <v>433.74766355140002</v>
      </c>
      <c r="F123">
        <v>144.59086188993001</v>
      </c>
      <c r="G123">
        <v>119.65109034268001</v>
      </c>
      <c r="I123" s="9">
        <f t="shared" si="8"/>
        <v>314.09657320872003</v>
      </c>
      <c r="J123" s="9">
        <f t="shared" si="9"/>
        <v>985.9106957424699</v>
      </c>
      <c r="K123" s="9">
        <f t="shared" si="10"/>
        <v>314.09657320872003</v>
      </c>
      <c r="L123" s="10">
        <f t="shared" si="7"/>
        <v>0.31858521726674249</v>
      </c>
      <c r="M123" s="10">
        <f t="shared" si="11"/>
        <v>0.35211536323176296</v>
      </c>
      <c r="P123" s="8">
        <f t="shared" si="12"/>
        <v>-14.125940730024396</v>
      </c>
      <c r="X123" s="8">
        <v>-13</v>
      </c>
    </row>
    <row r="124" spans="1:24" x14ac:dyDescent="0.2">
      <c r="A124" s="8">
        <v>61</v>
      </c>
      <c r="B124" s="8">
        <v>122</v>
      </c>
      <c r="D124">
        <v>1144.2263759085999</v>
      </c>
      <c r="E124">
        <v>437.09034267913</v>
      </c>
      <c r="F124">
        <v>144.22845275181999</v>
      </c>
      <c r="G124">
        <v>119.22118380062</v>
      </c>
      <c r="I124" s="9">
        <f t="shared" si="8"/>
        <v>317.86915887851001</v>
      </c>
      <c r="J124" s="9">
        <f t="shared" si="9"/>
        <v>999.99792315677996</v>
      </c>
      <c r="K124" s="9">
        <f t="shared" si="10"/>
        <v>317.86915887851001</v>
      </c>
      <c r="L124" s="10">
        <f t="shared" si="7"/>
        <v>0.31786981904428857</v>
      </c>
      <c r="M124" s="10">
        <f t="shared" si="11"/>
        <v>0.35167707365364809</v>
      </c>
      <c r="P124" s="8">
        <f t="shared" si="12"/>
        <v>-14.232830997074961</v>
      </c>
      <c r="X124" s="8">
        <v>-13</v>
      </c>
    </row>
    <row r="125" spans="1:24" x14ac:dyDescent="0.2">
      <c r="A125" s="8">
        <v>61.5</v>
      </c>
      <c r="B125" s="8">
        <v>123</v>
      </c>
      <c r="D125">
        <v>1141.6822429906999</v>
      </c>
      <c r="E125">
        <v>429.50986500519002</v>
      </c>
      <c r="F125">
        <v>144.47040498441999</v>
      </c>
      <c r="G125">
        <v>119.33644859813</v>
      </c>
      <c r="I125" s="9">
        <f t="shared" si="8"/>
        <v>310.17341640706002</v>
      </c>
      <c r="J125" s="9">
        <f t="shared" si="9"/>
        <v>997.21183800628</v>
      </c>
      <c r="K125" s="9">
        <f t="shared" si="10"/>
        <v>310.17341640706002</v>
      </c>
      <c r="L125" s="10">
        <f t="shared" si="7"/>
        <v>0.31104064812065207</v>
      </c>
      <c r="M125" s="10">
        <f t="shared" si="11"/>
        <v>0.34512501137435059</v>
      </c>
      <c r="P125" s="8">
        <f t="shared" si="12"/>
        <v>-15.830751006440261</v>
      </c>
      <c r="X125" s="8">
        <v>-13</v>
      </c>
    </row>
    <row r="126" spans="1:24" x14ac:dyDescent="0.2">
      <c r="A126" s="8">
        <v>62</v>
      </c>
      <c r="B126" s="8">
        <v>124</v>
      </c>
      <c r="D126">
        <v>1147.9138110073</v>
      </c>
      <c r="E126">
        <v>424.99896157839999</v>
      </c>
      <c r="F126">
        <v>143.97300103841999</v>
      </c>
      <c r="G126">
        <v>119.66770508827</v>
      </c>
      <c r="I126" s="9">
        <f t="shared" si="8"/>
        <v>305.33125649012999</v>
      </c>
      <c r="J126" s="9">
        <f t="shared" si="9"/>
        <v>1003.94080996888</v>
      </c>
      <c r="K126" s="9">
        <f t="shared" si="10"/>
        <v>305.33125649012999</v>
      </c>
      <c r="L126" s="10">
        <f t="shared" si="7"/>
        <v>0.30413272720689044</v>
      </c>
      <c r="M126" s="10">
        <f t="shared" si="11"/>
        <v>0.33849419910492795</v>
      </c>
      <c r="P126" s="8">
        <f t="shared" si="12"/>
        <v>-17.447876600184067</v>
      </c>
      <c r="X126" s="8">
        <v>-13</v>
      </c>
    </row>
    <row r="127" spans="1:24" x14ac:dyDescent="0.2">
      <c r="A127" s="8">
        <v>62.5</v>
      </c>
      <c r="B127" s="8">
        <v>125</v>
      </c>
      <c r="D127">
        <v>1158.0373056994999</v>
      </c>
      <c r="E127">
        <v>425.41347150259003</v>
      </c>
      <c r="F127">
        <v>144.25960539978999</v>
      </c>
      <c r="G127">
        <v>120.01765316719001</v>
      </c>
      <c r="I127" s="9">
        <f t="shared" si="8"/>
        <v>305.39581833540001</v>
      </c>
      <c r="J127" s="9">
        <f t="shared" si="9"/>
        <v>1013.77770029971</v>
      </c>
      <c r="K127" s="9">
        <f t="shared" si="10"/>
        <v>305.39581833540001</v>
      </c>
      <c r="L127" s="10">
        <f t="shared" si="7"/>
        <v>0.30124535018388526</v>
      </c>
      <c r="M127" s="10">
        <f t="shared" si="11"/>
        <v>0.33588393072626177</v>
      </c>
      <c r="P127" s="8">
        <f t="shared" si="12"/>
        <v>-18.084470071717952</v>
      </c>
      <c r="X127" s="8">
        <v>-13</v>
      </c>
    </row>
    <row r="128" spans="1:24" x14ac:dyDescent="0.2">
      <c r="A128" s="8">
        <v>63</v>
      </c>
      <c r="B128" s="8">
        <v>126</v>
      </c>
      <c r="D128">
        <v>1159.9440414507999</v>
      </c>
      <c r="E128">
        <v>418.28497409326002</v>
      </c>
      <c r="F128">
        <v>144.17030114226</v>
      </c>
      <c r="G128">
        <v>119.20145379024</v>
      </c>
      <c r="I128" s="9">
        <f t="shared" si="8"/>
        <v>299.08352030302001</v>
      </c>
      <c r="J128" s="9">
        <f t="shared" si="9"/>
        <v>1015.7737403085399</v>
      </c>
      <c r="K128" s="9">
        <f t="shared" si="10"/>
        <v>299.08352030302001</v>
      </c>
      <c r="L128" s="10">
        <f t="shared" si="7"/>
        <v>0.29443911417927954</v>
      </c>
      <c r="M128" s="10">
        <f t="shared" si="11"/>
        <v>0.3293548033659951</v>
      </c>
      <c r="P128" s="8">
        <f t="shared" si="12"/>
        <v>-19.676796702316338</v>
      </c>
      <c r="X128" s="8">
        <v>-13</v>
      </c>
    </row>
    <row r="129" spans="1:24" x14ac:dyDescent="0.2">
      <c r="A129" s="8">
        <v>63.5</v>
      </c>
      <c r="B129" s="8">
        <v>127</v>
      </c>
      <c r="D129">
        <v>1152.0879917184</v>
      </c>
      <c r="E129">
        <v>416.17184265010002</v>
      </c>
      <c r="F129">
        <v>144.91381100727</v>
      </c>
      <c r="G129">
        <v>120.06853582555</v>
      </c>
      <c r="I129" s="9">
        <f t="shared" si="8"/>
        <v>296.10330682455003</v>
      </c>
      <c r="J129" s="9">
        <f t="shared" si="9"/>
        <v>1007.17418071113</v>
      </c>
      <c r="K129" s="9">
        <f t="shared" si="10"/>
        <v>296.10330682455003</v>
      </c>
      <c r="L129" s="10">
        <f t="shared" si="7"/>
        <v>0.29399413973805599</v>
      </c>
      <c r="M129" s="10">
        <f t="shared" si="11"/>
        <v>0.32918693756911055</v>
      </c>
      <c r="P129" s="8">
        <f t="shared" si="12"/>
        <v>-19.717735891276341</v>
      </c>
      <c r="X129" s="8">
        <v>-13</v>
      </c>
    </row>
    <row r="130" spans="1:24" x14ac:dyDescent="0.2">
      <c r="A130" s="8">
        <v>64</v>
      </c>
      <c r="B130" s="8">
        <v>128</v>
      </c>
      <c r="D130">
        <v>1144.2028985507</v>
      </c>
      <c r="E130">
        <v>410.12732919255001</v>
      </c>
      <c r="F130">
        <v>144.11422637590999</v>
      </c>
      <c r="G130">
        <v>119.21287642783</v>
      </c>
      <c r="I130" s="9">
        <f t="shared" si="8"/>
        <v>290.91445276472001</v>
      </c>
      <c r="J130" s="9">
        <f t="shared" si="9"/>
        <v>1000.08867217479</v>
      </c>
      <c r="K130" s="9">
        <f t="shared" si="10"/>
        <v>290.91445276472001</v>
      </c>
      <c r="L130" s="10">
        <f t="shared" ref="L130:L193" si="14">K130/J130</f>
        <v>0.29088865903470168</v>
      </c>
      <c r="M130" s="10">
        <f t="shared" si="11"/>
        <v>0.32635856551009523</v>
      </c>
      <c r="P130" s="8">
        <f t="shared" si="12"/>
        <v>-20.407520590257388</v>
      </c>
      <c r="X130" s="8">
        <v>-13</v>
      </c>
    </row>
    <row r="131" spans="1:24" x14ac:dyDescent="0.2">
      <c r="A131" s="8">
        <v>64.5</v>
      </c>
      <c r="B131" s="8">
        <v>129</v>
      </c>
      <c r="D131">
        <v>1162.3591623037</v>
      </c>
      <c r="E131">
        <v>408.91308900524001</v>
      </c>
      <c r="F131">
        <v>144.77362409137999</v>
      </c>
      <c r="G131">
        <v>119.20145379024</v>
      </c>
      <c r="I131" s="9">
        <f t="shared" ref="I131:I194" si="15">E131-G131</f>
        <v>289.711635215</v>
      </c>
      <c r="J131" s="9">
        <f t="shared" ref="J131:J194" si="16">D131-F131</f>
        <v>1017.58553821232</v>
      </c>
      <c r="K131" s="9">
        <f t="shared" ref="K131:K194" si="17">I131*1</f>
        <v>289.711635215</v>
      </c>
      <c r="L131" s="10">
        <f t="shared" si="14"/>
        <v>0.28470494551638514</v>
      </c>
      <c r="M131" s="10">
        <f t="shared" ref="M131:M181" si="18">L131+ABS($N$2)*A131</f>
        <v>0.32045196063611775</v>
      </c>
      <c r="P131" s="8">
        <f t="shared" ref="P131:P194" si="19">(M131-$O$2)/$O$2*100</f>
        <v>-21.848026146098228</v>
      </c>
      <c r="X131" s="8">
        <v>-13</v>
      </c>
    </row>
    <row r="132" spans="1:24" x14ac:dyDescent="0.2">
      <c r="A132" s="8">
        <v>65</v>
      </c>
      <c r="B132" s="8">
        <v>130</v>
      </c>
      <c r="D132">
        <v>1160.0397905759</v>
      </c>
      <c r="E132">
        <v>409.92251308901001</v>
      </c>
      <c r="F132">
        <v>144.56386292835001</v>
      </c>
      <c r="G132">
        <v>120.19418483905</v>
      </c>
      <c r="I132" s="9">
        <f t="shared" si="15"/>
        <v>289.72832824995999</v>
      </c>
      <c r="J132" s="9">
        <f t="shared" si="16"/>
        <v>1015.4759276475501</v>
      </c>
      <c r="K132" s="9">
        <f t="shared" si="17"/>
        <v>289.72832824995999</v>
      </c>
      <c r="L132" s="10">
        <f t="shared" si="14"/>
        <v>0.28531284726871287</v>
      </c>
      <c r="M132" s="10">
        <f t="shared" si="18"/>
        <v>0.32133697103278447</v>
      </c>
      <c r="P132" s="8">
        <f t="shared" si="19"/>
        <v>-21.632189397140813</v>
      </c>
      <c r="X132" s="8">
        <v>-13</v>
      </c>
    </row>
    <row r="133" spans="1:24" x14ac:dyDescent="0.2">
      <c r="A133" s="8">
        <v>65.5</v>
      </c>
      <c r="B133" s="8">
        <v>131</v>
      </c>
      <c r="D133">
        <v>1124.8347280334999</v>
      </c>
      <c r="E133">
        <v>401.49686192468999</v>
      </c>
      <c r="F133">
        <v>144.88265835928999</v>
      </c>
      <c r="G133">
        <v>119.50259605399999</v>
      </c>
      <c r="I133" s="9">
        <f t="shared" si="15"/>
        <v>281.99426587069001</v>
      </c>
      <c r="J133" s="9">
        <f t="shared" si="16"/>
        <v>979.95206967420995</v>
      </c>
      <c r="K133" s="9">
        <f t="shared" si="17"/>
        <v>281.99426587069001</v>
      </c>
      <c r="L133" s="10">
        <f t="shared" si="14"/>
        <v>0.28776332495980178</v>
      </c>
      <c r="M133" s="10">
        <f t="shared" si="18"/>
        <v>0.32406455736821238</v>
      </c>
      <c r="P133" s="8">
        <f t="shared" si="19"/>
        <v>-20.966984367508687</v>
      </c>
      <c r="X133" s="8">
        <v>-13</v>
      </c>
    </row>
    <row r="134" spans="1:24" x14ac:dyDescent="0.2">
      <c r="A134" s="8">
        <v>66</v>
      </c>
      <c r="B134" s="8">
        <v>132</v>
      </c>
      <c r="D134">
        <v>1116.7029288703</v>
      </c>
      <c r="E134">
        <v>405.40062761505999</v>
      </c>
      <c r="F134">
        <v>143.51505711319001</v>
      </c>
      <c r="G134">
        <v>119.41640706126999</v>
      </c>
      <c r="I134" s="9">
        <f t="shared" si="15"/>
        <v>285.98422055379001</v>
      </c>
      <c r="J134" s="9">
        <f t="shared" si="16"/>
        <v>973.18787175710997</v>
      </c>
      <c r="K134" s="9">
        <f t="shared" si="17"/>
        <v>285.98422055379001</v>
      </c>
      <c r="L134" s="10">
        <f t="shared" si="14"/>
        <v>0.29386332161891809</v>
      </c>
      <c r="M134" s="10">
        <f t="shared" si="18"/>
        <v>0.33044166267166775</v>
      </c>
      <c r="P134" s="8">
        <f t="shared" si="19"/>
        <v>-19.411732947140095</v>
      </c>
      <c r="X134" s="8">
        <v>-13</v>
      </c>
    </row>
    <row r="135" spans="1:24" x14ac:dyDescent="0.2">
      <c r="A135" s="8">
        <v>66.5</v>
      </c>
      <c r="B135" s="8">
        <v>133</v>
      </c>
      <c r="D135">
        <v>1118.1791666667</v>
      </c>
      <c r="E135">
        <v>406.29062499999998</v>
      </c>
      <c r="F135">
        <v>145.03842159916999</v>
      </c>
      <c r="G135">
        <v>119.80166147456001</v>
      </c>
      <c r="I135" s="9">
        <f t="shared" si="15"/>
        <v>286.48896352544</v>
      </c>
      <c r="J135" s="9">
        <f t="shared" si="16"/>
        <v>973.14074506753002</v>
      </c>
      <c r="K135" s="9">
        <f t="shared" si="17"/>
        <v>286.48896352544</v>
      </c>
      <c r="L135" s="10">
        <f t="shared" si="14"/>
        <v>0.29439622683310768</v>
      </c>
      <c r="M135" s="10">
        <f t="shared" si="18"/>
        <v>0.33125167653019633</v>
      </c>
      <c r="P135" s="8">
        <f t="shared" si="19"/>
        <v>-19.214186388937236</v>
      </c>
      <c r="X135" s="8">
        <v>-13</v>
      </c>
    </row>
    <row r="136" spans="1:24" x14ac:dyDescent="0.2">
      <c r="A136" s="8">
        <v>67</v>
      </c>
      <c r="B136" s="8">
        <v>134</v>
      </c>
      <c r="D136">
        <v>1121.1114583333001</v>
      </c>
      <c r="E136">
        <v>411.10104166667003</v>
      </c>
      <c r="F136">
        <v>144.65316718587999</v>
      </c>
      <c r="G136">
        <v>119.18380062305</v>
      </c>
      <c r="I136" s="9">
        <f t="shared" si="15"/>
        <v>291.91724104362004</v>
      </c>
      <c r="J136" s="9">
        <f t="shared" si="16"/>
        <v>976.45829114742014</v>
      </c>
      <c r="K136" s="9">
        <f t="shared" si="17"/>
        <v>291.91724104362004</v>
      </c>
      <c r="L136" s="10">
        <f t="shared" si="14"/>
        <v>0.29895515629304847</v>
      </c>
      <c r="M136" s="10">
        <f t="shared" si="18"/>
        <v>0.33608771463447612</v>
      </c>
      <c r="P136" s="8">
        <f t="shared" si="19"/>
        <v>-18.03477115698827</v>
      </c>
      <c r="X136" s="8">
        <v>-13</v>
      </c>
    </row>
    <row r="137" spans="1:24" x14ac:dyDescent="0.2">
      <c r="A137" s="8">
        <v>67.5</v>
      </c>
      <c r="B137" s="8">
        <v>135</v>
      </c>
      <c r="D137">
        <v>1121.0083333333</v>
      </c>
      <c r="E137">
        <v>410.33749999999998</v>
      </c>
      <c r="F137">
        <v>144.25337487019999</v>
      </c>
      <c r="G137">
        <v>119.33541017653</v>
      </c>
      <c r="I137" s="9">
        <f t="shared" si="15"/>
        <v>291.00208982346999</v>
      </c>
      <c r="J137" s="9">
        <f t="shared" si="16"/>
        <v>976.75495846310002</v>
      </c>
      <c r="K137" s="9">
        <f t="shared" si="17"/>
        <v>291.00208982346999</v>
      </c>
      <c r="L137" s="10">
        <f t="shared" si="14"/>
        <v>0.29792742519715965</v>
      </c>
      <c r="M137" s="10">
        <f t="shared" si="18"/>
        <v>0.33533709218292629</v>
      </c>
      <c r="P137" s="8">
        <f t="shared" si="19"/>
        <v>-18.217833311113417</v>
      </c>
      <c r="X137" s="8">
        <v>-13</v>
      </c>
    </row>
    <row r="138" spans="1:24" x14ac:dyDescent="0.2">
      <c r="A138" s="8">
        <v>68</v>
      </c>
      <c r="B138" s="8">
        <v>136</v>
      </c>
      <c r="D138">
        <v>1168.7153284671999</v>
      </c>
      <c r="E138">
        <v>428.87278415015999</v>
      </c>
      <c r="F138">
        <v>144.47975077882001</v>
      </c>
      <c r="G138">
        <v>119.90965732087</v>
      </c>
      <c r="I138" s="9">
        <f t="shared" si="15"/>
        <v>308.96312682928999</v>
      </c>
      <c r="J138" s="9">
        <f t="shared" si="16"/>
        <v>1024.2355776883799</v>
      </c>
      <c r="K138" s="9">
        <f t="shared" si="17"/>
        <v>308.96312682928999</v>
      </c>
      <c r="L138" s="10">
        <f t="shared" si="14"/>
        <v>0.30165240649675124</v>
      </c>
      <c r="M138" s="10">
        <f t="shared" si="18"/>
        <v>0.33933918212685693</v>
      </c>
      <c r="P138" s="8">
        <f t="shared" si="19"/>
        <v>-17.24180174607584</v>
      </c>
      <c r="X138" s="8">
        <v>-13</v>
      </c>
    </row>
    <row r="139" spans="1:24" x14ac:dyDescent="0.2">
      <c r="A139" s="8">
        <v>68.5</v>
      </c>
      <c r="B139" s="8">
        <v>137</v>
      </c>
      <c r="D139">
        <v>1168.330552659</v>
      </c>
      <c r="E139">
        <v>428.28571428571001</v>
      </c>
      <c r="F139">
        <v>144.44548286604001</v>
      </c>
      <c r="G139">
        <v>119.20456905504</v>
      </c>
      <c r="I139" s="9">
        <f t="shared" si="15"/>
        <v>309.08114523067002</v>
      </c>
      <c r="J139" s="9">
        <f t="shared" si="16"/>
        <v>1023.8850697929599</v>
      </c>
      <c r="K139" s="9">
        <f t="shared" si="17"/>
        <v>309.08114523067002</v>
      </c>
      <c r="L139" s="10">
        <f t="shared" si="14"/>
        <v>0.30187093683587884</v>
      </c>
      <c r="M139" s="10">
        <f t="shared" si="18"/>
        <v>0.33983482111032354</v>
      </c>
      <c r="P139" s="8">
        <f t="shared" si="19"/>
        <v>-17.120925079258242</v>
      </c>
      <c r="X139" s="8">
        <v>-13</v>
      </c>
    </row>
    <row r="140" spans="1:24" x14ac:dyDescent="0.2">
      <c r="A140" s="8">
        <v>69</v>
      </c>
      <c r="B140" s="8">
        <v>138</v>
      </c>
      <c r="D140">
        <v>1170.6923879041001</v>
      </c>
      <c r="E140">
        <v>425.07090719500002</v>
      </c>
      <c r="F140">
        <v>143.65628245068001</v>
      </c>
      <c r="G140">
        <v>120.04049844236999</v>
      </c>
      <c r="I140" s="9">
        <f t="shared" si="15"/>
        <v>305.03040875263002</v>
      </c>
      <c r="J140" s="9">
        <f t="shared" si="16"/>
        <v>1027.0361054534201</v>
      </c>
      <c r="K140" s="9">
        <f t="shared" si="17"/>
        <v>305.03040875263002</v>
      </c>
      <c r="L140" s="10">
        <f t="shared" si="14"/>
        <v>0.29700066738935527</v>
      </c>
      <c r="M140" s="10">
        <f t="shared" si="18"/>
        <v>0.33524166030813896</v>
      </c>
      <c r="P140" s="8">
        <f t="shared" si="19"/>
        <v>-18.241107281316012</v>
      </c>
      <c r="X140" s="8">
        <v>-13</v>
      </c>
    </row>
    <row r="141" spans="1:24" x14ac:dyDescent="0.2">
      <c r="A141" s="8">
        <v>69.5</v>
      </c>
      <c r="B141" s="8">
        <v>139</v>
      </c>
      <c r="D141">
        <v>1163.2253374869999</v>
      </c>
      <c r="E141">
        <v>426.84942886812001</v>
      </c>
      <c r="F141">
        <v>144.40394600208</v>
      </c>
      <c r="G141">
        <v>119.44444444443999</v>
      </c>
      <c r="I141" s="9">
        <f t="shared" si="15"/>
        <v>307.40498442368005</v>
      </c>
      <c r="J141" s="9">
        <f t="shared" si="16"/>
        <v>1018.8213914849199</v>
      </c>
      <c r="K141" s="9">
        <f t="shared" si="17"/>
        <v>307.40498442368005</v>
      </c>
      <c r="L141" s="10">
        <f t="shared" si="14"/>
        <v>0.30172607975539362</v>
      </c>
      <c r="M141" s="10">
        <f t="shared" si="18"/>
        <v>0.3402441813185163</v>
      </c>
      <c r="P141" s="8">
        <f t="shared" si="19"/>
        <v>-17.021090120458172</v>
      </c>
      <c r="X141" s="8">
        <v>-13</v>
      </c>
    </row>
    <row r="142" spans="1:24" x14ac:dyDescent="0.2">
      <c r="A142" s="8">
        <v>70</v>
      </c>
      <c r="B142" s="8">
        <v>140</v>
      </c>
      <c r="D142">
        <v>1165.6303219107001</v>
      </c>
      <c r="E142">
        <v>424.45898234683</v>
      </c>
      <c r="F142">
        <v>144.86604361370999</v>
      </c>
      <c r="G142">
        <v>119.73312564901001</v>
      </c>
      <c r="I142" s="9">
        <f t="shared" si="15"/>
        <v>304.72585669782001</v>
      </c>
      <c r="J142" s="9">
        <f t="shared" si="16"/>
        <v>1020.7642782969901</v>
      </c>
      <c r="K142" s="9">
        <f t="shared" si="17"/>
        <v>304.72585669782001</v>
      </c>
      <c r="L142" s="10">
        <f t="shared" si="14"/>
        <v>0.29852715575648348</v>
      </c>
      <c r="M142" s="10">
        <f t="shared" si="18"/>
        <v>0.33732236596394521</v>
      </c>
      <c r="P142" s="8">
        <f t="shared" si="19"/>
        <v>-17.733663814009894</v>
      </c>
      <c r="X142" s="8">
        <v>-13</v>
      </c>
    </row>
    <row r="143" spans="1:24" x14ac:dyDescent="0.2">
      <c r="A143" s="8">
        <v>70.5</v>
      </c>
      <c r="B143" s="8">
        <v>141</v>
      </c>
      <c r="D143">
        <v>1144.2538860104</v>
      </c>
      <c r="E143">
        <v>417.21658031087998</v>
      </c>
      <c r="F143">
        <v>144.31464174454999</v>
      </c>
      <c r="G143">
        <v>119.73208722741001</v>
      </c>
      <c r="I143" s="9">
        <f t="shared" si="15"/>
        <v>297.48449308346994</v>
      </c>
      <c r="J143" s="9">
        <f t="shared" si="16"/>
        <v>999.93924426584999</v>
      </c>
      <c r="K143" s="9">
        <f t="shared" si="17"/>
        <v>297.48449308346994</v>
      </c>
      <c r="L143" s="10">
        <f t="shared" si="14"/>
        <v>0.29750256807040459</v>
      </c>
      <c r="M143" s="10">
        <f t="shared" si="18"/>
        <v>0.33657488692220533</v>
      </c>
      <c r="P143" s="8">
        <f t="shared" si="19"/>
        <v>-17.915959351882194</v>
      </c>
      <c r="X143" s="8">
        <v>-13</v>
      </c>
    </row>
    <row r="144" spans="1:24" x14ac:dyDescent="0.2">
      <c r="A144" s="8">
        <v>71</v>
      </c>
      <c r="B144" s="8">
        <v>142</v>
      </c>
      <c r="D144">
        <v>1145.7678756477001</v>
      </c>
      <c r="E144">
        <v>419.38445595855001</v>
      </c>
      <c r="F144">
        <v>144.69366562824999</v>
      </c>
      <c r="G144">
        <v>119.31048805815</v>
      </c>
      <c r="I144" s="9">
        <f t="shared" si="15"/>
        <v>300.07396790040002</v>
      </c>
      <c r="J144" s="9">
        <f t="shared" si="16"/>
        <v>1001.0742100194501</v>
      </c>
      <c r="K144" s="9">
        <f t="shared" si="17"/>
        <v>300.07396790040002</v>
      </c>
      <c r="L144" s="10">
        <f t="shared" si="14"/>
        <v>0.29975197132944803</v>
      </c>
      <c r="M144" s="10">
        <f t="shared" si="18"/>
        <v>0.33910139882558776</v>
      </c>
      <c r="P144" s="8">
        <f t="shared" si="19"/>
        <v>-17.299792448665997</v>
      </c>
    </row>
    <row r="145" spans="1:16" x14ac:dyDescent="0.2">
      <c r="A145" s="8">
        <v>71.5</v>
      </c>
      <c r="B145" s="8">
        <v>143</v>
      </c>
      <c r="D145">
        <v>1144.8362694300999</v>
      </c>
      <c r="E145">
        <v>421.29740932643</v>
      </c>
      <c r="F145">
        <v>144.09865005192</v>
      </c>
      <c r="G145">
        <v>119.19833852543999</v>
      </c>
      <c r="I145" s="9">
        <f t="shared" si="15"/>
        <v>302.09907080099003</v>
      </c>
      <c r="J145" s="9">
        <f t="shared" si="16"/>
        <v>1000.7376193781799</v>
      </c>
      <c r="K145" s="9">
        <f t="shared" si="17"/>
        <v>302.09907080099003</v>
      </c>
      <c r="L145" s="10">
        <f t="shared" si="14"/>
        <v>0.30187640091785778</v>
      </c>
      <c r="M145" s="10">
        <f t="shared" si="18"/>
        <v>0.34150293705833656</v>
      </c>
      <c r="P145" s="8">
        <f t="shared" si="19"/>
        <v>-16.714104182623363</v>
      </c>
    </row>
    <row r="146" spans="1:16" x14ac:dyDescent="0.2">
      <c r="A146" s="8">
        <v>72</v>
      </c>
      <c r="B146" s="8">
        <v>144</v>
      </c>
      <c r="D146">
        <v>1149.2808290155001</v>
      </c>
      <c r="E146">
        <v>423.47461139896001</v>
      </c>
      <c r="F146">
        <v>144.24299065420999</v>
      </c>
      <c r="G146">
        <v>119.34787123572001</v>
      </c>
      <c r="I146" s="9">
        <f t="shared" si="15"/>
        <v>304.12674016324002</v>
      </c>
      <c r="J146" s="9">
        <f t="shared" si="16"/>
        <v>1005.0378383612901</v>
      </c>
      <c r="K146" s="9">
        <f t="shared" si="17"/>
        <v>304.12674016324002</v>
      </c>
      <c r="L146" s="10">
        <f t="shared" si="14"/>
        <v>0.30260227879491319</v>
      </c>
      <c r="M146" s="10">
        <f t="shared" si="18"/>
        <v>0.34250592357973098</v>
      </c>
      <c r="P146" s="8">
        <f t="shared" si="19"/>
        <v>-16.469495361256715</v>
      </c>
    </row>
    <row r="147" spans="1:16" x14ac:dyDescent="0.2">
      <c r="A147" s="8">
        <v>72.5</v>
      </c>
      <c r="B147" s="8">
        <v>145</v>
      </c>
      <c r="D147">
        <v>1144.6822916666999</v>
      </c>
      <c r="E147">
        <v>427.32499999999999</v>
      </c>
      <c r="F147">
        <v>144.95223260643999</v>
      </c>
      <c r="G147">
        <v>119.6261682243</v>
      </c>
      <c r="I147" s="9">
        <f t="shared" si="15"/>
        <v>307.6988317757</v>
      </c>
      <c r="J147" s="9">
        <f t="shared" si="16"/>
        <v>999.73005906025992</v>
      </c>
      <c r="K147" s="9">
        <f t="shared" si="17"/>
        <v>307.6988317757</v>
      </c>
      <c r="L147" s="10">
        <f t="shared" si="14"/>
        <v>0.30778191471499317</v>
      </c>
      <c r="M147" s="10">
        <f t="shared" si="18"/>
        <v>0.34796266814414994</v>
      </c>
      <c r="P147" s="8">
        <f t="shared" si="19"/>
        <v>-15.138701947855997</v>
      </c>
    </row>
    <row r="148" spans="1:16" x14ac:dyDescent="0.2">
      <c r="A148" s="8">
        <v>73</v>
      </c>
      <c r="B148" s="8">
        <v>146</v>
      </c>
      <c r="D148">
        <v>1153.9322916666999</v>
      </c>
      <c r="E148">
        <v>429.48645833333001</v>
      </c>
      <c r="F148">
        <v>144.55140186916</v>
      </c>
      <c r="G148">
        <v>119.54932502596</v>
      </c>
      <c r="I148" s="9">
        <f t="shared" si="15"/>
        <v>309.93713330737</v>
      </c>
      <c r="J148" s="9">
        <f t="shared" si="16"/>
        <v>1009.3808897975399</v>
      </c>
      <c r="K148" s="9">
        <f t="shared" si="17"/>
        <v>309.93713330737</v>
      </c>
      <c r="L148" s="10">
        <f t="shared" si="14"/>
        <v>0.30705666853821328</v>
      </c>
      <c r="M148" s="10">
        <f t="shared" si="18"/>
        <v>0.34751453061170906</v>
      </c>
      <c r="P148" s="8">
        <f t="shared" si="19"/>
        <v>-15.247993938607902</v>
      </c>
    </row>
    <row r="149" spans="1:16" x14ac:dyDescent="0.2">
      <c r="A149" s="8">
        <v>73.5</v>
      </c>
      <c r="B149" s="8">
        <v>147</v>
      </c>
      <c r="D149">
        <v>1153.8958333333001</v>
      </c>
      <c r="E149">
        <v>429.73958333333002</v>
      </c>
      <c r="F149">
        <v>144.07268951194001</v>
      </c>
      <c r="G149">
        <v>119.71962616822</v>
      </c>
      <c r="I149" s="9">
        <f t="shared" si="15"/>
        <v>310.01995716510999</v>
      </c>
      <c r="J149" s="9">
        <f t="shared" si="16"/>
        <v>1009.8231438213601</v>
      </c>
      <c r="K149" s="9">
        <f t="shared" si="17"/>
        <v>310.01995716510999</v>
      </c>
      <c r="L149" s="10">
        <f t="shared" si="14"/>
        <v>0.30700421065013062</v>
      </c>
      <c r="M149" s="10">
        <f t="shared" si="18"/>
        <v>0.34773918136796544</v>
      </c>
      <c r="P149" s="8">
        <f t="shared" si="19"/>
        <v>-15.193206007230117</v>
      </c>
    </row>
    <row r="150" spans="1:16" x14ac:dyDescent="0.2">
      <c r="A150" s="8">
        <v>74</v>
      </c>
      <c r="B150" s="8">
        <v>148</v>
      </c>
      <c r="D150">
        <v>1148.0217166494001</v>
      </c>
      <c r="E150">
        <v>428.96070320579003</v>
      </c>
      <c r="F150">
        <v>144.42159916925999</v>
      </c>
      <c r="G150">
        <v>119.51505711319</v>
      </c>
      <c r="I150" s="9">
        <f t="shared" si="15"/>
        <v>309.44564609260004</v>
      </c>
      <c r="J150" s="9">
        <f t="shared" si="16"/>
        <v>1003.6001174801402</v>
      </c>
      <c r="K150" s="9">
        <f t="shared" si="17"/>
        <v>309.44564609260004</v>
      </c>
      <c r="L150" s="10">
        <f t="shared" si="14"/>
        <v>0.30833560170315899</v>
      </c>
      <c r="M150" s="10">
        <f t="shared" si="18"/>
        <v>0.34934768106533282</v>
      </c>
      <c r="P150" s="8">
        <f t="shared" si="19"/>
        <v>-14.800924349651471</v>
      </c>
    </row>
    <row r="151" spans="1:16" x14ac:dyDescent="0.2">
      <c r="A151" s="8">
        <v>74.5</v>
      </c>
      <c r="B151" s="8">
        <v>149</v>
      </c>
      <c r="D151">
        <v>1140.9327817993999</v>
      </c>
      <c r="E151">
        <v>427.30093071354997</v>
      </c>
      <c r="F151">
        <v>144.46832814122999</v>
      </c>
      <c r="G151">
        <v>119.43198338525001</v>
      </c>
      <c r="I151" s="9">
        <f t="shared" si="15"/>
        <v>307.86894732829995</v>
      </c>
      <c r="J151" s="9">
        <f t="shared" si="16"/>
        <v>996.46445365816987</v>
      </c>
      <c r="K151" s="9">
        <f t="shared" si="17"/>
        <v>307.86894732829995</v>
      </c>
      <c r="L151" s="10">
        <f t="shared" si="14"/>
        <v>0.30896129430213698</v>
      </c>
      <c r="M151" s="10">
        <f t="shared" si="18"/>
        <v>0.3502504823086498</v>
      </c>
      <c r="P151" s="8">
        <f t="shared" si="19"/>
        <v>-14.580748760702283</v>
      </c>
    </row>
    <row r="152" spans="1:16" x14ac:dyDescent="0.2">
      <c r="A152" s="8">
        <v>75</v>
      </c>
      <c r="B152" s="8">
        <v>150</v>
      </c>
      <c r="D152">
        <v>1142.9038262668</v>
      </c>
      <c r="E152">
        <v>425.14374353671002</v>
      </c>
      <c r="F152">
        <v>145.30633437175999</v>
      </c>
      <c r="G152">
        <v>119.34787123572001</v>
      </c>
      <c r="I152" s="9">
        <f t="shared" si="15"/>
        <v>305.79587230099003</v>
      </c>
      <c r="J152" s="9">
        <f t="shared" si="16"/>
        <v>997.59749189504009</v>
      </c>
      <c r="K152" s="9">
        <f t="shared" si="17"/>
        <v>305.79587230099003</v>
      </c>
      <c r="L152" s="10">
        <f t="shared" si="14"/>
        <v>0.30653231868105341</v>
      </c>
      <c r="M152" s="10">
        <f t="shared" si="18"/>
        <v>0.34809861533190523</v>
      </c>
      <c r="P152" s="8">
        <f t="shared" si="19"/>
        <v>-15.105547084200705</v>
      </c>
    </row>
    <row r="153" spans="1:16" x14ac:dyDescent="0.2">
      <c r="A153" s="8">
        <v>75.5</v>
      </c>
      <c r="B153" s="8">
        <v>151</v>
      </c>
      <c r="D153">
        <v>1141.7631851086001</v>
      </c>
      <c r="E153">
        <v>429.09720785936003</v>
      </c>
      <c r="F153">
        <v>144.77570093457999</v>
      </c>
      <c r="G153">
        <v>120.02492211838</v>
      </c>
      <c r="I153" s="9">
        <f t="shared" si="15"/>
        <v>309.07228574098002</v>
      </c>
      <c r="J153" s="9">
        <f t="shared" si="16"/>
        <v>996.9874841740201</v>
      </c>
      <c r="K153" s="9">
        <f t="shared" si="17"/>
        <v>309.07228574098002</v>
      </c>
      <c r="L153" s="10">
        <f t="shared" si="14"/>
        <v>0.31000618427726695</v>
      </c>
      <c r="M153" s="10">
        <f t="shared" si="18"/>
        <v>0.35184958957245782</v>
      </c>
      <c r="P153" s="8">
        <f t="shared" si="19"/>
        <v>-14.190757734207612</v>
      </c>
    </row>
    <row r="154" spans="1:16" x14ac:dyDescent="0.2">
      <c r="A154" s="8">
        <v>76</v>
      </c>
      <c r="B154" s="8">
        <v>152</v>
      </c>
      <c r="D154">
        <v>1156.0385015608999</v>
      </c>
      <c r="E154">
        <v>438.19250780437</v>
      </c>
      <c r="F154">
        <v>144.55970924195</v>
      </c>
      <c r="G154">
        <v>119.57943925233999</v>
      </c>
      <c r="I154" s="9">
        <f t="shared" si="15"/>
        <v>318.61306855202997</v>
      </c>
      <c r="J154" s="9">
        <f t="shared" si="16"/>
        <v>1011.4787923189499</v>
      </c>
      <c r="K154" s="9">
        <f t="shared" si="17"/>
        <v>318.61306855202997</v>
      </c>
      <c r="L154" s="10">
        <f t="shared" si="14"/>
        <v>0.31499728019167567</v>
      </c>
      <c r="M154" s="10">
        <f t="shared" si="18"/>
        <v>0.35711779413120553</v>
      </c>
      <c r="P154" s="8">
        <f t="shared" si="19"/>
        <v>-12.905945545463423</v>
      </c>
    </row>
    <row r="155" spans="1:16" x14ac:dyDescent="0.2">
      <c r="A155" s="8">
        <v>76.5</v>
      </c>
      <c r="B155" s="8">
        <v>153</v>
      </c>
      <c r="D155">
        <v>1156.1123829344001</v>
      </c>
      <c r="E155">
        <v>437.18106139437998</v>
      </c>
      <c r="F155">
        <v>144.57632398754001</v>
      </c>
      <c r="G155">
        <v>119.79750778816</v>
      </c>
      <c r="I155" s="9">
        <f t="shared" si="15"/>
        <v>317.38355360621995</v>
      </c>
      <c r="J155" s="9">
        <f t="shared" si="16"/>
        <v>1011.5360589468601</v>
      </c>
      <c r="K155" s="9">
        <f t="shared" si="17"/>
        <v>317.38355360621995</v>
      </c>
      <c r="L155" s="10">
        <f t="shared" si="14"/>
        <v>0.31376395413590819</v>
      </c>
      <c r="M155" s="10">
        <f t="shared" si="18"/>
        <v>0.35616157671977705</v>
      </c>
      <c r="P155" s="8">
        <f t="shared" si="19"/>
        <v>-13.139148294444144</v>
      </c>
    </row>
    <row r="156" spans="1:16" x14ac:dyDescent="0.2">
      <c r="A156" s="8">
        <v>77</v>
      </c>
      <c r="B156" s="8">
        <v>154</v>
      </c>
      <c r="D156">
        <v>1145.7075962539</v>
      </c>
      <c r="E156">
        <v>437.50676378771999</v>
      </c>
      <c r="F156">
        <v>145.03738317757001</v>
      </c>
      <c r="G156">
        <v>119.88888888888999</v>
      </c>
      <c r="I156" s="9">
        <f t="shared" si="15"/>
        <v>317.61787489883</v>
      </c>
      <c r="J156" s="9">
        <f t="shared" si="16"/>
        <v>1000.6702130763299</v>
      </c>
      <c r="K156" s="9">
        <f t="shared" si="17"/>
        <v>317.61787489883</v>
      </c>
      <c r="L156" s="10">
        <f t="shared" si="14"/>
        <v>0.31740514581960727</v>
      </c>
      <c r="M156" s="10">
        <f t="shared" si="18"/>
        <v>0.36007987704781519</v>
      </c>
      <c r="P156" s="8">
        <f t="shared" si="19"/>
        <v>-12.183551380071398</v>
      </c>
    </row>
    <row r="157" spans="1:16" x14ac:dyDescent="0.2">
      <c r="A157" s="8">
        <v>77.5</v>
      </c>
      <c r="B157" s="8">
        <v>155</v>
      </c>
      <c r="D157">
        <v>1136.0489073880999</v>
      </c>
      <c r="E157">
        <v>434.93860561915</v>
      </c>
      <c r="F157">
        <v>144.54932502596</v>
      </c>
      <c r="G157">
        <v>119.66251298026999</v>
      </c>
      <c r="I157" s="9">
        <f t="shared" si="15"/>
        <v>315.27609263888002</v>
      </c>
      <c r="J157" s="9">
        <f t="shared" si="16"/>
        <v>991.4995823621399</v>
      </c>
      <c r="K157" s="9">
        <f t="shared" si="17"/>
        <v>315.27609263888002</v>
      </c>
      <c r="L157" s="10">
        <f t="shared" si="14"/>
        <v>0.31797904734137056</v>
      </c>
      <c r="M157" s="10">
        <f t="shared" si="18"/>
        <v>0.36093088721391747</v>
      </c>
      <c r="P157" s="8">
        <f t="shared" si="19"/>
        <v>-11.976006623226699</v>
      </c>
    </row>
    <row r="158" spans="1:16" x14ac:dyDescent="0.2">
      <c r="A158" s="8">
        <v>78</v>
      </c>
      <c r="B158" s="8">
        <v>156</v>
      </c>
      <c r="D158">
        <v>1178.121748179</v>
      </c>
      <c r="E158">
        <v>446.77731529657001</v>
      </c>
      <c r="F158">
        <v>144.86915887851001</v>
      </c>
      <c r="G158">
        <v>119.91588785047</v>
      </c>
      <c r="I158" s="9">
        <f t="shared" si="15"/>
        <v>326.86142744610004</v>
      </c>
      <c r="J158" s="9">
        <f t="shared" si="16"/>
        <v>1033.2525893004899</v>
      </c>
      <c r="K158" s="9">
        <f t="shared" si="17"/>
        <v>326.86142744610004</v>
      </c>
      <c r="L158" s="10">
        <f t="shared" si="14"/>
        <v>0.31634222921946376</v>
      </c>
      <c r="M158" s="10">
        <f t="shared" si="18"/>
        <v>0.35957117773634967</v>
      </c>
      <c r="P158" s="8">
        <f t="shared" si="19"/>
        <v>-12.307613205782287</v>
      </c>
    </row>
    <row r="159" spans="1:16" x14ac:dyDescent="0.2">
      <c r="A159" s="8">
        <v>78.5</v>
      </c>
      <c r="B159" s="8">
        <v>157</v>
      </c>
      <c r="D159">
        <v>1174.2258064516</v>
      </c>
      <c r="E159">
        <v>441.64620187305002</v>
      </c>
      <c r="F159">
        <v>144.64278296988999</v>
      </c>
      <c r="G159">
        <v>119.80789200415001</v>
      </c>
      <c r="I159" s="9">
        <f t="shared" si="15"/>
        <v>321.83830986890001</v>
      </c>
      <c r="J159" s="9">
        <f t="shared" si="16"/>
        <v>1029.5830234817099</v>
      </c>
      <c r="K159" s="9">
        <f t="shared" si="17"/>
        <v>321.83830986890001</v>
      </c>
      <c r="L159" s="10">
        <f t="shared" si="14"/>
        <v>0.31259092518886827</v>
      </c>
      <c r="M159" s="10">
        <f t="shared" si="18"/>
        <v>0.35609698235009318</v>
      </c>
      <c r="P159" s="8">
        <f t="shared" si="19"/>
        <v>-13.154901599496865</v>
      </c>
    </row>
    <row r="160" spans="1:16" x14ac:dyDescent="0.2">
      <c r="A160" s="8">
        <v>79</v>
      </c>
      <c r="B160" s="8">
        <v>158</v>
      </c>
      <c r="D160">
        <v>1149.7265221877999</v>
      </c>
      <c r="E160">
        <v>439.45510835913001</v>
      </c>
      <c r="F160">
        <v>144.68535825545001</v>
      </c>
      <c r="G160">
        <v>119.66666666667</v>
      </c>
      <c r="I160" s="9">
        <f t="shared" si="15"/>
        <v>319.78844169246003</v>
      </c>
      <c r="J160" s="9">
        <f t="shared" si="16"/>
        <v>1005.0411639323499</v>
      </c>
      <c r="K160" s="9">
        <f t="shared" si="17"/>
        <v>319.78844169246003</v>
      </c>
      <c r="L160" s="10">
        <f t="shared" si="14"/>
        <v>0.31818442186113804</v>
      </c>
      <c r="M160" s="10">
        <f t="shared" si="18"/>
        <v>0.36196758766670201</v>
      </c>
      <c r="P160" s="8">
        <f t="shared" si="19"/>
        <v>-11.723175632523708</v>
      </c>
    </row>
    <row r="161" spans="1:16" x14ac:dyDescent="0.2">
      <c r="A161" s="8">
        <v>79.5</v>
      </c>
      <c r="B161" s="8">
        <v>159</v>
      </c>
      <c r="D161">
        <v>1141.9948400413</v>
      </c>
      <c r="E161">
        <v>441.91124871001</v>
      </c>
      <c r="F161">
        <v>144.3748701973</v>
      </c>
      <c r="G161">
        <v>119.73001038421999</v>
      </c>
      <c r="I161" s="9">
        <f t="shared" si="15"/>
        <v>322.18123832578999</v>
      </c>
      <c r="J161" s="9">
        <f t="shared" si="16"/>
        <v>997.61996984400002</v>
      </c>
      <c r="K161" s="9">
        <f t="shared" si="17"/>
        <v>322.18123832578999</v>
      </c>
      <c r="L161" s="10">
        <f t="shared" si="14"/>
        <v>0.3229498687522967</v>
      </c>
      <c r="M161" s="10">
        <f t="shared" si="18"/>
        <v>0.36701014320219966</v>
      </c>
      <c r="P161" s="8">
        <f t="shared" si="19"/>
        <v>-10.493394832978046</v>
      </c>
    </row>
    <row r="162" spans="1:16" x14ac:dyDescent="0.2">
      <c r="A162" s="8">
        <v>80</v>
      </c>
      <c r="B162" s="4">
        <v>160</v>
      </c>
      <c r="C162" s="4" t="s">
        <v>6</v>
      </c>
      <c r="D162">
        <v>1148.9824561404</v>
      </c>
      <c r="E162">
        <v>445.33230134158998</v>
      </c>
      <c r="F162">
        <v>144.42263759086001</v>
      </c>
      <c r="G162">
        <v>119.84942886812</v>
      </c>
      <c r="H162" s="4"/>
      <c r="I162" s="5">
        <f t="shared" si="15"/>
        <v>325.48287247346997</v>
      </c>
      <c r="J162" s="5">
        <f t="shared" si="16"/>
        <v>1004.5598185495401</v>
      </c>
      <c r="K162" s="9">
        <f t="shared" si="17"/>
        <v>325.48287247346997</v>
      </c>
      <c r="L162" s="6">
        <f t="shared" si="14"/>
        <v>0.32400546633791</v>
      </c>
      <c r="M162" s="6">
        <f t="shared" si="18"/>
        <v>0.36834284943215195</v>
      </c>
      <c r="N162" s="4"/>
      <c r="O162" s="4"/>
      <c r="P162" s="4">
        <f t="shared" si="19"/>
        <v>-10.168373815065056</v>
      </c>
    </row>
    <row r="163" spans="1:16" x14ac:dyDescent="0.2">
      <c r="A163" s="8">
        <v>80.5</v>
      </c>
      <c r="B163" s="8">
        <v>161</v>
      </c>
      <c r="D163">
        <v>1130.8555211558</v>
      </c>
      <c r="E163">
        <v>448.41589267286002</v>
      </c>
      <c r="F163">
        <v>144.50259605400001</v>
      </c>
      <c r="G163">
        <v>119.35202492211999</v>
      </c>
      <c r="I163" s="9">
        <f t="shared" si="15"/>
        <v>329.06386775074003</v>
      </c>
      <c r="J163" s="9">
        <f t="shared" si="16"/>
        <v>986.3529251018</v>
      </c>
      <c r="K163" s="9">
        <f t="shared" si="17"/>
        <v>329.06386775074003</v>
      </c>
      <c r="L163" s="10">
        <f t="shared" si="14"/>
        <v>0.33361676067091084</v>
      </c>
      <c r="M163" s="10">
        <f t="shared" si="18"/>
        <v>0.37823125240949185</v>
      </c>
      <c r="P163" s="8">
        <f t="shared" si="19"/>
        <v>-7.756785477743426</v>
      </c>
    </row>
    <row r="164" spans="1:16" x14ac:dyDescent="0.2">
      <c r="A164" s="8">
        <v>81</v>
      </c>
      <c r="B164" s="8">
        <v>162</v>
      </c>
      <c r="D164">
        <v>1136.8534571723001</v>
      </c>
      <c r="E164">
        <v>453.04850361196998</v>
      </c>
      <c r="F164">
        <v>144.49844236760001</v>
      </c>
      <c r="G164">
        <v>119.95119418484001</v>
      </c>
      <c r="I164" s="9">
        <f t="shared" si="15"/>
        <v>333.09730942712997</v>
      </c>
      <c r="J164" s="9">
        <f t="shared" si="16"/>
        <v>992.35501480470009</v>
      </c>
      <c r="K164" s="9">
        <f t="shared" si="17"/>
        <v>333.09730942712997</v>
      </c>
      <c r="L164" s="10">
        <f t="shared" si="14"/>
        <v>0.33566345154479316</v>
      </c>
      <c r="M164" s="10">
        <f t="shared" si="18"/>
        <v>0.38055505192771316</v>
      </c>
      <c r="P164" s="8">
        <f t="shared" si="19"/>
        <v>-7.190056165714144</v>
      </c>
    </row>
    <row r="165" spans="1:16" x14ac:dyDescent="0.2">
      <c r="A165" s="8">
        <v>81.5</v>
      </c>
      <c r="B165" s="8">
        <v>163</v>
      </c>
      <c r="D165">
        <v>1128.7069143447</v>
      </c>
      <c r="E165">
        <v>450.10526315790003</v>
      </c>
      <c r="F165">
        <v>145.31048805815001</v>
      </c>
      <c r="G165">
        <v>119.45171339564</v>
      </c>
      <c r="I165" s="9">
        <f t="shared" si="15"/>
        <v>330.65354976226001</v>
      </c>
      <c r="J165" s="9">
        <f t="shared" si="16"/>
        <v>983.39642628654997</v>
      </c>
      <c r="K165" s="9">
        <f t="shared" si="17"/>
        <v>330.65354976226001</v>
      </c>
      <c r="L165" s="10">
        <f t="shared" si="14"/>
        <v>0.33623627351469704</v>
      </c>
      <c r="M165" s="10">
        <f t="shared" si="18"/>
        <v>0.38140498254195604</v>
      </c>
      <c r="P165" s="8">
        <f t="shared" si="19"/>
        <v>-6.9827746904812127</v>
      </c>
    </row>
    <row r="166" spans="1:16" x14ac:dyDescent="0.2">
      <c r="A166" s="8">
        <v>82</v>
      </c>
      <c r="B166" s="8">
        <v>164</v>
      </c>
      <c r="D166">
        <v>1117.4552929085</v>
      </c>
      <c r="E166">
        <v>448.79342240493003</v>
      </c>
      <c r="F166">
        <v>145.20976116303001</v>
      </c>
      <c r="G166">
        <v>119.69781931464</v>
      </c>
      <c r="I166" s="9">
        <f t="shared" si="15"/>
        <v>329.09560309029001</v>
      </c>
      <c r="J166" s="9">
        <f t="shared" si="16"/>
        <v>972.24553174547009</v>
      </c>
      <c r="K166" s="9">
        <f t="shared" si="17"/>
        <v>329.09560309029001</v>
      </c>
      <c r="L166" s="10">
        <f t="shared" si="14"/>
        <v>0.33849021913164823</v>
      </c>
      <c r="M166" s="10">
        <f t="shared" si="18"/>
        <v>0.38393603680324623</v>
      </c>
      <c r="P166" s="8">
        <f t="shared" si="19"/>
        <v>-6.3654999948965809</v>
      </c>
    </row>
    <row r="167" spans="1:16" x14ac:dyDescent="0.2">
      <c r="A167" s="8">
        <v>82.5</v>
      </c>
      <c r="B167" s="8">
        <v>165</v>
      </c>
      <c r="D167">
        <v>1116.641315519</v>
      </c>
      <c r="E167">
        <v>447.32785200411001</v>
      </c>
      <c r="F167">
        <v>144.82346832814</v>
      </c>
      <c r="G167">
        <v>120.31256490135</v>
      </c>
      <c r="I167" s="9">
        <f t="shared" si="15"/>
        <v>327.01528710276</v>
      </c>
      <c r="J167" s="9">
        <f t="shared" si="16"/>
        <v>971.81784719085999</v>
      </c>
      <c r="K167" s="9">
        <f t="shared" si="17"/>
        <v>327.01528710276</v>
      </c>
      <c r="L167" s="10">
        <f t="shared" si="14"/>
        <v>0.33649854038802796</v>
      </c>
      <c r="M167" s="10">
        <f t="shared" si="18"/>
        <v>0.38222146670396501</v>
      </c>
      <c r="P167" s="8">
        <f t="shared" si="19"/>
        <v>-6.7836501516430561</v>
      </c>
    </row>
    <row r="168" spans="1:16" x14ac:dyDescent="0.2">
      <c r="A168" s="8">
        <v>83</v>
      </c>
      <c r="B168" s="8">
        <v>166</v>
      </c>
      <c r="D168">
        <v>1128.2130299897001</v>
      </c>
      <c r="E168">
        <v>451.37849017579998</v>
      </c>
      <c r="F168">
        <v>144.88785046729001</v>
      </c>
      <c r="G168">
        <v>119.76531671859</v>
      </c>
      <c r="I168" s="9">
        <f t="shared" si="15"/>
        <v>331.61317345721</v>
      </c>
      <c r="J168" s="9">
        <f t="shared" si="16"/>
        <v>983.32517952241005</v>
      </c>
      <c r="K168" s="9">
        <f t="shared" si="17"/>
        <v>331.61317345721</v>
      </c>
      <c r="L168" s="10">
        <f t="shared" si="14"/>
        <v>0.33723653208826687</v>
      </c>
      <c r="M168" s="10">
        <f t="shared" si="18"/>
        <v>0.38323656704854292</v>
      </c>
      <c r="P168" s="8">
        <f t="shared" si="19"/>
        <v>-6.5360870054196401</v>
      </c>
    </row>
    <row r="169" spans="1:16" x14ac:dyDescent="0.2">
      <c r="A169" s="8">
        <v>83.5</v>
      </c>
      <c r="B169" s="8">
        <v>167</v>
      </c>
      <c r="D169">
        <v>1098.0796277146001</v>
      </c>
      <c r="E169">
        <v>446.56980351602999</v>
      </c>
      <c r="F169">
        <v>144.58359293872999</v>
      </c>
      <c r="G169">
        <v>119.65420560747999</v>
      </c>
      <c r="I169" s="9">
        <f t="shared" si="15"/>
        <v>326.91559790855001</v>
      </c>
      <c r="J169" s="9">
        <f t="shared" si="16"/>
        <v>953.49603477587004</v>
      </c>
      <c r="K169" s="9">
        <f t="shared" si="17"/>
        <v>326.91559790855001</v>
      </c>
      <c r="L169" s="10">
        <f t="shared" si="14"/>
        <v>0.34285994486111859</v>
      </c>
      <c r="M169" s="10">
        <f t="shared" si="18"/>
        <v>0.38913708846573364</v>
      </c>
      <c r="P169" s="8">
        <f t="shared" si="19"/>
        <v>-5.0970650858617477</v>
      </c>
    </row>
    <row r="170" spans="1:16" x14ac:dyDescent="0.2">
      <c r="A170" s="8">
        <v>84</v>
      </c>
      <c r="B170" s="8">
        <v>168</v>
      </c>
      <c r="D170">
        <v>1101.6215098242001</v>
      </c>
      <c r="E170">
        <v>446.51706308169997</v>
      </c>
      <c r="F170">
        <v>145.48286604360999</v>
      </c>
      <c r="G170">
        <v>120.09138110073</v>
      </c>
      <c r="I170" s="9">
        <f t="shared" si="15"/>
        <v>326.42568198096996</v>
      </c>
      <c r="J170" s="9">
        <f t="shared" si="16"/>
        <v>956.13864378059009</v>
      </c>
      <c r="K170" s="9">
        <f t="shared" si="17"/>
        <v>326.42568198096996</v>
      </c>
      <c r="L170" s="10">
        <f t="shared" si="14"/>
        <v>0.34139994665446916</v>
      </c>
      <c r="M170" s="10">
        <f t="shared" si="18"/>
        <v>0.3879541989034232</v>
      </c>
      <c r="P170" s="8">
        <f t="shared" si="19"/>
        <v>-5.3855487448857993</v>
      </c>
    </row>
    <row r="171" spans="1:16" x14ac:dyDescent="0.2">
      <c r="A171" s="8">
        <v>84.5</v>
      </c>
      <c r="B171" s="8">
        <v>169</v>
      </c>
      <c r="D171">
        <v>1094.0920372285</v>
      </c>
      <c r="E171">
        <v>443.65253360909998</v>
      </c>
      <c r="F171">
        <v>145.42056074766001</v>
      </c>
      <c r="G171">
        <v>119.72897196261999</v>
      </c>
      <c r="I171" s="9">
        <f t="shared" si="15"/>
        <v>323.92356164647998</v>
      </c>
      <c r="J171" s="9">
        <f t="shared" si="16"/>
        <v>948.67147648083994</v>
      </c>
      <c r="K171" s="9">
        <f t="shared" si="17"/>
        <v>323.92356164647998</v>
      </c>
      <c r="L171" s="10">
        <f t="shared" si="14"/>
        <v>0.34144966901302443</v>
      </c>
      <c r="M171" s="10">
        <f t="shared" si="18"/>
        <v>0.38828102990631752</v>
      </c>
      <c r="P171" s="8">
        <f t="shared" si="19"/>
        <v>-5.3058410472261004</v>
      </c>
    </row>
    <row r="172" spans="1:16" x14ac:dyDescent="0.2">
      <c r="A172" s="8">
        <v>85</v>
      </c>
      <c r="B172" s="8">
        <v>170</v>
      </c>
      <c r="D172">
        <v>1135.7281153450001</v>
      </c>
      <c r="E172">
        <v>453.07415036045001</v>
      </c>
      <c r="F172">
        <v>145.15991692627</v>
      </c>
      <c r="G172">
        <v>120.21806853583</v>
      </c>
      <c r="I172" s="9">
        <f t="shared" si="15"/>
        <v>332.85608182461999</v>
      </c>
      <c r="J172" s="9">
        <f t="shared" si="16"/>
        <v>990.56819841873016</v>
      </c>
      <c r="K172" s="9">
        <f t="shared" si="17"/>
        <v>332.85608182461999</v>
      </c>
      <c r="L172" s="10">
        <f t="shared" si="14"/>
        <v>0.33602540678770715</v>
      </c>
      <c r="M172" s="10">
        <f t="shared" si="18"/>
        <v>0.38313387632533924</v>
      </c>
      <c r="P172" s="8">
        <f t="shared" si="19"/>
        <v>-6.5611312669648685</v>
      </c>
    </row>
    <row r="173" spans="1:16" x14ac:dyDescent="0.2">
      <c r="A173" s="8">
        <v>85.5</v>
      </c>
      <c r="B173" s="8">
        <v>171</v>
      </c>
      <c r="D173">
        <v>1143.7435633368</v>
      </c>
      <c r="E173">
        <v>451.30690010299003</v>
      </c>
      <c r="F173">
        <v>145.14849428868001</v>
      </c>
      <c r="G173">
        <v>120.08099688474</v>
      </c>
      <c r="I173" s="9">
        <f t="shared" si="15"/>
        <v>331.22590321825004</v>
      </c>
      <c r="J173" s="9">
        <f t="shared" si="16"/>
        <v>998.59506904811997</v>
      </c>
      <c r="K173" s="9">
        <f t="shared" si="17"/>
        <v>331.22590321825004</v>
      </c>
      <c r="L173" s="10">
        <f t="shared" si="14"/>
        <v>0.33169190744550836</v>
      </c>
      <c r="M173" s="10">
        <f t="shared" si="18"/>
        <v>0.37907748562747945</v>
      </c>
      <c r="P173" s="8">
        <f t="shared" si="19"/>
        <v>-7.5504057252364101</v>
      </c>
    </row>
    <row r="174" spans="1:16" x14ac:dyDescent="0.2">
      <c r="A174" s="8">
        <v>86</v>
      </c>
      <c r="B174" s="8">
        <v>172</v>
      </c>
      <c r="D174">
        <v>1143.3027806385001</v>
      </c>
      <c r="E174">
        <v>453.17610710608</v>
      </c>
      <c r="F174">
        <v>145.71547248183001</v>
      </c>
      <c r="G174">
        <v>119.67808930426</v>
      </c>
      <c r="I174" s="9">
        <f t="shared" si="15"/>
        <v>333.49801780181997</v>
      </c>
      <c r="J174" s="9">
        <f t="shared" si="16"/>
        <v>997.58730815667002</v>
      </c>
      <c r="K174" s="9">
        <f t="shared" si="17"/>
        <v>333.49801780181997</v>
      </c>
      <c r="L174" s="10">
        <f t="shared" si="14"/>
        <v>0.33430459176355565</v>
      </c>
      <c r="M174" s="10">
        <f t="shared" si="18"/>
        <v>0.38196727858986579</v>
      </c>
      <c r="P174" s="8">
        <f t="shared" si="19"/>
        <v>-6.8456416676494518</v>
      </c>
    </row>
    <row r="175" spans="1:16" x14ac:dyDescent="0.2">
      <c r="A175" s="8">
        <v>86.5</v>
      </c>
      <c r="B175" s="8">
        <v>173</v>
      </c>
      <c r="D175">
        <v>1139.6776519053001</v>
      </c>
      <c r="E175">
        <v>448.01853759010999</v>
      </c>
      <c r="F175">
        <v>145.98130841122</v>
      </c>
      <c r="G175">
        <v>120.03946002076999</v>
      </c>
      <c r="I175" s="9">
        <f t="shared" si="15"/>
        <v>327.97907756934001</v>
      </c>
      <c r="J175" s="9">
        <f t="shared" si="16"/>
        <v>993.69634349408011</v>
      </c>
      <c r="K175" s="9">
        <f t="shared" si="17"/>
        <v>327.97907756934001</v>
      </c>
      <c r="L175" s="10">
        <f t="shared" si="14"/>
        <v>0.33005966029429584</v>
      </c>
      <c r="M175" s="10">
        <f t="shared" si="18"/>
        <v>0.37799945576494498</v>
      </c>
      <c r="P175" s="8">
        <f t="shared" si="19"/>
        <v>-7.81331615169558</v>
      </c>
    </row>
    <row r="176" spans="1:16" x14ac:dyDescent="0.2">
      <c r="A176" s="8">
        <v>87</v>
      </c>
      <c r="B176" s="8">
        <v>174</v>
      </c>
      <c r="D176">
        <v>1147.7559217302</v>
      </c>
      <c r="E176">
        <v>450.50669412975998</v>
      </c>
      <c r="F176">
        <v>145.30841121495001</v>
      </c>
      <c r="G176">
        <v>120.18380062305</v>
      </c>
      <c r="I176" s="9">
        <f t="shared" si="15"/>
        <v>330.32289350670999</v>
      </c>
      <c r="J176" s="9">
        <f t="shared" si="16"/>
        <v>1002.4475105152501</v>
      </c>
      <c r="K176" s="9">
        <f t="shared" si="17"/>
        <v>330.32289350670999</v>
      </c>
      <c r="L176" s="10">
        <f t="shared" si="14"/>
        <v>0.32951639865605198</v>
      </c>
      <c r="M176" s="10">
        <f t="shared" si="18"/>
        <v>0.37773330277104011</v>
      </c>
      <c r="P176" s="8">
        <f t="shared" si="19"/>
        <v>-7.8782256681781782</v>
      </c>
    </row>
    <row r="177" spans="1:16" x14ac:dyDescent="0.2">
      <c r="A177" s="8">
        <v>87.5</v>
      </c>
      <c r="B177" s="8">
        <v>175</v>
      </c>
      <c r="D177">
        <v>1126.0453608247001</v>
      </c>
      <c r="E177">
        <v>448.82061855670003</v>
      </c>
      <c r="F177">
        <v>145.44652128764</v>
      </c>
      <c r="G177">
        <v>119.75908618899</v>
      </c>
      <c r="I177" s="9">
        <f t="shared" si="15"/>
        <v>329.06153236771002</v>
      </c>
      <c r="J177" s="9">
        <f t="shared" si="16"/>
        <v>980.59883953706003</v>
      </c>
      <c r="K177" s="9">
        <f t="shared" si="17"/>
        <v>329.06153236771002</v>
      </c>
      <c r="L177" s="10">
        <f t="shared" si="14"/>
        <v>0.33557201895431543</v>
      </c>
      <c r="M177" s="10">
        <f t="shared" si="18"/>
        <v>0.38406603171364256</v>
      </c>
      <c r="P177" s="8">
        <f t="shared" si="19"/>
        <v>-6.3337967754240969</v>
      </c>
    </row>
    <row r="178" spans="1:16" x14ac:dyDescent="0.2">
      <c r="A178" s="8">
        <v>88</v>
      </c>
      <c r="B178" s="8">
        <v>176</v>
      </c>
      <c r="D178">
        <v>1113.8721649485001</v>
      </c>
      <c r="E178">
        <v>444.73608247422999</v>
      </c>
      <c r="F178">
        <v>146.18483904465</v>
      </c>
      <c r="G178">
        <v>119.95846313603001</v>
      </c>
      <c r="I178" s="9">
        <f t="shared" si="15"/>
        <v>324.7776193382</v>
      </c>
      <c r="J178" s="9">
        <f t="shared" si="16"/>
        <v>967.68732590385002</v>
      </c>
      <c r="K178" s="9">
        <f t="shared" si="17"/>
        <v>324.7776193382</v>
      </c>
      <c r="L178" s="10">
        <f t="shared" si="14"/>
        <v>0.33562247912552501</v>
      </c>
      <c r="M178" s="10">
        <f t="shared" si="18"/>
        <v>0.38439360052919119</v>
      </c>
      <c r="P178" s="8">
        <f t="shared" si="19"/>
        <v>-6.2539091396696085</v>
      </c>
    </row>
    <row r="179" spans="1:16" x14ac:dyDescent="0.2">
      <c r="A179" s="8">
        <v>88.5</v>
      </c>
      <c r="B179" s="8">
        <v>177</v>
      </c>
      <c r="D179">
        <v>1111.6958762887</v>
      </c>
      <c r="E179">
        <v>444.19278350515998</v>
      </c>
      <c r="F179">
        <v>145.95950155763001</v>
      </c>
      <c r="G179">
        <v>120.66458982347</v>
      </c>
      <c r="I179" s="9">
        <f t="shared" si="15"/>
        <v>323.52819368168997</v>
      </c>
      <c r="J179" s="9">
        <f t="shared" si="16"/>
        <v>965.73637473106999</v>
      </c>
      <c r="K179" s="9">
        <f t="shared" si="17"/>
        <v>323.52819368168997</v>
      </c>
      <c r="L179" s="10">
        <f t="shared" si="14"/>
        <v>0.33500673905110318</v>
      </c>
      <c r="M179" s="10">
        <f t="shared" si="18"/>
        <v>0.38405496909910836</v>
      </c>
      <c r="P179" s="8">
        <f t="shared" si="19"/>
        <v>-6.3364947310244224</v>
      </c>
    </row>
    <row r="180" spans="1:16" x14ac:dyDescent="0.2">
      <c r="A180" s="8">
        <v>89</v>
      </c>
      <c r="B180" s="8">
        <v>178</v>
      </c>
      <c r="D180">
        <v>1097.7288659794001</v>
      </c>
      <c r="E180">
        <v>439.07010309278002</v>
      </c>
      <c r="F180">
        <v>145.20976116303001</v>
      </c>
      <c r="G180">
        <v>119.67808930426</v>
      </c>
      <c r="I180" s="9">
        <f t="shared" si="15"/>
        <v>319.39201378851999</v>
      </c>
      <c r="J180" s="9">
        <f t="shared" si="16"/>
        <v>952.51910481637015</v>
      </c>
      <c r="K180" s="9">
        <f t="shared" si="17"/>
        <v>319.39201378851999</v>
      </c>
      <c r="L180" s="10">
        <f t="shared" si="14"/>
        <v>0.33531297395876741</v>
      </c>
      <c r="M180" s="10">
        <f t="shared" si="18"/>
        <v>0.38463831265111159</v>
      </c>
      <c r="P180" s="8">
        <f t="shared" si="19"/>
        <v>-6.1942286330623402</v>
      </c>
    </row>
    <row r="181" spans="1:16" x14ac:dyDescent="0.2">
      <c r="A181" s="8">
        <v>89.5</v>
      </c>
      <c r="B181" s="8">
        <v>179</v>
      </c>
      <c r="D181">
        <v>1137.5571725571999</v>
      </c>
      <c r="E181">
        <v>446.61122661122999</v>
      </c>
      <c r="F181">
        <v>145.9958463136</v>
      </c>
      <c r="G181">
        <v>120.07268951194</v>
      </c>
      <c r="I181" s="9">
        <f t="shared" si="15"/>
        <v>326.53853709929001</v>
      </c>
      <c r="J181" s="9">
        <f t="shared" si="16"/>
        <v>991.56132624359998</v>
      </c>
      <c r="K181" s="9">
        <f t="shared" si="17"/>
        <v>326.53853709929001</v>
      </c>
      <c r="L181" s="10">
        <f t="shared" si="14"/>
        <v>0.32931754038485794</v>
      </c>
      <c r="M181" s="10">
        <f t="shared" si="18"/>
        <v>0.37891998772154112</v>
      </c>
      <c r="P181" s="8">
        <f t="shared" si="19"/>
        <v>-7.5888163881092572</v>
      </c>
    </row>
    <row r="182" spans="1:16" x14ac:dyDescent="0.2">
      <c r="A182" s="8">
        <v>90</v>
      </c>
      <c r="B182" s="8">
        <v>180</v>
      </c>
      <c r="D182">
        <v>1139.4584199584001</v>
      </c>
      <c r="E182">
        <v>444.01455301455002</v>
      </c>
      <c r="F182">
        <v>145.36344755971001</v>
      </c>
      <c r="G182">
        <v>119.63239875389</v>
      </c>
      <c r="I182" s="9">
        <f t="shared" si="15"/>
        <v>324.38215426066</v>
      </c>
      <c r="J182" s="9">
        <f t="shared" si="16"/>
        <v>994.09497239869006</v>
      </c>
      <c r="K182" s="9">
        <f t="shared" si="17"/>
        <v>324.38215426066</v>
      </c>
      <c r="L182" s="10">
        <f t="shared" si="14"/>
        <v>0.32630901801861628</v>
      </c>
      <c r="M182" s="10">
        <f>L182+ABS($N$2)*A182</f>
        <v>0.37618857399963851</v>
      </c>
      <c r="P182" s="8">
        <f t="shared" si="19"/>
        <v>-8.2549548425427339</v>
      </c>
    </row>
    <row r="183" spans="1:16" x14ac:dyDescent="0.2">
      <c r="A183" s="8">
        <v>90.5</v>
      </c>
      <c r="B183" s="8">
        <v>181</v>
      </c>
      <c r="D183">
        <v>1144.1912681913</v>
      </c>
      <c r="E183">
        <v>442.45010395010002</v>
      </c>
      <c r="F183">
        <v>145.71339563863</v>
      </c>
      <c r="G183">
        <v>120.17341640706</v>
      </c>
      <c r="I183" s="9">
        <f t="shared" si="15"/>
        <v>322.27668754304</v>
      </c>
      <c r="J183" s="9">
        <f t="shared" si="16"/>
        <v>998.47787255266996</v>
      </c>
      <c r="K183" s="9">
        <f t="shared" si="17"/>
        <v>322.27668754304</v>
      </c>
      <c r="L183" s="10">
        <f t="shared" si="14"/>
        <v>0.32276798154687181</v>
      </c>
      <c r="M183" s="10">
        <f t="shared" ref="M183:M241" si="20">L183+ABS($N$2)*A183</f>
        <v>0.37292464617223303</v>
      </c>
      <c r="P183" s="8">
        <f t="shared" si="19"/>
        <v>-9.0509630857816283</v>
      </c>
    </row>
    <row r="184" spans="1:16" x14ac:dyDescent="0.2">
      <c r="A184" s="8">
        <v>91</v>
      </c>
      <c r="B184" s="8">
        <v>182</v>
      </c>
      <c r="D184">
        <v>1122.9450207468999</v>
      </c>
      <c r="E184">
        <v>436.66390041493997</v>
      </c>
      <c r="F184">
        <v>146.03946002077001</v>
      </c>
      <c r="G184">
        <v>120.12253374869999</v>
      </c>
      <c r="I184" s="9">
        <f t="shared" si="15"/>
        <v>316.54136666623998</v>
      </c>
      <c r="J184" s="9">
        <f t="shared" si="16"/>
        <v>976.90556072612992</v>
      </c>
      <c r="K184" s="9">
        <f t="shared" si="17"/>
        <v>316.54136666623998</v>
      </c>
      <c r="L184" s="10">
        <f t="shared" si="14"/>
        <v>0.32402453153297239</v>
      </c>
      <c r="M184" s="10">
        <f t="shared" si="20"/>
        <v>0.37445830480267261</v>
      </c>
      <c r="P184" s="8">
        <f t="shared" si="19"/>
        <v>-8.6769337025661279</v>
      </c>
    </row>
    <row r="185" spans="1:16" x14ac:dyDescent="0.2">
      <c r="A185" s="8">
        <v>91.5</v>
      </c>
      <c r="B185" s="8">
        <v>183</v>
      </c>
      <c r="D185">
        <v>1103.8537344398001</v>
      </c>
      <c r="E185">
        <v>433.87759336099998</v>
      </c>
      <c r="F185">
        <v>145.97507788162</v>
      </c>
      <c r="G185">
        <v>120.74558670819999</v>
      </c>
      <c r="I185" s="9">
        <f t="shared" si="15"/>
        <v>313.13200665279999</v>
      </c>
      <c r="J185" s="9">
        <f t="shared" si="16"/>
        <v>957.87865655818007</v>
      </c>
      <c r="K185" s="9">
        <f t="shared" si="17"/>
        <v>313.13200665279999</v>
      </c>
      <c r="L185" s="10">
        <f t="shared" si="14"/>
        <v>0.32690153863322963</v>
      </c>
      <c r="M185" s="10">
        <f t="shared" si="20"/>
        <v>0.3776124205472689</v>
      </c>
      <c r="P185" s="8">
        <f t="shared" si="19"/>
        <v>-7.9077064813796838</v>
      </c>
    </row>
    <row r="186" spans="1:16" x14ac:dyDescent="0.2">
      <c r="A186" s="8">
        <v>92</v>
      </c>
      <c r="B186" s="8">
        <v>184</v>
      </c>
      <c r="D186">
        <v>1110.3755186722001</v>
      </c>
      <c r="E186">
        <v>433.57053941908998</v>
      </c>
      <c r="F186">
        <v>145.98026998962001</v>
      </c>
      <c r="G186">
        <v>120.43925233645</v>
      </c>
      <c r="I186" s="9">
        <f t="shared" si="15"/>
        <v>313.13128708263997</v>
      </c>
      <c r="J186" s="9">
        <f t="shared" si="16"/>
        <v>964.39524868258013</v>
      </c>
      <c r="K186" s="9">
        <f t="shared" si="17"/>
        <v>313.13128708263997</v>
      </c>
      <c r="L186" s="10">
        <f t="shared" si="14"/>
        <v>0.3246918600132005</v>
      </c>
      <c r="M186" s="10">
        <f t="shared" si="20"/>
        <v>0.37567985057157877</v>
      </c>
      <c r="P186" s="8">
        <f t="shared" si="19"/>
        <v>-8.37902254981989</v>
      </c>
    </row>
    <row r="187" spans="1:16" x14ac:dyDescent="0.2">
      <c r="A187" s="8">
        <v>92.5</v>
      </c>
      <c r="B187" s="8">
        <v>185</v>
      </c>
      <c r="D187">
        <v>1137.0580912862999</v>
      </c>
      <c r="E187">
        <v>438.07572614108</v>
      </c>
      <c r="F187">
        <v>145.81412253375001</v>
      </c>
      <c r="G187">
        <v>120.33644859813</v>
      </c>
      <c r="I187" s="9">
        <f t="shared" si="15"/>
        <v>317.73927754294999</v>
      </c>
      <c r="J187" s="9">
        <f t="shared" si="16"/>
        <v>991.2439687525499</v>
      </c>
      <c r="K187" s="9">
        <f t="shared" si="17"/>
        <v>317.73927754294999</v>
      </c>
      <c r="L187" s="10">
        <f t="shared" si="14"/>
        <v>0.32054598823215552</v>
      </c>
      <c r="M187" s="10">
        <f t="shared" si="20"/>
        <v>0.37181108743487279</v>
      </c>
      <c r="P187" s="8">
        <f t="shared" si="19"/>
        <v>-9.3225383108300495</v>
      </c>
    </row>
    <row r="188" spans="1:16" x14ac:dyDescent="0.2">
      <c r="A188" s="8">
        <v>93</v>
      </c>
      <c r="B188" s="8">
        <v>186</v>
      </c>
      <c r="D188">
        <v>1135.7977178423</v>
      </c>
      <c r="E188">
        <v>437.41078838174002</v>
      </c>
      <c r="F188">
        <v>146.27310488058001</v>
      </c>
      <c r="G188">
        <v>120.42782969885999</v>
      </c>
      <c r="I188" s="9">
        <f t="shared" si="15"/>
        <v>316.98295868288005</v>
      </c>
      <c r="J188" s="9">
        <f t="shared" si="16"/>
        <v>989.52461296171998</v>
      </c>
      <c r="K188" s="9">
        <f t="shared" si="17"/>
        <v>316.98295868288005</v>
      </c>
      <c r="L188" s="10">
        <f t="shared" si="14"/>
        <v>0.32033862981348865</v>
      </c>
      <c r="M188" s="10">
        <f t="shared" si="20"/>
        <v>0.37188083766054492</v>
      </c>
      <c r="P188" s="8">
        <f t="shared" si="19"/>
        <v>-9.3055275932104387</v>
      </c>
    </row>
    <row r="189" spans="1:16" x14ac:dyDescent="0.2">
      <c r="A189" s="8">
        <v>93.5</v>
      </c>
      <c r="B189" s="8">
        <v>187</v>
      </c>
      <c r="D189">
        <v>1141.0176348548</v>
      </c>
      <c r="E189">
        <v>436.04875518671997</v>
      </c>
      <c r="F189">
        <v>146.45482866044</v>
      </c>
      <c r="G189">
        <v>120.34787123572001</v>
      </c>
      <c r="I189" s="9">
        <f t="shared" si="15"/>
        <v>315.70088395099998</v>
      </c>
      <c r="J189" s="9">
        <f t="shared" si="16"/>
        <v>994.56280619436006</v>
      </c>
      <c r="K189" s="9">
        <f t="shared" si="17"/>
        <v>315.70088395099998</v>
      </c>
      <c r="L189" s="10">
        <f t="shared" si="14"/>
        <v>0.31742679495426945</v>
      </c>
      <c r="M189" s="10">
        <f t="shared" si="20"/>
        <v>0.36924611144566477</v>
      </c>
      <c r="P189" s="8">
        <f t="shared" si="19"/>
        <v>-9.948085853265269</v>
      </c>
    </row>
    <row r="190" spans="1:16" x14ac:dyDescent="0.2">
      <c r="A190" s="8">
        <v>94</v>
      </c>
      <c r="B190" s="8">
        <v>188</v>
      </c>
      <c r="D190">
        <v>1120.2572614108001</v>
      </c>
      <c r="E190">
        <v>437.73236514523001</v>
      </c>
      <c r="F190">
        <v>146.41017653167</v>
      </c>
      <c r="G190">
        <v>120.66666666667</v>
      </c>
      <c r="I190" s="9">
        <f t="shared" si="15"/>
        <v>317.06569847856002</v>
      </c>
      <c r="J190" s="9">
        <f t="shared" si="16"/>
        <v>973.84708487913008</v>
      </c>
      <c r="K190" s="9">
        <f t="shared" si="17"/>
        <v>317.06569847856002</v>
      </c>
      <c r="L190" s="10">
        <f t="shared" si="14"/>
        <v>0.32558057974565169</v>
      </c>
      <c r="M190" s="10">
        <f t="shared" si="20"/>
        <v>0.377677004881386</v>
      </c>
      <c r="P190" s="8">
        <f t="shared" si="19"/>
        <v>-7.8919556238056741</v>
      </c>
    </row>
    <row r="191" spans="1:16" x14ac:dyDescent="0.2">
      <c r="A191" s="8">
        <v>94.5</v>
      </c>
      <c r="B191" s="8">
        <v>189</v>
      </c>
      <c r="D191">
        <v>1142.5134854772</v>
      </c>
      <c r="E191">
        <v>446.10165975104002</v>
      </c>
      <c r="F191">
        <v>146.28660436137</v>
      </c>
      <c r="G191">
        <v>120.40186915888</v>
      </c>
      <c r="I191" s="9">
        <f t="shared" si="15"/>
        <v>325.69979059216001</v>
      </c>
      <c r="J191" s="9">
        <f t="shared" si="16"/>
        <v>996.22688111583</v>
      </c>
      <c r="K191" s="9">
        <f t="shared" si="17"/>
        <v>325.69979059216001</v>
      </c>
      <c r="L191" s="10">
        <f t="shared" si="14"/>
        <v>0.32693334898508059</v>
      </c>
      <c r="M191" s="10">
        <f t="shared" si="20"/>
        <v>0.3793068827651539</v>
      </c>
      <c r="P191" s="8">
        <f t="shared" si="19"/>
        <v>-7.4944602441411918</v>
      </c>
    </row>
    <row r="192" spans="1:16" x14ac:dyDescent="0.2">
      <c r="A192" s="8">
        <v>95</v>
      </c>
      <c r="B192" s="8">
        <v>190</v>
      </c>
      <c r="D192">
        <v>1140.4450207468999</v>
      </c>
      <c r="E192">
        <v>443.46680497925001</v>
      </c>
      <c r="F192">
        <v>147.05711318794999</v>
      </c>
      <c r="G192">
        <v>119.78504672897</v>
      </c>
      <c r="I192" s="9">
        <f t="shared" si="15"/>
        <v>323.68175825028004</v>
      </c>
      <c r="J192" s="9">
        <f t="shared" si="16"/>
        <v>993.38790755894991</v>
      </c>
      <c r="K192" s="9">
        <f t="shared" si="17"/>
        <v>323.68175825028004</v>
      </c>
      <c r="L192" s="10">
        <f t="shared" si="14"/>
        <v>0.32583621744063967</v>
      </c>
      <c r="M192" s="10">
        <f t="shared" si="20"/>
        <v>0.37848685986505204</v>
      </c>
      <c r="P192" s="8">
        <f t="shared" si="19"/>
        <v>-7.6944478120785069</v>
      </c>
    </row>
    <row r="193" spans="1:16" x14ac:dyDescent="0.2">
      <c r="A193" s="8">
        <v>95.5</v>
      </c>
      <c r="B193" s="8">
        <v>191</v>
      </c>
      <c r="D193">
        <v>1097.2252066116</v>
      </c>
      <c r="E193">
        <v>434.13739669422</v>
      </c>
      <c r="F193">
        <v>146.61474558671</v>
      </c>
      <c r="G193">
        <v>120.64174454829001</v>
      </c>
      <c r="I193" s="9">
        <f t="shared" si="15"/>
        <v>313.49565214592997</v>
      </c>
      <c r="J193" s="9">
        <f t="shared" si="16"/>
        <v>950.61046102489001</v>
      </c>
      <c r="K193" s="9">
        <f t="shared" si="17"/>
        <v>313.49565214592997</v>
      </c>
      <c r="L193" s="10">
        <f t="shared" si="14"/>
        <v>0.32978350754518115</v>
      </c>
      <c r="M193" s="10">
        <f t="shared" si="20"/>
        <v>0.38271125861393251</v>
      </c>
      <c r="P193" s="8">
        <f t="shared" si="19"/>
        <v>-6.6641994718417887</v>
      </c>
    </row>
    <row r="194" spans="1:16" x14ac:dyDescent="0.2">
      <c r="A194" s="8">
        <v>96</v>
      </c>
      <c r="B194" s="8">
        <v>192</v>
      </c>
      <c r="D194">
        <v>1120.3925619834999</v>
      </c>
      <c r="E194">
        <v>440.42252066115998</v>
      </c>
      <c r="F194">
        <v>146.97923156802</v>
      </c>
      <c r="G194">
        <v>120.65732087227001</v>
      </c>
      <c r="I194" s="9">
        <f t="shared" si="15"/>
        <v>319.76519978888996</v>
      </c>
      <c r="J194" s="9">
        <f t="shared" si="16"/>
        <v>973.41333041548</v>
      </c>
      <c r="K194" s="9">
        <f t="shared" si="17"/>
        <v>319.76519978888996</v>
      </c>
      <c r="L194" s="10">
        <f t="shared" ref="L194:L257" si="21">K194/J194</f>
        <v>0.32849889126996568</v>
      </c>
      <c r="M194" s="10">
        <f t="shared" si="20"/>
        <v>0.38170375098305603</v>
      </c>
      <c r="P194" s="8">
        <f t="shared" si="19"/>
        <v>-6.9099109035008865</v>
      </c>
    </row>
    <row r="195" spans="1:16" x14ac:dyDescent="0.2">
      <c r="A195" s="8">
        <v>96.5</v>
      </c>
      <c r="B195" s="8">
        <v>193</v>
      </c>
      <c r="D195">
        <v>1135.9916839917</v>
      </c>
      <c r="E195">
        <v>445.99896049896</v>
      </c>
      <c r="F195">
        <v>146.59813084112</v>
      </c>
      <c r="G195">
        <v>120.54724818276</v>
      </c>
      <c r="I195" s="9">
        <f t="shared" ref="I195:I241" si="22">E195-G195</f>
        <v>325.45171231619997</v>
      </c>
      <c r="J195" s="9">
        <f t="shared" ref="J195:J241" si="23">D195-F195</f>
        <v>989.39355315058003</v>
      </c>
      <c r="K195" s="9">
        <f t="shared" ref="K195:K258" si="24">I195*1</f>
        <v>325.45171231619997</v>
      </c>
      <c r="L195" s="10">
        <f t="shared" si="21"/>
        <v>0.32894060334216479</v>
      </c>
      <c r="M195" s="10">
        <f t="shared" si="20"/>
        <v>0.38242257169959415</v>
      </c>
      <c r="P195" s="8">
        <f t="shared" ref="P195:P241" si="25">(M195-$O$2)/$O$2*100</f>
        <v>-6.7346045713660647</v>
      </c>
    </row>
    <row r="196" spans="1:16" x14ac:dyDescent="0.2">
      <c r="A196" s="8">
        <v>97</v>
      </c>
      <c r="B196" s="8">
        <v>194</v>
      </c>
      <c r="D196">
        <v>1125.8139293139</v>
      </c>
      <c r="E196">
        <v>445.38565488566002</v>
      </c>
      <c r="F196">
        <v>146.95950155763001</v>
      </c>
      <c r="G196">
        <v>120.73831775700999</v>
      </c>
      <c r="I196" s="9">
        <f t="shared" si="22"/>
        <v>324.64733712865001</v>
      </c>
      <c r="J196" s="9">
        <f t="shared" si="23"/>
        <v>978.85442775626996</v>
      </c>
      <c r="K196" s="9">
        <f t="shared" si="24"/>
        <v>324.64733712865001</v>
      </c>
      <c r="L196" s="10">
        <f t="shared" si="21"/>
        <v>0.33166048793670638</v>
      </c>
      <c r="M196" s="10">
        <f t="shared" si="20"/>
        <v>0.38541956493847479</v>
      </c>
      <c r="P196" s="8">
        <f t="shared" si="25"/>
        <v>-6.0036964602707972</v>
      </c>
    </row>
    <row r="197" spans="1:16" x14ac:dyDescent="0.2">
      <c r="A197" s="8">
        <v>97.5</v>
      </c>
      <c r="B197" s="8">
        <v>195</v>
      </c>
      <c r="D197">
        <v>1138.5550935551</v>
      </c>
      <c r="E197">
        <v>449.29521829522002</v>
      </c>
      <c r="F197">
        <v>146.84423676013</v>
      </c>
      <c r="G197">
        <v>120.3717549325</v>
      </c>
      <c r="I197" s="9">
        <f t="shared" si="22"/>
        <v>328.92346336272004</v>
      </c>
      <c r="J197" s="9">
        <f t="shared" si="23"/>
        <v>991.71085679497003</v>
      </c>
      <c r="K197" s="9">
        <f t="shared" si="24"/>
        <v>328.92346336272004</v>
      </c>
      <c r="L197" s="10">
        <f t="shared" si="21"/>
        <v>0.33167274625362186</v>
      </c>
      <c r="M197" s="10">
        <f t="shared" si="20"/>
        <v>0.38570893189972927</v>
      </c>
      <c r="P197" s="8">
        <f t="shared" si="25"/>
        <v>-5.9331255105869456</v>
      </c>
    </row>
    <row r="198" spans="1:16" x14ac:dyDescent="0.2">
      <c r="A198" s="8">
        <v>98</v>
      </c>
      <c r="B198" s="8">
        <v>196</v>
      </c>
      <c r="D198">
        <v>1125.509394572</v>
      </c>
      <c r="E198">
        <v>450.83507306888998</v>
      </c>
      <c r="F198">
        <v>146.29387331257001</v>
      </c>
      <c r="G198">
        <v>120.94080996885</v>
      </c>
      <c r="I198" s="9">
        <f t="shared" si="22"/>
        <v>329.89426310004001</v>
      </c>
      <c r="J198" s="9">
        <f t="shared" si="23"/>
        <v>979.21552125943003</v>
      </c>
      <c r="K198" s="9">
        <f t="shared" si="24"/>
        <v>329.89426310004001</v>
      </c>
      <c r="L198" s="10">
        <f t="shared" si="21"/>
        <v>0.33689648084391316</v>
      </c>
      <c r="M198" s="10">
        <f t="shared" si="20"/>
        <v>0.39120977513435956</v>
      </c>
      <c r="P198" s="8">
        <f t="shared" si="25"/>
        <v>-4.5915772928951073</v>
      </c>
    </row>
    <row r="199" spans="1:16" x14ac:dyDescent="0.2">
      <c r="A199" s="8">
        <v>98.5</v>
      </c>
      <c r="B199" s="8">
        <v>197</v>
      </c>
      <c r="D199">
        <v>1115.4384133612</v>
      </c>
      <c r="E199">
        <v>449.37056367432001</v>
      </c>
      <c r="F199">
        <v>147.60124610592001</v>
      </c>
      <c r="G199">
        <v>120.92107995846</v>
      </c>
      <c r="I199" s="9">
        <f t="shared" si="22"/>
        <v>328.44948371586003</v>
      </c>
      <c r="J199" s="9">
        <f t="shared" si="23"/>
        <v>967.83716725527995</v>
      </c>
      <c r="K199" s="9">
        <f t="shared" si="24"/>
        <v>328.44948371586003</v>
      </c>
      <c r="L199" s="10">
        <f t="shared" si="21"/>
        <v>0.33936440429056913</v>
      </c>
      <c r="M199" s="10">
        <f t="shared" si="20"/>
        <v>0.39395480722535459</v>
      </c>
      <c r="P199" s="8">
        <f t="shared" si="25"/>
        <v>-3.9221175842457692</v>
      </c>
    </row>
    <row r="200" spans="1:16" x14ac:dyDescent="0.2">
      <c r="A200" s="8">
        <v>99</v>
      </c>
      <c r="B200" s="8">
        <v>198</v>
      </c>
      <c r="D200">
        <v>1152.1002087683</v>
      </c>
      <c r="E200">
        <v>462.17954070981</v>
      </c>
      <c r="F200">
        <v>147.14226375909001</v>
      </c>
      <c r="G200">
        <v>120.47871235722</v>
      </c>
      <c r="I200" s="9">
        <f t="shared" si="22"/>
        <v>341.70082835259001</v>
      </c>
      <c r="J200" s="9">
        <f t="shared" si="23"/>
        <v>1004.95794500921</v>
      </c>
      <c r="K200" s="9">
        <f t="shared" si="24"/>
        <v>341.70082835259001</v>
      </c>
      <c r="L200" s="10">
        <f t="shared" si="21"/>
        <v>0.3400150524203861</v>
      </c>
      <c r="M200" s="10">
        <f t="shared" si="20"/>
        <v>0.39488256399951055</v>
      </c>
      <c r="P200" s="8">
        <f t="shared" si="25"/>
        <v>-3.6958558287779977</v>
      </c>
    </row>
    <row r="201" spans="1:16" x14ac:dyDescent="0.2">
      <c r="A201" s="8">
        <v>99.5</v>
      </c>
      <c r="B201" s="8">
        <v>199</v>
      </c>
      <c r="D201">
        <v>1145.9133611691</v>
      </c>
      <c r="E201">
        <v>467.26826722338001</v>
      </c>
      <c r="F201">
        <v>146.78400830736999</v>
      </c>
      <c r="G201">
        <v>120.68951194185</v>
      </c>
      <c r="I201" s="9">
        <f t="shared" si="22"/>
        <v>346.57875528152999</v>
      </c>
      <c r="J201" s="9">
        <f t="shared" si="23"/>
        <v>999.12935286173001</v>
      </c>
      <c r="K201" s="9">
        <f t="shared" si="24"/>
        <v>346.57875528152999</v>
      </c>
      <c r="L201" s="10">
        <f t="shared" si="21"/>
        <v>0.346880766027793</v>
      </c>
      <c r="M201" s="10">
        <f t="shared" si="20"/>
        <v>0.40202538625125644</v>
      </c>
      <c r="P201" s="8">
        <f t="shared" si="25"/>
        <v>-1.9538610013679885</v>
      </c>
    </row>
    <row r="202" spans="1:16" x14ac:dyDescent="0.2">
      <c r="A202" s="8">
        <v>100</v>
      </c>
      <c r="B202" s="8">
        <v>200</v>
      </c>
      <c r="D202">
        <v>1147.5010438413001</v>
      </c>
      <c r="E202">
        <v>470.08872651357001</v>
      </c>
      <c r="F202">
        <v>146.97300103841999</v>
      </c>
      <c r="G202">
        <v>121.246105919</v>
      </c>
      <c r="I202" s="9">
        <f t="shared" si="22"/>
        <v>348.84262059457001</v>
      </c>
      <c r="J202" s="9">
        <f t="shared" si="23"/>
        <v>1000.5280428028801</v>
      </c>
      <c r="K202" s="9">
        <f t="shared" si="24"/>
        <v>348.84262059457001</v>
      </c>
      <c r="L202" s="10">
        <f t="shared" si="21"/>
        <v>0.34865851397560232</v>
      </c>
      <c r="M202" s="10">
        <f t="shared" si="20"/>
        <v>0.40408024284340477</v>
      </c>
      <c r="P202" s="8">
        <f t="shared" si="25"/>
        <v>-1.4527216157817375</v>
      </c>
    </row>
    <row r="203" spans="1:16" x14ac:dyDescent="0.2">
      <c r="A203" s="8">
        <v>100.5</v>
      </c>
      <c r="B203" s="8">
        <v>201</v>
      </c>
      <c r="D203">
        <v>1116.9152016546</v>
      </c>
      <c r="E203">
        <v>463.37642192348</v>
      </c>
      <c r="F203">
        <v>147.06749740395</v>
      </c>
      <c r="G203">
        <v>120.71028037383</v>
      </c>
      <c r="I203" s="9">
        <f t="shared" si="22"/>
        <v>342.66614154964998</v>
      </c>
      <c r="J203" s="9">
        <f t="shared" si="23"/>
        <v>969.84770425064994</v>
      </c>
      <c r="K203" s="9">
        <f t="shared" si="24"/>
        <v>342.66614154964998</v>
      </c>
      <c r="L203" s="10">
        <f t="shared" si="21"/>
        <v>0.35331953671469479</v>
      </c>
      <c r="M203" s="10">
        <f t="shared" si="20"/>
        <v>0.40901837422683629</v>
      </c>
      <c r="P203" s="8">
        <f t="shared" si="25"/>
        <v>-0.24840782722202132</v>
      </c>
    </row>
    <row r="204" spans="1:16" x14ac:dyDescent="0.2">
      <c r="A204" s="8">
        <v>101</v>
      </c>
      <c r="B204" s="8">
        <v>202</v>
      </c>
      <c r="D204">
        <v>1123.7466390899999</v>
      </c>
      <c r="E204">
        <v>468.30506721820001</v>
      </c>
      <c r="F204">
        <v>147.9958463136</v>
      </c>
      <c r="G204">
        <v>120.73935617861</v>
      </c>
      <c r="I204" s="9">
        <f t="shared" si="22"/>
        <v>347.56571103959004</v>
      </c>
      <c r="J204" s="9">
        <f t="shared" si="23"/>
        <v>975.75079277639998</v>
      </c>
      <c r="K204" s="9">
        <f t="shared" si="24"/>
        <v>347.56571103959004</v>
      </c>
      <c r="L204" s="10">
        <f t="shared" si="21"/>
        <v>0.3562033601332027</v>
      </c>
      <c r="M204" s="10">
        <f t="shared" si="20"/>
        <v>0.41217930628968319</v>
      </c>
      <c r="P204" s="8">
        <f t="shared" si="25"/>
        <v>0.52248176084351627</v>
      </c>
    </row>
    <row r="205" spans="1:16" x14ac:dyDescent="0.2">
      <c r="A205" s="8">
        <v>101.5</v>
      </c>
      <c r="B205" s="8">
        <v>203</v>
      </c>
      <c r="D205">
        <v>1113.7021716649001</v>
      </c>
      <c r="E205">
        <v>466.97104446742998</v>
      </c>
      <c r="F205">
        <v>147.74454828660001</v>
      </c>
      <c r="G205">
        <v>121.07995846314</v>
      </c>
      <c r="I205" s="9">
        <f t="shared" si="22"/>
        <v>345.89108600428995</v>
      </c>
      <c r="J205" s="9">
        <f t="shared" si="23"/>
        <v>965.95762337830013</v>
      </c>
      <c r="K205" s="9">
        <f t="shared" si="24"/>
        <v>345.89108600428995</v>
      </c>
      <c r="L205" s="10">
        <f t="shared" si="21"/>
        <v>0.35808101477017679</v>
      </c>
      <c r="M205" s="10">
        <f t="shared" si="20"/>
        <v>0.41433406957099628</v>
      </c>
      <c r="P205" s="8">
        <f t="shared" si="25"/>
        <v>1.0479864364530684</v>
      </c>
    </row>
    <row r="206" spans="1:16" x14ac:dyDescent="0.2">
      <c r="A206" s="8">
        <v>102</v>
      </c>
      <c r="B206" s="8">
        <v>204</v>
      </c>
      <c r="D206">
        <v>1120.1551189244999</v>
      </c>
      <c r="E206">
        <v>468.40124095139998</v>
      </c>
      <c r="F206">
        <v>147.09449636552</v>
      </c>
      <c r="G206">
        <v>121.21287642783</v>
      </c>
      <c r="I206" s="9">
        <f t="shared" si="22"/>
        <v>347.18836452356999</v>
      </c>
      <c r="J206" s="9">
        <f t="shared" si="23"/>
        <v>973.06062255897996</v>
      </c>
      <c r="K206" s="9">
        <f t="shared" si="24"/>
        <v>347.18836452356999</v>
      </c>
      <c r="L206" s="10">
        <f t="shared" si="21"/>
        <v>0.35680034365230512</v>
      </c>
      <c r="M206" s="10">
        <f t="shared" si="20"/>
        <v>0.41333050709746361</v>
      </c>
      <c r="P206" s="8">
        <f t="shared" si="25"/>
        <v>0.80323715160989606</v>
      </c>
    </row>
    <row r="207" spans="1:16" x14ac:dyDescent="0.2">
      <c r="A207" s="8">
        <v>102.5</v>
      </c>
      <c r="B207" s="8">
        <v>205</v>
      </c>
      <c r="D207">
        <v>1112.5780765253</v>
      </c>
      <c r="E207">
        <v>463.97724922441</v>
      </c>
      <c r="F207">
        <v>147.57424714434001</v>
      </c>
      <c r="G207">
        <v>121.31879543095</v>
      </c>
      <c r="I207" s="9">
        <f t="shared" si="22"/>
        <v>342.65845379346001</v>
      </c>
      <c r="J207" s="9">
        <f t="shared" si="23"/>
        <v>965.00382938096004</v>
      </c>
      <c r="K207" s="9">
        <f t="shared" si="24"/>
        <v>342.65845379346001</v>
      </c>
      <c r="L207" s="10">
        <f t="shared" si="21"/>
        <v>0.35508507154139674</v>
      </c>
      <c r="M207" s="10">
        <f t="shared" si="20"/>
        <v>0.41189234363089428</v>
      </c>
      <c r="P207" s="8">
        <f t="shared" si="25"/>
        <v>0.45249717356809788</v>
      </c>
    </row>
    <row r="208" spans="1:16" x14ac:dyDescent="0.2">
      <c r="A208" s="8">
        <v>103</v>
      </c>
      <c r="B208" s="8">
        <v>206</v>
      </c>
      <c r="D208">
        <v>1111.9739039665999</v>
      </c>
      <c r="E208">
        <v>467.07724425887</v>
      </c>
      <c r="F208">
        <v>146.99376947041</v>
      </c>
      <c r="G208">
        <v>120.82450674974</v>
      </c>
      <c r="I208" s="9">
        <f t="shared" si="22"/>
        <v>346.25273750912999</v>
      </c>
      <c r="J208" s="9">
        <f t="shared" si="23"/>
        <v>964.98013449618986</v>
      </c>
      <c r="K208" s="9">
        <f t="shared" si="24"/>
        <v>346.25273750912999</v>
      </c>
      <c r="L208" s="10">
        <f t="shared" si="21"/>
        <v>0.35881851359552225</v>
      </c>
      <c r="M208" s="10">
        <f t="shared" si="20"/>
        <v>0.41590289432935879</v>
      </c>
      <c r="P208" s="8">
        <f t="shared" si="25"/>
        <v>1.4305921513737019</v>
      </c>
    </row>
    <row r="209" spans="1:16" x14ac:dyDescent="0.2">
      <c r="A209" s="8">
        <v>103.5</v>
      </c>
      <c r="B209" s="8">
        <v>207</v>
      </c>
      <c r="D209">
        <v>1059.8517745303</v>
      </c>
      <c r="E209">
        <v>458.14926931106999</v>
      </c>
      <c r="F209">
        <v>147.22222222222001</v>
      </c>
      <c r="G209">
        <v>121.25337487020001</v>
      </c>
      <c r="I209" s="9">
        <f t="shared" si="22"/>
        <v>336.89589444086999</v>
      </c>
      <c r="J209" s="9">
        <f t="shared" si="23"/>
        <v>912.62955230807995</v>
      </c>
      <c r="K209" s="9">
        <f t="shared" si="24"/>
        <v>336.89589444086999</v>
      </c>
      <c r="L209" s="10">
        <f t="shared" si="21"/>
        <v>0.36914857029212517</v>
      </c>
      <c r="M209" s="10">
        <f t="shared" si="20"/>
        <v>0.4265100596703007</v>
      </c>
      <c r="P209" s="8">
        <f t="shared" si="25"/>
        <v>4.0174725896888397</v>
      </c>
    </row>
    <row r="210" spans="1:16" x14ac:dyDescent="0.2">
      <c r="A210" s="8">
        <v>104</v>
      </c>
      <c r="B210" s="8">
        <v>208</v>
      </c>
      <c r="D210">
        <v>1117.3361082206</v>
      </c>
      <c r="E210">
        <v>476.49531737772998</v>
      </c>
      <c r="F210">
        <v>146.76116303219001</v>
      </c>
      <c r="G210">
        <v>121.50882658358999</v>
      </c>
      <c r="I210" s="9">
        <f t="shared" si="22"/>
        <v>354.98649079413997</v>
      </c>
      <c r="J210" s="9">
        <f t="shared" si="23"/>
        <v>970.57494518840997</v>
      </c>
      <c r="K210" s="9">
        <f t="shared" si="24"/>
        <v>354.98649079413997</v>
      </c>
      <c r="L210" s="10">
        <f t="shared" si="21"/>
        <v>0.36574866531839978</v>
      </c>
      <c r="M210" s="10">
        <f t="shared" si="20"/>
        <v>0.42338726334091437</v>
      </c>
      <c r="P210" s="8">
        <f t="shared" si="25"/>
        <v>3.2558835621141577</v>
      </c>
    </row>
    <row r="211" spans="1:16" x14ac:dyDescent="0.2">
      <c r="A211" s="8">
        <v>104.5</v>
      </c>
      <c r="B211" s="8">
        <v>209</v>
      </c>
      <c r="D211">
        <v>1130.2039542144</v>
      </c>
      <c r="E211">
        <v>481.05515088449999</v>
      </c>
      <c r="F211">
        <v>148.58982346833</v>
      </c>
      <c r="G211">
        <v>120.87850467289999</v>
      </c>
      <c r="I211" s="9">
        <f t="shared" si="22"/>
        <v>360.17664621159997</v>
      </c>
      <c r="J211" s="9">
        <f t="shared" si="23"/>
        <v>981.61413074607003</v>
      </c>
      <c r="K211" s="9">
        <f t="shared" si="24"/>
        <v>360.17664621159997</v>
      </c>
      <c r="L211" s="10">
        <f t="shared" si="21"/>
        <v>0.36692284160360428</v>
      </c>
      <c r="M211" s="10">
        <f t="shared" si="20"/>
        <v>0.42483854827045786</v>
      </c>
      <c r="P211" s="8">
        <f t="shared" si="25"/>
        <v>3.6098236086755748</v>
      </c>
    </row>
    <row r="212" spans="1:16" x14ac:dyDescent="0.2">
      <c r="A212" s="8">
        <v>105</v>
      </c>
      <c r="B212" s="8">
        <v>210</v>
      </c>
      <c r="D212">
        <v>1120.7273673257</v>
      </c>
      <c r="E212">
        <v>474.82414151925002</v>
      </c>
      <c r="F212">
        <v>147.68224299065</v>
      </c>
      <c r="G212">
        <v>121.1266874351</v>
      </c>
      <c r="I212" s="9">
        <f t="shared" si="22"/>
        <v>353.69745408415002</v>
      </c>
      <c r="J212" s="9">
        <f t="shared" si="23"/>
        <v>973.04512433504999</v>
      </c>
      <c r="K212" s="9">
        <f t="shared" si="24"/>
        <v>353.69745408415002</v>
      </c>
      <c r="L212" s="10">
        <f t="shared" si="21"/>
        <v>0.36349542815484154</v>
      </c>
      <c r="M212" s="10">
        <f t="shared" si="20"/>
        <v>0.42168824346603412</v>
      </c>
      <c r="P212" s="8">
        <f t="shared" si="25"/>
        <v>2.8415258013586291</v>
      </c>
    </row>
    <row r="213" spans="1:16" x14ac:dyDescent="0.2">
      <c r="A213" s="8">
        <v>105.5</v>
      </c>
      <c r="B213" s="8">
        <v>211</v>
      </c>
      <c r="D213">
        <v>1117.3549060543</v>
      </c>
      <c r="E213">
        <v>468.80793319415</v>
      </c>
      <c r="F213">
        <v>148.21183800623001</v>
      </c>
      <c r="G213">
        <v>121.15160955348</v>
      </c>
      <c r="I213" s="9">
        <f t="shared" si="22"/>
        <v>347.65632364067</v>
      </c>
      <c r="J213" s="9">
        <f t="shared" si="23"/>
        <v>969.14306804807006</v>
      </c>
      <c r="K213" s="9">
        <f t="shared" si="24"/>
        <v>347.65632364067</v>
      </c>
      <c r="L213" s="10">
        <f t="shared" si="21"/>
        <v>0.35872549172835444</v>
      </c>
      <c r="M213" s="10">
        <f t="shared" si="20"/>
        <v>0.41719541568388602</v>
      </c>
      <c r="P213" s="8">
        <f t="shared" si="25"/>
        <v>1.745812863096309</v>
      </c>
    </row>
    <row r="214" spans="1:16" x14ac:dyDescent="0.2">
      <c r="A214" s="8">
        <v>106</v>
      </c>
      <c r="B214" s="8">
        <v>212</v>
      </c>
      <c r="D214">
        <v>1109.4728601253</v>
      </c>
      <c r="E214">
        <v>466.59081419623999</v>
      </c>
      <c r="F214">
        <v>147.93561786084999</v>
      </c>
      <c r="G214">
        <v>121.04569055036001</v>
      </c>
      <c r="I214" s="9">
        <f t="shared" si="22"/>
        <v>345.54512364587998</v>
      </c>
      <c r="J214" s="9">
        <f t="shared" si="23"/>
        <v>961.53724226445001</v>
      </c>
      <c r="K214" s="9">
        <f t="shared" si="24"/>
        <v>345.54512364587998</v>
      </c>
      <c r="L214" s="10">
        <f t="shared" si="21"/>
        <v>0.3593673842857199</v>
      </c>
      <c r="M214" s="10">
        <f t="shared" si="20"/>
        <v>0.41811441688559053</v>
      </c>
      <c r="P214" s="8">
        <f t="shared" si="25"/>
        <v>1.9699393054645968</v>
      </c>
    </row>
    <row r="215" spans="1:16" x14ac:dyDescent="0.2">
      <c r="A215" s="8">
        <v>106.5</v>
      </c>
      <c r="B215" s="8">
        <v>213</v>
      </c>
      <c r="D215">
        <v>1056.2901878913999</v>
      </c>
      <c r="E215">
        <v>442.82359081419997</v>
      </c>
      <c r="F215">
        <v>147.94080996885</v>
      </c>
      <c r="G215">
        <v>121.29387331257</v>
      </c>
      <c r="I215" s="9">
        <f t="shared" si="22"/>
        <v>321.52971750162999</v>
      </c>
      <c r="J215" s="9">
        <f t="shared" si="23"/>
        <v>908.34937792254993</v>
      </c>
      <c r="K215" s="9">
        <f t="shared" si="24"/>
        <v>321.52971750162999</v>
      </c>
      <c r="L215" s="10">
        <f t="shared" si="21"/>
        <v>0.35397141817500655</v>
      </c>
      <c r="M215" s="10">
        <f t="shared" si="20"/>
        <v>0.41299555941921617</v>
      </c>
      <c r="P215" s="8">
        <f t="shared" si="25"/>
        <v>0.72154995537350608</v>
      </c>
    </row>
    <row r="216" spans="1:16" x14ac:dyDescent="0.2">
      <c r="A216" s="8">
        <v>107</v>
      </c>
      <c r="B216" s="8">
        <v>214</v>
      </c>
      <c r="D216">
        <v>1086.0427083333</v>
      </c>
      <c r="E216">
        <v>453.54374999999999</v>
      </c>
      <c r="F216">
        <v>147.73208722741001</v>
      </c>
      <c r="G216">
        <v>121.16303219107</v>
      </c>
      <c r="I216" s="9">
        <f t="shared" si="22"/>
        <v>332.38071780893</v>
      </c>
      <c r="J216" s="9">
        <f t="shared" si="23"/>
        <v>938.31062110588994</v>
      </c>
      <c r="K216" s="9">
        <f t="shared" si="24"/>
        <v>332.38071780893</v>
      </c>
      <c r="L216" s="10">
        <f t="shared" si="21"/>
        <v>0.35423314021233943</v>
      </c>
      <c r="M216" s="10">
        <f t="shared" si="20"/>
        <v>0.41353439010088805</v>
      </c>
      <c r="P216" s="8">
        <f t="shared" si="25"/>
        <v>0.85296023372570617</v>
      </c>
    </row>
    <row r="217" spans="1:16" x14ac:dyDescent="0.2">
      <c r="A217" s="8">
        <v>107.5</v>
      </c>
      <c r="B217" s="8">
        <v>215</v>
      </c>
      <c r="D217">
        <v>1081.440625</v>
      </c>
      <c r="E217">
        <v>453.66354166667003</v>
      </c>
      <c r="F217">
        <v>147.99169262721</v>
      </c>
      <c r="G217">
        <v>121.40290758048</v>
      </c>
      <c r="I217" s="9">
        <f t="shared" si="22"/>
        <v>332.26063408619001</v>
      </c>
      <c r="J217" s="9">
        <f t="shared" si="23"/>
        <v>933.44893237278995</v>
      </c>
      <c r="K217" s="9">
        <f t="shared" si="24"/>
        <v>332.26063408619001</v>
      </c>
      <c r="L217" s="10">
        <f t="shared" si="21"/>
        <v>0.35594945000536532</v>
      </c>
      <c r="M217" s="10">
        <f t="shared" si="20"/>
        <v>0.41552780853825294</v>
      </c>
      <c r="P217" s="8">
        <f t="shared" si="25"/>
        <v>1.3391160534235302</v>
      </c>
    </row>
    <row r="218" spans="1:16" x14ac:dyDescent="0.2">
      <c r="A218" s="8">
        <v>108</v>
      </c>
      <c r="B218" s="8">
        <v>216</v>
      </c>
      <c r="D218">
        <v>1097.6246122027001</v>
      </c>
      <c r="E218">
        <v>456.36401240951</v>
      </c>
      <c r="F218">
        <v>148.13395638629001</v>
      </c>
      <c r="G218">
        <v>121.32710280374</v>
      </c>
      <c r="I218" s="9">
        <f t="shared" si="22"/>
        <v>335.03690960577001</v>
      </c>
      <c r="J218" s="9">
        <f t="shared" si="23"/>
        <v>949.49065581641003</v>
      </c>
      <c r="K218" s="9">
        <f t="shared" si="24"/>
        <v>335.03690960577001</v>
      </c>
      <c r="L218" s="10">
        <f t="shared" si="21"/>
        <v>0.35285961747321448</v>
      </c>
      <c r="M218" s="10">
        <f t="shared" si="20"/>
        <v>0.41271508465044116</v>
      </c>
      <c r="P218" s="8">
        <f t="shared" si="25"/>
        <v>0.65314763774538953</v>
      </c>
    </row>
    <row r="219" spans="1:16" x14ac:dyDescent="0.2">
      <c r="A219" s="8">
        <v>108.5</v>
      </c>
      <c r="B219" s="8">
        <v>217</v>
      </c>
      <c r="D219">
        <v>1099.9607032058</v>
      </c>
      <c r="E219">
        <v>450.94725956566998</v>
      </c>
      <c r="F219">
        <v>147.72897196261999</v>
      </c>
      <c r="G219">
        <v>121.20249221184</v>
      </c>
      <c r="I219" s="9">
        <f t="shared" si="22"/>
        <v>329.74476735382996</v>
      </c>
      <c r="J219" s="9">
        <f t="shared" si="23"/>
        <v>952.23173124317998</v>
      </c>
      <c r="K219" s="9">
        <f t="shared" si="24"/>
        <v>329.74476735382996</v>
      </c>
      <c r="L219" s="10">
        <f t="shared" si="21"/>
        <v>0.34628626261312867</v>
      </c>
      <c r="M219" s="10">
        <f t="shared" si="20"/>
        <v>0.40641883843469434</v>
      </c>
      <c r="P219" s="8">
        <f t="shared" si="25"/>
        <v>-0.8823838305408217</v>
      </c>
    </row>
    <row r="220" spans="1:16" x14ac:dyDescent="0.2">
      <c r="A220" s="8">
        <v>109</v>
      </c>
      <c r="B220" s="8">
        <v>218</v>
      </c>
      <c r="D220">
        <v>1082.7230769231001</v>
      </c>
      <c r="E220">
        <v>440.44205128204999</v>
      </c>
      <c r="F220">
        <v>148.11111111111001</v>
      </c>
      <c r="G220">
        <v>121.86292834891</v>
      </c>
      <c r="I220" s="9">
        <f t="shared" si="22"/>
        <v>318.57912293313996</v>
      </c>
      <c r="J220" s="9">
        <f t="shared" si="23"/>
        <v>934.6119658119901</v>
      </c>
      <c r="K220" s="9">
        <f t="shared" si="24"/>
        <v>318.57912293313996</v>
      </c>
      <c r="L220" s="10">
        <f t="shared" si="21"/>
        <v>0.34086779817371443</v>
      </c>
      <c r="M220" s="10">
        <f t="shared" si="20"/>
        <v>0.4012774826396191</v>
      </c>
      <c r="P220" s="8">
        <f t="shared" si="25"/>
        <v>-2.1362600835452152</v>
      </c>
    </row>
    <row r="221" spans="1:16" x14ac:dyDescent="0.2">
      <c r="A221" s="8">
        <v>109.5</v>
      </c>
      <c r="B221" s="8">
        <v>219</v>
      </c>
      <c r="D221">
        <v>1078.5856410255999</v>
      </c>
      <c r="E221">
        <v>436.32717948717999</v>
      </c>
      <c r="F221">
        <v>147.83800623053</v>
      </c>
      <c r="G221">
        <v>121.35306334372</v>
      </c>
      <c r="I221" s="9">
        <f t="shared" si="22"/>
        <v>314.97411614345998</v>
      </c>
      <c r="J221" s="9">
        <f t="shared" si="23"/>
        <v>930.74763479506987</v>
      </c>
      <c r="K221" s="9">
        <f t="shared" si="24"/>
        <v>314.97411614345998</v>
      </c>
      <c r="L221" s="10">
        <f t="shared" si="21"/>
        <v>0.33840979484499079</v>
      </c>
      <c r="M221" s="10">
        <f t="shared" si="20"/>
        <v>0.39909658795523451</v>
      </c>
      <c r="P221" s="8">
        <f t="shared" si="25"/>
        <v>-2.6681376979427096</v>
      </c>
    </row>
    <row r="222" spans="1:16" x14ac:dyDescent="0.2">
      <c r="A222" s="8">
        <v>110</v>
      </c>
      <c r="B222" s="8">
        <v>220</v>
      </c>
      <c r="D222">
        <v>1118.0238095238001</v>
      </c>
      <c r="E222">
        <v>447.00103519669</v>
      </c>
      <c r="F222">
        <v>148.17237798546</v>
      </c>
      <c r="G222">
        <v>120.98234683280999</v>
      </c>
      <c r="I222" s="9">
        <f t="shared" si="22"/>
        <v>326.01868836388002</v>
      </c>
      <c r="J222" s="9">
        <f t="shared" si="23"/>
        <v>969.85143153834008</v>
      </c>
      <c r="K222" s="9">
        <f t="shared" si="24"/>
        <v>326.01868836388002</v>
      </c>
      <c r="L222" s="10">
        <f t="shared" si="21"/>
        <v>0.33615322693988503</v>
      </c>
      <c r="M222" s="10">
        <f t="shared" si="20"/>
        <v>0.39711712869446775</v>
      </c>
      <c r="P222" s="8">
        <f t="shared" si="25"/>
        <v>-3.1508891471309766</v>
      </c>
    </row>
    <row r="223" spans="1:16" x14ac:dyDescent="0.2">
      <c r="A223" s="8">
        <v>110.5</v>
      </c>
      <c r="B223" s="8">
        <v>221</v>
      </c>
      <c r="D223">
        <v>1118.9472049689</v>
      </c>
      <c r="E223">
        <v>451.31987577640001</v>
      </c>
      <c r="F223">
        <v>148.91381100727</v>
      </c>
      <c r="G223">
        <v>121.88888888888999</v>
      </c>
      <c r="I223" s="9">
        <f t="shared" si="22"/>
        <v>329.43098688751002</v>
      </c>
      <c r="J223" s="9">
        <f t="shared" si="23"/>
        <v>970.03339396163005</v>
      </c>
      <c r="K223" s="9">
        <f t="shared" si="24"/>
        <v>329.43098688751002</v>
      </c>
      <c r="L223" s="10">
        <f t="shared" si="21"/>
        <v>0.33960788251021878</v>
      </c>
      <c r="M223" s="10">
        <f t="shared" si="20"/>
        <v>0.4008488929091405</v>
      </c>
      <c r="P223" s="8">
        <f t="shared" si="25"/>
        <v>-2.2407847472231168</v>
      </c>
    </row>
    <row r="224" spans="1:16" x14ac:dyDescent="0.2">
      <c r="A224" s="8">
        <v>111</v>
      </c>
      <c r="B224" s="8">
        <v>222</v>
      </c>
      <c r="D224">
        <v>1109.7770897833</v>
      </c>
      <c r="E224">
        <v>452.45717234262003</v>
      </c>
      <c r="F224">
        <v>148.81516095535</v>
      </c>
      <c r="G224">
        <v>121.55244029076</v>
      </c>
      <c r="I224" s="9">
        <f t="shared" si="22"/>
        <v>330.90473205186004</v>
      </c>
      <c r="J224" s="9">
        <f t="shared" si="23"/>
        <v>960.96192882795003</v>
      </c>
      <c r="K224" s="9">
        <f t="shared" si="24"/>
        <v>330.90473205186004</v>
      </c>
      <c r="L224" s="10">
        <f t="shared" si="21"/>
        <v>0.3443473899693949</v>
      </c>
      <c r="M224" s="10">
        <f t="shared" si="20"/>
        <v>0.40586550901265561</v>
      </c>
      <c r="P224" s="8">
        <f t="shared" si="25"/>
        <v>-1.0173300684665425</v>
      </c>
    </row>
    <row r="225" spans="1:16" x14ac:dyDescent="0.2">
      <c r="A225" s="8">
        <v>111.5</v>
      </c>
      <c r="B225" s="8">
        <v>223</v>
      </c>
      <c r="D225">
        <v>1125.8658410733001</v>
      </c>
      <c r="E225">
        <v>457.55417956655998</v>
      </c>
      <c r="F225">
        <v>148.45690550363</v>
      </c>
      <c r="G225">
        <v>121.7518172378</v>
      </c>
      <c r="I225" s="9">
        <f t="shared" si="22"/>
        <v>335.80236232875995</v>
      </c>
      <c r="J225" s="9">
        <f t="shared" si="23"/>
        <v>977.40893556967012</v>
      </c>
      <c r="K225" s="9">
        <f t="shared" si="24"/>
        <v>335.80236232875995</v>
      </c>
      <c r="L225" s="10">
        <f t="shared" si="21"/>
        <v>0.34356383506259014</v>
      </c>
      <c r="M225" s="10">
        <f t="shared" si="20"/>
        <v>0.4053590627501899</v>
      </c>
      <c r="P225" s="8">
        <f t="shared" si="25"/>
        <v>-1.1408424195348836</v>
      </c>
    </row>
    <row r="226" spans="1:16" x14ac:dyDescent="0.2">
      <c r="A226" s="8">
        <v>112</v>
      </c>
      <c r="B226" s="8">
        <v>224</v>
      </c>
      <c r="D226">
        <v>1136.7394002067999</v>
      </c>
      <c r="E226">
        <v>465.21199586350002</v>
      </c>
      <c r="F226">
        <v>148.58151609554</v>
      </c>
      <c r="G226">
        <v>121.73935617861</v>
      </c>
      <c r="I226" s="9">
        <f t="shared" si="22"/>
        <v>343.47263968489005</v>
      </c>
      <c r="J226" s="9">
        <f t="shared" si="23"/>
        <v>988.15788411125993</v>
      </c>
      <c r="K226" s="9">
        <f t="shared" si="24"/>
        <v>343.47263968489005</v>
      </c>
      <c r="L226" s="10">
        <f t="shared" si="21"/>
        <v>0.34758882685412784</v>
      </c>
      <c r="M226" s="10">
        <f t="shared" si="20"/>
        <v>0.4096611631860666</v>
      </c>
      <c r="P226" s="8">
        <f t="shared" si="25"/>
        <v>-9.1644155576437097E-2</v>
      </c>
    </row>
    <row r="227" spans="1:16" x14ac:dyDescent="0.2">
      <c r="A227" s="8">
        <v>112.5</v>
      </c>
      <c r="B227" s="8">
        <v>225</v>
      </c>
      <c r="D227">
        <v>1118.4074457084</v>
      </c>
      <c r="E227">
        <v>468.75077559461999</v>
      </c>
      <c r="F227">
        <v>148.88992731049001</v>
      </c>
      <c r="G227">
        <v>121.50363447559999</v>
      </c>
      <c r="I227" s="9">
        <f t="shared" si="22"/>
        <v>347.24714111902</v>
      </c>
      <c r="J227" s="9">
        <f t="shared" si="23"/>
        <v>969.51751839790995</v>
      </c>
      <c r="K227" s="9">
        <f t="shared" si="24"/>
        <v>347.24714111902</v>
      </c>
      <c r="L227" s="10">
        <f t="shared" si="21"/>
        <v>0.35816489597096957</v>
      </c>
      <c r="M227" s="10">
        <f t="shared" si="20"/>
        <v>0.42051434094724732</v>
      </c>
      <c r="P227" s="8">
        <f t="shared" si="25"/>
        <v>2.5552339067072753</v>
      </c>
    </row>
    <row r="228" spans="1:16" x14ac:dyDescent="0.2">
      <c r="A228" s="8">
        <v>113</v>
      </c>
      <c r="B228" s="8">
        <v>226</v>
      </c>
      <c r="D228">
        <v>1136.1302998966</v>
      </c>
      <c r="E228">
        <v>473.03102378490001</v>
      </c>
      <c r="F228">
        <v>148.45690550363</v>
      </c>
      <c r="G228">
        <v>121.71339563863</v>
      </c>
      <c r="I228" s="9">
        <f t="shared" si="22"/>
        <v>351.31762814627001</v>
      </c>
      <c r="J228" s="9">
        <f t="shared" si="23"/>
        <v>987.67339439297007</v>
      </c>
      <c r="K228" s="9">
        <f t="shared" si="24"/>
        <v>351.31762814627001</v>
      </c>
      <c r="L228" s="10">
        <f t="shared" si="21"/>
        <v>0.3557022292396485</v>
      </c>
      <c r="M228" s="10">
        <f t="shared" si="20"/>
        <v>0.41832878286026531</v>
      </c>
      <c r="P228" s="8">
        <f t="shared" si="25"/>
        <v>2.0222189795058898</v>
      </c>
    </row>
    <row r="229" spans="1:16" x14ac:dyDescent="0.2">
      <c r="A229" s="8">
        <v>113.5</v>
      </c>
      <c r="B229" s="8">
        <v>227</v>
      </c>
      <c r="D229">
        <v>1132.6845915202</v>
      </c>
      <c r="E229">
        <v>475.30610134436</v>
      </c>
      <c r="F229">
        <v>147.92211838006</v>
      </c>
      <c r="G229">
        <v>121.68639667705</v>
      </c>
      <c r="I229" s="9">
        <f t="shared" si="22"/>
        <v>353.61970466730997</v>
      </c>
      <c r="J229" s="9">
        <f t="shared" si="23"/>
        <v>984.76247314013995</v>
      </c>
      <c r="K229" s="9">
        <f t="shared" si="24"/>
        <v>353.61970466730997</v>
      </c>
      <c r="L229" s="10">
        <f t="shared" si="21"/>
        <v>0.35909136904832778</v>
      </c>
      <c r="M229" s="10">
        <f t="shared" si="20"/>
        <v>0.42199503131328359</v>
      </c>
      <c r="P229" s="8">
        <f t="shared" si="25"/>
        <v>2.9163453648568245</v>
      </c>
    </row>
    <row r="230" spans="1:16" x14ac:dyDescent="0.2">
      <c r="A230" s="8">
        <v>114</v>
      </c>
      <c r="B230" s="8">
        <v>228</v>
      </c>
      <c r="D230">
        <v>1137.5098241986</v>
      </c>
      <c r="E230">
        <v>467.86246122027001</v>
      </c>
      <c r="F230">
        <v>149.28660436137</v>
      </c>
      <c r="G230">
        <v>121.89823468327999</v>
      </c>
      <c r="I230" s="9">
        <f t="shared" si="22"/>
        <v>345.96422653699</v>
      </c>
      <c r="J230" s="9">
        <f t="shared" si="23"/>
        <v>988.22321983722998</v>
      </c>
      <c r="K230" s="9">
        <f t="shared" si="24"/>
        <v>345.96422653699</v>
      </c>
      <c r="L230" s="10">
        <f t="shared" si="21"/>
        <v>0.35008712565362882</v>
      </c>
      <c r="M230" s="10">
        <f t="shared" si="20"/>
        <v>0.41326789656292362</v>
      </c>
      <c r="P230" s="8">
        <f t="shared" si="25"/>
        <v>0.7879676651987827</v>
      </c>
    </row>
    <row r="231" spans="1:16" x14ac:dyDescent="0.2">
      <c r="A231" s="8">
        <v>114.5</v>
      </c>
      <c r="B231" s="8">
        <v>229</v>
      </c>
      <c r="D231">
        <v>1117.7183967112001</v>
      </c>
      <c r="E231">
        <v>454.61253854059999</v>
      </c>
      <c r="F231">
        <v>149.96988577362001</v>
      </c>
      <c r="G231">
        <v>121.72689511942001</v>
      </c>
      <c r="I231" s="9">
        <f t="shared" si="22"/>
        <v>332.88564342117996</v>
      </c>
      <c r="J231" s="9">
        <f t="shared" si="23"/>
        <v>967.74851093758002</v>
      </c>
      <c r="K231" s="9">
        <f t="shared" si="24"/>
        <v>332.88564342117996</v>
      </c>
      <c r="L231" s="10">
        <f t="shared" si="21"/>
        <v>0.34397949431993613</v>
      </c>
      <c r="M231" s="10">
        <f t="shared" si="20"/>
        <v>0.40743737387356993</v>
      </c>
      <c r="P231" s="8">
        <f t="shared" si="25"/>
        <v>-0.63398293191543875</v>
      </c>
    </row>
    <row r="232" spans="1:16" x14ac:dyDescent="0.2">
      <c r="A232" s="8">
        <v>115</v>
      </c>
      <c r="B232" s="8">
        <v>230</v>
      </c>
      <c r="D232">
        <v>1121.7882836588001</v>
      </c>
      <c r="E232">
        <v>457.0421377184</v>
      </c>
      <c r="F232">
        <v>148.99688473520001</v>
      </c>
      <c r="G232">
        <v>121.58255451713001</v>
      </c>
      <c r="I232" s="9">
        <f t="shared" si="22"/>
        <v>335.45958320126999</v>
      </c>
      <c r="J232" s="9">
        <f t="shared" si="23"/>
        <v>972.79139892360013</v>
      </c>
      <c r="K232" s="9">
        <f t="shared" si="24"/>
        <v>335.45958320126999</v>
      </c>
      <c r="L232" s="10">
        <f t="shared" si="21"/>
        <v>0.34484225865119505</v>
      </c>
      <c r="M232" s="10">
        <f t="shared" si="20"/>
        <v>0.40857724684916785</v>
      </c>
      <c r="P232" s="8">
        <f t="shared" si="25"/>
        <v>-0.35599017815334016</v>
      </c>
    </row>
    <row r="233" spans="1:16" x14ac:dyDescent="0.2">
      <c r="A233" s="8">
        <v>115.5</v>
      </c>
      <c r="B233" s="8">
        <v>231</v>
      </c>
      <c r="D233">
        <v>1118.7595066803999</v>
      </c>
      <c r="E233">
        <v>455.62589928057997</v>
      </c>
      <c r="F233">
        <v>149.17445482866</v>
      </c>
      <c r="G233">
        <v>121.93665628245</v>
      </c>
      <c r="I233" s="9">
        <f t="shared" si="22"/>
        <v>333.68924299813</v>
      </c>
      <c r="J233" s="9">
        <f t="shared" si="23"/>
        <v>969.58505185173988</v>
      </c>
      <c r="K233" s="9">
        <f t="shared" si="24"/>
        <v>333.68924299813</v>
      </c>
      <c r="L233" s="10">
        <f t="shared" si="21"/>
        <v>0.34415675278908353</v>
      </c>
      <c r="M233" s="10">
        <f t="shared" si="20"/>
        <v>0.40816884963139538</v>
      </c>
      <c r="P233" s="8">
        <f t="shared" si="25"/>
        <v>-0.45559028239986443</v>
      </c>
    </row>
    <row r="234" spans="1:16" x14ac:dyDescent="0.2">
      <c r="A234" s="8">
        <v>116</v>
      </c>
      <c r="B234" s="8">
        <v>232</v>
      </c>
      <c r="D234">
        <v>1156.5501043841</v>
      </c>
      <c r="E234">
        <v>467.53131524008</v>
      </c>
      <c r="F234">
        <v>149.15368639668</v>
      </c>
      <c r="G234">
        <v>122.13707165109</v>
      </c>
      <c r="I234" s="9">
        <f t="shared" si="22"/>
        <v>345.39424358898998</v>
      </c>
      <c r="J234" s="9">
        <f t="shared" si="23"/>
        <v>1007.39641798742</v>
      </c>
      <c r="K234" s="9">
        <f t="shared" si="24"/>
        <v>345.39424358898998</v>
      </c>
      <c r="L234" s="10">
        <f t="shared" si="21"/>
        <v>0.34285832014274953</v>
      </c>
      <c r="M234" s="10">
        <f t="shared" si="20"/>
        <v>0.40714752562940038</v>
      </c>
      <c r="P234" s="8">
        <f t="shared" si="25"/>
        <v>-0.70467125710144263</v>
      </c>
    </row>
    <row r="235" spans="1:16" x14ac:dyDescent="0.2">
      <c r="A235" s="8">
        <v>116.5</v>
      </c>
      <c r="B235" s="8">
        <v>233</v>
      </c>
      <c r="D235">
        <v>1119.0778008299001</v>
      </c>
      <c r="E235">
        <v>452.80809128631</v>
      </c>
      <c r="F235">
        <v>149.07268951194001</v>
      </c>
      <c r="G235">
        <v>122.04049844236999</v>
      </c>
      <c r="I235" s="9">
        <f t="shared" si="22"/>
        <v>330.76759284394001</v>
      </c>
      <c r="J235" s="9">
        <f t="shared" si="23"/>
        <v>970.00511131796009</v>
      </c>
      <c r="K235" s="9">
        <f t="shared" si="24"/>
        <v>330.76759284394001</v>
      </c>
      <c r="L235" s="10">
        <f t="shared" si="21"/>
        <v>0.34099572155297331</v>
      </c>
      <c r="M235" s="10">
        <f t="shared" si="20"/>
        <v>0.40556203568396321</v>
      </c>
      <c r="P235" s="8">
        <f t="shared" si="25"/>
        <v>-1.0913412856307176</v>
      </c>
    </row>
    <row r="236" spans="1:16" x14ac:dyDescent="0.2">
      <c r="A236" s="8">
        <v>117</v>
      </c>
      <c r="B236" s="8">
        <v>234</v>
      </c>
      <c r="D236">
        <v>1084.5706860707</v>
      </c>
      <c r="E236">
        <v>442.54989604989998</v>
      </c>
      <c r="F236">
        <v>148.7476635514</v>
      </c>
      <c r="G236">
        <v>122.13914849429</v>
      </c>
      <c r="I236" s="9">
        <f t="shared" si="22"/>
        <v>320.41074755560999</v>
      </c>
      <c r="J236" s="9">
        <f t="shared" si="23"/>
        <v>935.82302251930003</v>
      </c>
      <c r="K236" s="9">
        <f t="shared" si="24"/>
        <v>320.41074755560999</v>
      </c>
      <c r="L236" s="10">
        <f t="shared" si="21"/>
        <v>0.34238391217715736</v>
      </c>
      <c r="M236" s="10">
        <f t="shared" si="20"/>
        <v>0.40722733495248625</v>
      </c>
      <c r="P236" s="8">
        <f t="shared" si="25"/>
        <v>-0.68520732210562063</v>
      </c>
    </row>
    <row r="237" spans="1:16" x14ac:dyDescent="0.2">
      <c r="A237" s="8">
        <v>117.5</v>
      </c>
      <c r="B237" s="8">
        <v>235</v>
      </c>
      <c r="D237">
        <v>1091.5904365904</v>
      </c>
      <c r="E237">
        <v>443.95841995842</v>
      </c>
      <c r="F237">
        <v>148.63759086189</v>
      </c>
      <c r="G237">
        <v>121.6209761163</v>
      </c>
      <c r="I237" s="9">
        <f t="shared" si="22"/>
        <v>322.33744384212002</v>
      </c>
      <c r="J237" s="9">
        <f t="shared" si="23"/>
        <v>942.95284572851006</v>
      </c>
      <c r="K237" s="9">
        <f t="shared" si="24"/>
        <v>322.33744384212002</v>
      </c>
      <c r="L237" s="10">
        <f t="shared" si="21"/>
        <v>0.34183834886577741</v>
      </c>
      <c r="M237" s="10">
        <f t="shared" si="20"/>
        <v>0.4069588802854453</v>
      </c>
      <c r="P237" s="8">
        <f t="shared" si="25"/>
        <v>-0.75067817170783613</v>
      </c>
    </row>
    <row r="238" spans="1:16" x14ac:dyDescent="0.2">
      <c r="A238" s="8">
        <v>118</v>
      </c>
      <c r="B238" s="8">
        <v>236</v>
      </c>
      <c r="D238">
        <v>1095.5322245322</v>
      </c>
      <c r="E238">
        <v>445.23492723493001</v>
      </c>
      <c r="F238">
        <v>149.17341640705999</v>
      </c>
      <c r="G238">
        <v>122.1298026999</v>
      </c>
      <c r="I238" s="9">
        <f t="shared" si="22"/>
        <v>323.10512453503003</v>
      </c>
      <c r="J238" s="9">
        <f t="shared" si="23"/>
        <v>946.35880812513994</v>
      </c>
      <c r="K238" s="9">
        <f t="shared" si="24"/>
        <v>323.10512453503003</v>
      </c>
      <c r="L238" s="10">
        <f t="shared" si="21"/>
        <v>0.34141926060279754</v>
      </c>
      <c r="M238" s="10">
        <f t="shared" si="20"/>
        <v>0.40681690066680443</v>
      </c>
      <c r="P238" s="8">
        <f t="shared" si="25"/>
        <v>-0.7853042274254618</v>
      </c>
    </row>
    <row r="239" spans="1:16" x14ac:dyDescent="0.2">
      <c r="A239" s="8">
        <v>118.5</v>
      </c>
      <c r="B239" s="8">
        <v>237</v>
      </c>
      <c r="D239">
        <v>1089.1410916581001</v>
      </c>
      <c r="E239">
        <v>443.53038105045999</v>
      </c>
      <c r="F239">
        <v>149.69158878504999</v>
      </c>
      <c r="G239">
        <v>122.11318795431001</v>
      </c>
      <c r="I239" s="9">
        <f t="shared" si="22"/>
        <v>321.41719309614996</v>
      </c>
      <c r="J239" s="9">
        <f t="shared" si="23"/>
        <v>939.44950287305005</v>
      </c>
      <c r="K239" s="9">
        <f t="shared" si="24"/>
        <v>321.41719309614996</v>
      </c>
      <c r="L239" s="10">
        <f t="shared" si="21"/>
        <v>0.34213354960876891</v>
      </c>
      <c r="M239" s="10">
        <f t="shared" si="20"/>
        <v>0.40780829831711485</v>
      </c>
      <c r="P239" s="8">
        <f t="shared" si="25"/>
        <v>-0.54352170535233246</v>
      </c>
    </row>
    <row r="240" spans="1:16" x14ac:dyDescent="0.2">
      <c r="A240" s="8">
        <v>119</v>
      </c>
      <c r="B240" s="8">
        <v>238</v>
      </c>
      <c r="D240">
        <v>1100.0535530381001</v>
      </c>
      <c r="E240">
        <v>439.96395468588997</v>
      </c>
      <c r="F240">
        <v>148.89304257529</v>
      </c>
      <c r="G240">
        <v>122.19003115264999</v>
      </c>
      <c r="I240" s="9">
        <f t="shared" si="22"/>
        <v>317.77392353324001</v>
      </c>
      <c r="J240" s="9">
        <f t="shared" si="23"/>
        <v>951.16051046281007</v>
      </c>
      <c r="K240" s="9">
        <f t="shared" si="24"/>
        <v>317.77392353324001</v>
      </c>
      <c r="L240" s="10">
        <f t="shared" si="21"/>
        <v>0.33409074497701702</v>
      </c>
      <c r="M240" s="10">
        <f t="shared" si="20"/>
        <v>0.40004260232970196</v>
      </c>
      <c r="P240" s="8">
        <f t="shared" si="25"/>
        <v>-2.4374232703822289</v>
      </c>
    </row>
    <row r="241" spans="1:16" x14ac:dyDescent="0.2">
      <c r="A241" s="8">
        <v>119.5</v>
      </c>
      <c r="B241" s="8">
        <v>239</v>
      </c>
      <c r="D241">
        <v>1143.2581967213</v>
      </c>
      <c r="E241">
        <v>449.41803278689002</v>
      </c>
      <c r="F241">
        <v>149.44963655244001</v>
      </c>
      <c r="G241">
        <v>122.36863966771</v>
      </c>
      <c r="I241" s="9">
        <f t="shared" si="22"/>
        <v>327.04939311918002</v>
      </c>
      <c r="J241" s="9">
        <f t="shared" si="23"/>
        <v>993.80856016886003</v>
      </c>
      <c r="K241" s="9">
        <f t="shared" si="24"/>
        <v>327.04939311918002</v>
      </c>
      <c r="L241" s="10">
        <f t="shared" si="21"/>
        <v>0.32908691495232278</v>
      </c>
      <c r="M241" s="10">
        <f t="shared" si="20"/>
        <v>0.39531588094934672</v>
      </c>
      <c r="P241" s="8">
        <f t="shared" si="25"/>
        <v>-3.5901782886349274</v>
      </c>
    </row>
    <row r="242" spans="1:16" x14ac:dyDescent="0.2">
      <c r="A242" s="8">
        <v>120</v>
      </c>
      <c r="B242" s="8">
        <v>240</v>
      </c>
      <c r="D242">
        <v>1128.5317622951</v>
      </c>
      <c r="E242">
        <v>442.75512295082001</v>
      </c>
      <c r="F242">
        <v>149.45171339564001</v>
      </c>
      <c r="G242">
        <v>121.75804776739</v>
      </c>
      <c r="I242" s="9">
        <f>E242-G242</f>
        <v>320.99707518343001</v>
      </c>
      <c r="J242" s="9">
        <f>D242-F242</f>
        <v>979.08004889945994</v>
      </c>
      <c r="K242" s="9">
        <f t="shared" si="24"/>
        <v>320.99707518343001</v>
      </c>
      <c r="L242" s="10">
        <f t="shared" si="21"/>
        <v>0.32785580254060787</v>
      </c>
      <c r="M242" s="10">
        <f>L242+ABS($N$2)*A242</f>
        <v>0.3943618771819708</v>
      </c>
      <c r="O242" s="11"/>
      <c r="P242" s="8">
        <f>(M242-$O$2)/$O$2*100</f>
        <v>-3.8228411730700413</v>
      </c>
    </row>
    <row r="243" spans="1:16" x14ac:dyDescent="0.2">
      <c r="A243" s="8">
        <v>120.5</v>
      </c>
      <c r="B243" s="8">
        <v>241</v>
      </c>
      <c r="D243">
        <v>1116.6700819672001</v>
      </c>
      <c r="E243">
        <v>436.87704918033</v>
      </c>
      <c r="F243">
        <v>149.82762201454</v>
      </c>
      <c r="G243">
        <v>121.98026998962</v>
      </c>
      <c r="I243" s="9">
        <f t="shared" ref="I243:I274" si="26">E243-G243</f>
        <v>314.89677919070999</v>
      </c>
      <c r="J243" s="9">
        <f t="shared" ref="J243:J274" si="27">D243-F243</f>
        <v>966.84245995266008</v>
      </c>
      <c r="K243" s="9">
        <f t="shared" si="24"/>
        <v>314.89677919070999</v>
      </c>
      <c r="L243" s="10">
        <f t="shared" si="21"/>
        <v>0.32569605932090367</v>
      </c>
      <c r="M243" s="10">
        <f t="shared" ref="M243:M274" si="28">L243+ABS($N$2)*A243</f>
        <v>0.39247924260660561</v>
      </c>
      <c r="P243" s="8">
        <f t="shared" ref="P243:P274" si="29">(M243-$O$2)/$O$2*100</f>
        <v>-4.2819789727524853</v>
      </c>
    </row>
    <row r="244" spans="1:16" x14ac:dyDescent="0.2">
      <c r="A244" s="8">
        <v>121</v>
      </c>
      <c r="B244" s="8">
        <v>242</v>
      </c>
      <c r="D244">
        <v>1125.1645962733</v>
      </c>
      <c r="E244">
        <v>435.67287784679002</v>
      </c>
      <c r="F244">
        <v>149.14849428868001</v>
      </c>
      <c r="G244">
        <v>122.66458982347</v>
      </c>
      <c r="I244" s="9">
        <f t="shared" si="26"/>
        <v>313.00828802332001</v>
      </c>
      <c r="J244" s="9">
        <f t="shared" si="27"/>
        <v>976.01610198462004</v>
      </c>
      <c r="K244" s="9">
        <f t="shared" si="24"/>
        <v>313.00828802332001</v>
      </c>
      <c r="L244" s="10">
        <f t="shared" si="21"/>
        <v>0.32069992225215599</v>
      </c>
      <c r="M244" s="10">
        <f t="shared" si="28"/>
        <v>0.38776021418219697</v>
      </c>
      <c r="N244" s="1"/>
      <c r="P244" s="8">
        <f t="shared" si="29"/>
        <v>-5.432857829315286</v>
      </c>
    </row>
    <row r="245" spans="1:16" x14ac:dyDescent="0.2">
      <c r="A245" s="8">
        <v>121.5</v>
      </c>
      <c r="B245" s="8">
        <v>243</v>
      </c>
      <c r="D245">
        <v>1121.6004140786999</v>
      </c>
      <c r="E245">
        <v>428.60766045549002</v>
      </c>
      <c r="F245">
        <v>150.18172377985999</v>
      </c>
      <c r="G245">
        <v>121.94392523365001</v>
      </c>
      <c r="I245" s="9">
        <f t="shared" si="26"/>
        <v>306.66373522184</v>
      </c>
      <c r="J245" s="9">
        <f t="shared" si="27"/>
        <v>971.41869029883992</v>
      </c>
      <c r="K245" s="9">
        <f t="shared" si="24"/>
        <v>306.66373522184</v>
      </c>
      <c r="L245" s="10">
        <f t="shared" si="21"/>
        <v>0.31568646793021893</v>
      </c>
      <c r="M245" s="10">
        <f t="shared" si="28"/>
        <v>0.38302386850459891</v>
      </c>
      <c r="P245" s="8">
        <f t="shared" si="29"/>
        <v>-6.5879600256754003</v>
      </c>
    </row>
    <row r="246" spans="1:16" x14ac:dyDescent="0.2">
      <c r="A246" s="8">
        <v>122</v>
      </c>
      <c r="B246" s="8">
        <v>244</v>
      </c>
      <c r="D246">
        <v>1117.9979296066001</v>
      </c>
      <c r="E246">
        <v>426.78364389234002</v>
      </c>
      <c r="F246">
        <v>150.09761163031999</v>
      </c>
      <c r="G246">
        <v>122.40706126687</v>
      </c>
      <c r="I246" s="9">
        <f t="shared" si="26"/>
        <v>304.37658262547001</v>
      </c>
      <c r="J246" s="9">
        <f t="shared" si="27"/>
        <v>967.90031797628012</v>
      </c>
      <c r="K246" s="9">
        <f t="shared" si="24"/>
        <v>304.37658262547001</v>
      </c>
      <c r="L246" s="10">
        <f t="shared" si="21"/>
        <v>0.31447100178856352</v>
      </c>
      <c r="M246" s="10">
        <f t="shared" si="28"/>
        <v>0.3820855110072825</v>
      </c>
      <c r="P246" s="8">
        <f t="shared" si="29"/>
        <v>-6.8168070904594984</v>
      </c>
    </row>
    <row r="247" spans="1:16" x14ac:dyDescent="0.2">
      <c r="A247" s="8">
        <v>122.5</v>
      </c>
      <c r="B247" s="8">
        <v>245</v>
      </c>
      <c r="D247">
        <v>1116.5714285714</v>
      </c>
      <c r="E247">
        <v>425.42753623188003</v>
      </c>
      <c r="F247">
        <v>149.60332294912001</v>
      </c>
      <c r="G247">
        <v>121.96157840083001</v>
      </c>
      <c r="I247" s="9">
        <f t="shared" si="26"/>
        <v>303.46595783104999</v>
      </c>
      <c r="J247" s="9">
        <f t="shared" si="27"/>
        <v>966.96810562228006</v>
      </c>
      <c r="K247" s="9">
        <f t="shared" si="24"/>
        <v>303.46595783104999</v>
      </c>
      <c r="L247" s="10">
        <f t="shared" si="21"/>
        <v>0.31383243776769487</v>
      </c>
      <c r="M247" s="10">
        <f t="shared" si="28"/>
        <v>0.3817240556307529</v>
      </c>
      <c r="P247" s="8">
        <f t="shared" si="29"/>
        <v>-6.9049589965355862</v>
      </c>
    </row>
    <row r="248" spans="1:16" x14ac:dyDescent="0.2">
      <c r="A248" s="8">
        <v>123</v>
      </c>
      <c r="B248" s="8">
        <v>246</v>
      </c>
      <c r="D248">
        <v>1103.4844720496999</v>
      </c>
      <c r="E248">
        <v>422.73084886127998</v>
      </c>
      <c r="F248">
        <v>149.43406022844999</v>
      </c>
      <c r="G248">
        <v>122.40394600208</v>
      </c>
      <c r="I248" s="9">
        <f t="shared" si="26"/>
        <v>300.3269028592</v>
      </c>
      <c r="J248" s="9">
        <f t="shared" si="27"/>
        <v>954.0504118212499</v>
      </c>
      <c r="K248" s="9">
        <f t="shared" si="24"/>
        <v>300.3269028592</v>
      </c>
      <c r="L248" s="10">
        <f t="shared" si="21"/>
        <v>0.31479143988406871</v>
      </c>
      <c r="M248" s="10">
        <f t="shared" si="28"/>
        <v>0.38296016639146574</v>
      </c>
      <c r="P248" s="8">
        <f t="shared" si="29"/>
        <v>-6.6034957267837324</v>
      </c>
    </row>
    <row r="249" spans="1:16" x14ac:dyDescent="0.2">
      <c r="A249" s="8">
        <v>123.5</v>
      </c>
      <c r="B249" s="8">
        <v>247</v>
      </c>
      <c r="D249">
        <v>1114.6697722567001</v>
      </c>
      <c r="E249">
        <v>425.19565217390999</v>
      </c>
      <c r="F249">
        <v>149.7476635514</v>
      </c>
      <c r="G249">
        <v>121.96365524402999</v>
      </c>
      <c r="I249" s="9">
        <f t="shared" si="26"/>
        <v>303.23199692987998</v>
      </c>
      <c r="J249" s="9">
        <f t="shared" si="27"/>
        <v>964.92210870530005</v>
      </c>
      <c r="K249" s="9">
        <f t="shared" si="24"/>
        <v>303.23199692987998</v>
      </c>
      <c r="L249" s="10">
        <f t="shared" si="21"/>
        <v>0.31425541418752073</v>
      </c>
      <c r="M249" s="10">
        <f t="shared" si="28"/>
        <v>0.38270124933925675</v>
      </c>
      <c r="P249" s="8">
        <f t="shared" si="29"/>
        <v>-6.6666405384253853</v>
      </c>
    </row>
    <row r="250" spans="1:16" x14ac:dyDescent="0.2">
      <c r="A250" s="8">
        <v>124</v>
      </c>
      <c r="B250" s="8">
        <v>248</v>
      </c>
      <c r="D250">
        <v>1108.0652173912999</v>
      </c>
      <c r="E250">
        <v>426.52587991718002</v>
      </c>
      <c r="F250">
        <v>149.54517133956</v>
      </c>
      <c r="G250">
        <v>122.14537902388</v>
      </c>
      <c r="I250" s="9">
        <f t="shared" si="26"/>
        <v>304.3805008933</v>
      </c>
      <c r="J250" s="9">
        <f t="shared" si="27"/>
        <v>958.52004605173988</v>
      </c>
      <c r="K250" s="9">
        <f t="shared" si="24"/>
        <v>304.3805008933</v>
      </c>
      <c r="L250" s="10">
        <f t="shared" si="21"/>
        <v>0.31755256673773297</v>
      </c>
      <c r="M250" s="10">
        <f t="shared" si="28"/>
        <v>0.38627551053380804</v>
      </c>
      <c r="P250" s="8">
        <f t="shared" si="29"/>
        <v>-5.7949480486397427</v>
      </c>
    </row>
    <row r="251" spans="1:16" x14ac:dyDescent="0.2">
      <c r="A251" s="8">
        <v>124.5</v>
      </c>
      <c r="B251" s="8">
        <v>249</v>
      </c>
      <c r="D251">
        <v>1102.4399585921001</v>
      </c>
      <c r="E251">
        <v>419.15424430642003</v>
      </c>
      <c r="F251">
        <v>149.46832814122999</v>
      </c>
      <c r="G251">
        <v>121.98546209761</v>
      </c>
      <c r="I251" s="9">
        <f t="shared" si="26"/>
        <v>297.16878220881006</v>
      </c>
      <c r="J251" s="9">
        <f t="shared" si="27"/>
        <v>952.97163045087007</v>
      </c>
      <c r="K251" s="9">
        <f t="shared" si="24"/>
        <v>297.16878220881006</v>
      </c>
      <c r="L251" s="10">
        <f t="shared" si="21"/>
        <v>0.31183381825145573</v>
      </c>
      <c r="M251" s="10">
        <f t="shared" si="28"/>
        <v>0.3808338706918698</v>
      </c>
      <c r="P251" s="8">
        <f t="shared" si="29"/>
        <v>-7.1220577152659335</v>
      </c>
    </row>
    <row r="252" spans="1:16" x14ac:dyDescent="0.2">
      <c r="A252" s="8">
        <v>125</v>
      </c>
      <c r="B252" s="8">
        <v>250</v>
      </c>
      <c r="D252">
        <v>1118.4039665971</v>
      </c>
      <c r="E252">
        <v>423.57411273486002</v>
      </c>
      <c r="F252">
        <v>149.68431983385</v>
      </c>
      <c r="G252">
        <v>122.2523364486</v>
      </c>
      <c r="I252" s="9">
        <f t="shared" si="26"/>
        <v>301.32177628626005</v>
      </c>
      <c r="J252" s="9">
        <f t="shared" si="27"/>
        <v>968.71964676325001</v>
      </c>
      <c r="K252" s="9">
        <f t="shared" si="24"/>
        <v>301.32177628626005</v>
      </c>
      <c r="L252" s="10">
        <f t="shared" si="21"/>
        <v>0.31105157957006058</v>
      </c>
      <c r="M252" s="10">
        <f t="shared" si="28"/>
        <v>0.38032874065481365</v>
      </c>
      <c r="P252" s="8">
        <f t="shared" si="29"/>
        <v>-7.24524906466654</v>
      </c>
    </row>
    <row r="253" spans="1:16" x14ac:dyDescent="0.2">
      <c r="A253" s="8">
        <v>125.5</v>
      </c>
      <c r="B253" s="8">
        <v>251</v>
      </c>
      <c r="D253">
        <v>1131.0553235908001</v>
      </c>
      <c r="E253">
        <v>429.67432150312999</v>
      </c>
      <c r="F253">
        <v>149.40602284528001</v>
      </c>
      <c r="G253">
        <v>122.03946002076999</v>
      </c>
      <c r="I253" s="9">
        <f t="shared" si="26"/>
        <v>307.63486148236001</v>
      </c>
      <c r="J253" s="9">
        <f t="shared" si="27"/>
        <v>981.64930074552012</v>
      </c>
      <c r="K253" s="9">
        <f t="shared" si="24"/>
        <v>307.63486148236001</v>
      </c>
      <c r="L253" s="10">
        <f t="shared" si="21"/>
        <v>0.31338570836725971</v>
      </c>
      <c r="M253" s="10">
        <f t="shared" si="28"/>
        <v>0.38293997809635177</v>
      </c>
      <c r="P253" s="8">
        <f t="shared" si="29"/>
        <v>-6.6084192576267613</v>
      </c>
    </row>
    <row r="254" spans="1:16" x14ac:dyDescent="0.2">
      <c r="A254" s="8">
        <v>126</v>
      </c>
      <c r="B254" s="8">
        <v>252</v>
      </c>
      <c r="D254">
        <v>1133.1398747390001</v>
      </c>
      <c r="E254">
        <v>432.26409185803999</v>
      </c>
      <c r="F254">
        <v>150.03322949117</v>
      </c>
      <c r="G254">
        <v>122.36137071651</v>
      </c>
      <c r="I254" s="9">
        <f t="shared" si="26"/>
        <v>309.90272114152998</v>
      </c>
      <c r="J254" s="9">
        <f t="shared" si="27"/>
        <v>983.1066452478301</v>
      </c>
      <c r="K254" s="9">
        <f t="shared" si="24"/>
        <v>309.90272114152998</v>
      </c>
      <c r="L254" s="10">
        <f t="shared" si="21"/>
        <v>0.31522797922234264</v>
      </c>
      <c r="M254" s="10">
        <f t="shared" si="28"/>
        <v>0.38505935759577375</v>
      </c>
      <c r="P254" s="8">
        <f t="shared" si="29"/>
        <v>-6.0915439952737769</v>
      </c>
    </row>
    <row r="255" spans="1:16" x14ac:dyDescent="0.2">
      <c r="A255" s="8">
        <v>126.5</v>
      </c>
      <c r="B255" s="8">
        <v>253</v>
      </c>
      <c r="D255">
        <v>1157.4318181818001</v>
      </c>
      <c r="E255">
        <v>436.44938016528999</v>
      </c>
      <c r="F255">
        <v>149.90550363448</v>
      </c>
      <c r="G255">
        <v>122.19418483905</v>
      </c>
      <c r="I255" s="9">
        <f t="shared" si="26"/>
        <v>314.25519532624003</v>
      </c>
      <c r="J255" s="9">
        <f t="shared" si="27"/>
        <v>1007.52631454732</v>
      </c>
      <c r="K255" s="9">
        <f t="shared" si="24"/>
        <v>314.25519532624003</v>
      </c>
      <c r="L255" s="10">
        <f t="shared" si="21"/>
        <v>0.31190768001670943</v>
      </c>
      <c r="M255" s="10">
        <f t="shared" si="28"/>
        <v>0.38201616703447955</v>
      </c>
      <c r="P255" s="8">
        <f t="shared" si="29"/>
        <v>-6.8337187309396006</v>
      </c>
    </row>
    <row r="256" spans="1:16" x14ac:dyDescent="0.2">
      <c r="A256" s="8">
        <v>127</v>
      </c>
      <c r="B256" s="8">
        <v>254</v>
      </c>
      <c r="D256">
        <v>1150.8274793388</v>
      </c>
      <c r="E256">
        <v>434.38223140496001</v>
      </c>
      <c r="F256">
        <v>149.60643821392</v>
      </c>
      <c r="G256">
        <v>122.17030114226</v>
      </c>
      <c r="I256" s="9">
        <f t="shared" si="26"/>
        <v>312.21193026269998</v>
      </c>
      <c r="J256" s="9">
        <f t="shared" si="27"/>
        <v>1001.22104112488</v>
      </c>
      <c r="K256" s="9">
        <f t="shared" si="24"/>
        <v>312.21193026269998</v>
      </c>
      <c r="L256" s="10">
        <f t="shared" si="21"/>
        <v>0.31183117157818352</v>
      </c>
      <c r="M256" s="10">
        <f t="shared" si="28"/>
        <v>0.38221676724029263</v>
      </c>
      <c r="P256" s="8">
        <f t="shared" si="29"/>
        <v>-6.7847962590387541</v>
      </c>
    </row>
    <row r="257" spans="1:16" x14ac:dyDescent="0.2">
      <c r="A257" s="8">
        <v>127.5</v>
      </c>
      <c r="B257" s="8">
        <v>255</v>
      </c>
      <c r="D257">
        <v>1140.7693898656</v>
      </c>
      <c r="E257">
        <v>432.57083764218999</v>
      </c>
      <c r="F257">
        <v>150.52336448598001</v>
      </c>
      <c r="G257">
        <v>122.10695742471</v>
      </c>
      <c r="I257" s="9">
        <f t="shared" si="26"/>
        <v>310.46388021747998</v>
      </c>
      <c r="J257" s="9">
        <f t="shared" si="27"/>
        <v>990.24602537962005</v>
      </c>
      <c r="K257" s="9">
        <f t="shared" si="24"/>
        <v>310.46388021747998</v>
      </c>
      <c r="L257" s="10">
        <f t="shared" si="21"/>
        <v>0.31352196551201583</v>
      </c>
      <c r="M257" s="10">
        <f t="shared" si="28"/>
        <v>0.384184669818464</v>
      </c>
      <c r="P257" s="8">
        <f t="shared" si="29"/>
        <v>-6.3048632590003688</v>
      </c>
    </row>
    <row r="258" spans="1:16" x14ac:dyDescent="0.2">
      <c r="A258" s="8">
        <v>128</v>
      </c>
      <c r="B258" s="8">
        <v>256</v>
      </c>
      <c r="D258">
        <v>1144.7487073422999</v>
      </c>
      <c r="E258">
        <v>436.46018614270997</v>
      </c>
      <c r="F258">
        <v>150.51505711319001</v>
      </c>
      <c r="G258">
        <v>122.24402907581</v>
      </c>
      <c r="I258" s="9">
        <f t="shared" si="26"/>
        <v>314.2161570669</v>
      </c>
      <c r="J258" s="9">
        <f t="shared" si="27"/>
        <v>994.23365022910991</v>
      </c>
      <c r="K258" s="9">
        <f t="shared" si="24"/>
        <v>314.2161570669</v>
      </c>
      <c r="L258" s="10">
        <f t="shared" ref="L258:L313" si="30">K258/J258</f>
        <v>0.31603854586343205</v>
      </c>
      <c r="M258" s="10">
        <f t="shared" si="28"/>
        <v>0.38697835881421921</v>
      </c>
      <c r="P258" s="8">
        <f t="shared" si="29"/>
        <v>-5.623537081688827</v>
      </c>
    </row>
    <row r="259" spans="1:16" x14ac:dyDescent="0.2">
      <c r="A259" s="8">
        <v>128.5</v>
      </c>
      <c r="B259" s="8">
        <v>257</v>
      </c>
      <c r="D259">
        <v>1164.6670135275999</v>
      </c>
      <c r="E259">
        <v>447.16441207076002</v>
      </c>
      <c r="F259">
        <v>150.49740394599999</v>
      </c>
      <c r="G259">
        <v>122.19522326064001</v>
      </c>
      <c r="I259" s="9">
        <f t="shared" si="26"/>
        <v>324.96918881012004</v>
      </c>
      <c r="J259" s="9">
        <f t="shared" si="27"/>
        <v>1014.1696095816</v>
      </c>
      <c r="K259" s="9">
        <f t="shared" ref="K259:K313" si="31">I259*1</f>
        <v>324.96918881012004</v>
      </c>
      <c r="L259" s="10">
        <f t="shared" si="30"/>
        <v>0.32042883728707616</v>
      </c>
      <c r="M259" s="10">
        <f t="shared" si="28"/>
        <v>0.39164575888220232</v>
      </c>
      <c r="P259" s="8">
        <f t="shared" si="29"/>
        <v>-4.4852493728084379</v>
      </c>
    </row>
    <row r="260" spans="1:16" x14ac:dyDescent="0.2">
      <c r="A260" s="8">
        <v>129</v>
      </c>
      <c r="B260" s="8">
        <v>258</v>
      </c>
      <c r="D260">
        <v>1161.1238293444001</v>
      </c>
      <c r="E260">
        <v>449.06139438085</v>
      </c>
      <c r="F260">
        <v>150.49221183801001</v>
      </c>
      <c r="G260">
        <v>122.40809968847</v>
      </c>
      <c r="I260" s="9">
        <f t="shared" si="26"/>
        <v>326.65329469237997</v>
      </c>
      <c r="J260" s="9">
        <f t="shared" si="27"/>
        <v>1010.6316175063901</v>
      </c>
      <c r="K260" s="9">
        <f t="shared" si="31"/>
        <v>326.65329469237997</v>
      </c>
      <c r="L260" s="10">
        <f t="shared" si="30"/>
        <v>0.32321697543795141</v>
      </c>
      <c r="M260" s="10">
        <f t="shared" si="28"/>
        <v>0.39471100567741657</v>
      </c>
      <c r="P260" s="8">
        <f t="shared" si="29"/>
        <v>-3.7376955525109805</v>
      </c>
    </row>
    <row r="261" spans="1:16" x14ac:dyDescent="0.2">
      <c r="A261" s="8">
        <v>129.5</v>
      </c>
      <c r="B261" s="8">
        <v>259</v>
      </c>
      <c r="D261">
        <v>1164.4776274714</v>
      </c>
      <c r="E261">
        <v>454.26742976066998</v>
      </c>
      <c r="F261">
        <v>149.75700934579001</v>
      </c>
      <c r="G261">
        <v>122.58982346833</v>
      </c>
      <c r="I261" s="9">
        <f t="shared" si="26"/>
        <v>331.67760629233999</v>
      </c>
      <c r="J261" s="9">
        <f t="shared" si="27"/>
        <v>1014.7206181256099</v>
      </c>
      <c r="K261" s="9">
        <f t="shared" si="31"/>
        <v>331.67760629233999</v>
      </c>
      <c r="L261" s="10">
        <f t="shared" si="30"/>
        <v>0.32686593764598404</v>
      </c>
      <c r="M261" s="10">
        <f t="shared" si="28"/>
        <v>0.39863707652978819</v>
      </c>
      <c r="P261" s="8">
        <f t="shared" si="29"/>
        <v>-2.7802035590339078</v>
      </c>
    </row>
    <row r="262" spans="1:16" x14ac:dyDescent="0.2">
      <c r="A262" s="8">
        <v>130</v>
      </c>
      <c r="B262" s="8">
        <v>260</v>
      </c>
      <c r="D262">
        <v>1169.9739854318</v>
      </c>
      <c r="E262">
        <v>457.43288241415001</v>
      </c>
      <c r="F262">
        <v>150.66458982347001</v>
      </c>
      <c r="G262">
        <v>122.46625129803</v>
      </c>
      <c r="I262" s="9">
        <f t="shared" si="26"/>
        <v>334.96663111612003</v>
      </c>
      <c r="J262" s="9">
        <f t="shared" si="27"/>
        <v>1019.30939560833</v>
      </c>
      <c r="K262" s="9">
        <f t="shared" si="31"/>
        <v>334.96663111612003</v>
      </c>
      <c r="L262" s="10">
        <f t="shared" si="30"/>
        <v>0.32862115522462138</v>
      </c>
      <c r="M262" s="10">
        <f t="shared" si="28"/>
        <v>0.40066940275276458</v>
      </c>
      <c r="P262" s="8">
        <f t="shared" si="29"/>
        <v>-2.2845588904060072</v>
      </c>
    </row>
    <row r="263" spans="1:16" x14ac:dyDescent="0.2">
      <c r="A263" s="8">
        <v>130.5</v>
      </c>
      <c r="B263" s="8">
        <v>261</v>
      </c>
      <c r="D263">
        <v>1178.8886576483001</v>
      </c>
      <c r="E263">
        <v>455.58688865764998</v>
      </c>
      <c r="F263">
        <v>150.49117341640999</v>
      </c>
      <c r="G263">
        <v>122.36033229490999</v>
      </c>
      <c r="I263" s="9">
        <f t="shared" si="26"/>
        <v>333.22655636273998</v>
      </c>
      <c r="J263" s="9">
        <f t="shared" si="27"/>
        <v>1028.3974842318901</v>
      </c>
      <c r="K263" s="9">
        <f t="shared" si="31"/>
        <v>333.22655636273998</v>
      </c>
      <c r="L263" s="10">
        <f t="shared" si="30"/>
        <v>0.32402505983532898</v>
      </c>
      <c r="M263" s="10">
        <f t="shared" si="28"/>
        <v>0.39635041600781118</v>
      </c>
      <c r="P263" s="8">
        <f t="shared" si="29"/>
        <v>-3.3378753953102471</v>
      </c>
    </row>
    <row r="264" spans="1:16" x14ac:dyDescent="0.2">
      <c r="A264" s="8">
        <v>131</v>
      </c>
      <c r="B264" s="8">
        <v>262</v>
      </c>
      <c r="D264">
        <v>1179.0218522373</v>
      </c>
      <c r="E264">
        <v>455.80645161289999</v>
      </c>
      <c r="F264">
        <v>149.85254413292</v>
      </c>
      <c r="G264">
        <v>122.52959501558</v>
      </c>
      <c r="I264" s="9">
        <f t="shared" si="26"/>
        <v>333.27685659731998</v>
      </c>
      <c r="J264" s="9">
        <f t="shared" si="27"/>
        <v>1029.16930810438</v>
      </c>
      <c r="K264" s="9">
        <f t="shared" si="31"/>
        <v>333.27685659731998</v>
      </c>
      <c r="L264" s="10">
        <f t="shared" si="30"/>
        <v>0.32383093235765104</v>
      </c>
      <c r="M264" s="10">
        <f t="shared" si="28"/>
        <v>0.39643339717447224</v>
      </c>
      <c r="P264" s="8">
        <f t="shared" si="29"/>
        <v>-3.3176379096216344</v>
      </c>
    </row>
    <row r="265" spans="1:16" x14ac:dyDescent="0.2">
      <c r="A265" s="8">
        <v>131.5</v>
      </c>
      <c r="B265" s="8">
        <v>263</v>
      </c>
      <c r="D265">
        <v>1182.1870428422001</v>
      </c>
      <c r="E265">
        <v>459.33333333333002</v>
      </c>
      <c r="F265">
        <v>150.24195223261</v>
      </c>
      <c r="G265">
        <v>121.95015576324001</v>
      </c>
      <c r="I265" s="9">
        <f t="shared" si="26"/>
        <v>337.38317757009003</v>
      </c>
      <c r="J265" s="9">
        <f t="shared" si="27"/>
        <v>1031.9450906095901</v>
      </c>
      <c r="K265" s="9">
        <f t="shared" si="31"/>
        <v>337.38317757009003</v>
      </c>
      <c r="L265" s="10">
        <f t="shared" si="30"/>
        <v>0.32693907906552583</v>
      </c>
      <c r="M265" s="10">
        <f t="shared" si="28"/>
        <v>0.39981865252668608</v>
      </c>
      <c r="P265" s="8">
        <f t="shared" si="29"/>
        <v>-2.4920402529562797</v>
      </c>
    </row>
    <row r="266" spans="1:16" x14ac:dyDescent="0.2">
      <c r="A266" s="8">
        <v>132</v>
      </c>
      <c r="B266" s="8">
        <v>264</v>
      </c>
      <c r="D266">
        <v>1186.7387669801999</v>
      </c>
      <c r="E266">
        <v>461.24033437827001</v>
      </c>
      <c r="F266">
        <v>150.71443406022999</v>
      </c>
      <c r="G266">
        <v>122.30633437176</v>
      </c>
      <c r="I266" s="9">
        <f t="shared" si="26"/>
        <v>338.93400000651002</v>
      </c>
      <c r="J266" s="9">
        <f t="shared" si="27"/>
        <v>1036.02433291997</v>
      </c>
      <c r="K266" s="9">
        <f t="shared" si="31"/>
        <v>338.93400000651002</v>
      </c>
      <c r="L266" s="10">
        <f t="shared" si="30"/>
        <v>0.32714868679893422</v>
      </c>
      <c r="M266" s="10">
        <f t="shared" si="28"/>
        <v>0.40030536890443347</v>
      </c>
      <c r="P266" s="8">
        <f t="shared" si="29"/>
        <v>-2.3733396353895406</v>
      </c>
    </row>
    <row r="267" spans="1:16" x14ac:dyDescent="0.2">
      <c r="A267" s="8">
        <v>132.5</v>
      </c>
      <c r="B267" s="8">
        <v>265</v>
      </c>
      <c r="D267">
        <v>1187.9299895506999</v>
      </c>
      <c r="E267">
        <v>464.61442006269999</v>
      </c>
      <c r="F267">
        <v>150.48182762202001</v>
      </c>
      <c r="G267">
        <v>122.77258566978</v>
      </c>
      <c r="I267" s="9">
        <f t="shared" si="26"/>
        <v>341.84183439291996</v>
      </c>
      <c r="J267" s="9">
        <f t="shared" si="27"/>
        <v>1037.4481619286798</v>
      </c>
      <c r="K267" s="9">
        <f t="shared" si="31"/>
        <v>341.84183439291996</v>
      </c>
      <c r="L267" s="10">
        <f t="shared" si="30"/>
        <v>0.32950256883911677</v>
      </c>
      <c r="M267" s="10">
        <f t="shared" si="28"/>
        <v>0.40293635958895502</v>
      </c>
      <c r="P267" s="8">
        <f t="shared" si="29"/>
        <v>-1.7316923982235575</v>
      </c>
    </row>
    <row r="268" spans="1:16" x14ac:dyDescent="0.2">
      <c r="A268" s="8">
        <v>133</v>
      </c>
      <c r="B268" s="8">
        <v>266</v>
      </c>
      <c r="D268">
        <v>1188.9613375131</v>
      </c>
      <c r="E268">
        <v>466.19017763845</v>
      </c>
      <c r="F268">
        <v>150.66043613707001</v>
      </c>
      <c r="G268">
        <v>122.69885773624</v>
      </c>
      <c r="I268" s="9">
        <f t="shared" si="26"/>
        <v>343.49131990220997</v>
      </c>
      <c r="J268" s="9">
        <f t="shared" si="27"/>
        <v>1038.30090137603</v>
      </c>
      <c r="K268" s="9">
        <f t="shared" si="31"/>
        <v>343.49131990220997</v>
      </c>
      <c r="L268" s="10">
        <f t="shared" si="30"/>
        <v>0.3308205929966842</v>
      </c>
      <c r="M268" s="10">
        <f t="shared" si="28"/>
        <v>0.4045314923908615</v>
      </c>
      <c r="P268" s="8">
        <f t="shared" si="29"/>
        <v>-1.3426706653540408</v>
      </c>
    </row>
    <row r="269" spans="1:16" x14ac:dyDescent="0.2">
      <c r="A269" s="8">
        <v>133.5</v>
      </c>
      <c r="B269" s="8">
        <v>267</v>
      </c>
      <c r="D269">
        <v>1186.4764890281999</v>
      </c>
      <c r="E269">
        <v>463.27272727272998</v>
      </c>
      <c r="F269">
        <v>150.51090342679001</v>
      </c>
      <c r="G269">
        <v>123.04569055036001</v>
      </c>
      <c r="I269" s="9">
        <f t="shared" si="26"/>
        <v>340.22703672236997</v>
      </c>
      <c r="J269" s="9">
        <f t="shared" si="27"/>
        <v>1035.9655856014099</v>
      </c>
      <c r="K269" s="9">
        <f t="shared" si="31"/>
        <v>340.22703672236997</v>
      </c>
      <c r="L269" s="10">
        <f t="shared" si="30"/>
        <v>0.32841538507754359</v>
      </c>
      <c r="M269" s="10">
        <f t="shared" si="28"/>
        <v>0.40240339311605988</v>
      </c>
      <c r="P269" s="8">
        <f t="shared" si="29"/>
        <v>-1.8616725105999155</v>
      </c>
    </row>
    <row r="270" spans="1:16" x14ac:dyDescent="0.2">
      <c r="A270" s="8">
        <v>134</v>
      </c>
      <c r="B270" s="8">
        <v>268</v>
      </c>
      <c r="D270">
        <v>1186.1630094044001</v>
      </c>
      <c r="E270">
        <v>463.71264367816002</v>
      </c>
      <c r="F270">
        <v>150.65316718587999</v>
      </c>
      <c r="G270">
        <v>122.88058151609999</v>
      </c>
      <c r="I270" s="9">
        <f t="shared" si="26"/>
        <v>340.83206216206003</v>
      </c>
      <c r="J270" s="9">
        <f t="shared" si="27"/>
        <v>1035.5098422185201</v>
      </c>
      <c r="K270" s="9">
        <f t="shared" si="31"/>
        <v>340.83206216206003</v>
      </c>
      <c r="L270" s="10">
        <f t="shared" si="30"/>
        <v>0.32914420343108181</v>
      </c>
      <c r="M270" s="10">
        <f t="shared" si="28"/>
        <v>0.4034093201139371</v>
      </c>
      <c r="P270" s="8">
        <f t="shared" si="29"/>
        <v>-1.6163465644550461</v>
      </c>
    </row>
    <row r="271" spans="1:16" x14ac:dyDescent="0.2">
      <c r="A271" s="8">
        <v>134.5</v>
      </c>
      <c r="B271" s="8">
        <v>269</v>
      </c>
      <c r="D271">
        <v>1178.1880877742999</v>
      </c>
      <c r="E271">
        <v>460.28108672936003</v>
      </c>
      <c r="F271">
        <v>151.01973001037999</v>
      </c>
      <c r="G271">
        <v>122.3759086189</v>
      </c>
      <c r="I271" s="9">
        <f t="shared" si="26"/>
        <v>337.90517811046004</v>
      </c>
      <c r="J271" s="9">
        <f t="shared" si="27"/>
        <v>1027.1683577639199</v>
      </c>
      <c r="K271" s="9">
        <f t="shared" si="31"/>
        <v>337.90517811046004</v>
      </c>
      <c r="L271" s="10">
        <f t="shared" si="30"/>
        <v>0.32896766684485695</v>
      </c>
      <c r="M271" s="10">
        <f t="shared" si="28"/>
        <v>0.40350989217205124</v>
      </c>
      <c r="P271" s="8">
        <f t="shared" si="29"/>
        <v>-1.5918190039415532</v>
      </c>
    </row>
    <row r="272" spans="1:16" x14ac:dyDescent="0.2">
      <c r="A272" s="8">
        <v>135</v>
      </c>
      <c r="B272" s="8">
        <v>270</v>
      </c>
      <c r="D272">
        <v>1182.4576802508</v>
      </c>
      <c r="E272">
        <v>462.28631138975999</v>
      </c>
      <c r="F272">
        <v>150.97819314642001</v>
      </c>
      <c r="G272">
        <v>122.57320872274001</v>
      </c>
      <c r="I272" s="9">
        <f t="shared" si="26"/>
        <v>339.71310266702</v>
      </c>
      <c r="J272" s="9">
        <f t="shared" si="27"/>
        <v>1031.47948710438</v>
      </c>
      <c r="K272" s="9">
        <f t="shared" si="31"/>
        <v>339.71310266702</v>
      </c>
      <c r="L272" s="10">
        <f t="shared" si="30"/>
        <v>0.32934547600231906</v>
      </c>
      <c r="M272" s="10">
        <f t="shared" si="28"/>
        <v>0.4041648099738524</v>
      </c>
      <c r="P272" s="8">
        <f t="shared" si="29"/>
        <v>-1.4320973445039977</v>
      </c>
    </row>
    <row r="273" spans="1:16" x14ac:dyDescent="0.2">
      <c r="A273" s="8">
        <v>135.5</v>
      </c>
      <c r="B273" s="8">
        <v>271</v>
      </c>
      <c r="D273">
        <v>1182.0261233020001</v>
      </c>
      <c r="E273">
        <v>459.06687565307999</v>
      </c>
      <c r="F273">
        <v>151.10591900311999</v>
      </c>
      <c r="G273">
        <v>122.23676012461</v>
      </c>
      <c r="I273" s="9">
        <f t="shared" si="26"/>
        <v>336.83011552847</v>
      </c>
      <c r="J273" s="9">
        <f t="shared" si="27"/>
        <v>1030.92020429888</v>
      </c>
      <c r="K273" s="9">
        <f t="shared" si="31"/>
        <v>336.83011552847</v>
      </c>
      <c r="L273" s="10">
        <f t="shared" si="30"/>
        <v>0.32672763044502101</v>
      </c>
      <c r="M273" s="10">
        <f t="shared" si="28"/>
        <v>0.40182407306089335</v>
      </c>
      <c r="P273" s="8">
        <f t="shared" si="29"/>
        <v>-2.0029573562739502</v>
      </c>
    </row>
    <row r="274" spans="1:16" x14ac:dyDescent="0.2">
      <c r="A274" s="8">
        <v>136</v>
      </c>
      <c r="B274" s="8">
        <v>272</v>
      </c>
      <c r="D274">
        <v>1181.8066875653001</v>
      </c>
      <c r="E274">
        <v>456.46603970742001</v>
      </c>
      <c r="F274">
        <v>151.13499480789</v>
      </c>
      <c r="G274">
        <v>122.40186915888</v>
      </c>
      <c r="I274" s="9">
        <f t="shared" si="26"/>
        <v>334.06417054854001</v>
      </c>
      <c r="J274" s="9">
        <f t="shared" si="27"/>
        <v>1030.67169275741</v>
      </c>
      <c r="K274" s="9">
        <f t="shared" si="31"/>
        <v>334.06417054854001</v>
      </c>
      <c r="L274" s="10">
        <f t="shared" si="30"/>
        <v>0.32412277633705122</v>
      </c>
      <c r="M274" s="10">
        <f t="shared" si="28"/>
        <v>0.39949632759726256</v>
      </c>
      <c r="P274" s="8">
        <f t="shared" si="29"/>
        <v>-2.5706490073129808</v>
      </c>
    </row>
    <row r="275" spans="1:16" x14ac:dyDescent="0.2">
      <c r="A275" s="8">
        <v>136.5</v>
      </c>
      <c r="B275" s="8">
        <v>273</v>
      </c>
      <c r="D275">
        <v>1183.0386624869</v>
      </c>
      <c r="E275">
        <v>458.00104493207999</v>
      </c>
      <c r="F275">
        <v>151.20976116303001</v>
      </c>
      <c r="G275">
        <v>123.15887850467</v>
      </c>
      <c r="I275" s="9">
        <f>E275-G275</f>
        <v>334.84216642741001</v>
      </c>
      <c r="J275" s="9">
        <f>D275-F275</f>
        <v>1031.82890132387</v>
      </c>
      <c r="K275" s="9">
        <f t="shared" si="31"/>
        <v>334.84216642741001</v>
      </c>
      <c r="L275" s="10">
        <f t="shared" si="30"/>
        <v>0.3245132657146903</v>
      </c>
      <c r="M275" s="10">
        <f>L275+ABS($N$2)*A275</f>
        <v>0.40016392561924063</v>
      </c>
      <c r="O275" s="11"/>
      <c r="P275" s="8">
        <f>(M275-$O$2)/$O$2*100</f>
        <v>-2.4078348898553181</v>
      </c>
    </row>
    <row r="276" spans="1:16" x14ac:dyDescent="0.2">
      <c r="A276" s="8">
        <v>137</v>
      </c>
      <c r="B276" s="8">
        <v>274</v>
      </c>
      <c r="D276">
        <v>1183.9028213166</v>
      </c>
      <c r="E276">
        <v>453.90909090909003</v>
      </c>
      <c r="F276">
        <v>150.52751817238001</v>
      </c>
      <c r="G276">
        <v>122.63447559709</v>
      </c>
      <c r="I276" s="9">
        <f t="shared" ref="I276:I291" si="32">E276-G276</f>
        <v>331.27461531200004</v>
      </c>
      <c r="J276" s="9">
        <f t="shared" ref="J276:J291" si="33">D276-F276</f>
        <v>1033.37530314422</v>
      </c>
      <c r="K276" s="9">
        <f t="shared" si="31"/>
        <v>331.27461531200004</v>
      </c>
      <c r="L276" s="10">
        <f t="shared" si="30"/>
        <v>0.3205753169289422</v>
      </c>
      <c r="M276" s="10">
        <f t="shared" ref="M276:M291" si="34">L276+ABS($N$2)*A276</f>
        <v>0.39650308547783158</v>
      </c>
      <c r="P276" s="8">
        <f t="shared" ref="P276:P291" si="35">(M276-$O$2)/$O$2*100</f>
        <v>-3.3006422936445894</v>
      </c>
    </row>
    <row r="277" spans="1:16" x14ac:dyDescent="0.2">
      <c r="A277" s="8">
        <v>137.5</v>
      </c>
      <c r="B277" s="8">
        <v>275</v>
      </c>
      <c r="D277">
        <v>1182.3594566352999</v>
      </c>
      <c r="E277">
        <v>452.16718913271001</v>
      </c>
      <c r="F277">
        <v>150.57320872273999</v>
      </c>
      <c r="G277">
        <v>122.80062305296001</v>
      </c>
      <c r="I277" s="9">
        <f t="shared" si="32"/>
        <v>329.36656607974999</v>
      </c>
      <c r="J277" s="9">
        <f t="shared" si="33"/>
        <v>1031.7862479125599</v>
      </c>
      <c r="K277" s="9">
        <f t="shared" si="31"/>
        <v>329.36656607974999</v>
      </c>
      <c r="L277" s="10">
        <f t="shared" si="30"/>
        <v>0.3192197674141346</v>
      </c>
      <c r="M277" s="10">
        <f t="shared" si="34"/>
        <v>0.39542464460736299</v>
      </c>
      <c r="N277" s="1"/>
      <c r="P277" s="8">
        <f t="shared" si="35"/>
        <v>-3.5636529569107318</v>
      </c>
    </row>
    <row r="278" spans="1:16" x14ac:dyDescent="0.2">
      <c r="A278" s="8">
        <v>138</v>
      </c>
      <c r="B278" s="8">
        <v>276</v>
      </c>
      <c r="D278">
        <v>1179.4064449064001</v>
      </c>
      <c r="E278">
        <v>456.27962577963001</v>
      </c>
      <c r="F278">
        <v>151.06022845275001</v>
      </c>
      <c r="G278">
        <v>122.84735202492</v>
      </c>
      <c r="I278" s="9">
        <f t="shared" si="32"/>
        <v>333.43227375471002</v>
      </c>
      <c r="J278" s="9">
        <f t="shared" si="33"/>
        <v>1028.3462164536502</v>
      </c>
      <c r="K278" s="9">
        <f t="shared" si="31"/>
        <v>333.43227375471002</v>
      </c>
      <c r="L278" s="10">
        <f t="shared" si="30"/>
        <v>0.32424126079306537</v>
      </c>
      <c r="M278" s="10">
        <f t="shared" si="34"/>
        <v>0.40072324663063275</v>
      </c>
      <c r="P278" s="8">
        <f t="shared" si="35"/>
        <v>-2.27142742031922</v>
      </c>
    </row>
    <row r="279" spans="1:16" x14ac:dyDescent="0.2">
      <c r="A279" s="8">
        <v>138.5</v>
      </c>
      <c r="B279" s="8">
        <v>277</v>
      </c>
      <c r="D279">
        <v>1176.7515592515999</v>
      </c>
      <c r="E279">
        <v>457.08212058212001</v>
      </c>
      <c r="F279">
        <v>150.47352024922</v>
      </c>
      <c r="G279">
        <v>122.8722741433</v>
      </c>
      <c r="I279" s="9">
        <f t="shared" si="32"/>
        <v>334.20984643882002</v>
      </c>
      <c r="J279" s="9">
        <f t="shared" si="33"/>
        <v>1026.27803900238</v>
      </c>
      <c r="K279" s="9">
        <f t="shared" si="31"/>
        <v>334.20984643882002</v>
      </c>
      <c r="L279" s="10">
        <f t="shared" si="30"/>
        <v>0.32565234150747036</v>
      </c>
      <c r="M279" s="10">
        <f t="shared" si="34"/>
        <v>0.40241143598937679</v>
      </c>
      <c r="P279" s="8">
        <f t="shared" si="35"/>
        <v>-1.8597110108982902</v>
      </c>
    </row>
    <row r="280" spans="1:16" x14ac:dyDescent="0.2">
      <c r="A280" s="8">
        <v>139</v>
      </c>
      <c r="B280" s="8">
        <v>278</v>
      </c>
      <c r="D280">
        <v>1171.8731808732</v>
      </c>
      <c r="E280">
        <v>455.90228690228997</v>
      </c>
      <c r="F280">
        <v>151.27518172378001</v>
      </c>
      <c r="G280">
        <v>122.49740394600001</v>
      </c>
      <c r="I280" s="9">
        <f t="shared" si="32"/>
        <v>333.40488295628995</v>
      </c>
      <c r="J280" s="9">
        <f t="shared" si="33"/>
        <v>1020.59799914942</v>
      </c>
      <c r="K280" s="9">
        <f t="shared" si="31"/>
        <v>333.40488295628995</v>
      </c>
      <c r="L280" s="10">
        <f t="shared" si="30"/>
        <v>0.32667601076442832</v>
      </c>
      <c r="M280" s="10">
        <f t="shared" si="34"/>
        <v>0.40371221389067374</v>
      </c>
      <c r="P280" s="8">
        <f t="shared" si="35"/>
        <v>-1.5424766886925698</v>
      </c>
    </row>
    <row r="281" spans="1:16" x14ac:dyDescent="0.2">
      <c r="A281" s="8">
        <v>139.5</v>
      </c>
      <c r="B281" s="8">
        <v>279</v>
      </c>
      <c r="D281">
        <v>1156.7780082987999</v>
      </c>
      <c r="E281">
        <v>452.32883817427</v>
      </c>
      <c r="F281">
        <v>151.48805815161001</v>
      </c>
      <c r="G281">
        <v>123.08099688474</v>
      </c>
      <c r="I281" s="9">
        <f t="shared" si="32"/>
        <v>329.24784128953002</v>
      </c>
      <c r="J281" s="9">
        <f t="shared" si="33"/>
        <v>1005.28995014719</v>
      </c>
      <c r="K281" s="9">
        <f t="shared" si="31"/>
        <v>329.24784128953002</v>
      </c>
      <c r="L281" s="10">
        <f t="shared" si="30"/>
        <v>0.32751530167124721</v>
      </c>
      <c r="M281" s="10">
        <f t="shared" si="34"/>
        <v>0.40482861344183163</v>
      </c>
      <c r="P281" s="8">
        <f t="shared" si="35"/>
        <v>-1.2702086446481387</v>
      </c>
    </row>
    <row r="282" spans="1:16" x14ac:dyDescent="0.2">
      <c r="A282" s="8">
        <v>140</v>
      </c>
      <c r="B282" s="8">
        <v>280</v>
      </c>
      <c r="D282">
        <v>1157.1690871369001</v>
      </c>
      <c r="E282">
        <v>451.12551867219997</v>
      </c>
      <c r="F282">
        <v>151.85358255451999</v>
      </c>
      <c r="G282">
        <v>122.71754932503001</v>
      </c>
      <c r="I282" s="9">
        <f t="shared" si="32"/>
        <v>328.40796934716997</v>
      </c>
      <c r="J282" s="9">
        <f t="shared" si="33"/>
        <v>1005.3155045823801</v>
      </c>
      <c r="K282" s="9">
        <f t="shared" si="31"/>
        <v>328.40796934716997</v>
      </c>
      <c r="L282" s="10">
        <f t="shared" si="30"/>
        <v>0.3266715452514527</v>
      </c>
      <c r="M282" s="10">
        <f t="shared" si="34"/>
        <v>0.40426196566637618</v>
      </c>
      <c r="P282" s="8">
        <f t="shared" si="35"/>
        <v>-1.4084029688265842</v>
      </c>
    </row>
    <row r="283" spans="1:16" x14ac:dyDescent="0.2">
      <c r="A283" s="8">
        <v>140.5</v>
      </c>
      <c r="B283" s="8">
        <v>281</v>
      </c>
      <c r="D283">
        <v>1150.2676348548</v>
      </c>
      <c r="E283">
        <v>450.51244813277998</v>
      </c>
      <c r="F283">
        <v>151.49325025960999</v>
      </c>
      <c r="G283">
        <v>123.09449636552</v>
      </c>
      <c r="I283" s="9">
        <f t="shared" si="32"/>
        <v>327.41795176725998</v>
      </c>
      <c r="J283" s="9">
        <f t="shared" si="33"/>
        <v>998.77438459518999</v>
      </c>
      <c r="K283" s="9">
        <f t="shared" si="31"/>
        <v>327.41795176725998</v>
      </c>
      <c r="L283" s="10">
        <f t="shared" si="30"/>
        <v>0.32781973268163528</v>
      </c>
      <c r="M283" s="10">
        <f t="shared" si="34"/>
        <v>0.40568726174089775</v>
      </c>
      <c r="P283" s="8">
        <f t="shared" si="35"/>
        <v>-1.0608010963681875</v>
      </c>
    </row>
    <row r="284" spans="1:16" x14ac:dyDescent="0.2">
      <c r="A284" s="8">
        <v>141</v>
      </c>
      <c r="B284" s="8">
        <v>282</v>
      </c>
      <c r="D284">
        <v>1171.5474226803999</v>
      </c>
      <c r="E284">
        <v>453.95360824741999</v>
      </c>
      <c r="F284">
        <v>151.19418483905</v>
      </c>
      <c r="G284">
        <v>122.81100726894999</v>
      </c>
      <c r="I284" s="9">
        <f t="shared" si="32"/>
        <v>331.14260097847</v>
      </c>
      <c r="J284" s="9">
        <f t="shared" si="33"/>
        <v>1020.3532378413499</v>
      </c>
      <c r="K284" s="9">
        <f t="shared" si="31"/>
        <v>331.14260097847</v>
      </c>
      <c r="L284" s="10">
        <f t="shared" si="30"/>
        <v>0.32453721779629208</v>
      </c>
      <c r="M284" s="10">
        <f t="shared" si="34"/>
        <v>0.40268185549989355</v>
      </c>
      <c r="P284" s="8">
        <f t="shared" si="35"/>
        <v>-1.793760974351349</v>
      </c>
    </row>
    <row r="285" spans="1:16" x14ac:dyDescent="0.2">
      <c r="A285" s="8">
        <v>141.5</v>
      </c>
      <c r="B285" s="8">
        <v>283</v>
      </c>
      <c r="D285">
        <v>1169.8845360825001</v>
      </c>
      <c r="E285">
        <v>453.20412371134</v>
      </c>
      <c r="F285">
        <v>151.37383177570001</v>
      </c>
      <c r="G285">
        <v>123.13811007269</v>
      </c>
      <c r="I285" s="9">
        <f t="shared" si="32"/>
        <v>330.06601363865002</v>
      </c>
      <c r="J285" s="9">
        <f t="shared" si="33"/>
        <v>1018.5107043068001</v>
      </c>
      <c r="K285" s="9">
        <f t="shared" si="31"/>
        <v>330.06601363865002</v>
      </c>
      <c r="L285" s="10">
        <f t="shared" si="30"/>
        <v>0.32406729967879272</v>
      </c>
      <c r="M285" s="10">
        <f t="shared" si="34"/>
        <v>0.40248904602673319</v>
      </c>
      <c r="P285" s="8">
        <f t="shared" si="35"/>
        <v>-1.8407834387335338</v>
      </c>
    </row>
    <row r="286" spans="1:16" x14ac:dyDescent="0.2">
      <c r="A286" s="8">
        <v>142</v>
      </c>
      <c r="B286" s="8">
        <v>284</v>
      </c>
      <c r="D286">
        <v>1168.1278350516</v>
      </c>
      <c r="E286">
        <v>450.89896907217002</v>
      </c>
      <c r="F286">
        <v>151.40602284528001</v>
      </c>
      <c r="G286">
        <v>123.20456905504</v>
      </c>
      <c r="I286" s="9">
        <f t="shared" si="32"/>
        <v>327.69440001713002</v>
      </c>
      <c r="J286" s="9">
        <f t="shared" si="33"/>
        <v>1016.72181220632</v>
      </c>
      <c r="K286" s="9">
        <f t="shared" si="31"/>
        <v>327.69440001713002</v>
      </c>
      <c r="L286" s="10">
        <f t="shared" si="30"/>
        <v>0.32230487836788152</v>
      </c>
      <c r="M286" s="10">
        <f t="shared" si="34"/>
        <v>0.40100373336016104</v>
      </c>
      <c r="P286" s="8">
        <f t="shared" si="35"/>
        <v>-2.2030221856970069</v>
      </c>
    </row>
    <row r="287" spans="1:16" x14ac:dyDescent="0.2">
      <c r="A287" s="8">
        <v>142.5</v>
      </c>
      <c r="B287" s="8">
        <v>285</v>
      </c>
      <c r="D287">
        <v>1168.8443298969</v>
      </c>
      <c r="E287">
        <v>452.75876288659998</v>
      </c>
      <c r="F287">
        <v>150.88992731049001</v>
      </c>
      <c r="G287">
        <v>122.59709241952</v>
      </c>
      <c r="I287" s="9">
        <f t="shared" si="32"/>
        <v>330.16167046708</v>
      </c>
      <c r="J287" s="9">
        <f t="shared" si="33"/>
        <v>1017.95440258641</v>
      </c>
      <c r="K287" s="9">
        <f t="shared" si="31"/>
        <v>330.16167046708</v>
      </c>
      <c r="L287" s="10">
        <f t="shared" si="30"/>
        <v>0.32433836881908268</v>
      </c>
      <c r="M287" s="10">
        <f t="shared" si="34"/>
        <v>0.4033143324557012</v>
      </c>
      <c r="P287" s="8">
        <f t="shared" si="35"/>
        <v>-1.6395121989175703</v>
      </c>
    </row>
    <row r="288" spans="1:16" x14ac:dyDescent="0.2">
      <c r="A288" s="8">
        <v>143</v>
      </c>
      <c r="B288" s="8">
        <v>286</v>
      </c>
      <c r="D288">
        <v>1169.3247422679999</v>
      </c>
      <c r="E288">
        <v>457.98762886598001</v>
      </c>
      <c r="F288">
        <v>150.87019730009999</v>
      </c>
      <c r="G288">
        <v>123.14122533749</v>
      </c>
      <c r="I288" s="9">
        <f t="shared" si="32"/>
        <v>334.84640352848999</v>
      </c>
      <c r="J288" s="9">
        <f t="shared" si="33"/>
        <v>1018.4545449678999</v>
      </c>
      <c r="K288" s="9">
        <f t="shared" si="31"/>
        <v>334.84640352848999</v>
      </c>
      <c r="L288" s="10">
        <f t="shared" si="30"/>
        <v>0.32877893783570267</v>
      </c>
      <c r="M288" s="10">
        <f t="shared" si="34"/>
        <v>0.40803201011666018</v>
      </c>
      <c r="P288" s="8">
        <f t="shared" si="35"/>
        <v>-0.48896276717585713</v>
      </c>
    </row>
    <row r="289" spans="1:16" x14ac:dyDescent="0.2">
      <c r="A289" s="8">
        <v>143.5</v>
      </c>
      <c r="B289" s="8">
        <v>287</v>
      </c>
      <c r="D289">
        <v>1169.3865979381001</v>
      </c>
      <c r="E289">
        <v>456.95670103092999</v>
      </c>
      <c r="F289">
        <v>151.01038421599</v>
      </c>
      <c r="G289">
        <v>123.0020768432</v>
      </c>
      <c r="I289" s="9">
        <f t="shared" si="32"/>
        <v>333.95462418773002</v>
      </c>
      <c r="J289" s="9">
        <f t="shared" si="33"/>
        <v>1018.37621372211</v>
      </c>
      <c r="K289" s="9">
        <f t="shared" si="31"/>
        <v>333.95462418773002</v>
      </c>
      <c r="L289" s="10">
        <f t="shared" si="30"/>
        <v>0.32792853926462395</v>
      </c>
      <c r="M289" s="10">
        <f t="shared" si="34"/>
        <v>0.40745872018992046</v>
      </c>
      <c r="P289" s="8">
        <f t="shared" si="35"/>
        <v>-0.62877698231228307</v>
      </c>
    </row>
    <row r="290" spans="1:16" x14ac:dyDescent="0.2">
      <c r="A290" s="8">
        <v>144</v>
      </c>
      <c r="B290" s="8">
        <v>288</v>
      </c>
      <c r="D290">
        <v>1168.6525773195999</v>
      </c>
      <c r="E290">
        <v>458.90618556701003</v>
      </c>
      <c r="F290">
        <v>151.07476635514001</v>
      </c>
      <c r="G290">
        <v>122.87746625130001</v>
      </c>
      <c r="I290" s="9">
        <f t="shared" si="32"/>
        <v>336.02871931571002</v>
      </c>
      <c r="J290" s="9">
        <f t="shared" si="33"/>
        <v>1017.5778109644599</v>
      </c>
      <c r="K290" s="9">
        <f t="shared" si="31"/>
        <v>336.02871931571002</v>
      </c>
      <c r="L290" s="10">
        <f t="shared" si="30"/>
        <v>0.33022410246664291</v>
      </c>
      <c r="M290" s="10">
        <f t="shared" si="34"/>
        <v>0.41003139203627847</v>
      </c>
      <c r="P290" s="8">
        <f t="shared" si="35"/>
        <v>-1.3525706403288503E-3</v>
      </c>
    </row>
    <row r="291" spans="1:16" x14ac:dyDescent="0.2">
      <c r="A291" s="8">
        <v>144.5</v>
      </c>
      <c r="B291" s="8">
        <v>289</v>
      </c>
      <c r="D291">
        <v>1167.7329896906999</v>
      </c>
      <c r="E291">
        <v>458.97422680412001</v>
      </c>
      <c r="F291">
        <v>151.79543094496</v>
      </c>
      <c r="G291">
        <v>122.58255451713001</v>
      </c>
      <c r="I291" s="9">
        <f t="shared" si="32"/>
        <v>336.39167228699</v>
      </c>
      <c r="J291" s="9">
        <f t="shared" si="33"/>
        <v>1015.9375587457399</v>
      </c>
      <c r="K291" s="9">
        <f t="shared" si="31"/>
        <v>336.39167228699</v>
      </c>
      <c r="L291" s="10">
        <f t="shared" si="30"/>
        <v>0.33111451524864749</v>
      </c>
      <c r="M291" s="10">
        <f t="shared" si="34"/>
        <v>0.41119891346262205</v>
      </c>
      <c r="P291" s="8">
        <f t="shared" si="35"/>
        <v>0.28338310020514784</v>
      </c>
    </row>
    <row r="292" spans="1:16" x14ac:dyDescent="0.2">
      <c r="A292" s="8">
        <v>145</v>
      </c>
      <c r="B292" s="8">
        <v>290</v>
      </c>
      <c r="D292">
        <v>1166.4917525773001</v>
      </c>
      <c r="E292">
        <v>460.33917525773001</v>
      </c>
      <c r="F292">
        <v>150.86708203531001</v>
      </c>
      <c r="G292">
        <v>122.92627206646</v>
      </c>
      <c r="I292" s="9">
        <f>E292-G292</f>
        <v>337.41290319127</v>
      </c>
      <c r="J292" s="9">
        <f>D292-F292</f>
        <v>1015.6246705419901</v>
      </c>
      <c r="K292" s="9">
        <f t="shared" si="31"/>
        <v>337.41290319127</v>
      </c>
      <c r="L292" s="10">
        <f t="shared" si="30"/>
        <v>0.33222204321918347</v>
      </c>
      <c r="M292" s="10">
        <f>L292+ABS($N$2)*A292</f>
        <v>0.41258355007749703</v>
      </c>
      <c r="O292" s="11"/>
      <c r="P292" s="8">
        <f>(M292-$O$2)/$O$2*100</f>
        <v>0.62106892465152186</v>
      </c>
    </row>
    <row r="293" spans="1:16" x14ac:dyDescent="0.2">
      <c r="A293" s="8">
        <v>145.5</v>
      </c>
      <c r="B293" s="8">
        <v>291</v>
      </c>
      <c r="D293">
        <v>1168.4298969071999</v>
      </c>
      <c r="E293">
        <v>465.14226804124002</v>
      </c>
      <c r="F293">
        <v>151.18587746624999</v>
      </c>
      <c r="G293">
        <v>123.21495327103</v>
      </c>
      <c r="I293" s="9">
        <f t="shared" ref="I293:I301" si="36">E293-G293</f>
        <v>341.92731477021005</v>
      </c>
      <c r="J293" s="9">
        <f t="shared" ref="J293:J301" si="37">D293-F293</f>
        <v>1017.24401944095</v>
      </c>
      <c r="K293" s="9">
        <f t="shared" si="31"/>
        <v>341.92731477021005</v>
      </c>
      <c r="L293" s="10">
        <f t="shared" si="30"/>
        <v>0.3361310641650409</v>
      </c>
      <c r="M293" s="10">
        <f t="shared" ref="M293:M301" si="38">L293+ABS($N$2)*A293</f>
        <v>0.41676967966769352</v>
      </c>
      <c r="P293" s="8">
        <f t="shared" ref="P293:P301" si="39">(M293-$O$2)/$O$2*100</f>
        <v>1.6419841645915676</v>
      </c>
    </row>
    <row r="294" spans="1:16" x14ac:dyDescent="0.2">
      <c r="A294" s="8">
        <v>146</v>
      </c>
      <c r="B294" s="8">
        <v>292</v>
      </c>
      <c r="D294">
        <v>1166.0134020619</v>
      </c>
      <c r="E294">
        <v>460.06185567009999</v>
      </c>
      <c r="F294">
        <v>151.28037383178</v>
      </c>
      <c r="G294">
        <v>123.03115264797999</v>
      </c>
      <c r="I294" s="9">
        <f t="shared" si="36"/>
        <v>337.03070302212001</v>
      </c>
      <c r="J294" s="9">
        <f t="shared" si="37"/>
        <v>1014.73302823012</v>
      </c>
      <c r="K294" s="9">
        <f t="shared" si="31"/>
        <v>337.03070302212001</v>
      </c>
      <c r="L294" s="10">
        <f t="shared" si="30"/>
        <v>0.33213731458998946</v>
      </c>
      <c r="M294" s="10">
        <f t="shared" si="38"/>
        <v>0.41305303873698107</v>
      </c>
      <c r="N294" s="1"/>
      <c r="P294" s="8">
        <f t="shared" si="39"/>
        <v>0.7355680382405454</v>
      </c>
    </row>
    <row r="295" spans="1:16" x14ac:dyDescent="0.2">
      <c r="A295" s="8">
        <v>146.5</v>
      </c>
      <c r="B295" s="8">
        <v>293</v>
      </c>
      <c r="D295">
        <v>1162.6154639174999</v>
      </c>
      <c r="E295">
        <v>458.68350515463999</v>
      </c>
      <c r="F295">
        <v>150.92938733125999</v>
      </c>
      <c r="G295">
        <v>122.77570093458</v>
      </c>
      <c r="I295" s="9">
        <f t="shared" si="36"/>
        <v>335.90780422005997</v>
      </c>
      <c r="J295" s="9">
        <f t="shared" si="37"/>
        <v>1011.68607658624</v>
      </c>
      <c r="K295" s="9">
        <f t="shared" si="31"/>
        <v>335.90780422005997</v>
      </c>
      <c r="L295" s="10">
        <f t="shared" si="30"/>
        <v>0.33202770305342433</v>
      </c>
      <c r="M295" s="10">
        <f t="shared" si="38"/>
        <v>0.41322053584475493</v>
      </c>
      <c r="P295" s="8">
        <f t="shared" si="39"/>
        <v>0.77641731112800749</v>
      </c>
    </row>
    <row r="296" spans="1:16" x14ac:dyDescent="0.2">
      <c r="A296" s="8">
        <v>147</v>
      </c>
      <c r="B296" s="8">
        <v>294</v>
      </c>
      <c r="D296">
        <v>1164.0391752577</v>
      </c>
      <c r="E296">
        <v>454.74329896907</v>
      </c>
      <c r="F296">
        <v>150.53582554517001</v>
      </c>
      <c r="G296">
        <v>123.06853582555</v>
      </c>
      <c r="I296" s="9">
        <f t="shared" si="36"/>
        <v>331.67476314352001</v>
      </c>
      <c r="J296" s="9">
        <f t="shared" si="37"/>
        <v>1013.5033497125299</v>
      </c>
      <c r="K296" s="9">
        <f t="shared" si="31"/>
        <v>331.67476314352001</v>
      </c>
      <c r="L296" s="10">
        <f t="shared" si="30"/>
        <v>0.32725571478140275</v>
      </c>
      <c r="M296" s="10">
        <f t="shared" si="38"/>
        <v>0.40872565621707235</v>
      </c>
      <c r="P296" s="8">
        <f t="shared" si="39"/>
        <v>-0.31979603218174779</v>
      </c>
    </row>
    <row r="297" spans="1:16" x14ac:dyDescent="0.2">
      <c r="A297" s="8">
        <v>147.5</v>
      </c>
      <c r="B297" s="8">
        <v>295</v>
      </c>
      <c r="D297">
        <v>1163.9268041237001</v>
      </c>
      <c r="E297">
        <v>449.63505154639</v>
      </c>
      <c r="F297">
        <v>151.71754932503001</v>
      </c>
      <c r="G297">
        <v>122.65109034268001</v>
      </c>
      <c r="I297" s="9">
        <f t="shared" si="36"/>
        <v>326.98396120371001</v>
      </c>
      <c r="J297" s="9">
        <f t="shared" si="37"/>
        <v>1012.2092547986701</v>
      </c>
      <c r="K297" s="9">
        <f t="shared" si="31"/>
        <v>326.98396120371001</v>
      </c>
      <c r="L297" s="10">
        <f t="shared" si="30"/>
        <v>0.32303988493836444</v>
      </c>
      <c r="M297" s="10">
        <f t="shared" si="38"/>
        <v>0.40478693501837304</v>
      </c>
      <c r="P297" s="8">
        <f t="shared" si="39"/>
        <v>-1.280373198030623</v>
      </c>
    </row>
    <row r="298" spans="1:16" x14ac:dyDescent="0.2">
      <c r="A298" s="8">
        <v>148</v>
      </c>
      <c r="B298" s="8">
        <v>296</v>
      </c>
      <c r="D298">
        <v>1164.6072164949001</v>
      </c>
      <c r="E298">
        <v>447.39896907217002</v>
      </c>
      <c r="F298">
        <v>151.90342679128</v>
      </c>
      <c r="G298">
        <v>122.93042575286</v>
      </c>
      <c r="I298" s="9">
        <f t="shared" si="36"/>
        <v>324.46854331931002</v>
      </c>
      <c r="J298" s="9">
        <f t="shared" si="37"/>
        <v>1012.70378970362</v>
      </c>
      <c r="K298" s="9">
        <f t="shared" si="31"/>
        <v>324.46854331931002</v>
      </c>
      <c r="L298" s="10">
        <f t="shared" si="30"/>
        <v>0.32039827106233071</v>
      </c>
      <c r="M298" s="10">
        <f t="shared" si="38"/>
        <v>0.40242242978667836</v>
      </c>
      <c r="P298" s="8">
        <f t="shared" si="39"/>
        <v>-1.8570298384768078</v>
      </c>
    </row>
    <row r="299" spans="1:16" x14ac:dyDescent="0.2">
      <c r="A299" s="8">
        <v>148.5</v>
      </c>
      <c r="B299" s="8">
        <v>297</v>
      </c>
      <c r="D299">
        <v>1160.6762886598001</v>
      </c>
      <c r="E299">
        <v>445.70515463918002</v>
      </c>
      <c r="F299">
        <v>151.53686396677</v>
      </c>
      <c r="G299">
        <v>123.33541017653</v>
      </c>
      <c r="I299" s="9">
        <f t="shared" si="36"/>
        <v>322.36974446265003</v>
      </c>
      <c r="J299" s="9">
        <f t="shared" si="37"/>
        <v>1009.1394246930302</v>
      </c>
      <c r="K299" s="9">
        <f t="shared" si="31"/>
        <v>322.36974446265003</v>
      </c>
      <c r="L299" s="10">
        <f t="shared" si="30"/>
        <v>0.31945015383846648</v>
      </c>
      <c r="M299" s="10">
        <f t="shared" si="38"/>
        <v>0.40175142120715313</v>
      </c>
      <c r="P299" s="8">
        <f t="shared" si="39"/>
        <v>-2.0206757243022579</v>
      </c>
    </row>
    <row r="300" spans="1:16" x14ac:dyDescent="0.2">
      <c r="A300" s="8">
        <v>149</v>
      </c>
      <c r="B300" s="8">
        <v>298</v>
      </c>
      <c r="D300">
        <v>1159.7536082474001</v>
      </c>
      <c r="E300">
        <v>442.91340206185998</v>
      </c>
      <c r="F300">
        <v>152.1287642783</v>
      </c>
      <c r="G300">
        <v>123.26895119419</v>
      </c>
      <c r="I300" s="9">
        <f t="shared" si="36"/>
        <v>319.64445086767</v>
      </c>
      <c r="J300" s="9">
        <f t="shared" si="37"/>
        <v>1007.6248439691001</v>
      </c>
      <c r="K300" s="9">
        <f t="shared" si="31"/>
        <v>319.64445086767</v>
      </c>
      <c r="L300" s="10">
        <f t="shared" si="30"/>
        <v>0.3172256547472268</v>
      </c>
      <c r="M300" s="10">
        <f t="shared" si="38"/>
        <v>0.39980403076025245</v>
      </c>
      <c r="P300" s="8">
        <f t="shared" si="39"/>
        <v>-2.4956062161844361</v>
      </c>
    </row>
    <row r="301" spans="1:16" x14ac:dyDescent="0.2">
      <c r="A301" s="8">
        <v>149.5</v>
      </c>
      <c r="B301" s="8">
        <v>299</v>
      </c>
      <c r="D301">
        <v>1163.2206185566999</v>
      </c>
      <c r="E301">
        <v>443.61443298968999</v>
      </c>
      <c r="F301">
        <v>151.2481827622</v>
      </c>
      <c r="G301">
        <v>122.94288681205001</v>
      </c>
      <c r="I301" s="9">
        <f t="shared" si="36"/>
        <v>320.67154617763998</v>
      </c>
      <c r="J301" s="9">
        <f t="shared" si="37"/>
        <v>1011.9724357944999</v>
      </c>
      <c r="K301" s="9">
        <f t="shared" si="31"/>
        <v>320.67154617763998</v>
      </c>
      <c r="L301" s="10">
        <f t="shared" si="30"/>
        <v>0.31687774768873089</v>
      </c>
      <c r="M301" s="10">
        <f t="shared" si="38"/>
        <v>0.39973323234609559</v>
      </c>
      <c r="P301" s="8">
        <f t="shared" si="39"/>
        <v>-2.5128725665013478</v>
      </c>
    </row>
    <row r="302" spans="1:16" x14ac:dyDescent="0.2">
      <c r="A302" s="8">
        <v>150</v>
      </c>
      <c r="B302" s="8">
        <v>300</v>
      </c>
      <c r="D302">
        <v>1158.4773195876</v>
      </c>
      <c r="E302">
        <v>439.75360824742</v>
      </c>
      <c r="F302">
        <v>151.68431983385</v>
      </c>
      <c r="G302">
        <v>123.3707165109</v>
      </c>
      <c r="I302" s="9">
        <f>E302-G302</f>
        <v>316.38289173652004</v>
      </c>
      <c r="J302" s="9">
        <f>D302-F302</f>
        <v>1006.7929997537501</v>
      </c>
      <c r="K302" s="9">
        <f t="shared" si="31"/>
        <v>316.38289173652004</v>
      </c>
      <c r="L302" s="10">
        <f t="shared" si="30"/>
        <v>0.31424820376572304</v>
      </c>
      <c r="M302" s="10">
        <f>L302+ABS($N$2)*A302</f>
        <v>0.39738079706742674</v>
      </c>
      <c r="O302" s="11"/>
      <c r="P302" s="8">
        <f>(M302-$O$2)/$O$2*100</f>
        <v>-3.0865855811653096</v>
      </c>
    </row>
    <row r="303" spans="1:16" x14ac:dyDescent="0.2">
      <c r="A303" s="8">
        <v>150.5</v>
      </c>
      <c r="B303" s="8">
        <v>301</v>
      </c>
      <c r="D303">
        <v>1157.9402061855999</v>
      </c>
      <c r="E303">
        <v>441.61752577319999</v>
      </c>
      <c r="F303">
        <v>151.24506749739999</v>
      </c>
      <c r="G303">
        <v>123.48390446521</v>
      </c>
      <c r="I303" s="9">
        <f t="shared" ref="I303:I309" si="40">E303-G303</f>
        <v>318.13362130798998</v>
      </c>
      <c r="J303" s="9">
        <f t="shared" ref="J303:J309" si="41">D303-F303</f>
        <v>1006.6951386881999</v>
      </c>
      <c r="K303" s="9">
        <f t="shared" si="31"/>
        <v>318.13362130798998</v>
      </c>
      <c r="L303" s="10">
        <f t="shared" si="30"/>
        <v>0.31601783805427153</v>
      </c>
      <c r="M303" s="10">
        <f t="shared" ref="M303:M309" si="42">L303+ABS($N$2)*A303</f>
        <v>0.39942754000031422</v>
      </c>
      <c r="P303" s="8">
        <f t="shared" ref="P303:P309" si="43">(M303-$O$2)/$O$2*100</f>
        <v>-2.5874249585897586</v>
      </c>
    </row>
    <row r="304" spans="1:16" x14ac:dyDescent="0.2">
      <c r="A304" s="8">
        <v>151</v>
      </c>
      <c r="B304" s="8">
        <v>302</v>
      </c>
      <c r="D304">
        <v>1159.2371134021</v>
      </c>
      <c r="E304">
        <v>442</v>
      </c>
      <c r="F304">
        <v>151.68224299065</v>
      </c>
      <c r="G304">
        <v>122.53790238837</v>
      </c>
      <c r="I304" s="9">
        <f t="shared" si="40"/>
        <v>319.46209761162999</v>
      </c>
      <c r="J304" s="9">
        <f t="shared" si="41"/>
        <v>1007.55487041145</v>
      </c>
      <c r="K304" s="9">
        <f t="shared" si="31"/>
        <v>319.46209761162999</v>
      </c>
      <c r="L304" s="10">
        <f t="shared" si="30"/>
        <v>0.31706669978298341</v>
      </c>
      <c r="M304" s="10">
        <f t="shared" si="42"/>
        <v>0.40075351037336515</v>
      </c>
      <c r="N304" s="1"/>
      <c r="P304" s="8">
        <f t="shared" si="43"/>
        <v>-2.2640466846044216</v>
      </c>
    </row>
    <row r="305" spans="1:16" x14ac:dyDescent="0.2">
      <c r="A305" s="8">
        <v>151.5</v>
      </c>
      <c r="B305" s="8">
        <v>303</v>
      </c>
      <c r="D305">
        <v>1160.7515463918</v>
      </c>
      <c r="E305">
        <v>443.82783505154998</v>
      </c>
      <c r="F305">
        <v>151.67393561786</v>
      </c>
      <c r="G305">
        <v>123.32398753894</v>
      </c>
      <c r="I305" s="9">
        <f t="shared" si="40"/>
        <v>320.50384751260998</v>
      </c>
      <c r="J305" s="9">
        <f t="shared" si="41"/>
        <v>1009.07761077394</v>
      </c>
      <c r="K305" s="9">
        <f t="shared" si="31"/>
        <v>320.50384751260998</v>
      </c>
      <c r="L305" s="10">
        <f t="shared" si="30"/>
        <v>0.31762061123008239</v>
      </c>
      <c r="M305" s="10">
        <f t="shared" si="42"/>
        <v>0.40158453046480314</v>
      </c>
      <c r="P305" s="8">
        <f t="shared" si="43"/>
        <v>-2.0613771165068924</v>
      </c>
    </row>
    <row r="306" spans="1:16" x14ac:dyDescent="0.2">
      <c r="A306" s="8">
        <v>152</v>
      </c>
      <c r="B306" s="8">
        <v>304</v>
      </c>
      <c r="D306">
        <v>1157.6876288660001</v>
      </c>
      <c r="E306">
        <v>442.24639175258</v>
      </c>
      <c r="F306">
        <v>151.81308411214999</v>
      </c>
      <c r="G306">
        <v>122.86292834891</v>
      </c>
      <c r="I306" s="9">
        <f t="shared" si="40"/>
        <v>319.38346340367002</v>
      </c>
      <c r="J306" s="9">
        <f t="shared" si="41"/>
        <v>1005.87454475385</v>
      </c>
      <c r="K306" s="9">
        <f t="shared" si="31"/>
        <v>319.38346340367002</v>
      </c>
      <c r="L306" s="10">
        <f t="shared" si="30"/>
        <v>0.31751818859460956</v>
      </c>
      <c r="M306" s="10">
        <f t="shared" si="42"/>
        <v>0.4017592164736693</v>
      </c>
      <c r="P306" s="8">
        <f t="shared" si="43"/>
        <v>-2.0187746110628604</v>
      </c>
    </row>
    <row r="307" spans="1:16" x14ac:dyDescent="0.2">
      <c r="A307" s="8">
        <v>152.5</v>
      </c>
      <c r="B307" s="8">
        <v>305</v>
      </c>
      <c r="D307">
        <v>1157.8226804123999</v>
      </c>
      <c r="E307">
        <v>444.47010309277999</v>
      </c>
      <c r="F307">
        <v>152.35617860852</v>
      </c>
      <c r="G307">
        <v>123.17549325026</v>
      </c>
      <c r="I307" s="9">
        <f t="shared" si="40"/>
        <v>321.29460984252</v>
      </c>
      <c r="J307" s="9">
        <f t="shared" si="41"/>
        <v>1005.46650180388</v>
      </c>
      <c r="K307" s="9">
        <f t="shared" si="31"/>
        <v>321.29460984252</v>
      </c>
      <c r="L307" s="10">
        <f t="shared" si="30"/>
        <v>0.31954780121077542</v>
      </c>
      <c r="M307" s="10">
        <f t="shared" si="42"/>
        <v>0.40406593773417415</v>
      </c>
      <c r="P307" s="8">
        <f t="shared" si="43"/>
        <v>-1.4562103525033014</v>
      </c>
    </row>
    <row r="308" spans="1:16" x14ac:dyDescent="0.2">
      <c r="A308" s="8">
        <v>153</v>
      </c>
      <c r="B308" s="8">
        <v>306</v>
      </c>
      <c r="D308">
        <v>1158.924742268</v>
      </c>
      <c r="E308">
        <v>444.13711340205998</v>
      </c>
      <c r="F308">
        <v>151.65732087226999</v>
      </c>
      <c r="G308">
        <v>122.78920041537</v>
      </c>
      <c r="I308" s="9">
        <f t="shared" si="40"/>
        <v>321.34791298668995</v>
      </c>
      <c r="J308" s="9">
        <f t="shared" si="41"/>
        <v>1007.26742139573</v>
      </c>
      <c r="K308" s="9">
        <f t="shared" si="31"/>
        <v>321.34791298668995</v>
      </c>
      <c r="L308" s="10">
        <f t="shared" si="30"/>
        <v>0.31902939195770974</v>
      </c>
      <c r="M308" s="10">
        <f t="shared" si="42"/>
        <v>0.40382463712544747</v>
      </c>
      <c r="P308" s="8">
        <f t="shared" si="43"/>
        <v>-1.5150588576792519</v>
      </c>
    </row>
    <row r="309" spans="1:16" x14ac:dyDescent="0.2">
      <c r="A309" s="8">
        <v>153.5</v>
      </c>
      <c r="B309" s="8">
        <v>307</v>
      </c>
      <c r="D309">
        <v>1157.4175257731999</v>
      </c>
      <c r="E309">
        <v>443.17525773196002</v>
      </c>
      <c r="F309">
        <v>151.88785046729001</v>
      </c>
      <c r="G309">
        <v>122.95119418484001</v>
      </c>
      <c r="I309" s="9">
        <f t="shared" si="40"/>
        <v>320.22406354712001</v>
      </c>
      <c r="J309" s="9">
        <f t="shared" si="41"/>
        <v>1005.5296753059099</v>
      </c>
      <c r="K309" s="9">
        <f t="shared" si="31"/>
        <v>320.22406354712001</v>
      </c>
      <c r="L309" s="10">
        <f t="shared" si="30"/>
        <v>0.31846306619414189</v>
      </c>
      <c r="M309" s="10">
        <f t="shared" si="42"/>
        <v>0.40353542000621867</v>
      </c>
      <c r="P309" s="8">
        <f t="shared" si="43"/>
        <v>-1.5855932638198851</v>
      </c>
    </row>
    <row r="310" spans="1:16" x14ac:dyDescent="0.2">
      <c r="A310" s="8">
        <v>154</v>
      </c>
      <c r="B310" s="8">
        <v>308</v>
      </c>
      <c r="D310">
        <v>1155.7298969072001</v>
      </c>
      <c r="E310">
        <v>446.92577319588003</v>
      </c>
      <c r="F310">
        <v>151.86292834891</v>
      </c>
      <c r="G310">
        <v>122.78712357217</v>
      </c>
      <c r="I310" s="9">
        <f>E310-G310</f>
        <v>324.13864962371002</v>
      </c>
      <c r="J310" s="9">
        <f>D310-F310</f>
        <v>1003.8669685582901</v>
      </c>
      <c r="K310" s="9">
        <f t="shared" si="31"/>
        <v>324.13864962371002</v>
      </c>
      <c r="L310" s="10">
        <f t="shared" si="30"/>
        <v>0.32289004397587046</v>
      </c>
      <c r="M310" s="10">
        <f>L310+ABS($N$2)*A310</f>
        <v>0.40823950643228624</v>
      </c>
      <c r="O310" s="11"/>
      <c r="P310" s="8">
        <f>(M310-$O$2)/$O$2*100</f>
        <v>-0.43835846879241747</v>
      </c>
    </row>
    <row r="311" spans="1:16" x14ac:dyDescent="0.2">
      <c r="A311" s="8">
        <v>154.5</v>
      </c>
      <c r="B311" s="8">
        <v>309</v>
      </c>
      <c r="D311">
        <v>1156.0082474226999</v>
      </c>
      <c r="E311">
        <v>448.99484536083003</v>
      </c>
      <c r="F311">
        <v>151.56178608515</v>
      </c>
      <c r="G311">
        <v>122.91692627207</v>
      </c>
      <c r="I311" s="9">
        <f t="shared" ref="I311:I314" si="44">E311-G311</f>
        <v>326.07791908876004</v>
      </c>
      <c r="J311" s="9">
        <f t="shared" ref="J311:J314" si="45">D311-F311</f>
        <v>1004.4464613375499</v>
      </c>
      <c r="K311" s="9">
        <f t="shared" si="31"/>
        <v>326.07791908876004</v>
      </c>
      <c r="L311" s="10">
        <f t="shared" si="30"/>
        <v>0.32463444458208879</v>
      </c>
      <c r="M311" s="10">
        <f t="shared" ref="M311:M314" si="46">L311+ABS($N$2)*A311</f>
        <v>0.41026101568284357</v>
      </c>
      <c r="P311" s="8">
        <f t="shared" ref="P311:P314" si="47">(M311-$O$2)/$O$2*100</f>
        <v>5.4648151548948913E-2</v>
      </c>
    </row>
    <row r="312" spans="1:16" x14ac:dyDescent="0.2">
      <c r="A312" s="8">
        <v>155</v>
      </c>
      <c r="B312" s="8">
        <v>310</v>
      </c>
      <c r="D312">
        <v>1161.5824742268001</v>
      </c>
      <c r="E312">
        <v>453.17628865978998</v>
      </c>
      <c r="F312">
        <v>151.54620976115999</v>
      </c>
      <c r="G312">
        <v>123.32710280374</v>
      </c>
      <c r="I312" s="9">
        <f t="shared" si="44"/>
        <v>329.84918585604998</v>
      </c>
      <c r="J312" s="9">
        <f t="shared" si="45"/>
        <v>1010.0362644656401</v>
      </c>
      <c r="K312" s="9">
        <f t="shared" si="31"/>
        <v>329.84918585604998</v>
      </c>
      <c r="L312" s="10">
        <f t="shared" si="30"/>
        <v>0.32657162664407574</v>
      </c>
      <c r="M312" s="10">
        <f t="shared" si="46"/>
        <v>0.41247530638916957</v>
      </c>
      <c r="N312" s="1"/>
      <c r="P312" s="8">
        <f t="shared" si="47"/>
        <v>0.59467040337792798</v>
      </c>
    </row>
    <row r="313" spans="1:16" x14ac:dyDescent="0.2">
      <c r="A313" s="8">
        <v>155.5</v>
      </c>
      <c r="B313" s="8">
        <v>311</v>
      </c>
      <c r="D313">
        <v>1154.5051546392001</v>
      </c>
      <c r="E313">
        <v>451.06494845360999</v>
      </c>
      <c r="F313">
        <v>151.99376947041</v>
      </c>
      <c r="G313">
        <v>122.94600207684</v>
      </c>
      <c r="I313" s="9">
        <f t="shared" si="44"/>
        <v>328.11894637677</v>
      </c>
      <c r="J313" s="9">
        <f t="shared" si="45"/>
        <v>1002.5113851687901</v>
      </c>
      <c r="K313" s="9">
        <f t="shared" si="31"/>
        <v>328.11894637677</v>
      </c>
      <c r="L313" s="10">
        <f t="shared" si="30"/>
        <v>0.32729697760143195</v>
      </c>
      <c r="M313" s="10">
        <f t="shared" si="46"/>
        <v>0.41347776599086478</v>
      </c>
      <c r="P313" s="8">
        <f t="shared" si="47"/>
        <v>0.83915071932219054</v>
      </c>
    </row>
    <row r="314" spans="1:16" x14ac:dyDescent="0.2">
      <c r="A314" s="8">
        <v>156</v>
      </c>
      <c r="B314" s="8">
        <v>312</v>
      </c>
      <c r="D314">
        <v>1156.6051546392</v>
      </c>
      <c r="E314">
        <v>449.63195876289001</v>
      </c>
      <c r="F314">
        <v>151.36863966771</v>
      </c>
      <c r="G314">
        <v>122.74350986501</v>
      </c>
      <c r="I314" s="9">
        <f t="shared" si="44"/>
        <v>326.88844889788004</v>
      </c>
      <c r="J314" s="9">
        <f t="shared" si="45"/>
        <v>1005.23651497149</v>
      </c>
      <c r="K314" s="9">
        <f t="shared" ref="K314:K322" si="48">I314*1</f>
        <v>326.88844889788004</v>
      </c>
      <c r="L314" s="10">
        <f t="shared" ref="L314:L322" si="49">K314/J314</f>
        <v>0.32518560958477627</v>
      </c>
      <c r="M314" s="10">
        <f t="shared" si="46"/>
        <v>0.41164350661854809</v>
      </c>
      <c r="O314" s="11"/>
      <c r="P314" s="8">
        <f t="shared" si="47"/>
        <v>0.39181068675691388</v>
      </c>
    </row>
    <row r="315" spans="1:16" x14ac:dyDescent="0.2">
      <c r="A315" s="8">
        <v>156.5</v>
      </c>
      <c r="B315" s="8">
        <v>313</v>
      </c>
      <c r="D315">
        <v>1155.4443298968999</v>
      </c>
      <c r="E315">
        <v>450.90618556701003</v>
      </c>
      <c r="F315">
        <v>151.73727933540999</v>
      </c>
      <c r="G315">
        <v>122.36760124611</v>
      </c>
      <c r="I315" s="9">
        <f t="shared" ref="I315:I322" si="50">E315-G315</f>
        <v>328.53858432090004</v>
      </c>
      <c r="J315" s="9">
        <f t="shared" ref="J315:J322" si="51">D315-F315</f>
        <v>1003.70705056149</v>
      </c>
      <c r="K315" s="9">
        <f t="shared" si="48"/>
        <v>328.53858432090004</v>
      </c>
      <c r="L315" s="10">
        <f t="shared" si="49"/>
        <v>0.32732517335323114</v>
      </c>
      <c r="M315" s="10">
        <f t="shared" ref="M315:M322" si="52">L315+ABS($N$2)*A315</f>
        <v>0.41406017903134196</v>
      </c>
      <c r="P315" s="8">
        <f t="shared" ref="P315:P322" si="53">(M315-$O$2)/$O$2*100</f>
        <v>0.98118988369862437</v>
      </c>
    </row>
    <row r="316" spans="1:16" x14ac:dyDescent="0.2">
      <c r="A316" s="8">
        <v>157</v>
      </c>
      <c r="B316" s="8">
        <v>314</v>
      </c>
      <c r="D316">
        <v>1158.3896907216999</v>
      </c>
      <c r="E316">
        <v>453.68350515463999</v>
      </c>
      <c r="F316">
        <v>152.10176531671999</v>
      </c>
      <c r="G316">
        <v>122.52232606438</v>
      </c>
      <c r="I316" s="9">
        <f t="shared" si="50"/>
        <v>331.16117909026002</v>
      </c>
      <c r="J316" s="9">
        <f t="shared" si="51"/>
        <v>1006.2879254049799</v>
      </c>
      <c r="K316" s="9">
        <f t="shared" si="48"/>
        <v>331.16117909026002</v>
      </c>
      <c r="L316" s="10">
        <f t="shared" si="49"/>
        <v>0.3290918739355681</v>
      </c>
      <c r="M316" s="10">
        <f t="shared" si="52"/>
        <v>0.41610398825801798</v>
      </c>
      <c r="N316" s="1"/>
      <c r="P316" s="8">
        <f t="shared" si="53"/>
        <v>1.4796350326328911</v>
      </c>
    </row>
    <row r="317" spans="1:16" x14ac:dyDescent="0.2">
      <c r="A317" s="8">
        <v>157.5</v>
      </c>
      <c r="B317" s="8">
        <v>315</v>
      </c>
      <c r="D317">
        <v>1155.3680412371</v>
      </c>
      <c r="E317">
        <v>451.64329896906997</v>
      </c>
      <c r="F317">
        <v>151.42159916925999</v>
      </c>
      <c r="G317">
        <v>122.63447559709</v>
      </c>
      <c r="I317" s="9">
        <f t="shared" si="50"/>
        <v>329.00882337197999</v>
      </c>
      <c r="J317" s="9">
        <f t="shared" si="51"/>
        <v>1003.9464420678401</v>
      </c>
      <c r="K317" s="9">
        <f t="shared" si="48"/>
        <v>329.00882337197999</v>
      </c>
      <c r="L317" s="10">
        <f t="shared" si="49"/>
        <v>0.32771551308485813</v>
      </c>
      <c r="M317" s="10">
        <f t="shared" si="52"/>
        <v>0.41500473605164701</v>
      </c>
      <c r="P317" s="8">
        <f t="shared" si="53"/>
        <v>1.2115488910451984</v>
      </c>
    </row>
    <row r="318" spans="1:16" x14ac:dyDescent="0.2">
      <c r="A318" s="8">
        <v>158</v>
      </c>
      <c r="B318" s="8">
        <v>316</v>
      </c>
      <c r="D318">
        <v>1154.2309278350999</v>
      </c>
      <c r="E318">
        <v>452.97835051546002</v>
      </c>
      <c r="F318">
        <v>151.31048805815001</v>
      </c>
      <c r="G318">
        <v>122.66562824507</v>
      </c>
      <c r="I318" s="9">
        <f t="shared" si="50"/>
        <v>330.31272227039005</v>
      </c>
      <c r="J318" s="9">
        <f t="shared" si="51"/>
        <v>1002.9204397769499</v>
      </c>
      <c r="K318" s="9">
        <f t="shared" si="48"/>
        <v>330.31272227039005</v>
      </c>
      <c r="L318" s="10">
        <f t="shared" si="49"/>
        <v>0.32935087288065623</v>
      </c>
      <c r="M318" s="10">
        <f t="shared" si="52"/>
        <v>0.4169172044917841</v>
      </c>
      <c r="O318" s="11"/>
      <c r="P318" s="8">
        <f t="shared" si="53"/>
        <v>1.6779625876046218</v>
      </c>
    </row>
    <row r="319" spans="1:16" x14ac:dyDescent="0.2">
      <c r="A319" s="8">
        <v>158.5</v>
      </c>
      <c r="B319" s="8">
        <v>317</v>
      </c>
      <c r="D319">
        <v>1153.7288659794001</v>
      </c>
      <c r="E319">
        <v>454.95979381442999</v>
      </c>
      <c r="F319">
        <v>151.34164070612999</v>
      </c>
      <c r="G319">
        <v>122.9968847352</v>
      </c>
      <c r="I319" s="9">
        <f t="shared" si="50"/>
        <v>331.96290907922997</v>
      </c>
      <c r="J319" s="9">
        <f t="shared" si="51"/>
        <v>1002.3872252732701</v>
      </c>
      <c r="K319" s="9">
        <f t="shared" si="48"/>
        <v>331.96290907922997</v>
      </c>
      <c r="L319" s="10">
        <f t="shared" si="49"/>
        <v>0.33117232613247888</v>
      </c>
      <c r="M319" s="10">
        <f t="shared" si="52"/>
        <v>0.4190157663879458</v>
      </c>
      <c r="P319" s="8">
        <f t="shared" si="53"/>
        <v>2.1897608431498825</v>
      </c>
    </row>
    <row r="320" spans="1:16" x14ac:dyDescent="0.2">
      <c r="A320" s="8">
        <v>159</v>
      </c>
      <c r="B320" s="8">
        <v>318</v>
      </c>
      <c r="D320">
        <v>1152.5969072165001</v>
      </c>
      <c r="E320">
        <v>456.51237113401999</v>
      </c>
      <c r="F320">
        <v>151.01973001037999</v>
      </c>
      <c r="G320">
        <v>122.99273104881</v>
      </c>
      <c r="I320" s="9">
        <f t="shared" si="50"/>
        <v>333.51964008520997</v>
      </c>
      <c r="J320" s="9">
        <f t="shared" si="51"/>
        <v>1001.57717720612</v>
      </c>
      <c r="K320" s="9">
        <f t="shared" si="48"/>
        <v>333.51964008520997</v>
      </c>
      <c r="L320" s="10">
        <f t="shared" si="49"/>
        <v>0.33299444883074963</v>
      </c>
      <c r="M320" s="10">
        <f t="shared" si="52"/>
        <v>0.42111499773055555</v>
      </c>
      <c r="N320" s="1"/>
      <c r="P320" s="8">
        <f t="shared" si="53"/>
        <v>2.7017223636076158</v>
      </c>
    </row>
    <row r="321" spans="1:16" x14ac:dyDescent="0.2">
      <c r="A321" s="8">
        <v>159.5</v>
      </c>
      <c r="B321" s="8">
        <v>319</v>
      </c>
      <c r="D321">
        <v>1153.4907216495001</v>
      </c>
      <c r="E321">
        <v>459.95979381442999</v>
      </c>
      <c r="F321">
        <v>151.81308411214999</v>
      </c>
      <c r="G321">
        <v>123.50778816199001</v>
      </c>
      <c r="I321" s="9">
        <f t="shared" si="50"/>
        <v>336.45200565243999</v>
      </c>
      <c r="J321" s="9">
        <f t="shared" si="51"/>
        <v>1001.6776375373501</v>
      </c>
      <c r="K321" s="9">
        <f t="shared" si="48"/>
        <v>336.45200565243999</v>
      </c>
      <c r="L321" s="10">
        <f t="shared" si="49"/>
        <v>0.33588850648559532</v>
      </c>
      <c r="M321" s="10">
        <f t="shared" si="52"/>
        <v>0.42428616402974023</v>
      </c>
      <c r="P321" s="8">
        <f t="shared" si="53"/>
        <v>3.4751078820119701</v>
      </c>
    </row>
    <row r="322" spans="1:16" x14ac:dyDescent="0.2">
      <c r="A322" s="8">
        <v>160</v>
      </c>
      <c r="B322" s="8">
        <v>320</v>
      </c>
      <c r="D322">
        <v>1160.8402061856</v>
      </c>
      <c r="E322">
        <v>464.22268041236998</v>
      </c>
      <c r="F322">
        <v>151.18380062304999</v>
      </c>
      <c r="G322">
        <v>122.72274143302</v>
      </c>
      <c r="I322" s="9">
        <f t="shared" si="50"/>
        <v>341.49993897934996</v>
      </c>
      <c r="J322" s="9">
        <f t="shared" si="51"/>
        <v>1009.6564055625499</v>
      </c>
      <c r="K322" s="9">
        <f t="shared" si="48"/>
        <v>341.49993897934996</v>
      </c>
      <c r="L322" s="10">
        <f t="shared" si="49"/>
        <v>0.33823381607634784</v>
      </c>
      <c r="M322" s="10">
        <f t="shared" si="52"/>
        <v>0.42690858226483175</v>
      </c>
      <c r="O322" s="11"/>
      <c r="P322" s="8">
        <f t="shared" si="53"/>
        <v>4.1146644662064746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FD71-DD9C-144F-96DC-97D7B4146AEA}">
  <dimension ref="A1:Y798"/>
  <sheetViews>
    <sheetView tabSelected="1" topLeftCell="D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533.00774647886999</v>
      </c>
      <c r="E2">
        <v>245.19577464789</v>
      </c>
      <c r="F2">
        <v>137.39568845618999</v>
      </c>
      <c r="G2">
        <v>115.99304589707999</v>
      </c>
      <c r="H2" s="4"/>
      <c r="I2" s="5">
        <f>E2-G2</f>
        <v>129.20272875081002</v>
      </c>
      <c r="J2" s="5">
        <f>D2-F2</f>
        <v>395.61205802268</v>
      </c>
      <c r="K2" s="9">
        <f>I2*1</f>
        <v>129.20272875081002</v>
      </c>
      <c r="L2" s="6">
        <f t="shared" ref="L2:L65" si="0">K2/J2</f>
        <v>0.32658946088898783</v>
      </c>
      <c r="M2" s="6">
        <f>L2+ABS($N$2)*A2</f>
        <v>0.32658946088898783</v>
      </c>
      <c r="N2" s="4">
        <f>LINEST(V64:V103,U64:U103)</f>
        <v>-1.6843116535894274E-4</v>
      </c>
      <c r="O2" s="7">
        <f>AVERAGE(M62:M81)</f>
        <v>0.33897817910094125</v>
      </c>
      <c r="P2" s="4">
        <f>(M2-$O$2)/$O$2*100</f>
        <v>-3.654724396954264</v>
      </c>
    </row>
    <row r="3" spans="1:16" x14ac:dyDescent="0.2">
      <c r="A3" s="8">
        <v>0.5</v>
      </c>
      <c r="B3" s="8">
        <v>1</v>
      </c>
      <c r="D3">
        <v>537.63732394366002</v>
      </c>
      <c r="E3">
        <v>249.94084507042001</v>
      </c>
      <c r="F3">
        <v>137.42837273992001</v>
      </c>
      <c r="G3">
        <v>116.07579972184</v>
      </c>
      <c r="I3" s="9">
        <f t="shared" ref="I3:I66" si="1">E3-G3</f>
        <v>133.86504534858</v>
      </c>
      <c r="J3" s="9">
        <f t="shared" ref="J3:J66" si="2">D3-F3</f>
        <v>400.20895120374001</v>
      </c>
      <c r="K3" s="9">
        <f t="shared" ref="K3:K66" si="3">I3*1</f>
        <v>133.86504534858</v>
      </c>
      <c r="L3" s="10">
        <f t="shared" si="0"/>
        <v>0.33448788425632048</v>
      </c>
      <c r="M3" s="10">
        <f t="shared" ref="M3:M66" si="4">L3+ABS($N$2)*A3</f>
        <v>0.33457209983899994</v>
      </c>
      <c r="P3" s="8">
        <f t="shared" ref="P3:P66" si="5">(M3-$O$2)/$O$2*100</f>
        <v>-1.2998120627196073</v>
      </c>
    </row>
    <row r="4" spans="1:16" ht="16" x14ac:dyDescent="0.2">
      <c r="A4" s="8">
        <v>1</v>
      </c>
      <c r="B4" s="8">
        <v>2</v>
      </c>
      <c r="D4">
        <v>533.36191145467001</v>
      </c>
      <c r="E4">
        <v>245.03302881236999</v>
      </c>
      <c r="F4">
        <v>137.25173852572999</v>
      </c>
      <c r="G4">
        <v>115.82336578581</v>
      </c>
      <c r="I4" s="9">
        <f t="shared" si="1"/>
        <v>129.20966302656001</v>
      </c>
      <c r="J4" s="9">
        <f t="shared" si="2"/>
        <v>396.11017292894002</v>
      </c>
      <c r="K4" s="9">
        <f t="shared" si="3"/>
        <v>129.20966302656001</v>
      </c>
      <c r="L4" s="10">
        <f t="shared" si="0"/>
        <v>0.32619627532196582</v>
      </c>
      <c r="M4" s="10">
        <f t="shared" si="4"/>
        <v>0.32636470648732474</v>
      </c>
      <c r="N4" s="1" t="s">
        <v>7</v>
      </c>
      <c r="P4" s="8">
        <f t="shared" si="5"/>
        <v>-3.7210278983357372</v>
      </c>
    </row>
    <row r="5" spans="1:16" x14ac:dyDescent="0.2">
      <c r="A5" s="8">
        <v>1.5</v>
      </c>
      <c r="B5" s="8">
        <v>3</v>
      </c>
      <c r="D5">
        <v>561.89318341531998</v>
      </c>
      <c r="E5">
        <v>255.33661278988001</v>
      </c>
      <c r="F5">
        <v>136.83101529903001</v>
      </c>
      <c r="G5">
        <v>116.07719054242</v>
      </c>
      <c r="I5" s="9">
        <f t="shared" si="1"/>
        <v>139.25942224746001</v>
      </c>
      <c r="J5" s="9">
        <f t="shared" si="2"/>
        <v>425.06216811628997</v>
      </c>
      <c r="K5" s="9">
        <f t="shared" si="3"/>
        <v>139.25942224746001</v>
      </c>
      <c r="L5" s="10">
        <f t="shared" si="0"/>
        <v>0.32762130505427839</v>
      </c>
      <c r="M5" s="10">
        <f t="shared" si="4"/>
        <v>0.32787395180231682</v>
      </c>
      <c r="N5" s="8">
        <f>RSQ(V64:V83,U64:U83)</f>
        <v>0.16511765560697142</v>
      </c>
      <c r="P5" s="8">
        <f t="shared" si="5"/>
        <v>-3.2757941316682206</v>
      </c>
    </row>
    <row r="6" spans="1:16" x14ac:dyDescent="0.2">
      <c r="A6" s="8">
        <v>2</v>
      </c>
      <c r="B6" s="8">
        <v>4</v>
      </c>
      <c r="D6">
        <v>554.05998588567002</v>
      </c>
      <c r="E6">
        <v>252.74453069865999</v>
      </c>
      <c r="F6">
        <v>137.40403337968999</v>
      </c>
      <c r="G6">
        <v>115.94575799722</v>
      </c>
      <c r="I6" s="9">
        <f t="shared" si="1"/>
        <v>136.79877270143999</v>
      </c>
      <c r="J6" s="9">
        <f t="shared" si="2"/>
        <v>416.65595250598005</v>
      </c>
      <c r="K6" s="9">
        <f t="shared" si="3"/>
        <v>136.79877270143999</v>
      </c>
      <c r="L6" s="10">
        <f t="shared" si="0"/>
        <v>0.32832549704057468</v>
      </c>
      <c r="M6" s="10">
        <f t="shared" si="4"/>
        <v>0.32866235937129257</v>
      </c>
      <c r="P6" s="8">
        <f t="shared" si="5"/>
        <v>-3.0432105562101164</v>
      </c>
    </row>
    <row r="7" spans="1:16" x14ac:dyDescent="0.2">
      <c r="A7" s="8">
        <v>2.5</v>
      </c>
      <c r="B7" s="8">
        <v>5</v>
      </c>
      <c r="D7">
        <v>538.14255469300997</v>
      </c>
      <c r="E7">
        <v>248.36485532815999</v>
      </c>
      <c r="F7">
        <v>137.43393602225001</v>
      </c>
      <c r="G7">
        <v>115.64673157163</v>
      </c>
      <c r="I7" s="9">
        <f t="shared" si="1"/>
        <v>132.71812375652999</v>
      </c>
      <c r="J7" s="9">
        <f t="shared" si="2"/>
        <v>400.70861867075996</v>
      </c>
      <c r="K7" s="9">
        <f t="shared" si="3"/>
        <v>132.71812375652999</v>
      </c>
      <c r="L7" s="10">
        <f t="shared" si="0"/>
        <v>0.3312085579710905</v>
      </c>
      <c r="M7" s="10">
        <f t="shared" si="4"/>
        <v>0.33162963588448785</v>
      </c>
      <c r="P7" s="8">
        <f t="shared" si="5"/>
        <v>-2.1678514044602086</v>
      </c>
    </row>
    <row r="8" spans="1:16" x14ac:dyDescent="0.2">
      <c r="A8" s="8">
        <v>3</v>
      </c>
      <c r="B8" s="8">
        <v>6</v>
      </c>
      <c r="D8">
        <v>575.11514305652997</v>
      </c>
      <c r="E8">
        <v>259.42568039078998</v>
      </c>
      <c r="F8">
        <v>137.82267037552</v>
      </c>
      <c r="G8">
        <v>115.81015299025999</v>
      </c>
      <c r="I8" s="9">
        <f t="shared" si="1"/>
        <v>143.61552740052997</v>
      </c>
      <c r="J8" s="9">
        <f t="shared" si="2"/>
        <v>437.29247268100994</v>
      </c>
      <c r="K8" s="9">
        <f t="shared" si="3"/>
        <v>143.61552740052997</v>
      </c>
      <c r="L8" s="10">
        <f t="shared" si="0"/>
        <v>0.32841984797962126</v>
      </c>
      <c r="M8" s="10">
        <f t="shared" si="4"/>
        <v>0.32892514147569807</v>
      </c>
      <c r="P8" s="8">
        <f t="shared" si="5"/>
        <v>-2.9656887212936427</v>
      </c>
    </row>
    <row r="9" spans="1:16" x14ac:dyDescent="0.2">
      <c r="A9" s="8">
        <v>3.5</v>
      </c>
      <c r="B9" s="8">
        <v>7</v>
      </c>
      <c r="D9">
        <v>632.63293789252998</v>
      </c>
      <c r="E9">
        <v>275.22819260292999</v>
      </c>
      <c r="F9">
        <v>137.10152990264001</v>
      </c>
      <c r="G9">
        <v>115.97218358831999</v>
      </c>
      <c r="I9" s="9">
        <f t="shared" si="1"/>
        <v>159.25600901461002</v>
      </c>
      <c r="J9" s="9">
        <f t="shared" si="2"/>
        <v>495.53140798989</v>
      </c>
      <c r="K9" s="9">
        <f t="shared" si="3"/>
        <v>159.25600901461002</v>
      </c>
      <c r="L9" s="10">
        <f t="shared" si="0"/>
        <v>0.32138428855726381</v>
      </c>
      <c r="M9" s="10">
        <f t="shared" si="4"/>
        <v>0.32197379763602013</v>
      </c>
      <c r="P9" s="8">
        <f t="shared" si="5"/>
        <v>-5.0163646255995529</v>
      </c>
    </row>
    <row r="10" spans="1:16" x14ac:dyDescent="0.2">
      <c r="A10" s="8">
        <v>4</v>
      </c>
      <c r="B10" s="8">
        <v>8</v>
      </c>
      <c r="D10">
        <v>627.58613445378001</v>
      </c>
      <c r="E10">
        <v>273.73529411765003</v>
      </c>
      <c r="F10">
        <v>137.21627260083</v>
      </c>
      <c r="G10">
        <v>115.99582753825</v>
      </c>
      <c r="I10" s="9">
        <f t="shared" si="1"/>
        <v>157.73946657940002</v>
      </c>
      <c r="J10" s="9">
        <f t="shared" si="2"/>
        <v>490.36986185295001</v>
      </c>
      <c r="K10" s="9">
        <f t="shared" si="3"/>
        <v>157.73946657940002</v>
      </c>
      <c r="L10" s="10">
        <f t="shared" si="0"/>
        <v>0.32167447237347191</v>
      </c>
      <c r="M10" s="10">
        <f t="shared" si="4"/>
        <v>0.32234819703490769</v>
      </c>
      <c r="P10" s="8">
        <f t="shared" si="5"/>
        <v>-4.9059152155872141</v>
      </c>
    </row>
    <row r="11" spans="1:16" x14ac:dyDescent="0.2">
      <c r="A11" s="8">
        <v>4.5</v>
      </c>
      <c r="B11" s="8">
        <v>9</v>
      </c>
      <c r="D11">
        <v>637.30790762771005</v>
      </c>
      <c r="E11">
        <v>277.83135059481998</v>
      </c>
      <c r="F11">
        <v>137.66828929068001</v>
      </c>
      <c r="G11">
        <v>116.24895688456</v>
      </c>
      <c r="I11" s="9">
        <f t="shared" si="1"/>
        <v>161.58239371025996</v>
      </c>
      <c r="J11" s="9">
        <f t="shared" si="2"/>
        <v>499.63961833703002</v>
      </c>
      <c r="K11" s="9">
        <f t="shared" si="3"/>
        <v>161.58239371025996</v>
      </c>
      <c r="L11" s="10">
        <f t="shared" si="0"/>
        <v>0.32339788075265313</v>
      </c>
      <c r="M11" s="10">
        <f t="shared" si="4"/>
        <v>0.32415582099676837</v>
      </c>
      <c r="P11" s="8">
        <f t="shared" si="5"/>
        <v>-4.3726584830580073</v>
      </c>
    </row>
    <row r="12" spans="1:16" x14ac:dyDescent="0.2">
      <c r="A12" s="8">
        <v>5</v>
      </c>
      <c r="B12" s="8">
        <v>10</v>
      </c>
      <c r="D12">
        <v>630.20028011205</v>
      </c>
      <c r="E12">
        <v>275.54901960784002</v>
      </c>
      <c r="F12">
        <v>137.61682892907001</v>
      </c>
      <c r="G12">
        <v>115.97635605007</v>
      </c>
      <c r="I12" s="9">
        <f t="shared" si="1"/>
        <v>159.57266355777003</v>
      </c>
      <c r="J12" s="9">
        <f t="shared" si="2"/>
        <v>492.58345118297996</v>
      </c>
      <c r="K12" s="9">
        <f t="shared" si="3"/>
        <v>159.57266355777003</v>
      </c>
      <c r="L12" s="10">
        <f t="shared" si="0"/>
        <v>0.32395051675922742</v>
      </c>
      <c r="M12" s="10">
        <f t="shared" si="4"/>
        <v>0.32479267258602212</v>
      </c>
      <c r="P12" s="8">
        <f t="shared" si="5"/>
        <v>-4.1847845641695267</v>
      </c>
    </row>
    <row r="13" spans="1:16" x14ac:dyDescent="0.2">
      <c r="A13" s="8">
        <v>5.5</v>
      </c>
      <c r="B13" s="8">
        <v>11</v>
      </c>
      <c r="D13">
        <v>637.59090909091003</v>
      </c>
      <c r="E13">
        <v>277.42377622378001</v>
      </c>
      <c r="F13">
        <v>136.71627260083</v>
      </c>
      <c r="G13">
        <v>115.92559109875</v>
      </c>
      <c r="I13" s="9">
        <f t="shared" si="1"/>
        <v>161.49818512503001</v>
      </c>
      <c r="J13" s="9">
        <f t="shared" si="2"/>
        <v>500.87463649008004</v>
      </c>
      <c r="K13" s="9">
        <f t="shared" si="3"/>
        <v>161.49818512503001</v>
      </c>
      <c r="L13" s="10">
        <f t="shared" si="0"/>
        <v>0.32243234805567667</v>
      </c>
      <c r="M13" s="10">
        <f t="shared" si="4"/>
        <v>0.32335871946515082</v>
      </c>
      <c r="P13" s="8">
        <f t="shared" si="5"/>
        <v>-4.6078068143552224</v>
      </c>
    </row>
    <row r="14" spans="1:16" x14ac:dyDescent="0.2">
      <c r="A14" s="8">
        <v>6</v>
      </c>
      <c r="B14" s="8">
        <v>12</v>
      </c>
      <c r="D14">
        <v>655.82727272727004</v>
      </c>
      <c r="E14">
        <v>281.52447552448001</v>
      </c>
      <c r="F14">
        <v>137.06815020862001</v>
      </c>
      <c r="G14">
        <v>115.52016689846999</v>
      </c>
      <c r="I14" s="9">
        <f t="shared" si="1"/>
        <v>166.00430862601002</v>
      </c>
      <c r="J14" s="9">
        <f t="shared" si="2"/>
        <v>518.75912251864997</v>
      </c>
      <c r="K14" s="9">
        <f t="shared" si="3"/>
        <v>166.00430862601002</v>
      </c>
      <c r="L14" s="10">
        <f t="shared" si="0"/>
        <v>0.32000267835298063</v>
      </c>
      <c r="M14" s="10">
        <f t="shared" si="4"/>
        <v>0.3210132653451343</v>
      </c>
      <c r="P14" s="8">
        <f t="shared" si="5"/>
        <v>-5.2997257237780291</v>
      </c>
    </row>
    <row r="15" spans="1:16" x14ac:dyDescent="0.2">
      <c r="A15" s="8">
        <v>6.5</v>
      </c>
      <c r="B15" s="8">
        <v>13</v>
      </c>
      <c r="D15">
        <v>676.12184873950002</v>
      </c>
      <c r="E15">
        <v>288.62114845937998</v>
      </c>
      <c r="F15">
        <v>137.43532684284</v>
      </c>
      <c r="G15">
        <v>115.92350486786999</v>
      </c>
      <c r="I15" s="9">
        <f t="shared" si="1"/>
        <v>172.69764359150997</v>
      </c>
      <c r="J15" s="9">
        <f t="shared" si="2"/>
        <v>538.68652189666</v>
      </c>
      <c r="K15" s="9">
        <f t="shared" si="3"/>
        <v>172.69764359150997</v>
      </c>
      <c r="L15" s="10">
        <f t="shared" si="0"/>
        <v>0.3205902441803431</v>
      </c>
      <c r="M15" s="10">
        <f t="shared" si="4"/>
        <v>0.32168504675517623</v>
      </c>
      <c r="P15" s="8">
        <f t="shared" si="5"/>
        <v>-5.1015473596651342</v>
      </c>
    </row>
    <row r="16" spans="1:16" x14ac:dyDescent="0.2">
      <c r="A16" s="8">
        <v>7</v>
      </c>
      <c r="B16" s="8">
        <v>14</v>
      </c>
      <c r="D16">
        <v>675.09523809524001</v>
      </c>
      <c r="E16">
        <v>286.22549019607999</v>
      </c>
      <c r="F16">
        <v>137.25243393602</v>
      </c>
      <c r="G16">
        <v>115.8157162726</v>
      </c>
      <c r="I16" s="9">
        <f t="shared" si="1"/>
        <v>170.40977392347997</v>
      </c>
      <c r="J16" s="9">
        <f t="shared" si="2"/>
        <v>537.84280415922001</v>
      </c>
      <c r="K16" s="9">
        <f t="shared" si="3"/>
        <v>170.40977392347997</v>
      </c>
      <c r="L16" s="10">
        <f t="shared" si="0"/>
        <v>0.31683936757296988</v>
      </c>
      <c r="M16" s="10">
        <f t="shared" si="4"/>
        <v>0.31801838573048247</v>
      </c>
      <c r="P16" s="8">
        <f t="shared" si="5"/>
        <v>-6.1832279074864438</v>
      </c>
    </row>
    <row r="17" spans="1:16" x14ac:dyDescent="0.2">
      <c r="A17" s="8">
        <v>7.5</v>
      </c>
      <c r="B17" s="8">
        <v>15</v>
      </c>
      <c r="D17">
        <v>688.61495457722003</v>
      </c>
      <c r="E17">
        <v>290.86652690426001</v>
      </c>
      <c r="F17">
        <v>137.59666203059999</v>
      </c>
      <c r="G17">
        <v>115.98609179416</v>
      </c>
      <c r="I17" s="9">
        <f t="shared" si="1"/>
        <v>174.8804351101</v>
      </c>
      <c r="J17" s="9">
        <f t="shared" si="2"/>
        <v>551.01829254662005</v>
      </c>
      <c r="K17" s="9">
        <f t="shared" si="3"/>
        <v>174.8804351101</v>
      </c>
      <c r="L17" s="10">
        <f t="shared" si="0"/>
        <v>0.31737682301228481</v>
      </c>
      <c r="M17" s="10">
        <f t="shared" si="4"/>
        <v>0.31864005675247686</v>
      </c>
      <c r="P17" s="8">
        <f t="shared" si="5"/>
        <v>-5.9998323203004986</v>
      </c>
    </row>
    <row r="18" spans="1:16" x14ac:dyDescent="0.2">
      <c r="A18" s="8">
        <v>8</v>
      </c>
      <c r="B18" s="8">
        <v>16</v>
      </c>
      <c r="D18">
        <v>697.37813370473998</v>
      </c>
      <c r="E18">
        <v>293.98119777159002</v>
      </c>
      <c r="F18">
        <v>137.42280945758</v>
      </c>
      <c r="G18">
        <v>116.07440890125</v>
      </c>
      <c r="I18" s="9">
        <f t="shared" si="1"/>
        <v>177.90678887034002</v>
      </c>
      <c r="J18" s="9">
        <f t="shared" si="2"/>
        <v>559.95532424715998</v>
      </c>
      <c r="K18" s="9">
        <f t="shared" si="3"/>
        <v>177.90678887034002</v>
      </c>
      <c r="L18" s="10">
        <f t="shared" si="0"/>
        <v>0.31771604120298236</v>
      </c>
      <c r="M18" s="10">
        <f t="shared" si="4"/>
        <v>0.31906349052585392</v>
      </c>
      <c r="P18" s="8">
        <f t="shared" si="5"/>
        <v>-5.8749175619228016</v>
      </c>
    </row>
    <row r="19" spans="1:16" x14ac:dyDescent="0.2">
      <c r="A19" s="8">
        <v>8.5</v>
      </c>
      <c r="B19" s="8">
        <v>17</v>
      </c>
      <c r="D19">
        <v>700.80436312456004</v>
      </c>
      <c r="E19">
        <v>289.66643209007998</v>
      </c>
      <c r="F19">
        <v>137.59109874826001</v>
      </c>
      <c r="G19">
        <v>115.69054242003</v>
      </c>
      <c r="I19" s="9">
        <f t="shared" si="1"/>
        <v>173.97588967004998</v>
      </c>
      <c r="J19" s="9">
        <f t="shared" si="2"/>
        <v>563.2132643763</v>
      </c>
      <c r="K19" s="9">
        <f t="shared" si="3"/>
        <v>173.97588967004998</v>
      </c>
      <c r="L19" s="10">
        <f t="shared" si="0"/>
        <v>0.30889877897799539</v>
      </c>
      <c r="M19" s="10">
        <f t="shared" si="4"/>
        <v>0.31033044388354641</v>
      </c>
      <c r="P19" s="8">
        <f t="shared" si="5"/>
        <v>-8.4512033468868459</v>
      </c>
    </row>
    <row r="20" spans="1:16" x14ac:dyDescent="0.2">
      <c r="A20" s="8">
        <v>9</v>
      </c>
      <c r="B20" s="8">
        <v>18</v>
      </c>
      <c r="D20">
        <v>756.78757939308002</v>
      </c>
      <c r="E20">
        <v>302.39449541284</v>
      </c>
      <c r="F20">
        <v>137.01321279555</v>
      </c>
      <c r="G20">
        <v>115.70305980529</v>
      </c>
      <c r="I20" s="9">
        <f t="shared" si="1"/>
        <v>186.69143560755001</v>
      </c>
      <c r="J20" s="9">
        <f t="shared" si="2"/>
        <v>619.77436659753005</v>
      </c>
      <c r="K20" s="9">
        <f t="shared" si="3"/>
        <v>186.69143560755001</v>
      </c>
      <c r="L20" s="10">
        <f t="shared" si="0"/>
        <v>0.30122484192506782</v>
      </c>
      <c r="M20" s="10">
        <f t="shared" si="4"/>
        <v>0.3027407224132983</v>
      </c>
      <c r="P20" s="8">
        <f t="shared" si="5"/>
        <v>-10.690203358739536</v>
      </c>
    </row>
    <row r="21" spans="1:16" x14ac:dyDescent="0.2">
      <c r="A21" s="8">
        <v>9.5</v>
      </c>
      <c r="B21" s="8">
        <v>19</v>
      </c>
      <c r="D21">
        <v>749.51830985916001</v>
      </c>
      <c r="E21">
        <v>302.87253521127002</v>
      </c>
      <c r="F21">
        <v>137.68706536856999</v>
      </c>
      <c r="G21">
        <v>115.52155771904999</v>
      </c>
      <c r="I21" s="9">
        <f t="shared" si="1"/>
        <v>187.35097749222001</v>
      </c>
      <c r="J21" s="9">
        <f t="shared" si="2"/>
        <v>611.83124449059005</v>
      </c>
      <c r="K21" s="9">
        <f t="shared" si="3"/>
        <v>187.35097749222001</v>
      </c>
      <c r="L21" s="10">
        <f t="shared" si="0"/>
        <v>0.3062134848118262</v>
      </c>
      <c r="M21" s="10">
        <f t="shared" si="4"/>
        <v>0.30781358088273614</v>
      </c>
      <c r="P21" s="8">
        <f t="shared" si="5"/>
        <v>-9.1936886028657572</v>
      </c>
    </row>
    <row r="22" spans="1:16" x14ac:dyDescent="0.2">
      <c r="A22" s="8">
        <v>10</v>
      </c>
      <c r="B22" s="8">
        <v>20</v>
      </c>
      <c r="D22">
        <v>730.31795946889997</v>
      </c>
      <c r="E22">
        <v>295.21104122990999</v>
      </c>
      <c r="F22">
        <v>136.55285118219999</v>
      </c>
      <c r="G22">
        <v>115.87134909597</v>
      </c>
      <c r="I22" s="9">
        <f t="shared" si="1"/>
        <v>179.33969213393999</v>
      </c>
      <c r="J22" s="9">
        <f t="shared" si="2"/>
        <v>593.76510828669996</v>
      </c>
      <c r="K22" s="9">
        <f t="shared" si="3"/>
        <v>179.33969213393999</v>
      </c>
      <c r="L22" s="10">
        <f t="shared" si="0"/>
        <v>0.30203811175672129</v>
      </c>
      <c r="M22" s="10">
        <f t="shared" si="4"/>
        <v>0.30372242341031075</v>
      </c>
      <c r="P22" s="8">
        <f t="shared" si="5"/>
        <v>-10.400597402504779</v>
      </c>
    </row>
    <row r="23" spans="1:16" x14ac:dyDescent="0.2">
      <c r="A23" s="8">
        <v>10.5</v>
      </c>
      <c r="B23" s="8">
        <v>21</v>
      </c>
      <c r="D23">
        <v>718.51059322033996</v>
      </c>
      <c r="E23">
        <v>293.38983050847997</v>
      </c>
      <c r="F23">
        <v>137.34979137690999</v>
      </c>
      <c r="G23">
        <v>116.05076495132001</v>
      </c>
      <c r="I23" s="9">
        <f t="shared" si="1"/>
        <v>177.33906555715998</v>
      </c>
      <c r="J23" s="9">
        <f t="shared" si="2"/>
        <v>581.16080184342991</v>
      </c>
      <c r="K23" s="9">
        <f t="shared" si="3"/>
        <v>177.33906555715998</v>
      </c>
      <c r="L23" s="10">
        <f t="shared" si="0"/>
        <v>0.30514629512975439</v>
      </c>
      <c r="M23" s="10">
        <f t="shared" si="4"/>
        <v>0.3069148223660233</v>
      </c>
      <c r="P23" s="8">
        <f t="shared" si="5"/>
        <v>-9.4588261757610326</v>
      </c>
    </row>
    <row r="24" spans="1:16" x14ac:dyDescent="0.2">
      <c r="A24" s="8">
        <v>11</v>
      </c>
      <c r="B24" s="8">
        <v>22</v>
      </c>
      <c r="D24">
        <v>682.63418079096004</v>
      </c>
      <c r="E24">
        <v>283.17725988701</v>
      </c>
      <c r="F24">
        <v>136.89360222530999</v>
      </c>
      <c r="G24">
        <v>115.34144645341</v>
      </c>
      <c r="I24" s="9">
        <f t="shared" si="1"/>
        <v>167.83581343359998</v>
      </c>
      <c r="J24" s="9">
        <f t="shared" si="2"/>
        <v>545.74057856565003</v>
      </c>
      <c r="K24" s="9">
        <f t="shared" si="3"/>
        <v>167.83581343359998</v>
      </c>
      <c r="L24" s="10">
        <f t="shared" si="0"/>
        <v>0.30753772034822241</v>
      </c>
      <c r="M24" s="10">
        <f t="shared" si="4"/>
        <v>0.30939046316717078</v>
      </c>
      <c r="P24" s="8">
        <f t="shared" si="5"/>
        <v>-8.7285016434523364</v>
      </c>
    </row>
    <row r="25" spans="1:16" x14ac:dyDescent="0.2">
      <c r="A25" s="8">
        <v>11.5</v>
      </c>
      <c r="B25" s="8">
        <v>23</v>
      </c>
      <c r="D25">
        <v>662.13064971750998</v>
      </c>
      <c r="E25">
        <v>278.79025423729001</v>
      </c>
      <c r="F25">
        <v>136.92976356049999</v>
      </c>
      <c r="G25">
        <v>116.20862308762</v>
      </c>
      <c r="I25" s="9">
        <f t="shared" si="1"/>
        <v>162.58163114967002</v>
      </c>
      <c r="J25" s="9">
        <f t="shared" si="2"/>
        <v>525.20088615701002</v>
      </c>
      <c r="K25" s="9">
        <f t="shared" si="3"/>
        <v>162.58163114967002</v>
      </c>
      <c r="L25" s="10">
        <f t="shared" si="0"/>
        <v>0.30956084697287783</v>
      </c>
      <c r="M25" s="10">
        <f t="shared" si="4"/>
        <v>0.31149780537450567</v>
      </c>
      <c r="P25" s="8">
        <f t="shared" si="5"/>
        <v>-8.1068267577932929</v>
      </c>
    </row>
    <row r="26" spans="1:16" x14ac:dyDescent="0.2">
      <c r="A26" s="8">
        <v>12</v>
      </c>
      <c r="B26" s="8">
        <v>24</v>
      </c>
      <c r="D26">
        <v>637.67645003493999</v>
      </c>
      <c r="E26">
        <v>274.28301886793002</v>
      </c>
      <c r="F26">
        <v>136.48817802504001</v>
      </c>
      <c r="G26">
        <v>115.62586926287</v>
      </c>
      <c r="I26" s="9">
        <f t="shared" si="1"/>
        <v>158.65714960506003</v>
      </c>
      <c r="J26" s="9">
        <f t="shared" si="2"/>
        <v>501.18827200989995</v>
      </c>
      <c r="K26" s="9">
        <f t="shared" si="3"/>
        <v>158.65714960506003</v>
      </c>
      <c r="L26" s="10">
        <f t="shared" si="0"/>
        <v>0.31656197573977962</v>
      </c>
      <c r="M26" s="10">
        <f t="shared" si="4"/>
        <v>0.31858314972408691</v>
      </c>
      <c r="P26" s="8">
        <f t="shared" si="5"/>
        <v>-6.0166201349441684</v>
      </c>
    </row>
    <row r="27" spans="1:16" x14ac:dyDescent="0.2">
      <c r="A27" s="8">
        <v>12.5</v>
      </c>
      <c r="B27" s="8">
        <v>25</v>
      </c>
      <c r="D27">
        <v>620.02369337978996</v>
      </c>
      <c r="E27">
        <v>269.03135888501998</v>
      </c>
      <c r="F27">
        <v>136.87830319888999</v>
      </c>
      <c r="G27">
        <v>115.93741307371</v>
      </c>
      <c r="I27" s="9">
        <f t="shared" si="1"/>
        <v>153.09394581130999</v>
      </c>
      <c r="J27" s="9">
        <f t="shared" si="2"/>
        <v>483.14539018089999</v>
      </c>
      <c r="K27" s="9">
        <f t="shared" si="3"/>
        <v>153.09394581130999</v>
      </c>
      <c r="L27" s="10">
        <f t="shared" si="0"/>
        <v>0.31686930874780433</v>
      </c>
      <c r="M27" s="10">
        <f t="shared" si="4"/>
        <v>0.31897469831479114</v>
      </c>
      <c r="P27" s="8">
        <f t="shared" si="5"/>
        <v>-5.9011116406385122</v>
      </c>
    </row>
    <row r="28" spans="1:16" x14ac:dyDescent="0.2">
      <c r="A28" s="8">
        <v>13</v>
      </c>
      <c r="B28" s="8">
        <v>26</v>
      </c>
      <c r="D28">
        <v>687.50836820083998</v>
      </c>
      <c r="E28">
        <v>284.64086471409001</v>
      </c>
      <c r="F28">
        <v>136.32336578581001</v>
      </c>
      <c r="G28">
        <v>115.9033379694</v>
      </c>
      <c r="I28" s="9">
        <f t="shared" si="1"/>
        <v>168.73752674469</v>
      </c>
      <c r="J28" s="9">
        <f t="shared" si="2"/>
        <v>551.18500241503</v>
      </c>
      <c r="K28" s="9">
        <f t="shared" si="3"/>
        <v>168.73752674469</v>
      </c>
      <c r="L28" s="10">
        <f t="shared" si="0"/>
        <v>0.30613591807716573</v>
      </c>
      <c r="M28" s="10">
        <f t="shared" si="4"/>
        <v>0.30832552322683199</v>
      </c>
      <c r="P28" s="8">
        <f t="shared" si="5"/>
        <v>-9.0426634408763764</v>
      </c>
    </row>
    <row r="29" spans="1:16" x14ac:dyDescent="0.2">
      <c r="A29" s="8">
        <v>13.5</v>
      </c>
      <c r="B29" s="8">
        <v>27</v>
      </c>
      <c r="D29">
        <v>759.35624123421997</v>
      </c>
      <c r="E29">
        <v>302.19424964937002</v>
      </c>
      <c r="F29">
        <v>136.91029207232</v>
      </c>
      <c r="G29">
        <v>116.140472879</v>
      </c>
      <c r="I29" s="9">
        <f t="shared" si="1"/>
        <v>186.05377677037001</v>
      </c>
      <c r="J29" s="9">
        <f t="shared" si="2"/>
        <v>622.44594916189999</v>
      </c>
      <c r="K29" s="9">
        <f t="shared" si="3"/>
        <v>186.05377677037001</v>
      </c>
      <c r="L29" s="10">
        <f t="shared" si="0"/>
        <v>0.29890752284738042</v>
      </c>
      <c r="M29" s="10">
        <f t="shared" si="4"/>
        <v>0.30118134357972615</v>
      </c>
      <c r="P29" s="8">
        <f t="shared" si="5"/>
        <v>-11.15022672593917</v>
      </c>
    </row>
    <row r="30" spans="1:16" x14ac:dyDescent="0.2">
      <c r="A30" s="8">
        <v>14</v>
      </c>
      <c r="B30" s="8">
        <v>28</v>
      </c>
      <c r="D30">
        <v>770.96704067321002</v>
      </c>
      <c r="E30">
        <v>305.36535764375998</v>
      </c>
      <c r="F30">
        <v>136.54450625869001</v>
      </c>
      <c r="G30">
        <v>115.58344923505</v>
      </c>
      <c r="I30" s="9">
        <f t="shared" si="1"/>
        <v>189.78190840870997</v>
      </c>
      <c r="J30" s="9">
        <f t="shared" si="2"/>
        <v>634.42253441451999</v>
      </c>
      <c r="K30" s="9">
        <f t="shared" si="3"/>
        <v>189.78190840870997</v>
      </c>
      <c r="L30" s="10">
        <f t="shared" si="0"/>
        <v>0.29914118448496024</v>
      </c>
      <c r="M30" s="10">
        <f t="shared" si="4"/>
        <v>0.30149922079998542</v>
      </c>
      <c r="P30" s="8">
        <f t="shared" si="5"/>
        <v>-11.056451598259162</v>
      </c>
    </row>
    <row r="31" spans="1:16" x14ac:dyDescent="0.2">
      <c r="A31" s="8">
        <v>14.5</v>
      </c>
      <c r="B31" s="8">
        <v>29</v>
      </c>
      <c r="D31">
        <v>780.70757363253995</v>
      </c>
      <c r="E31">
        <v>306.12131837306998</v>
      </c>
      <c r="F31">
        <v>136.99652294853999</v>
      </c>
      <c r="G31">
        <v>115.56050069541</v>
      </c>
      <c r="I31" s="9">
        <f t="shared" si="1"/>
        <v>190.56081767766</v>
      </c>
      <c r="J31" s="9">
        <f t="shared" si="2"/>
        <v>643.71105068399993</v>
      </c>
      <c r="K31" s="9">
        <f t="shared" si="3"/>
        <v>190.56081767766</v>
      </c>
      <c r="L31" s="10">
        <f t="shared" si="0"/>
        <v>0.29603471538227016</v>
      </c>
      <c r="M31" s="10">
        <f t="shared" si="4"/>
        <v>0.29847696727997486</v>
      </c>
      <c r="P31" s="8">
        <f t="shared" si="5"/>
        <v>-11.948029200105502</v>
      </c>
    </row>
    <row r="32" spans="1:16" x14ac:dyDescent="0.2">
      <c r="A32" s="8">
        <v>15</v>
      </c>
      <c r="B32" s="8">
        <v>30</v>
      </c>
      <c r="D32">
        <v>773.65990202938997</v>
      </c>
      <c r="E32">
        <v>309.31910426872003</v>
      </c>
      <c r="F32">
        <v>136.31363004172999</v>
      </c>
      <c r="G32">
        <v>115.58414464534</v>
      </c>
      <c r="I32" s="9">
        <f t="shared" si="1"/>
        <v>193.73495962338001</v>
      </c>
      <c r="J32" s="9">
        <f t="shared" si="2"/>
        <v>637.34627198765997</v>
      </c>
      <c r="K32" s="9">
        <f t="shared" si="3"/>
        <v>193.73495962338001</v>
      </c>
      <c r="L32" s="10">
        <f t="shared" si="0"/>
        <v>0.30397127611524027</v>
      </c>
      <c r="M32" s="10">
        <f t="shared" si="4"/>
        <v>0.30649774359562443</v>
      </c>
      <c r="P32" s="8">
        <f t="shared" si="5"/>
        <v>-9.5818661813168706</v>
      </c>
    </row>
    <row r="33" spans="1:16" x14ac:dyDescent="0.2">
      <c r="A33" s="8">
        <v>15.5</v>
      </c>
      <c r="B33" s="8">
        <v>31</v>
      </c>
      <c r="D33">
        <v>764.78726382084994</v>
      </c>
      <c r="E33">
        <v>305.52554233730001</v>
      </c>
      <c r="F33">
        <v>136.96940194715</v>
      </c>
      <c r="G33">
        <v>115.85605006954</v>
      </c>
      <c r="I33" s="9">
        <f t="shared" si="1"/>
        <v>189.66949226776001</v>
      </c>
      <c r="J33" s="9">
        <f t="shared" si="2"/>
        <v>627.81786187369994</v>
      </c>
      <c r="K33" s="9">
        <f t="shared" si="3"/>
        <v>189.66949226776001</v>
      </c>
      <c r="L33" s="10">
        <f t="shared" si="0"/>
        <v>0.30210910486314962</v>
      </c>
      <c r="M33" s="10">
        <f t="shared" si="4"/>
        <v>0.30471978792621324</v>
      </c>
      <c r="P33" s="8">
        <f t="shared" si="5"/>
        <v>-10.106370641788867</v>
      </c>
    </row>
    <row r="34" spans="1:16" x14ac:dyDescent="0.2">
      <c r="A34" s="8">
        <v>16</v>
      </c>
      <c r="B34" s="8">
        <v>32</v>
      </c>
      <c r="D34">
        <v>704.63331000699998</v>
      </c>
      <c r="E34">
        <v>288.45416375088001</v>
      </c>
      <c r="F34">
        <v>136.84631432545001</v>
      </c>
      <c r="G34">
        <v>115.44228094576</v>
      </c>
      <c r="I34" s="9">
        <f t="shared" si="1"/>
        <v>173.01188280512002</v>
      </c>
      <c r="J34" s="9">
        <f t="shared" si="2"/>
        <v>567.78699568155002</v>
      </c>
      <c r="K34" s="9">
        <f t="shared" si="3"/>
        <v>173.01188280512002</v>
      </c>
      <c r="L34" s="10">
        <f t="shared" si="0"/>
        <v>0.30471265478252652</v>
      </c>
      <c r="M34" s="10">
        <f t="shared" si="4"/>
        <v>0.30740755342826959</v>
      </c>
      <c r="P34" s="8">
        <f t="shared" si="5"/>
        <v>-9.3134684233673131</v>
      </c>
    </row>
    <row r="35" spans="1:16" x14ac:dyDescent="0.2">
      <c r="A35" s="8">
        <v>16.5</v>
      </c>
      <c r="B35" s="8">
        <v>33</v>
      </c>
      <c r="D35">
        <v>677.21063680895998</v>
      </c>
      <c r="E35">
        <v>278.97550734779998</v>
      </c>
      <c r="F35">
        <v>136.72670375522</v>
      </c>
      <c r="G35">
        <v>115.64325452017</v>
      </c>
      <c r="I35" s="9">
        <f t="shared" si="1"/>
        <v>163.33225282762999</v>
      </c>
      <c r="J35" s="9">
        <f t="shared" si="2"/>
        <v>540.48393305373997</v>
      </c>
      <c r="K35" s="9">
        <f t="shared" si="3"/>
        <v>163.33225282762999</v>
      </c>
      <c r="L35" s="10">
        <f t="shared" si="0"/>
        <v>0.30219631489284243</v>
      </c>
      <c r="M35" s="10">
        <f t="shared" si="4"/>
        <v>0.30497542912126496</v>
      </c>
      <c r="P35" s="8">
        <f t="shared" si="5"/>
        <v>-10.030955405407058</v>
      </c>
    </row>
    <row r="36" spans="1:16" x14ac:dyDescent="0.2">
      <c r="A36" s="8">
        <v>17</v>
      </c>
      <c r="B36" s="8">
        <v>34</v>
      </c>
      <c r="D36">
        <v>773.86115007012995</v>
      </c>
      <c r="E36">
        <v>306.97194950912001</v>
      </c>
      <c r="F36">
        <v>137.07788595271001</v>
      </c>
      <c r="G36">
        <v>115.36995827538</v>
      </c>
      <c r="I36" s="9">
        <f t="shared" si="1"/>
        <v>191.60199123374002</v>
      </c>
      <c r="J36" s="9">
        <f t="shared" si="2"/>
        <v>636.78326411742</v>
      </c>
      <c r="K36" s="9">
        <f t="shared" si="3"/>
        <v>191.60199123374002</v>
      </c>
      <c r="L36" s="10">
        <f t="shared" si="0"/>
        <v>0.3008904316907573</v>
      </c>
      <c r="M36" s="10">
        <f t="shared" si="4"/>
        <v>0.30375376150185934</v>
      </c>
      <c r="P36" s="8">
        <f t="shared" si="5"/>
        <v>-10.39135253263389</v>
      </c>
    </row>
    <row r="37" spans="1:16" x14ac:dyDescent="0.2">
      <c r="A37" s="8">
        <v>17.5</v>
      </c>
      <c r="B37" s="8">
        <v>35</v>
      </c>
      <c r="D37">
        <v>790.82117812061995</v>
      </c>
      <c r="E37">
        <v>313.00701262272003</v>
      </c>
      <c r="F37">
        <v>136.90333796940001</v>
      </c>
      <c r="G37">
        <v>115.53755215577</v>
      </c>
      <c r="I37" s="9">
        <f t="shared" si="1"/>
        <v>197.46946046695001</v>
      </c>
      <c r="J37" s="9">
        <f t="shared" si="2"/>
        <v>653.91784015121993</v>
      </c>
      <c r="K37" s="9">
        <f t="shared" si="3"/>
        <v>197.46946046695001</v>
      </c>
      <c r="L37" s="10">
        <f t="shared" si="0"/>
        <v>0.30197900767057334</v>
      </c>
      <c r="M37" s="10">
        <f t="shared" si="4"/>
        <v>0.30492655306435484</v>
      </c>
      <c r="P37" s="8">
        <f t="shared" si="5"/>
        <v>-10.04537404941528</v>
      </c>
    </row>
    <row r="38" spans="1:16" x14ac:dyDescent="0.2">
      <c r="A38" s="8">
        <v>18</v>
      </c>
      <c r="B38" s="8">
        <v>36</v>
      </c>
      <c r="D38">
        <v>792.60518934081006</v>
      </c>
      <c r="E38">
        <v>314.26928471247999</v>
      </c>
      <c r="F38">
        <v>137.18289290682</v>
      </c>
      <c r="G38">
        <v>115.73783031988999</v>
      </c>
      <c r="I38" s="9">
        <f t="shared" si="1"/>
        <v>198.53145439258998</v>
      </c>
      <c r="J38" s="9">
        <f t="shared" si="2"/>
        <v>655.42229643399003</v>
      </c>
      <c r="K38" s="9">
        <f t="shared" si="3"/>
        <v>198.53145439258998</v>
      </c>
      <c r="L38" s="10">
        <f t="shared" si="0"/>
        <v>0.30290616518961344</v>
      </c>
      <c r="M38" s="10">
        <f t="shared" si="4"/>
        <v>0.3059379261660744</v>
      </c>
      <c r="P38" s="8">
        <f t="shared" si="5"/>
        <v>-9.7470146964911528</v>
      </c>
    </row>
    <row r="39" spans="1:16" x14ac:dyDescent="0.2">
      <c r="A39" s="8">
        <v>18.5</v>
      </c>
      <c r="B39" s="8">
        <v>37</v>
      </c>
      <c r="D39">
        <v>787.88008415146999</v>
      </c>
      <c r="E39">
        <v>317.8920056101</v>
      </c>
      <c r="F39">
        <v>136.91307371349001</v>
      </c>
      <c r="G39">
        <v>115.96731571626999</v>
      </c>
      <c r="I39" s="9">
        <f t="shared" si="1"/>
        <v>201.92468989383002</v>
      </c>
      <c r="J39" s="9">
        <f t="shared" si="2"/>
        <v>650.96701043797998</v>
      </c>
      <c r="K39" s="9">
        <f t="shared" si="3"/>
        <v>201.92468989383002</v>
      </c>
      <c r="L39" s="10">
        <f t="shared" si="0"/>
        <v>0.31019189399163588</v>
      </c>
      <c r="M39" s="10">
        <f t="shared" si="4"/>
        <v>0.3133078705507763</v>
      </c>
      <c r="P39" s="8">
        <f t="shared" si="5"/>
        <v>-7.5728498566631384</v>
      </c>
    </row>
    <row r="40" spans="1:16" x14ac:dyDescent="0.2">
      <c r="A40" s="8">
        <v>19</v>
      </c>
      <c r="B40" s="8">
        <v>38</v>
      </c>
      <c r="D40">
        <v>787.26227208976002</v>
      </c>
      <c r="E40">
        <v>319.85343618513002</v>
      </c>
      <c r="F40">
        <v>136.79415855355001</v>
      </c>
      <c r="G40">
        <v>115.62726008345</v>
      </c>
      <c r="I40" s="9">
        <f t="shared" si="1"/>
        <v>204.22617610168004</v>
      </c>
      <c r="J40" s="9">
        <f t="shared" si="2"/>
        <v>650.46811353621001</v>
      </c>
      <c r="K40" s="9">
        <f t="shared" si="3"/>
        <v>204.22617610168004</v>
      </c>
      <c r="L40" s="10">
        <f t="shared" si="0"/>
        <v>0.31396800527457563</v>
      </c>
      <c r="M40" s="10">
        <f t="shared" si="4"/>
        <v>0.31716819741639557</v>
      </c>
      <c r="P40" s="8">
        <f t="shared" si="5"/>
        <v>-6.4340370646840599</v>
      </c>
    </row>
    <row r="41" spans="1:16" x14ac:dyDescent="0.2">
      <c r="A41" s="8">
        <v>19.5</v>
      </c>
      <c r="B41" s="8">
        <v>39</v>
      </c>
      <c r="D41">
        <v>785.99228611500996</v>
      </c>
      <c r="E41">
        <v>320.12412342215998</v>
      </c>
      <c r="F41">
        <v>136.78929068150001</v>
      </c>
      <c r="G41">
        <v>115.75869262865</v>
      </c>
      <c r="I41" s="9">
        <f t="shared" si="1"/>
        <v>204.36543079350997</v>
      </c>
      <c r="J41" s="9">
        <f t="shared" si="2"/>
        <v>649.20299543350995</v>
      </c>
      <c r="K41" s="9">
        <f t="shared" si="3"/>
        <v>204.36543079350997</v>
      </c>
      <c r="L41" s="10">
        <f t="shared" si="0"/>
        <v>0.3147943435736052</v>
      </c>
      <c r="M41" s="10">
        <f t="shared" si="4"/>
        <v>0.31807875129810459</v>
      </c>
      <c r="P41" s="8">
        <f t="shared" si="5"/>
        <v>-6.1654198091061208</v>
      </c>
    </row>
    <row r="42" spans="1:16" x14ac:dyDescent="0.2">
      <c r="A42" s="8">
        <v>20</v>
      </c>
      <c r="B42" s="8">
        <v>40</v>
      </c>
      <c r="D42">
        <v>792.23071528751996</v>
      </c>
      <c r="E42">
        <v>321.95161290323</v>
      </c>
      <c r="F42">
        <v>136.44575799722</v>
      </c>
      <c r="G42">
        <v>115.49860917942</v>
      </c>
      <c r="I42" s="9">
        <f t="shared" si="1"/>
        <v>206.45300372381001</v>
      </c>
      <c r="J42" s="9">
        <f t="shared" si="2"/>
        <v>655.78495729029999</v>
      </c>
      <c r="K42" s="9">
        <f t="shared" si="3"/>
        <v>206.45300372381001</v>
      </c>
      <c r="L42" s="10">
        <f t="shared" si="0"/>
        <v>0.31481814492493504</v>
      </c>
      <c r="M42" s="10">
        <f t="shared" si="4"/>
        <v>0.31818676823211389</v>
      </c>
      <c r="P42" s="8">
        <f t="shared" si="5"/>
        <v>-6.1335543556141614</v>
      </c>
    </row>
    <row r="43" spans="1:16" x14ac:dyDescent="0.2">
      <c r="A43" s="8">
        <v>20.5</v>
      </c>
      <c r="B43" s="8">
        <v>41</v>
      </c>
      <c r="D43">
        <v>785.77629733519996</v>
      </c>
      <c r="E43">
        <v>319.61150070126001</v>
      </c>
      <c r="F43">
        <v>136.70236439499001</v>
      </c>
      <c r="G43">
        <v>115.78233657858</v>
      </c>
      <c r="I43" s="9">
        <f t="shared" si="1"/>
        <v>203.82916412268003</v>
      </c>
      <c r="J43" s="9">
        <f t="shared" si="2"/>
        <v>649.07393294020994</v>
      </c>
      <c r="K43" s="9">
        <f t="shared" si="3"/>
        <v>203.82916412268003</v>
      </c>
      <c r="L43" s="10">
        <f t="shared" si="0"/>
        <v>0.31403073483380195</v>
      </c>
      <c r="M43" s="10">
        <f t="shared" si="4"/>
        <v>0.31748357372366026</v>
      </c>
      <c r="P43" s="8">
        <f t="shared" si="5"/>
        <v>-6.340999716940571</v>
      </c>
    </row>
    <row r="44" spans="1:16" x14ac:dyDescent="0.2">
      <c r="A44" s="8">
        <v>21</v>
      </c>
      <c r="B44" s="8">
        <v>42</v>
      </c>
      <c r="D44">
        <v>784.91023842917002</v>
      </c>
      <c r="E44">
        <v>320.02173913043998</v>
      </c>
      <c r="F44">
        <v>137.12865090403</v>
      </c>
      <c r="G44">
        <v>115.39360222531</v>
      </c>
      <c r="I44" s="9">
        <f t="shared" si="1"/>
        <v>204.62813690512996</v>
      </c>
      <c r="J44" s="9">
        <f t="shared" si="2"/>
        <v>647.78158752514003</v>
      </c>
      <c r="K44" s="9">
        <f t="shared" si="3"/>
        <v>204.62813690512996</v>
      </c>
      <c r="L44" s="10">
        <f t="shared" si="0"/>
        <v>0.31589063481553259</v>
      </c>
      <c r="M44" s="10">
        <f t="shared" si="4"/>
        <v>0.31942768928807036</v>
      </c>
      <c r="P44" s="8">
        <f t="shared" si="5"/>
        <v>-5.7674773829760655</v>
      </c>
    </row>
    <row r="45" spans="1:16" x14ac:dyDescent="0.2">
      <c r="A45" s="8">
        <v>21.5</v>
      </c>
      <c r="B45" s="8">
        <v>43</v>
      </c>
      <c r="D45">
        <v>779.67812061711004</v>
      </c>
      <c r="E45">
        <v>318.14235624123</v>
      </c>
      <c r="F45">
        <v>137.11057023644</v>
      </c>
      <c r="G45">
        <v>115.30319888734</v>
      </c>
      <c r="I45" s="9">
        <f t="shared" si="1"/>
        <v>202.83915735389002</v>
      </c>
      <c r="J45" s="9">
        <f t="shared" si="2"/>
        <v>642.56755038067001</v>
      </c>
      <c r="K45" s="9">
        <f t="shared" si="3"/>
        <v>202.83915735389002</v>
      </c>
      <c r="L45" s="10">
        <f t="shared" si="0"/>
        <v>0.31566978014019537</v>
      </c>
      <c r="M45" s="10">
        <f t="shared" si="4"/>
        <v>0.31929105019541265</v>
      </c>
      <c r="P45" s="8">
        <f t="shared" si="5"/>
        <v>-5.8077864946186235</v>
      </c>
    </row>
    <row r="46" spans="1:16" x14ac:dyDescent="0.2">
      <c r="A46" s="8">
        <v>22</v>
      </c>
      <c r="B46" s="8">
        <v>44</v>
      </c>
      <c r="D46">
        <v>755.41908127209001</v>
      </c>
      <c r="E46">
        <v>318.58939929329</v>
      </c>
      <c r="F46">
        <v>136.59109874826001</v>
      </c>
      <c r="G46">
        <v>115.56050069541</v>
      </c>
      <c r="I46" s="9">
        <f t="shared" si="1"/>
        <v>203.02889859788002</v>
      </c>
      <c r="J46" s="9">
        <f t="shared" si="2"/>
        <v>618.82798252382997</v>
      </c>
      <c r="K46" s="9">
        <f t="shared" si="3"/>
        <v>203.02889859788002</v>
      </c>
      <c r="L46" s="10">
        <f t="shared" si="0"/>
        <v>0.32808616341143193</v>
      </c>
      <c r="M46" s="10">
        <f t="shared" si="4"/>
        <v>0.33179164904932867</v>
      </c>
      <c r="P46" s="8">
        <f t="shared" si="5"/>
        <v>-2.1200568339452199</v>
      </c>
    </row>
    <row r="47" spans="1:16" x14ac:dyDescent="0.2">
      <c r="A47" s="8">
        <v>22.5</v>
      </c>
      <c r="B47" s="8">
        <v>45</v>
      </c>
      <c r="D47">
        <v>737.78515901059995</v>
      </c>
      <c r="E47">
        <v>314.58657243815998</v>
      </c>
      <c r="F47">
        <v>137.01738525729999</v>
      </c>
      <c r="G47">
        <v>115.28025034770999</v>
      </c>
      <c r="I47" s="9">
        <f t="shared" si="1"/>
        <v>199.30632209044998</v>
      </c>
      <c r="J47" s="9">
        <f t="shared" si="2"/>
        <v>600.76777375329993</v>
      </c>
      <c r="K47" s="9">
        <f t="shared" si="3"/>
        <v>199.30632209044998</v>
      </c>
      <c r="L47" s="10">
        <f t="shared" si="0"/>
        <v>0.33175268514368317</v>
      </c>
      <c r="M47" s="10">
        <f t="shared" si="4"/>
        <v>0.33554238636425937</v>
      </c>
      <c r="P47" s="8">
        <f t="shared" si="5"/>
        <v>-1.0135734240459064</v>
      </c>
    </row>
    <row r="48" spans="1:16" x14ac:dyDescent="0.2">
      <c r="A48" s="8">
        <v>23</v>
      </c>
      <c r="B48" s="8">
        <v>46</v>
      </c>
      <c r="D48">
        <v>745.38727915193999</v>
      </c>
      <c r="E48">
        <v>320.71519434628999</v>
      </c>
      <c r="F48">
        <v>136.06954102921</v>
      </c>
      <c r="G48">
        <v>115.44089012517</v>
      </c>
      <c r="I48" s="9">
        <f t="shared" si="1"/>
        <v>205.27430422111999</v>
      </c>
      <c r="J48" s="9">
        <f t="shared" si="2"/>
        <v>609.31773812273002</v>
      </c>
      <c r="K48" s="9">
        <f t="shared" si="3"/>
        <v>205.27430422111999</v>
      </c>
      <c r="L48" s="10">
        <f t="shared" si="0"/>
        <v>0.33689205381342963</v>
      </c>
      <c r="M48" s="10">
        <f t="shared" si="4"/>
        <v>0.34076597061668529</v>
      </c>
      <c r="P48" s="8">
        <f t="shared" si="5"/>
        <v>0.5274060768412091</v>
      </c>
    </row>
    <row r="49" spans="1:25" x14ac:dyDescent="0.2">
      <c r="A49" s="8">
        <v>23.5</v>
      </c>
      <c r="B49" s="8">
        <v>47</v>
      </c>
      <c r="D49">
        <v>766.33333333332996</v>
      </c>
      <c r="E49">
        <v>325.03851540616</v>
      </c>
      <c r="F49">
        <v>137.33657858135999</v>
      </c>
      <c r="G49">
        <v>115.52642559109999</v>
      </c>
      <c r="I49" s="9">
        <f t="shared" si="1"/>
        <v>209.51208981505999</v>
      </c>
      <c r="J49" s="9">
        <f t="shared" si="2"/>
        <v>628.99675475197</v>
      </c>
      <c r="K49" s="9">
        <f t="shared" si="3"/>
        <v>209.51208981505999</v>
      </c>
      <c r="L49" s="10">
        <f t="shared" si="0"/>
        <v>0.3330893017050241</v>
      </c>
      <c r="M49" s="10">
        <f t="shared" si="4"/>
        <v>0.33704743409095927</v>
      </c>
      <c r="P49" s="8">
        <f t="shared" si="5"/>
        <v>-0.56957796372109015</v>
      </c>
    </row>
    <row r="50" spans="1:25" x14ac:dyDescent="0.2">
      <c r="A50" s="8">
        <v>24</v>
      </c>
      <c r="B50" s="8">
        <v>48</v>
      </c>
      <c r="D50">
        <v>770.10504201680999</v>
      </c>
      <c r="E50">
        <v>324.15196078431001</v>
      </c>
      <c r="F50">
        <v>136.41585535466001</v>
      </c>
      <c r="G50">
        <v>115.2635605007</v>
      </c>
      <c r="I50" s="9">
        <f t="shared" si="1"/>
        <v>208.88840028361</v>
      </c>
      <c r="J50" s="9">
        <f t="shared" si="2"/>
        <v>633.68918666214995</v>
      </c>
      <c r="K50" s="9">
        <f t="shared" si="3"/>
        <v>208.88840028361</v>
      </c>
      <c r="L50" s="10">
        <f t="shared" si="0"/>
        <v>0.32963857468342506</v>
      </c>
      <c r="M50" s="10">
        <f t="shared" si="4"/>
        <v>0.33368092265203969</v>
      </c>
      <c r="P50" s="8">
        <f t="shared" si="5"/>
        <v>-1.5627131111953174</v>
      </c>
    </row>
    <row r="51" spans="1:25" x14ac:dyDescent="0.2">
      <c r="A51" s="8">
        <v>24.5</v>
      </c>
      <c r="B51" s="8">
        <v>49</v>
      </c>
      <c r="D51">
        <v>758.60574229691997</v>
      </c>
      <c r="E51">
        <v>321.68347338936002</v>
      </c>
      <c r="F51">
        <v>136.6933240612</v>
      </c>
      <c r="G51">
        <v>115.63838664812</v>
      </c>
      <c r="I51" s="9">
        <f t="shared" si="1"/>
        <v>206.04508674124003</v>
      </c>
      <c r="J51" s="9">
        <f t="shared" si="2"/>
        <v>621.91241823572</v>
      </c>
      <c r="K51" s="9">
        <f t="shared" si="3"/>
        <v>206.04508674124003</v>
      </c>
      <c r="L51" s="10">
        <f t="shared" si="0"/>
        <v>0.33130884783706621</v>
      </c>
      <c r="M51" s="10">
        <f t="shared" si="4"/>
        <v>0.33543541138836031</v>
      </c>
      <c r="P51" s="8">
        <f t="shared" si="5"/>
        <v>-1.0451314954777582</v>
      </c>
    </row>
    <row r="52" spans="1:25" x14ac:dyDescent="0.2">
      <c r="A52" s="8">
        <v>25</v>
      </c>
      <c r="B52" s="8">
        <v>50</v>
      </c>
      <c r="D52">
        <v>760.54131652660999</v>
      </c>
      <c r="E52">
        <v>322.50910364146</v>
      </c>
      <c r="F52">
        <v>136.34700973573999</v>
      </c>
      <c r="G52">
        <v>115.50973574408999</v>
      </c>
      <c r="I52" s="9">
        <f t="shared" si="1"/>
        <v>206.99936789737001</v>
      </c>
      <c r="J52" s="9">
        <f t="shared" si="2"/>
        <v>624.19430679086997</v>
      </c>
      <c r="K52" s="9">
        <f t="shared" si="3"/>
        <v>206.99936789737001</v>
      </c>
      <c r="L52" s="10">
        <f t="shared" si="0"/>
        <v>0.3316264913751017</v>
      </c>
      <c r="M52" s="10">
        <f t="shared" si="4"/>
        <v>0.33583727050907525</v>
      </c>
      <c r="P52" s="8">
        <f t="shared" si="5"/>
        <v>-0.92658135110540418</v>
      </c>
    </row>
    <row r="53" spans="1:25" x14ac:dyDescent="0.2">
      <c r="A53" s="8">
        <v>25.5</v>
      </c>
      <c r="B53" s="8">
        <v>51</v>
      </c>
      <c r="D53">
        <v>769.48319327730997</v>
      </c>
      <c r="E53">
        <v>323.04761904762</v>
      </c>
      <c r="F53">
        <v>136.61821974965</v>
      </c>
      <c r="G53">
        <v>115.64742698192001</v>
      </c>
      <c r="I53" s="9">
        <f t="shared" si="1"/>
        <v>207.4001920657</v>
      </c>
      <c r="J53" s="9">
        <f t="shared" si="2"/>
        <v>632.86497352765991</v>
      </c>
      <c r="K53" s="9">
        <f t="shared" si="3"/>
        <v>207.4001920657</v>
      </c>
      <c r="L53" s="10">
        <f t="shared" si="0"/>
        <v>0.32771633877859951</v>
      </c>
      <c r="M53" s="10">
        <f t="shared" si="4"/>
        <v>0.33201133349525258</v>
      </c>
      <c r="P53" s="8">
        <f t="shared" si="5"/>
        <v>-2.0552489910018874</v>
      </c>
      <c r="S53" s="11"/>
      <c r="U53" s="12"/>
    </row>
    <row r="54" spans="1:25" x14ac:dyDescent="0.2">
      <c r="A54" s="8">
        <v>26</v>
      </c>
      <c r="B54" s="8">
        <v>52</v>
      </c>
      <c r="D54">
        <v>755.06652661064004</v>
      </c>
      <c r="E54">
        <v>321.09103641457</v>
      </c>
      <c r="F54">
        <v>136.64116828928999</v>
      </c>
      <c r="G54">
        <v>115.23574408901</v>
      </c>
      <c r="I54" s="9">
        <f t="shared" si="1"/>
        <v>205.85529232556001</v>
      </c>
      <c r="J54" s="9">
        <f t="shared" si="2"/>
        <v>618.42535832135002</v>
      </c>
      <c r="K54" s="9">
        <f t="shared" si="3"/>
        <v>205.85529232556001</v>
      </c>
      <c r="L54" s="10">
        <f t="shared" si="0"/>
        <v>0.33287007001836461</v>
      </c>
      <c r="M54" s="10">
        <f t="shared" si="4"/>
        <v>0.33724928031769713</v>
      </c>
      <c r="P54" s="8">
        <f t="shared" si="5"/>
        <v>-0.51003247106631067</v>
      </c>
      <c r="S54" s="11"/>
    </row>
    <row r="55" spans="1:25" x14ac:dyDescent="0.2">
      <c r="A55" s="8">
        <v>26.5</v>
      </c>
      <c r="B55" s="8">
        <v>53</v>
      </c>
      <c r="D55">
        <v>749.80392156863002</v>
      </c>
      <c r="E55">
        <v>323.52170868347002</v>
      </c>
      <c r="F55">
        <v>137.14742698192001</v>
      </c>
      <c r="G55">
        <v>115.38247566064</v>
      </c>
      <c r="I55" s="9">
        <f t="shared" si="1"/>
        <v>208.13923302283001</v>
      </c>
      <c r="J55" s="9">
        <f t="shared" si="2"/>
        <v>612.65649458670998</v>
      </c>
      <c r="K55" s="9">
        <f t="shared" si="3"/>
        <v>208.13923302283001</v>
      </c>
      <c r="L55" s="10">
        <f t="shared" si="0"/>
        <v>0.33973235387513195</v>
      </c>
      <c r="M55" s="10">
        <f t="shared" si="4"/>
        <v>0.34419577975714394</v>
      </c>
      <c r="P55" s="8">
        <f t="shared" si="5"/>
        <v>1.5392143146326212</v>
      </c>
      <c r="S55" s="11"/>
    </row>
    <row r="56" spans="1:25" x14ac:dyDescent="0.2">
      <c r="A56" s="8">
        <v>27</v>
      </c>
      <c r="B56" s="8">
        <v>54</v>
      </c>
      <c r="D56">
        <v>751.07002801119995</v>
      </c>
      <c r="E56">
        <v>323.70168067227002</v>
      </c>
      <c r="F56">
        <v>136.41585535466001</v>
      </c>
      <c r="G56">
        <v>115.12378303199</v>
      </c>
      <c r="I56" s="9">
        <f t="shared" si="1"/>
        <v>208.57789764028001</v>
      </c>
      <c r="J56" s="9">
        <f t="shared" si="2"/>
        <v>614.65417265653991</v>
      </c>
      <c r="K56" s="9">
        <f t="shared" si="3"/>
        <v>208.57789764028001</v>
      </c>
      <c r="L56" s="10">
        <f t="shared" si="0"/>
        <v>0.33934187209501043</v>
      </c>
      <c r="M56" s="10">
        <f t="shared" si="4"/>
        <v>0.34388951355970188</v>
      </c>
      <c r="P56" s="8">
        <f t="shared" si="5"/>
        <v>1.4488644879109249</v>
      </c>
      <c r="S56" s="11"/>
    </row>
    <row r="57" spans="1:25" x14ac:dyDescent="0.2">
      <c r="A57" s="8">
        <v>27.5</v>
      </c>
      <c r="B57" s="8">
        <v>55</v>
      </c>
      <c r="D57">
        <v>752.43487394958004</v>
      </c>
      <c r="E57">
        <v>323.99719887955001</v>
      </c>
      <c r="F57">
        <v>136.99095966620001</v>
      </c>
      <c r="G57">
        <v>115.80111265647</v>
      </c>
      <c r="I57" s="9">
        <f t="shared" si="1"/>
        <v>208.19608622308002</v>
      </c>
      <c r="J57" s="9">
        <f t="shared" si="2"/>
        <v>615.44391428338008</v>
      </c>
      <c r="K57" s="9">
        <f t="shared" si="3"/>
        <v>208.19608622308002</v>
      </c>
      <c r="L57" s="10">
        <f t="shared" si="0"/>
        <v>0.33828604262908757</v>
      </c>
      <c r="M57" s="10">
        <f t="shared" si="4"/>
        <v>0.34291789967645847</v>
      </c>
      <c r="P57" s="8">
        <f t="shared" si="5"/>
        <v>1.1622342730043551</v>
      </c>
      <c r="S57" s="11"/>
    </row>
    <row r="58" spans="1:25" x14ac:dyDescent="0.2">
      <c r="A58" s="8">
        <v>28</v>
      </c>
      <c r="B58" s="8">
        <v>56</v>
      </c>
      <c r="D58">
        <v>752.72759103641999</v>
      </c>
      <c r="E58">
        <v>321.88445378150999</v>
      </c>
      <c r="F58">
        <v>136.05424200278</v>
      </c>
      <c r="G58">
        <v>115.24408901252001</v>
      </c>
      <c r="I58" s="9">
        <f t="shared" si="1"/>
        <v>206.64036476898997</v>
      </c>
      <c r="J58" s="9">
        <f t="shared" si="2"/>
        <v>616.67334903363997</v>
      </c>
      <c r="K58" s="9">
        <f t="shared" si="3"/>
        <v>206.64036476898997</v>
      </c>
      <c r="L58" s="10">
        <f t="shared" si="0"/>
        <v>0.33508885229563828</v>
      </c>
      <c r="M58" s="10">
        <f t="shared" si="4"/>
        <v>0.3398049249256887</v>
      </c>
      <c r="P58" s="8">
        <f t="shared" si="5"/>
        <v>0.24389352345339771</v>
      </c>
      <c r="S58" s="11"/>
    </row>
    <row r="59" spans="1:25" x14ac:dyDescent="0.2">
      <c r="A59" s="8">
        <v>28.5</v>
      </c>
      <c r="B59" s="8">
        <v>57</v>
      </c>
      <c r="D59">
        <v>731.24649859943997</v>
      </c>
      <c r="E59">
        <v>316.91036414566003</v>
      </c>
      <c r="F59">
        <v>136.50834492351001</v>
      </c>
      <c r="G59">
        <v>115.56119610570001</v>
      </c>
      <c r="I59" s="9">
        <f t="shared" si="1"/>
        <v>201.34916803996003</v>
      </c>
      <c r="J59" s="9">
        <f t="shared" si="2"/>
        <v>594.73815367592999</v>
      </c>
      <c r="K59" s="9">
        <f t="shared" si="3"/>
        <v>201.34916803996003</v>
      </c>
      <c r="L59" s="10">
        <f t="shared" si="0"/>
        <v>0.33855095186927298</v>
      </c>
      <c r="M59" s="10">
        <f t="shared" si="4"/>
        <v>0.34335124008200285</v>
      </c>
      <c r="P59" s="8">
        <f t="shared" si="5"/>
        <v>1.290071529872544</v>
      </c>
      <c r="R59" s="1"/>
      <c r="S59" s="11"/>
    </row>
    <row r="60" spans="1:25" x14ac:dyDescent="0.2">
      <c r="A60" s="8">
        <v>29</v>
      </c>
      <c r="B60" s="8">
        <v>58</v>
      </c>
      <c r="D60">
        <v>755.70448179272</v>
      </c>
      <c r="E60">
        <v>320.68277310923997</v>
      </c>
      <c r="F60">
        <v>136.85187760778999</v>
      </c>
      <c r="G60">
        <v>115.27677329625</v>
      </c>
      <c r="I60" s="9">
        <f t="shared" si="1"/>
        <v>205.40599981298999</v>
      </c>
      <c r="J60" s="9">
        <f t="shared" si="2"/>
        <v>618.85260418492999</v>
      </c>
      <c r="K60" s="9">
        <f t="shared" si="3"/>
        <v>205.40599981298999</v>
      </c>
      <c r="L60" s="10">
        <f t="shared" si="0"/>
        <v>0.33191425296419869</v>
      </c>
      <c r="M60" s="10">
        <f t="shared" si="4"/>
        <v>0.33679875675960802</v>
      </c>
      <c r="P60" s="8">
        <f t="shared" si="5"/>
        <v>-0.64293883078657865</v>
      </c>
      <c r="S60" s="11"/>
    </row>
    <row r="61" spans="1:25" x14ac:dyDescent="0.2">
      <c r="A61" s="8">
        <v>29.5</v>
      </c>
      <c r="B61" s="8">
        <v>59</v>
      </c>
      <c r="C61" s="2"/>
      <c r="D61">
        <v>752.24019607843002</v>
      </c>
      <c r="E61">
        <v>318.35854341737002</v>
      </c>
      <c r="F61">
        <v>136.33449235049</v>
      </c>
      <c r="G61">
        <v>115.12726008345</v>
      </c>
      <c r="I61" s="9">
        <f t="shared" si="1"/>
        <v>203.23128333392003</v>
      </c>
      <c r="J61" s="9">
        <f t="shared" si="2"/>
        <v>615.90570372794002</v>
      </c>
      <c r="K61" s="9">
        <f t="shared" si="3"/>
        <v>203.23128333392003</v>
      </c>
      <c r="L61" s="10">
        <f t="shared" si="0"/>
        <v>0.32997142598908624</v>
      </c>
      <c r="M61" s="10">
        <f t="shared" si="4"/>
        <v>0.33494014536717504</v>
      </c>
      <c r="P61" s="8">
        <f t="shared" si="5"/>
        <v>-1.1912370715059395</v>
      </c>
      <c r="S61" s="11"/>
    </row>
    <row r="62" spans="1:25" x14ac:dyDescent="0.2">
      <c r="A62" s="8">
        <v>30</v>
      </c>
      <c r="B62" s="8">
        <v>60</v>
      </c>
      <c r="D62">
        <v>760.26330532213001</v>
      </c>
      <c r="E62">
        <v>320.98109243698002</v>
      </c>
      <c r="F62">
        <v>136.69471488177999</v>
      </c>
      <c r="G62">
        <v>115.42698191933</v>
      </c>
      <c r="I62" s="9">
        <f t="shared" si="1"/>
        <v>205.55411051765003</v>
      </c>
      <c r="J62" s="9">
        <f t="shared" si="2"/>
        <v>623.56859044035002</v>
      </c>
      <c r="K62" s="9">
        <f t="shared" si="3"/>
        <v>205.55411051765003</v>
      </c>
      <c r="L62" s="10">
        <f t="shared" si="0"/>
        <v>0.32964154011107644</v>
      </c>
      <c r="M62" s="10">
        <f t="shared" si="4"/>
        <v>0.33469447507184474</v>
      </c>
      <c r="P62" s="8">
        <f t="shared" si="5"/>
        <v>-1.2637108501963181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763.71988795517996</v>
      </c>
      <c r="E63">
        <v>323.27521008402999</v>
      </c>
      <c r="F63">
        <v>136.49235048679</v>
      </c>
      <c r="G63">
        <v>115.64255910988</v>
      </c>
      <c r="I63" s="9">
        <f t="shared" si="1"/>
        <v>207.63265097415001</v>
      </c>
      <c r="J63" s="9">
        <f t="shared" si="2"/>
        <v>627.22753746838998</v>
      </c>
      <c r="K63" s="9">
        <f t="shared" si="3"/>
        <v>207.63265097415001</v>
      </c>
      <c r="L63" s="10">
        <f t="shared" si="0"/>
        <v>0.33103242216085571</v>
      </c>
      <c r="M63" s="10">
        <f t="shared" si="4"/>
        <v>0.33616957270430348</v>
      </c>
      <c r="P63" s="8">
        <f t="shared" si="5"/>
        <v>-0.82855079465201198</v>
      </c>
    </row>
    <row r="64" spans="1:25" x14ac:dyDescent="0.2">
      <c r="A64" s="8">
        <v>31</v>
      </c>
      <c r="B64" s="8">
        <v>62</v>
      </c>
      <c r="D64">
        <v>759.08473389356004</v>
      </c>
      <c r="E64">
        <v>323.02871148459002</v>
      </c>
      <c r="F64">
        <v>136.47566063977999</v>
      </c>
      <c r="G64">
        <v>115.37065368568</v>
      </c>
      <c r="I64" s="9">
        <f t="shared" si="1"/>
        <v>207.65805779891002</v>
      </c>
      <c r="J64" s="9">
        <f t="shared" si="2"/>
        <v>622.60907325378002</v>
      </c>
      <c r="K64" s="9">
        <f t="shared" si="3"/>
        <v>207.65805779891002</v>
      </c>
      <c r="L64" s="10">
        <f t="shared" si="0"/>
        <v>0.33352880116841321</v>
      </c>
      <c r="M64" s="10">
        <f t="shared" si="4"/>
        <v>0.33875016729454044</v>
      </c>
      <c r="P64" s="8">
        <f t="shared" si="5"/>
        <v>-6.7264449589514677E-2</v>
      </c>
      <c r="U64" s="8">
        <v>30.5</v>
      </c>
      <c r="V64" s="10">
        <f>L62</f>
        <v>0.32964154011107644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754.34663865545997</v>
      </c>
      <c r="E65">
        <v>321.18207282912999</v>
      </c>
      <c r="F65">
        <v>136.48887343532999</v>
      </c>
      <c r="G65">
        <v>115.36091794159</v>
      </c>
      <c r="I65" s="9">
        <f t="shared" si="1"/>
        <v>205.82115488753999</v>
      </c>
      <c r="J65" s="9">
        <f t="shared" si="2"/>
        <v>617.85776522012998</v>
      </c>
      <c r="K65" s="9">
        <f t="shared" si="3"/>
        <v>205.82115488753999</v>
      </c>
      <c r="L65" s="10">
        <f t="shared" si="0"/>
        <v>0.33312060877669825</v>
      </c>
      <c r="M65" s="10">
        <f t="shared" si="4"/>
        <v>0.33842619048550493</v>
      </c>
      <c r="P65" s="8">
        <f t="shared" si="5"/>
        <v>-0.16283898181892839</v>
      </c>
      <c r="U65" s="8">
        <v>31</v>
      </c>
      <c r="V65" s="10">
        <f t="shared" ref="V65:V83" si="6">L63</f>
        <v>0.33103242216085571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733.55462184874</v>
      </c>
      <c r="E66">
        <v>316.20588235294002</v>
      </c>
      <c r="F66">
        <v>136.22461752434</v>
      </c>
      <c r="G66">
        <v>115.65785813630001</v>
      </c>
      <c r="I66" s="9">
        <f t="shared" si="1"/>
        <v>200.54802421664002</v>
      </c>
      <c r="J66" s="9">
        <f t="shared" si="2"/>
        <v>597.33000432439997</v>
      </c>
      <c r="K66" s="9">
        <f t="shared" si="3"/>
        <v>200.54802421664002</v>
      </c>
      <c r="L66" s="10">
        <f t="shared" ref="L66:L129" si="7">K66/J66</f>
        <v>0.33574075094966388</v>
      </c>
      <c r="M66" s="10">
        <f t="shared" si="4"/>
        <v>0.34113054824115002</v>
      </c>
      <c r="P66" s="8">
        <f t="shared" si="5"/>
        <v>0.63495802175745408</v>
      </c>
      <c r="U66" s="8">
        <v>31.5</v>
      </c>
      <c r="V66" s="10">
        <f t="shared" si="6"/>
        <v>0.33352880116841321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726.61274509804002</v>
      </c>
      <c r="E67">
        <v>313.43767507003002</v>
      </c>
      <c r="F67">
        <v>136.08623087621999</v>
      </c>
      <c r="G67">
        <v>115.20862308762</v>
      </c>
      <c r="I67" s="9">
        <f t="shared" ref="I67:I130" si="8">E67-G67</f>
        <v>198.22905198241003</v>
      </c>
      <c r="J67" s="9">
        <f t="shared" ref="J67:J130" si="9">D67-F67</f>
        <v>590.52651422181998</v>
      </c>
      <c r="K67" s="9">
        <f t="shared" ref="K67:K130" si="10">I67*1</f>
        <v>198.22905198241003</v>
      </c>
      <c r="L67" s="10">
        <f t="shared" si="7"/>
        <v>0.33568188253770614</v>
      </c>
      <c r="M67" s="10">
        <f t="shared" ref="M67:M130" si="11">L67+ABS($N$2)*A67</f>
        <v>0.3411558954118718</v>
      </c>
      <c r="P67" s="8">
        <f t="shared" ref="P67:P130" si="12">(M67-$O$2)/$O$2*100</f>
        <v>0.64243554458473651</v>
      </c>
      <c r="U67" s="8">
        <v>32</v>
      </c>
      <c r="V67" s="10">
        <f t="shared" si="6"/>
        <v>0.33312060877669825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725.01470588234997</v>
      </c>
      <c r="E68">
        <v>313.02450980392001</v>
      </c>
      <c r="F68">
        <v>136.77885952712001</v>
      </c>
      <c r="G68">
        <v>115.64534075104</v>
      </c>
      <c r="I68" s="9">
        <f t="shared" si="8"/>
        <v>197.37916905288</v>
      </c>
      <c r="J68" s="9">
        <f t="shared" si="9"/>
        <v>588.23584635523002</v>
      </c>
      <c r="K68" s="9">
        <f t="shared" si="10"/>
        <v>197.37916905288</v>
      </c>
      <c r="L68" s="10">
        <f t="shared" si="7"/>
        <v>0.33554427237962747</v>
      </c>
      <c r="M68" s="10">
        <f t="shared" si="11"/>
        <v>0.34110250083647259</v>
      </c>
      <c r="P68" s="8">
        <f t="shared" si="12"/>
        <v>0.62668391846507621</v>
      </c>
      <c r="U68" s="8">
        <v>32.5</v>
      </c>
      <c r="V68" s="10">
        <f t="shared" si="6"/>
        <v>0.33574075094966388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739.23949579832004</v>
      </c>
      <c r="E69">
        <v>317.20588235294002</v>
      </c>
      <c r="F69">
        <v>136.36509040333999</v>
      </c>
      <c r="G69">
        <v>114.94228094576</v>
      </c>
      <c r="I69" s="9">
        <f t="shared" si="8"/>
        <v>202.26360140718003</v>
      </c>
      <c r="J69" s="9">
        <f t="shared" si="9"/>
        <v>602.87440539498004</v>
      </c>
      <c r="K69" s="9">
        <f t="shared" si="10"/>
        <v>202.26360140718003</v>
      </c>
      <c r="L69" s="10">
        <f t="shared" si="7"/>
        <v>0.33549873671393421</v>
      </c>
      <c r="M69" s="10">
        <f t="shared" si="11"/>
        <v>0.34114118075345878</v>
      </c>
      <c r="P69" s="8">
        <f t="shared" si="12"/>
        <v>0.63809465796718345</v>
      </c>
      <c r="U69" s="8">
        <v>33</v>
      </c>
      <c r="V69" s="10">
        <f t="shared" si="6"/>
        <v>0.33568188253770614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732.68697478991999</v>
      </c>
      <c r="E70">
        <v>317.68907563024999</v>
      </c>
      <c r="F70">
        <v>136.50069541029001</v>
      </c>
      <c r="G70">
        <v>115.29276773296</v>
      </c>
      <c r="I70" s="9">
        <f t="shared" si="8"/>
        <v>202.39630789729</v>
      </c>
      <c r="J70" s="9">
        <f t="shared" si="9"/>
        <v>596.18627937962992</v>
      </c>
      <c r="K70" s="9">
        <f t="shared" si="10"/>
        <v>202.39630789729</v>
      </c>
      <c r="L70" s="10">
        <f t="shared" si="7"/>
        <v>0.33948501483109667</v>
      </c>
      <c r="M70" s="10">
        <f t="shared" si="11"/>
        <v>0.3452116744533007</v>
      </c>
      <c r="P70" s="8">
        <f t="shared" si="12"/>
        <v>1.8389075570859199</v>
      </c>
      <c r="U70" s="8">
        <v>33.5</v>
      </c>
      <c r="V70" s="10">
        <f t="shared" si="6"/>
        <v>0.33554427237962747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754.14215686274997</v>
      </c>
      <c r="E71">
        <v>322.53781512605002</v>
      </c>
      <c r="F71">
        <v>136.37204450626001</v>
      </c>
      <c r="G71">
        <v>115.50695410292001</v>
      </c>
      <c r="I71" s="9">
        <f t="shared" si="8"/>
        <v>207.03086102313</v>
      </c>
      <c r="J71" s="9">
        <f t="shared" si="9"/>
        <v>617.77011235649002</v>
      </c>
      <c r="K71" s="9">
        <f t="shared" si="10"/>
        <v>207.03086102313</v>
      </c>
      <c r="L71" s="10">
        <f t="shared" si="7"/>
        <v>0.33512605560247777</v>
      </c>
      <c r="M71" s="10">
        <f t="shared" si="11"/>
        <v>0.34093693080736132</v>
      </c>
      <c r="P71" s="8">
        <f t="shared" si="12"/>
        <v>0.5778400579102736</v>
      </c>
      <c r="U71" s="8">
        <v>34</v>
      </c>
      <c r="V71" s="10">
        <f t="shared" si="6"/>
        <v>0.33549873671393421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685.24089635854</v>
      </c>
      <c r="E72">
        <v>307.46918767506997</v>
      </c>
      <c r="F72">
        <v>136.38942976356</v>
      </c>
      <c r="G72">
        <v>115.08136300417</v>
      </c>
      <c r="I72" s="9">
        <f t="shared" si="8"/>
        <v>192.38782467089999</v>
      </c>
      <c r="J72" s="9">
        <f t="shared" si="9"/>
        <v>548.85146659498002</v>
      </c>
      <c r="K72" s="9">
        <f t="shared" si="10"/>
        <v>192.38782467089999</v>
      </c>
      <c r="L72" s="10">
        <f t="shared" si="7"/>
        <v>0.35052803241003427</v>
      </c>
      <c r="M72" s="10">
        <f t="shared" si="11"/>
        <v>0.35642312319759728</v>
      </c>
      <c r="P72" s="8">
        <f t="shared" si="12"/>
        <v>5.1463324698140118</v>
      </c>
      <c r="U72" s="8">
        <v>34.5</v>
      </c>
      <c r="V72" s="10">
        <f t="shared" si="6"/>
        <v>0.33948501483109667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702.78571428571001</v>
      </c>
      <c r="E73">
        <v>308.24159663865998</v>
      </c>
      <c r="F73">
        <v>136.66898470096999</v>
      </c>
      <c r="G73">
        <v>115.48261474269999</v>
      </c>
      <c r="I73" s="9">
        <f t="shared" si="8"/>
        <v>192.75898189596001</v>
      </c>
      <c r="J73" s="9">
        <f t="shared" si="9"/>
        <v>566.11672958474003</v>
      </c>
      <c r="K73" s="9">
        <f t="shared" si="10"/>
        <v>192.75898189596001</v>
      </c>
      <c r="L73" s="10">
        <f t="shared" si="7"/>
        <v>0.34049335026250377</v>
      </c>
      <c r="M73" s="10">
        <f t="shared" si="11"/>
        <v>0.34647265663274623</v>
      </c>
      <c r="P73" s="8">
        <f t="shared" si="12"/>
        <v>2.2109026462064025</v>
      </c>
      <c r="U73" s="8">
        <v>35</v>
      </c>
      <c r="V73" s="10">
        <f t="shared" si="6"/>
        <v>0.33512605560247777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681.90616246498996</v>
      </c>
      <c r="E74">
        <v>302.30602240896002</v>
      </c>
      <c r="F74">
        <v>136.13004172462001</v>
      </c>
      <c r="G74">
        <v>115.15994436718</v>
      </c>
      <c r="I74" s="9">
        <f t="shared" si="8"/>
        <v>187.14607804178002</v>
      </c>
      <c r="J74" s="9">
        <f t="shared" si="9"/>
        <v>545.77612074036995</v>
      </c>
      <c r="K74" s="9">
        <f t="shared" si="10"/>
        <v>187.14607804178002</v>
      </c>
      <c r="L74" s="10">
        <f t="shared" si="7"/>
        <v>0.34289898537134222</v>
      </c>
      <c r="M74" s="10">
        <f t="shared" si="11"/>
        <v>0.34896250732426415</v>
      </c>
      <c r="P74" s="8">
        <f t="shared" si="12"/>
        <v>2.9454191564200243</v>
      </c>
      <c r="U74" s="8">
        <v>35.5</v>
      </c>
      <c r="V74" s="10">
        <f t="shared" si="6"/>
        <v>0.35052803241003427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656.07983193277005</v>
      </c>
      <c r="E75">
        <v>291.34173669467998</v>
      </c>
      <c r="F75">
        <v>136.79624478442</v>
      </c>
      <c r="G75">
        <v>115.4123783032</v>
      </c>
      <c r="I75" s="9">
        <f t="shared" si="8"/>
        <v>175.92935839147998</v>
      </c>
      <c r="J75" s="9">
        <f t="shared" si="9"/>
        <v>519.28358714835008</v>
      </c>
      <c r="K75" s="9">
        <f t="shared" si="10"/>
        <v>175.92935839147998</v>
      </c>
      <c r="L75" s="10">
        <f t="shared" si="7"/>
        <v>0.33879244933890063</v>
      </c>
      <c r="M75" s="10">
        <f t="shared" si="11"/>
        <v>0.34494018687450201</v>
      </c>
      <c r="P75" s="8">
        <f t="shared" si="12"/>
        <v>1.7588175703148696</v>
      </c>
      <c r="U75" s="8">
        <v>36</v>
      </c>
      <c r="V75" s="10">
        <f t="shared" si="6"/>
        <v>0.34049335026250377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679.19677871148997</v>
      </c>
      <c r="E76">
        <v>295.28431372548999</v>
      </c>
      <c r="F76">
        <v>136.30250347705001</v>
      </c>
      <c r="G76">
        <v>115.4916550765</v>
      </c>
      <c r="I76" s="9">
        <f t="shared" si="8"/>
        <v>179.79265864899</v>
      </c>
      <c r="J76" s="9">
        <f t="shared" si="9"/>
        <v>542.89427523443999</v>
      </c>
      <c r="K76" s="9">
        <f t="shared" si="10"/>
        <v>179.79265864899</v>
      </c>
      <c r="L76" s="10">
        <f t="shared" si="7"/>
        <v>0.33117434987014643</v>
      </c>
      <c r="M76" s="10">
        <f t="shared" si="11"/>
        <v>0.33740630298842733</v>
      </c>
      <c r="P76" s="8">
        <f t="shared" si="12"/>
        <v>-0.46371011747214552</v>
      </c>
      <c r="U76" s="8">
        <v>36.5</v>
      </c>
      <c r="V76" s="10">
        <f t="shared" si="6"/>
        <v>0.34289898537134222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698.95728291317005</v>
      </c>
      <c r="E77">
        <v>299.76680672268998</v>
      </c>
      <c r="F77">
        <v>136.54450625869001</v>
      </c>
      <c r="G77">
        <v>115.13630041725</v>
      </c>
      <c r="I77" s="9">
        <f t="shared" si="8"/>
        <v>184.63050630543998</v>
      </c>
      <c r="J77" s="9">
        <f t="shared" si="9"/>
        <v>562.41277665448001</v>
      </c>
      <c r="K77" s="9">
        <f t="shared" si="10"/>
        <v>184.63050630543998</v>
      </c>
      <c r="L77" s="10">
        <f t="shared" si="7"/>
        <v>0.32828291598159814</v>
      </c>
      <c r="M77" s="10">
        <f t="shared" si="11"/>
        <v>0.3345990846825585</v>
      </c>
      <c r="P77" s="8">
        <f t="shared" si="12"/>
        <v>-1.2918514194622346</v>
      </c>
      <c r="U77" s="8">
        <v>37</v>
      </c>
      <c r="V77" s="10">
        <f t="shared" si="6"/>
        <v>0.33879244933890063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678.60924369748</v>
      </c>
      <c r="E78">
        <v>293.34873949579998</v>
      </c>
      <c r="F78">
        <v>136.15159944366999</v>
      </c>
      <c r="G78">
        <v>115.17037552156</v>
      </c>
      <c r="I78" s="9">
        <f t="shared" si="8"/>
        <v>178.17836397423997</v>
      </c>
      <c r="J78" s="9">
        <f t="shared" si="9"/>
        <v>542.45764425381003</v>
      </c>
      <c r="K78" s="9">
        <f t="shared" si="10"/>
        <v>178.17836397423997</v>
      </c>
      <c r="L78" s="10">
        <f t="shared" si="7"/>
        <v>0.32846502554008117</v>
      </c>
      <c r="M78" s="10">
        <f t="shared" si="11"/>
        <v>0.33486540982372098</v>
      </c>
      <c r="P78" s="8">
        <f t="shared" si="12"/>
        <v>-1.2132843736810441</v>
      </c>
      <c r="U78" s="8">
        <v>37.5</v>
      </c>
      <c r="V78" s="10">
        <f t="shared" si="6"/>
        <v>0.33117434987014643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672.99859943978004</v>
      </c>
      <c r="E79">
        <v>287.80182072829001</v>
      </c>
      <c r="F79">
        <v>136.57719054242</v>
      </c>
      <c r="G79">
        <v>115.25938803894</v>
      </c>
      <c r="I79" s="9">
        <f t="shared" si="8"/>
        <v>172.54243268934999</v>
      </c>
      <c r="J79" s="9">
        <f t="shared" si="9"/>
        <v>536.42140889736004</v>
      </c>
      <c r="K79" s="9">
        <f t="shared" si="10"/>
        <v>172.54243268934999</v>
      </c>
      <c r="L79" s="10">
        <f t="shared" si="7"/>
        <v>0.32165463538082728</v>
      </c>
      <c r="M79" s="10">
        <f t="shared" si="11"/>
        <v>0.32813923524714655</v>
      </c>
      <c r="P79" s="8">
        <f t="shared" si="12"/>
        <v>-3.1975343907216693</v>
      </c>
      <c r="U79" s="8">
        <v>38</v>
      </c>
      <c r="V79" s="10">
        <f t="shared" si="6"/>
        <v>0.32828291598159814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657.07002801119995</v>
      </c>
      <c r="E80">
        <v>281.27380952380997</v>
      </c>
      <c r="F80">
        <v>136.18150208623001</v>
      </c>
      <c r="G80">
        <v>115.26912378303</v>
      </c>
      <c r="I80" s="9">
        <f t="shared" si="8"/>
        <v>166.00468574077996</v>
      </c>
      <c r="J80" s="9">
        <f t="shared" si="9"/>
        <v>520.88852592496994</v>
      </c>
      <c r="K80" s="9">
        <f t="shared" si="10"/>
        <v>166.00468574077996</v>
      </c>
      <c r="L80" s="10">
        <f t="shared" si="7"/>
        <v>0.31869522456075694</v>
      </c>
      <c r="M80" s="10">
        <f t="shared" si="11"/>
        <v>0.32526404000975573</v>
      </c>
      <c r="P80" s="8">
        <f t="shared" si="12"/>
        <v>-4.045729175712431</v>
      </c>
      <c r="U80" s="8">
        <v>38.5</v>
      </c>
      <c r="V80" s="10">
        <f t="shared" si="6"/>
        <v>0.32846502554008117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668.10644257702995</v>
      </c>
      <c r="E81">
        <v>283.60854341737002</v>
      </c>
      <c r="F81">
        <v>137.09527121001</v>
      </c>
      <c r="G81">
        <v>115.21488178025</v>
      </c>
      <c r="I81" s="9">
        <f t="shared" si="8"/>
        <v>168.39366163712003</v>
      </c>
      <c r="J81" s="9">
        <f t="shared" si="9"/>
        <v>531.01117136701998</v>
      </c>
      <c r="K81" s="9">
        <f t="shared" si="10"/>
        <v>168.39366163712003</v>
      </c>
      <c r="L81" s="10">
        <f t="shared" si="7"/>
        <v>0.3171188681466196</v>
      </c>
      <c r="M81" s="10">
        <f t="shared" si="11"/>
        <v>0.32377189917829785</v>
      </c>
      <c r="P81" s="8">
        <f t="shared" si="12"/>
        <v>-4.4859170472195071</v>
      </c>
      <c r="U81" s="8">
        <v>39</v>
      </c>
      <c r="V81" s="10">
        <f t="shared" si="6"/>
        <v>0.32165463538082728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676.77762237761999</v>
      </c>
      <c r="E82">
        <v>282.68041958041999</v>
      </c>
      <c r="F82">
        <v>136.17454798330999</v>
      </c>
      <c r="G82">
        <v>115.40542420028</v>
      </c>
      <c r="H82" s="13"/>
      <c r="I82" s="14">
        <f t="shared" si="8"/>
        <v>167.27499538014001</v>
      </c>
      <c r="J82" s="14">
        <f t="shared" si="9"/>
        <v>540.60307439430994</v>
      </c>
      <c r="K82" s="9">
        <f t="shared" si="10"/>
        <v>167.27499538014001</v>
      </c>
      <c r="L82" s="15">
        <f t="shared" si="7"/>
        <v>0.30942294504624196</v>
      </c>
      <c r="M82" s="15">
        <f t="shared" si="11"/>
        <v>0.31616019166059967</v>
      </c>
      <c r="N82" s="13"/>
      <c r="O82" s="13"/>
      <c r="P82" s="13">
        <f t="shared" si="12"/>
        <v>-6.7314030362841777</v>
      </c>
      <c r="U82" s="8">
        <v>39.5</v>
      </c>
      <c r="V82" s="10">
        <f t="shared" si="6"/>
        <v>0.31869522456075694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691.30629370629003</v>
      </c>
      <c r="E83">
        <v>287.64335664335999</v>
      </c>
      <c r="F83">
        <v>136.19888734353</v>
      </c>
      <c r="G83">
        <v>115.33449235049</v>
      </c>
      <c r="I83" s="9">
        <f t="shared" si="8"/>
        <v>172.30886429287</v>
      </c>
      <c r="J83" s="9">
        <f t="shared" si="9"/>
        <v>555.10740636276</v>
      </c>
      <c r="K83" s="9">
        <f t="shared" si="10"/>
        <v>172.30886429287</v>
      </c>
      <c r="L83" s="10">
        <f t="shared" si="7"/>
        <v>0.3104063507671288</v>
      </c>
      <c r="M83" s="10">
        <f t="shared" si="11"/>
        <v>0.31722781296416597</v>
      </c>
      <c r="P83" s="8">
        <f t="shared" si="12"/>
        <v>-6.4164502253398537</v>
      </c>
      <c r="U83" s="8">
        <v>40</v>
      </c>
      <c r="V83" s="10">
        <f t="shared" si="6"/>
        <v>0.3171188681466196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702.11048951048997</v>
      </c>
      <c r="E84">
        <v>289.83216783217</v>
      </c>
      <c r="F84">
        <v>136.45479833101999</v>
      </c>
      <c r="G84">
        <v>115.44089012517</v>
      </c>
      <c r="I84" s="9">
        <f t="shared" si="8"/>
        <v>174.391277707</v>
      </c>
      <c r="J84" s="9">
        <f t="shared" si="9"/>
        <v>565.65569117946995</v>
      </c>
      <c r="K84" s="9">
        <f t="shared" si="10"/>
        <v>174.391277707</v>
      </c>
      <c r="L84" s="10">
        <f t="shared" si="7"/>
        <v>0.30829934256185099</v>
      </c>
      <c r="M84" s="10">
        <f t="shared" si="11"/>
        <v>0.31520502034156767</v>
      </c>
      <c r="P84" s="8">
        <f t="shared" si="12"/>
        <v>-7.0131826250368716</v>
      </c>
      <c r="U84" s="8">
        <v>150.5</v>
      </c>
      <c r="V84" s="10">
        <f>L302</f>
        <v>0.33816399023441251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698.02167832168004</v>
      </c>
      <c r="E85">
        <v>296.03776223775998</v>
      </c>
      <c r="F85">
        <v>135.99235048679</v>
      </c>
      <c r="G85">
        <v>115.18567454798</v>
      </c>
      <c r="I85" s="9">
        <f t="shared" si="8"/>
        <v>180.85208768977998</v>
      </c>
      <c r="J85" s="9">
        <f t="shared" si="9"/>
        <v>562.02932783489007</v>
      </c>
      <c r="K85" s="9">
        <f t="shared" si="10"/>
        <v>180.85208768977998</v>
      </c>
      <c r="L85" s="10">
        <f t="shared" si="7"/>
        <v>0.32178407555078642</v>
      </c>
      <c r="M85" s="10">
        <f t="shared" si="11"/>
        <v>0.32877396891318256</v>
      </c>
      <c r="P85" s="8">
        <f t="shared" si="12"/>
        <v>-3.0102852681617804</v>
      </c>
      <c r="U85" s="8">
        <v>151</v>
      </c>
      <c r="V85" s="10">
        <f t="shared" ref="V85:V103" si="13">L303</f>
        <v>0.32136924131584482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685.82514044944003</v>
      </c>
      <c r="E86">
        <v>289.33848314607002</v>
      </c>
      <c r="F86">
        <v>136.55285118219999</v>
      </c>
      <c r="G86">
        <v>115.49235048679</v>
      </c>
      <c r="I86" s="9">
        <f t="shared" si="8"/>
        <v>173.84613265928002</v>
      </c>
      <c r="J86" s="9">
        <f t="shared" si="9"/>
        <v>549.27228926724001</v>
      </c>
      <c r="K86" s="9">
        <f t="shared" si="10"/>
        <v>173.84613265928002</v>
      </c>
      <c r="L86" s="10">
        <f t="shared" si="7"/>
        <v>0.31650264551157403</v>
      </c>
      <c r="M86" s="10">
        <f t="shared" si="11"/>
        <v>0.32357675445664963</v>
      </c>
      <c r="P86" s="8">
        <f t="shared" si="12"/>
        <v>-4.5434855674604844</v>
      </c>
      <c r="U86" s="8">
        <v>151.5</v>
      </c>
      <c r="V86" s="10">
        <f t="shared" si="13"/>
        <v>0.31500272585087158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716.08637640449001</v>
      </c>
      <c r="E87">
        <v>296.96910112360001</v>
      </c>
      <c r="F87">
        <v>136.64881780249999</v>
      </c>
      <c r="G87">
        <v>115.24756606398</v>
      </c>
      <c r="I87" s="9">
        <f t="shared" si="8"/>
        <v>181.72153505962001</v>
      </c>
      <c r="J87" s="9">
        <f t="shared" si="9"/>
        <v>579.43755860199008</v>
      </c>
      <c r="K87" s="9">
        <f t="shared" si="10"/>
        <v>181.72153505962001</v>
      </c>
      <c r="L87" s="10">
        <f t="shared" si="7"/>
        <v>0.31361711432386236</v>
      </c>
      <c r="M87" s="10">
        <f t="shared" si="11"/>
        <v>0.32077543885161741</v>
      </c>
      <c r="P87" s="8">
        <f t="shared" si="12"/>
        <v>-5.3698855476781011</v>
      </c>
      <c r="U87" s="8">
        <v>152</v>
      </c>
      <c r="V87" s="10">
        <f t="shared" si="13"/>
        <v>0.31652029213433797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726.14466292135</v>
      </c>
      <c r="E88">
        <v>295.90941011235998</v>
      </c>
      <c r="F88">
        <v>136.22183588317</v>
      </c>
      <c r="G88">
        <v>115.47844228095001</v>
      </c>
      <c r="I88" s="9">
        <f t="shared" si="8"/>
        <v>180.43096783140999</v>
      </c>
      <c r="J88" s="9">
        <f t="shared" si="9"/>
        <v>589.92282703818</v>
      </c>
      <c r="K88" s="9">
        <f t="shared" si="10"/>
        <v>180.43096783140999</v>
      </c>
      <c r="L88" s="10">
        <f t="shared" si="7"/>
        <v>0.30585520607381489</v>
      </c>
      <c r="M88" s="10">
        <f t="shared" si="11"/>
        <v>0.3130977461842494</v>
      </c>
      <c r="P88" s="8">
        <f t="shared" si="12"/>
        <v>-7.6348374356524999</v>
      </c>
      <c r="U88" s="8">
        <v>152.5</v>
      </c>
      <c r="V88" s="10">
        <f t="shared" si="13"/>
        <v>0.31068597561913824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732.29585382994003</v>
      </c>
      <c r="E89">
        <v>293.71609276177003</v>
      </c>
      <c r="F89">
        <v>136.11126564673</v>
      </c>
      <c r="G89">
        <v>115.27816411683</v>
      </c>
      <c r="I89" s="9">
        <f t="shared" si="8"/>
        <v>178.43792864494003</v>
      </c>
      <c r="J89" s="9">
        <f t="shared" si="9"/>
        <v>596.18458818321005</v>
      </c>
      <c r="K89" s="9">
        <f t="shared" si="10"/>
        <v>178.43792864494003</v>
      </c>
      <c r="L89" s="10">
        <f t="shared" si="7"/>
        <v>0.29929980107118315</v>
      </c>
      <c r="M89" s="10">
        <f t="shared" si="11"/>
        <v>0.30662655676429718</v>
      </c>
      <c r="P89" s="8">
        <f t="shared" si="12"/>
        <v>-9.5438657504294326</v>
      </c>
      <c r="U89" s="8">
        <v>153</v>
      </c>
      <c r="V89" s="10">
        <f t="shared" si="13"/>
        <v>0.30560996669154195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721.57043235703998</v>
      </c>
      <c r="E90">
        <v>285.94909344490998</v>
      </c>
      <c r="F90">
        <v>136.80111265647</v>
      </c>
      <c r="G90">
        <v>115.13351877608</v>
      </c>
      <c r="I90" s="9">
        <f t="shared" si="8"/>
        <v>170.81557466882998</v>
      </c>
      <c r="J90" s="9">
        <f t="shared" si="9"/>
        <v>584.76931970057001</v>
      </c>
      <c r="K90" s="9">
        <f t="shared" si="10"/>
        <v>170.81557466882998</v>
      </c>
      <c r="L90" s="10">
        <f t="shared" si="7"/>
        <v>0.2921076207559859</v>
      </c>
      <c r="M90" s="10">
        <f t="shared" si="11"/>
        <v>0.29951859203177938</v>
      </c>
      <c r="P90" s="8">
        <f t="shared" si="12"/>
        <v>-11.640745482148439</v>
      </c>
      <c r="U90" s="8">
        <v>153.5</v>
      </c>
      <c r="V90" s="10">
        <f t="shared" si="13"/>
        <v>0.29795348834308777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700.38842398884003</v>
      </c>
      <c r="E91">
        <v>280.11924686192998</v>
      </c>
      <c r="F91">
        <v>136.71349095967</v>
      </c>
      <c r="G91">
        <v>115.47705146036</v>
      </c>
      <c r="I91" s="9">
        <f t="shared" si="8"/>
        <v>164.64219540156998</v>
      </c>
      <c r="J91" s="9">
        <f t="shared" si="9"/>
        <v>563.67493302917001</v>
      </c>
      <c r="K91" s="9">
        <f t="shared" si="10"/>
        <v>164.64219540156998</v>
      </c>
      <c r="L91" s="10">
        <f t="shared" si="7"/>
        <v>0.29208713347742538</v>
      </c>
      <c r="M91" s="10">
        <f t="shared" si="11"/>
        <v>0.29958232033589832</v>
      </c>
      <c r="P91" s="8">
        <f t="shared" si="12"/>
        <v>-11.621945362244567</v>
      </c>
      <c r="U91" s="8">
        <v>154</v>
      </c>
      <c r="V91" s="10">
        <f t="shared" si="13"/>
        <v>0.29857098195606696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688.30822873082002</v>
      </c>
      <c r="E92">
        <v>273.87587168759001</v>
      </c>
      <c r="F92">
        <v>137.13490959666001</v>
      </c>
      <c r="G92">
        <v>114.94436717663</v>
      </c>
      <c r="I92" s="9">
        <f t="shared" si="8"/>
        <v>158.93150451096</v>
      </c>
      <c r="J92" s="9">
        <f t="shared" si="9"/>
        <v>551.17331913416001</v>
      </c>
      <c r="K92" s="9">
        <f t="shared" si="10"/>
        <v>158.93150451096</v>
      </c>
      <c r="L92" s="10">
        <f t="shared" si="7"/>
        <v>0.28835122999173113</v>
      </c>
      <c r="M92" s="10">
        <f t="shared" si="11"/>
        <v>0.29593063243288353</v>
      </c>
      <c r="P92" s="8">
        <f t="shared" si="12"/>
        <v>-12.69920877568906</v>
      </c>
      <c r="U92" s="8">
        <v>154.5</v>
      </c>
      <c r="V92" s="10">
        <f t="shared" si="13"/>
        <v>0.29885646042374381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686.84797768479996</v>
      </c>
      <c r="E93">
        <v>273.80334728034001</v>
      </c>
      <c r="F93">
        <v>136.79624478442</v>
      </c>
      <c r="G93">
        <v>115.18776077886</v>
      </c>
      <c r="I93" s="9">
        <f t="shared" si="8"/>
        <v>158.61558650148001</v>
      </c>
      <c r="J93" s="9">
        <f t="shared" si="9"/>
        <v>550.05173290037999</v>
      </c>
      <c r="K93" s="9">
        <f t="shared" si="10"/>
        <v>158.61558650148001</v>
      </c>
      <c r="L93" s="10">
        <f t="shared" si="7"/>
        <v>0.28836485191149636</v>
      </c>
      <c r="M93" s="10">
        <f t="shared" si="11"/>
        <v>0.29602846993532828</v>
      </c>
      <c r="P93" s="8">
        <f t="shared" si="12"/>
        <v>-12.670346297666365</v>
      </c>
      <c r="U93" s="8">
        <v>155</v>
      </c>
      <c r="V93" s="10">
        <f t="shared" si="13"/>
        <v>0.29407875828916219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685.23265592150995</v>
      </c>
      <c r="E94">
        <v>272.56832515767002</v>
      </c>
      <c r="F94">
        <v>136.62239221140999</v>
      </c>
      <c r="G94">
        <v>115.35535465925</v>
      </c>
      <c r="I94" s="9">
        <f t="shared" si="8"/>
        <v>157.21297049842002</v>
      </c>
      <c r="J94" s="9">
        <f t="shared" si="9"/>
        <v>548.61026371009996</v>
      </c>
      <c r="K94" s="9">
        <f t="shared" si="10"/>
        <v>157.21297049842002</v>
      </c>
      <c r="L94" s="10">
        <f t="shared" si="7"/>
        <v>0.28656585721753008</v>
      </c>
      <c r="M94" s="10">
        <f t="shared" si="11"/>
        <v>0.29431369082404146</v>
      </c>
      <c r="P94" s="8">
        <f t="shared" si="12"/>
        <v>-13.176213405642123</v>
      </c>
      <c r="U94" s="8">
        <v>155.5</v>
      </c>
      <c r="V94" s="10">
        <f t="shared" si="13"/>
        <v>0.29365404729085165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683.54940434477999</v>
      </c>
      <c r="E95">
        <v>271.69236159776</v>
      </c>
      <c r="F95">
        <v>136.50486787205</v>
      </c>
      <c r="G95">
        <v>115.41376912378</v>
      </c>
      <c r="I95" s="9">
        <f t="shared" si="8"/>
        <v>156.27859247397998</v>
      </c>
      <c r="J95" s="9">
        <f t="shared" si="9"/>
        <v>547.04453647272999</v>
      </c>
      <c r="K95" s="9">
        <f t="shared" si="10"/>
        <v>156.27859247397998</v>
      </c>
      <c r="L95" s="10">
        <f t="shared" si="7"/>
        <v>0.28567800618509681</v>
      </c>
      <c r="M95" s="10">
        <f t="shared" si="11"/>
        <v>0.29351005537428765</v>
      </c>
      <c r="P95" s="8">
        <f t="shared" si="12"/>
        <v>-13.413289270491378</v>
      </c>
      <c r="U95" s="8">
        <v>156</v>
      </c>
      <c r="V95" s="10">
        <f t="shared" si="13"/>
        <v>0.30510912929251122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699.96215837421005</v>
      </c>
      <c r="E96">
        <v>272.58934828310998</v>
      </c>
      <c r="F96">
        <v>136.45410292072</v>
      </c>
      <c r="G96">
        <v>115.58831710709001</v>
      </c>
      <c r="I96" s="9">
        <f t="shared" si="8"/>
        <v>157.00103117601998</v>
      </c>
      <c r="J96" s="9">
        <f t="shared" si="9"/>
        <v>563.50805545348999</v>
      </c>
      <c r="K96" s="9">
        <f t="shared" si="10"/>
        <v>157.00103117601998</v>
      </c>
      <c r="L96" s="10">
        <f t="shared" si="7"/>
        <v>0.27861364120104987</v>
      </c>
      <c r="M96" s="10">
        <f t="shared" si="11"/>
        <v>0.28652990597292016</v>
      </c>
      <c r="P96" s="8">
        <f t="shared" si="12"/>
        <v>-15.472462937622597</v>
      </c>
      <c r="U96" s="8">
        <v>156.5</v>
      </c>
      <c r="V96" s="10">
        <f t="shared" si="13"/>
        <v>0.31124833794493134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695.43938332164998</v>
      </c>
      <c r="E97">
        <v>273.52557813595001</v>
      </c>
      <c r="F97">
        <v>136.40333796940001</v>
      </c>
      <c r="G97">
        <v>115.23504867872001</v>
      </c>
      <c r="I97" s="9">
        <f t="shared" si="8"/>
        <v>158.29052945723001</v>
      </c>
      <c r="J97" s="9">
        <f t="shared" si="9"/>
        <v>559.03604535224997</v>
      </c>
      <c r="K97" s="9">
        <f t="shared" si="10"/>
        <v>158.29052945723001</v>
      </c>
      <c r="L97" s="10">
        <f t="shared" si="7"/>
        <v>0.28314905769178222</v>
      </c>
      <c r="M97" s="10">
        <f t="shared" si="11"/>
        <v>0.29114953804633198</v>
      </c>
      <c r="P97" s="8">
        <f t="shared" si="12"/>
        <v>-14.109651890119689</v>
      </c>
      <c r="U97" s="8">
        <v>157</v>
      </c>
      <c r="V97" s="10">
        <f t="shared" si="13"/>
        <v>0.31220206409122403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703.57827926657001</v>
      </c>
      <c r="E98">
        <v>274.27433004231</v>
      </c>
      <c r="F98">
        <v>136.66342141864001</v>
      </c>
      <c r="G98">
        <v>115.54102920723</v>
      </c>
      <c r="I98" s="9">
        <f t="shared" si="8"/>
        <v>158.73330083508</v>
      </c>
      <c r="J98" s="9">
        <f t="shared" si="9"/>
        <v>566.91485784792997</v>
      </c>
      <c r="K98" s="9">
        <f t="shared" si="10"/>
        <v>158.73330083508</v>
      </c>
      <c r="L98" s="10">
        <f t="shared" si="7"/>
        <v>0.27999495627553095</v>
      </c>
      <c r="M98" s="10">
        <f t="shared" si="11"/>
        <v>0.28807965221276022</v>
      </c>
      <c r="P98" s="8">
        <f t="shared" si="12"/>
        <v>-15.015281226413224</v>
      </c>
      <c r="U98" s="8">
        <v>157.5</v>
      </c>
      <c r="V98" s="10">
        <f t="shared" si="13"/>
        <v>0.31857917345295861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697.10296191819998</v>
      </c>
      <c r="E99">
        <v>273.96332863188002</v>
      </c>
      <c r="F99">
        <v>137.02225312934999</v>
      </c>
      <c r="G99">
        <v>115.38456189151999</v>
      </c>
      <c r="I99" s="9">
        <f t="shared" si="8"/>
        <v>158.57876674036004</v>
      </c>
      <c r="J99" s="9">
        <f t="shared" si="9"/>
        <v>560.08070878884996</v>
      </c>
      <c r="K99" s="9">
        <f t="shared" si="10"/>
        <v>158.57876674036004</v>
      </c>
      <c r="L99" s="10">
        <f t="shared" si="7"/>
        <v>0.283135562878571</v>
      </c>
      <c r="M99" s="10">
        <f t="shared" si="11"/>
        <v>0.29130447439847973</v>
      </c>
      <c r="P99" s="8">
        <f t="shared" si="12"/>
        <v>-14.063945009352711</v>
      </c>
      <c r="U99" s="8">
        <v>158</v>
      </c>
      <c r="V99" s="10">
        <f t="shared" si="13"/>
        <v>0.31796301736231164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702.92595204512997</v>
      </c>
      <c r="E100">
        <v>275.44076163610998</v>
      </c>
      <c r="F100">
        <v>136.53059805285</v>
      </c>
      <c r="G100">
        <v>115.36509040334001</v>
      </c>
      <c r="I100" s="9">
        <f t="shared" si="8"/>
        <v>160.07567123276999</v>
      </c>
      <c r="J100" s="9">
        <f t="shared" si="9"/>
        <v>566.39535399227998</v>
      </c>
      <c r="K100" s="9">
        <f t="shared" si="10"/>
        <v>160.07567123276999</v>
      </c>
      <c r="L100" s="10">
        <f t="shared" si="7"/>
        <v>0.28262179430757095</v>
      </c>
      <c r="M100" s="10">
        <f t="shared" si="11"/>
        <v>0.29087492141015914</v>
      </c>
      <c r="P100" s="8">
        <f t="shared" si="12"/>
        <v>-14.190664962082375</v>
      </c>
      <c r="U100" s="8">
        <v>158.5</v>
      </c>
      <c r="V100" s="10">
        <f t="shared" si="13"/>
        <v>0.32641016875337969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723.81170662906004</v>
      </c>
      <c r="E101">
        <v>280.67207334274002</v>
      </c>
      <c r="F101">
        <v>136.76981919331999</v>
      </c>
      <c r="G101">
        <v>115.45132127956001</v>
      </c>
      <c r="I101" s="9">
        <f t="shared" si="8"/>
        <v>165.22075206318002</v>
      </c>
      <c r="J101" s="9">
        <f t="shared" si="9"/>
        <v>587.04188743574002</v>
      </c>
      <c r="K101" s="9">
        <f t="shared" si="10"/>
        <v>165.22075206318002</v>
      </c>
      <c r="L101" s="10">
        <f t="shared" si="7"/>
        <v>0.28144627427674956</v>
      </c>
      <c r="M101" s="10">
        <f t="shared" si="11"/>
        <v>0.28978361696201721</v>
      </c>
      <c r="P101" s="8">
        <f t="shared" si="12"/>
        <v>-14.512604401085898</v>
      </c>
      <c r="U101" s="8">
        <v>159</v>
      </c>
      <c r="V101" s="10">
        <f t="shared" si="13"/>
        <v>0.32518599978342483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703.64978902953999</v>
      </c>
      <c r="E102">
        <v>278.86497890294999</v>
      </c>
      <c r="F102">
        <v>136.34979137690999</v>
      </c>
      <c r="G102">
        <v>115.13838664812</v>
      </c>
      <c r="I102" s="9">
        <f t="shared" si="8"/>
        <v>163.72659225483</v>
      </c>
      <c r="J102" s="9">
        <f t="shared" si="9"/>
        <v>567.29999765263005</v>
      </c>
      <c r="K102" s="9">
        <f t="shared" si="10"/>
        <v>163.72659225483</v>
      </c>
      <c r="L102" s="10">
        <f t="shared" si="7"/>
        <v>0.28860672119213243</v>
      </c>
      <c r="M102" s="10">
        <f t="shared" si="11"/>
        <v>0.29702827946007959</v>
      </c>
      <c r="P102" s="8">
        <f t="shared" si="12"/>
        <v>-12.375398248973948</v>
      </c>
      <c r="U102" s="8">
        <v>159.5</v>
      </c>
      <c r="V102" s="10">
        <f t="shared" si="13"/>
        <v>0.32157557893737582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688.74120956398997</v>
      </c>
      <c r="E103">
        <v>275.42897327707999</v>
      </c>
      <c r="F103">
        <v>136.57858136300001</v>
      </c>
      <c r="G103">
        <v>115.31363004172999</v>
      </c>
      <c r="I103" s="9">
        <f t="shared" si="8"/>
        <v>160.11534323535</v>
      </c>
      <c r="J103" s="9">
        <f t="shared" si="9"/>
        <v>552.16262820098996</v>
      </c>
      <c r="K103" s="9">
        <f t="shared" si="10"/>
        <v>160.11534323535</v>
      </c>
      <c r="L103" s="10">
        <f t="shared" si="7"/>
        <v>0.28997859517770047</v>
      </c>
      <c r="M103" s="10">
        <f t="shared" si="11"/>
        <v>0.29848436902832709</v>
      </c>
      <c r="P103" s="8">
        <f t="shared" si="12"/>
        <v>-11.945845652960415</v>
      </c>
      <c r="U103" s="8">
        <v>160</v>
      </c>
      <c r="V103" s="10">
        <f t="shared" si="13"/>
        <v>0.32955952893764434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698.09634317862003</v>
      </c>
      <c r="E104">
        <v>277.88045007032002</v>
      </c>
      <c r="F104">
        <v>136.30876216967999</v>
      </c>
      <c r="G104">
        <v>115.24547983310001</v>
      </c>
      <c r="I104" s="9">
        <f t="shared" si="8"/>
        <v>162.63497023722002</v>
      </c>
      <c r="J104" s="9">
        <f t="shared" si="9"/>
        <v>561.78758100894004</v>
      </c>
      <c r="K104" s="9">
        <f t="shared" si="10"/>
        <v>162.63497023722002</v>
      </c>
      <c r="L104" s="10">
        <f t="shared" si="7"/>
        <v>0.28949548857085167</v>
      </c>
      <c r="M104" s="10">
        <f t="shared" si="11"/>
        <v>0.29808547800415774</v>
      </c>
      <c r="P104" s="8">
        <f t="shared" si="12"/>
        <v>-12.063520196267982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716.76863572433001</v>
      </c>
      <c r="E105">
        <v>282.06540084388001</v>
      </c>
      <c r="F105">
        <v>136.68636995828001</v>
      </c>
      <c r="G105">
        <v>115.23574408901</v>
      </c>
      <c r="I105" s="9">
        <f t="shared" si="8"/>
        <v>166.82965675487003</v>
      </c>
      <c r="J105" s="9">
        <f t="shared" si="9"/>
        <v>580.08226576605</v>
      </c>
      <c r="K105" s="9">
        <f t="shared" si="10"/>
        <v>166.82965675487003</v>
      </c>
      <c r="L105" s="10">
        <f t="shared" si="7"/>
        <v>0.28759654724930556</v>
      </c>
      <c r="M105" s="10">
        <f t="shared" si="11"/>
        <v>0.29627075226529109</v>
      </c>
      <c r="P105" s="8">
        <f t="shared" si="12"/>
        <v>-12.598871983123342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694.15693173821001</v>
      </c>
      <c r="E106">
        <v>272.36171710063002</v>
      </c>
      <c r="F106">
        <v>136.14673157163</v>
      </c>
      <c r="G106">
        <v>115.26981919332</v>
      </c>
      <c r="I106" s="9">
        <f t="shared" si="8"/>
        <v>157.09189790731</v>
      </c>
      <c r="J106" s="9">
        <f t="shared" si="9"/>
        <v>558.01020016658003</v>
      </c>
      <c r="K106" s="9">
        <f t="shared" si="10"/>
        <v>157.09189790731</v>
      </c>
      <c r="L106" s="10">
        <f t="shared" si="7"/>
        <v>0.28152155258168066</v>
      </c>
      <c r="M106" s="10">
        <f t="shared" si="11"/>
        <v>0.29027997318034571</v>
      </c>
      <c r="P106" s="8">
        <f t="shared" si="12"/>
        <v>-14.366177212278359</v>
      </c>
      <c r="X106" s="8">
        <v>-13</v>
      </c>
    </row>
    <row r="107" spans="1:25" x14ac:dyDescent="0.2">
      <c r="A107" s="8">
        <v>52.5</v>
      </c>
      <c r="B107" s="8">
        <v>105</v>
      </c>
      <c r="D107">
        <v>696.61787473610002</v>
      </c>
      <c r="E107">
        <v>276.17171006334002</v>
      </c>
      <c r="F107">
        <v>136.26912378303001</v>
      </c>
      <c r="G107">
        <v>115.47218358831999</v>
      </c>
      <c r="I107" s="9">
        <f t="shared" si="8"/>
        <v>160.69952647502004</v>
      </c>
      <c r="J107" s="9">
        <f t="shared" si="9"/>
        <v>560.34875095307007</v>
      </c>
      <c r="K107" s="9">
        <f t="shared" si="10"/>
        <v>160.69952647502004</v>
      </c>
      <c r="L107" s="10">
        <f t="shared" si="7"/>
        <v>0.28678483926607135</v>
      </c>
      <c r="M107" s="10">
        <f t="shared" si="11"/>
        <v>0.29562747544741586</v>
      </c>
      <c r="P107" s="8">
        <f t="shared" si="12"/>
        <v>-12.788641371696194</v>
      </c>
      <c r="X107" s="8">
        <v>-13</v>
      </c>
    </row>
    <row r="108" spans="1:25" x14ac:dyDescent="0.2">
      <c r="A108" s="8">
        <v>53</v>
      </c>
      <c r="B108" s="8">
        <v>106</v>
      </c>
      <c r="D108">
        <v>685.61294862773002</v>
      </c>
      <c r="E108">
        <v>275.15904292751998</v>
      </c>
      <c r="F108">
        <v>136.76147426982001</v>
      </c>
      <c r="G108">
        <v>115.53268428373001</v>
      </c>
      <c r="I108" s="9">
        <f t="shared" si="8"/>
        <v>159.62635864378996</v>
      </c>
      <c r="J108" s="9">
        <f t="shared" si="9"/>
        <v>548.85147435790998</v>
      </c>
      <c r="K108" s="9">
        <f t="shared" si="10"/>
        <v>159.62635864378996</v>
      </c>
      <c r="L108" s="10">
        <f t="shared" si="7"/>
        <v>0.29083707724486579</v>
      </c>
      <c r="M108" s="10">
        <f t="shared" si="11"/>
        <v>0.29976392900888976</v>
      </c>
      <c r="P108" s="8">
        <f t="shared" si="12"/>
        <v>-11.568370033746103</v>
      </c>
      <c r="X108" s="8">
        <v>-13</v>
      </c>
    </row>
    <row r="109" spans="1:25" x14ac:dyDescent="0.2">
      <c r="A109" s="8">
        <v>53.5</v>
      </c>
      <c r="B109" s="8">
        <v>107</v>
      </c>
      <c r="D109">
        <v>667.29134412385997</v>
      </c>
      <c r="E109">
        <v>269.00281491906998</v>
      </c>
      <c r="F109">
        <v>136.24687065369</v>
      </c>
      <c r="G109">
        <v>115.47148817803</v>
      </c>
      <c r="I109" s="9">
        <f t="shared" si="8"/>
        <v>153.53132674103998</v>
      </c>
      <c r="J109" s="9">
        <f t="shared" si="9"/>
        <v>531.04447347017003</v>
      </c>
      <c r="K109" s="9">
        <f t="shared" si="10"/>
        <v>153.53132674103998</v>
      </c>
      <c r="L109" s="10">
        <f t="shared" si="7"/>
        <v>0.28911199421353961</v>
      </c>
      <c r="M109" s="10">
        <f t="shared" si="11"/>
        <v>0.29812306156024304</v>
      </c>
      <c r="P109" s="8">
        <f t="shared" si="12"/>
        <v>-12.052432887879879</v>
      </c>
      <c r="X109" s="8">
        <v>-13</v>
      </c>
    </row>
    <row r="110" spans="1:25" x14ac:dyDescent="0.2">
      <c r="A110" s="8">
        <v>54</v>
      </c>
      <c r="B110" s="8">
        <v>108</v>
      </c>
      <c r="D110">
        <v>678.76739283204995</v>
      </c>
      <c r="E110">
        <v>271.08924806746001</v>
      </c>
      <c r="F110">
        <v>136.83588317107001</v>
      </c>
      <c r="G110">
        <v>115.22600834492</v>
      </c>
      <c r="I110" s="9">
        <f t="shared" si="8"/>
        <v>155.86323972254002</v>
      </c>
      <c r="J110" s="9">
        <f t="shared" si="9"/>
        <v>541.93150966097994</v>
      </c>
      <c r="K110" s="9">
        <f t="shared" si="10"/>
        <v>155.86323972254002</v>
      </c>
      <c r="L110" s="10">
        <f t="shared" si="7"/>
        <v>0.28760689670922535</v>
      </c>
      <c r="M110" s="10">
        <f t="shared" si="11"/>
        <v>0.29670217963860823</v>
      </c>
      <c r="P110" s="8">
        <f t="shared" si="12"/>
        <v>-12.471599078872869</v>
      </c>
      <c r="X110" s="8">
        <v>-13</v>
      </c>
    </row>
    <row r="111" spans="1:25" x14ac:dyDescent="0.2">
      <c r="A111" s="8">
        <v>54.5</v>
      </c>
      <c r="B111" s="8">
        <v>109</v>
      </c>
      <c r="D111">
        <v>683.92832044975</v>
      </c>
      <c r="E111">
        <v>270.29725931130997</v>
      </c>
      <c r="F111">
        <v>136.37760778859999</v>
      </c>
      <c r="G111">
        <v>115.6933240612</v>
      </c>
      <c r="I111" s="9">
        <f t="shared" si="8"/>
        <v>154.60393525010997</v>
      </c>
      <c r="J111" s="9">
        <f t="shared" si="9"/>
        <v>547.55071266114999</v>
      </c>
      <c r="K111" s="9">
        <f t="shared" si="10"/>
        <v>154.60393525010997</v>
      </c>
      <c r="L111" s="10">
        <f t="shared" si="7"/>
        <v>0.28235546347610385</v>
      </c>
      <c r="M111" s="10">
        <f t="shared" si="11"/>
        <v>0.29153496198816625</v>
      </c>
      <c r="P111" s="8">
        <f t="shared" si="12"/>
        <v>-13.995950193197334</v>
      </c>
      <c r="X111" s="8">
        <v>-13</v>
      </c>
    </row>
    <row r="112" spans="1:25" x14ac:dyDescent="0.2">
      <c r="A112" s="8">
        <v>55</v>
      </c>
      <c r="B112" s="8">
        <v>110</v>
      </c>
      <c r="D112">
        <v>679.09838369642</v>
      </c>
      <c r="E112">
        <v>268.82993675334001</v>
      </c>
      <c r="F112">
        <v>136.10987482614999</v>
      </c>
      <c r="G112">
        <v>115.01043115438</v>
      </c>
      <c r="I112" s="9">
        <f t="shared" si="8"/>
        <v>153.81950559896001</v>
      </c>
      <c r="J112" s="9">
        <f t="shared" si="9"/>
        <v>542.98850887027004</v>
      </c>
      <c r="K112" s="9">
        <f t="shared" si="10"/>
        <v>153.81950559896001</v>
      </c>
      <c r="L112" s="10">
        <f t="shared" si="7"/>
        <v>0.28328316913923923</v>
      </c>
      <c r="M112" s="10">
        <f t="shared" si="11"/>
        <v>0.29254688323398109</v>
      </c>
      <c r="P112" s="8">
        <f t="shared" si="12"/>
        <v>-13.697429135441133</v>
      </c>
      <c r="X112" s="8">
        <v>-13</v>
      </c>
    </row>
    <row r="113" spans="1:24" x14ac:dyDescent="0.2">
      <c r="A113" s="8">
        <v>55.5</v>
      </c>
      <c r="B113" s="8">
        <v>111</v>
      </c>
      <c r="D113">
        <v>684.52916373858</v>
      </c>
      <c r="E113">
        <v>272.39494026704</v>
      </c>
      <c r="F113">
        <v>137.05285118219999</v>
      </c>
      <c r="G113">
        <v>115.03755215577</v>
      </c>
      <c r="I113" s="9">
        <f t="shared" si="8"/>
        <v>157.35738811126998</v>
      </c>
      <c r="J113" s="9">
        <f t="shared" si="9"/>
        <v>547.47631255637998</v>
      </c>
      <c r="K113" s="9">
        <f t="shared" si="10"/>
        <v>157.35738811126998</v>
      </c>
      <c r="L113" s="10">
        <f t="shared" si="7"/>
        <v>0.28742318982990717</v>
      </c>
      <c r="M113" s="10">
        <f t="shared" si="11"/>
        <v>0.29677111950732848</v>
      </c>
      <c r="P113" s="8">
        <f t="shared" si="12"/>
        <v>-12.451261525316148</v>
      </c>
      <c r="X113" s="8">
        <v>-13</v>
      </c>
    </row>
    <row r="114" spans="1:24" x14ac:dyDescent="0.2">
      <c r="A114" s="8">
        <v>56</v>
      </c>
      <c r="B114" s="8">
        <v>112</v>
      </c>
      <c r="D114">
        <v>686.73998594519003</v>
      </c>
      <c r="E114">
        <v>275.29163738581002</v>
      </c>
      <c r="F114">
        <v>136.33449235049</v>
      </c>
      <c r="G114">
        <v>115.45827538248</v>
      </c>
      <c r="I114" s="9">
        <f t="shared" si="8"/>
        <v>159.83336200333002</v>
      </c>
      <c r="J114" s="9">
        <f t="shared" si="9"/>
        <v>550.40549359470003</v>
      </c>
      <c r="K114" s="9">
        <f t="shared" si="10"/>
        <v>159.83336200333002</v>
      </c>
      <c r="L114" s="10">
        <f t="shared" si="7"/>
        <v>0.29039201800014353</v>
      </c>
      <c r="M114" s="10">
        <f t="shared" si="11"/>
        <v>0.2998241632602443</v>
      </c>
      <c r="P114" s="8">
        <f t="shared" si="12"/>
        <v>-11.550600674221458</v>
      </c>
      <c r="X114" s="8">
        <v>-13</v>
      </c>
    </row>
    <row r="115" spans="1:24" x14ac:dyDescent="0.2">
      <c r="A115" s="8">
        <v>56.5</v>
      </c>
      <c r="B115" s="8">
        <v>113</v>
      </c>
      <c r="D115">
        <v>685.83087719297998</v>
      </c>
      <c r="E115">
        <v>274.62807017543997</v>
      </c>
      <c r="F115">
        <v>136.57371349095999</v>
      </c>
      <c r="G115">
        <v>115.47913769124</v>
      </c>
      <c r="I115" s="9">
        <f t="shared" si="8"/>
        <v>159.14893248419997</v>
      </c>
      <c r="J115" s="9">
        <f t="shared" si="9"/>
        <v>549.25716370201997</v>
      </c>
      <c r="K115" s="9">
        <f t="shared" si="10"/>
        <v>159.14893248419997</v>
      </c>
      <c r="L115" s="10">
        <f t="shared" si="7"/>
        <v>0.28975303919848477</v>
      </c>
      <c r="M115" s="10">
        <f t="shared" si="11"/>
        <v>0.29926940004126507</v>
      </c>
      <c r="P115" s="8">
        <f t="shared" si="12"/>
        <v>-11.714258175849031</v>
      </c>
      <c r="X115" s="8">
        <v>-13</v>
      </c>
    </row>
    <row r="116" spans="1:24" x14ac:dyDescent="0.2">
      <c r="A116" s="8">
        <v>57</v>
      </c>
      <c r="B116" s="8">
        <v>114</v>
      </c>
      <c r="D116">
        <v>652.65379213483004</v>
      </c>
      <c r="E116">
        <v>270.40519662921002</v>
      </c>
      <c r="F116">
        <v>136.27677329625001</v>
      </c>
      <c r="G116">
        <v>114.88456189151999</v>
      </c>
      <c r="I116" s="9">
        <f t="shared" si="8"/>
        <v>155.52063473769005</v>
      </c>
      <c r="J116" s="9">
        <f t="shared" si="9"/>
        <v>516.37701883858006</v>
      </c>
      <c r="K116" s="9">
        <f t="shared" si="10"/>
        <v>155.52063473769005</v>
      </c>
      <c r="L116" s="10">
        <f t="shared" si="7"/>
        <v>0.30117652231596687</v>
      </c>
      <c r="M116" s="10">
        <f t="shared" si="11"/>
        <v>0.31077709874142662</v>
      </c>
      <c r="P116" s="8">
        <f t="shared" si="12"/>
        <v>-8.3194382701303269</v>
      </c>
      <c r="X116" s="8">
        <v>-13</v>
      </c>
    </row>
    <row r="117" spans="1:24" x14ac:dyDescent="0.2">
      <c r="A117" s="8">
        <v>57.5</v>
      </c>
      <c r="B117" s="8">
        <v>115</v>
      </c>
      <c r="D117">
        <v>678.95926966291995</v>
      </c>
      <c r="E117">
        <v>277.35393258427001</v>
      </c>
      <c r="F117">
        <v>136.5</v>
      </c>
      <c r="G117">
        <v>115.16481223922</v>
      </c>
      <c r="I117" s="9">
        <f t="shared" si="8"/>
        <v>162.18912034505001</v>
      </c>
      <c r="J117" s="9">
        <f t="shared" si="9"/>
        <v>542.45926966291995</v>
      </c>
      <c r="K117" s="9">
        <f t="shared" si="10"/>
        <v>162.18912034505001</v>
      </c>
      <c r="L117" s="10">
        <f t="shared" si="7"/>
        <v>0.29898856820316316</v>
      </c>
      <c r="M117" s="10">
        <f t="shared" si="11"/>
        <v>0.30867336021130237</v>
      </c>
      <c r="P117" s="8">
        <f t="shared" si="12"/>
        <v>-8.9400500557337281</v>
      </c>
      <c r="X117" s="8">
        <v>-13</v>
      </c>
    </row>
    <row r="118" spans="1:24" x14ac:dyDescent="0.2">
      <c r="A118" s="8">
        <v>58</v>
      </c>
      <c r="B118" s="8">
        <v>116</v>
      </c>
      <c r="D118">
        <v>674.5547752809</v>
      </c>
      <c r="E118">
        <v>275.62219101123998</v>
      </c>
      <c r="F118">
        <v>136.48748261474</v>
      </c>
      <c r="G118">
        <v>115.04450625869001</v>
      </c>
      <c r="I118" s="9">
        <f t="shared" si="8"/>
        <v>160.57768475254997</v>
      </c>
      <c r="J118" s="9">
        <f t="shared" si="9"/>
        <v>538.06729266616003</v>
      </c>
      <c r="K118" s="9">
        <f t="shared" si="10"/>
        <v>160.57768475254997</v>
      </c>
      <c r="L118" s="10">
        <f t="shared" si="7"/>
        <v>0.29843420505430951</v>
      </c>
      <c r="M118" s="10">
        <f t="shared" si="11"/>
        <v>0.30820321264512818</v>
      </c>
      <c r="P118" s="8">
        <f t="shared" si="12"/>
        <v>-9.0787455810389694</v>
      </c>
      <c r="X118" s="8">
        <v>-13</v>
      </c>
    </row>
    <row r="119" spans="1:24" x14ac:dyDescent="0.2">
      <c r="A119" s="8">
        <v>58.5</v>
      </c>
      <c r="B119" s="8">
        <v>117</v>
      </c>
      <c r="D119">
        <v>692.95154494381995</v>
      </c>
      <c r="E119">
        <v>276.19592696629002</v>
      </c>
      <c r="F119">
        <v>136.47079276772999</v>
      </c>
      <c r="G119">
        <v>115.32406119610999</v>
      </c>
      <c r="I119" s="9">
        <f t="shared" si="8"/>
        <v>160.87186577018002</v>
      </c>
      <c r="J119" s="9">
        <f t="shared" si="9"/>
        <v>556.48075217608994</v>
      </c>
      <c r="K119" s="9">
        <f t="shared" si="10"/>
        <v>160.87186577018002</v>
      </c>
      <c r="L119" s="10">
        <f t="shared" si="7"/>
        <v>0.28908792467861411</v>
      </c>
      <c r="M119" s="10">
        <f t="shared" si="11"/>
        <v>0.29894114785211223</v>
      </c>
      <c r="P119" s="8">
        <f t="shared" si="12"/>
        <v>-11.811093963339376</v>
      </c>
      <c r="X119" s="8">
        <v>-13</v>
      </c>
    </row>
    <row r="120" spans="1:24" x14ac:dyDescent="0.2">
      <c r="A120" s="8">
        <v>59</v>
      </c>
      <c r="B120" s="8">
        <v>118</v>
      </c>
      <c r="D120">
        <v>650.25912921348004</v>
      </c>
      <c r="E120">
        <v>268.80828651684999</v>
      </c>
      <c r="F120">
        <v>136.74269819193</v>
      </c>
      <c r="G120">
        <v>115.27816411683</v>
      </c>
      <c r="I120" s="9">
        <f t="shared" si="8"/>
        <v>153.53012240001999</v>
      </c>
      <c r="J120" s="9">
        <f t="shared" si="9"/>
        <v>513.51643102155003</v>
      </c>
      <c r="K120" s="9">
        <f t="shared" si="10"/>
        <v>153.53012240001999</v>
      </c>
      <c r="L120" s="10">
        <f t="shared" si="7"/>
        <v>0.29897801340961766</v>
      </c>
      <c r="M120" s="10">
        <f t="shared" si="11"/>
        <v>0.3089154521657953</v>
      </c>
      <c r="P120" s="8">
        <f t="shared" si="12"/>
        <v>-8.8686319027614555</v>
      </c>
      <c r="X120" s="8">
        <v>-13</v>
      </c>
    </row>
    <row r="121" spans="1:24" x14ac:dyDescent="0.2">
      <c r="A121" s="8">
        <v>59.5</v>
      </c>
      <c r="B121" s="8">
        <v>119</v>
      </c>
      <c r="D121">
        <v>654.24648876405001</v>
      </c>
      <c r="E121">
        <v>270.02387640449001</v>
      </c>
      <c r="F121">
        <v>136.52155771905001</v>
      </c>
      <c r="G121">
        <v>115.27260083449001</v>
      </c>
      <c r="I121" s="9">
        <f t="shared" si="8"/>
        <v>154.75127557000002</v>
      </c>
      <c r="J121" s="9">
        <f t="shared" si="9"/>
        <v>517.72493104499995</v>
      </c>
      <c r="K121" s="9">
        <f t="shared" si="10"/>
        <v>154.75127557000002</v>
      </c>
      <c r="L121" s="10">
        <f t="shared" si="7"/>
        <v>0.29890636183512137</v>
      </c>
      <c r="M121" s="10">
        <f t="shared" si="11"/>
        <v>0.30892801617397847</v>
      </c>
      <c r="P121" s="8">
        <f t="shared" si="12"/>
        <v>-8.8649254670798179</v>
      </c>
      <c r="X121" s="8">
        <v>-13</v>
      </c>
    </row>
    <row r="122" spans="1:24" x14ac:dyDescent="0.2">
      <c r="A122" s="8">
        <v>60</v>
      </c>
      <c r="B122" s="8">
        <v>120</v>
      </c>
      <c r="D122">
        <v>664.48735955055997</v>
      </c>
      <c r="E122">
        <v>273.11235955055997</v>
      </c>
      <c r="F122">
        <v>136.4561891516</v>
      </c>
      <c r="G122">
        <v>115.47635605007</v>
      </c>
      <c r="I122" s="9">
        <f t="shared" si="8"/>
        <v>157.63600350048998</v>
      </c>
      <c r="J122" s="9">
        <f t="shared" si="9"/>
        <v>528.03117039895994</v>
      </c>
      <c r="K122" s="9">
        <f t="shared" si="10"/>
        <v>157.63600350048998</v>
      </c>
      <c r="L122" s="10">
        <f t="shared" si="7"/>
        <v>0.29853541294046393</v>
      </c>
      <c r="M122" s="10">
        <f t="shared" si="11"/>
        <v>0.30864128286200049</v>
      </c>
      <c r="P122" s="8">
        <f t="shared" si="12"/>
        <v>-8.9495130097760676</v>
      </c>
      <c r="X122" s="8">
        <v>-13</v>
      </c>
    </row>
    <row r="123" spans="1:24" x14ac:dyDescent="0.2">
      <c r="A123" s="8">
        <v>60.5</v>
      </c>
      <c r="B123" s="8">
        <v>121</v>
      </c>
      <c r="D123">
        <v>651.61165730336995</v>
      </c>
      <c r="E123">
        <v>271.60393258427001</v>
      </c>
      <c r="F123">
        <v>136.96801112656999</v>
      </c>
      <c r="G123">
        <v>115.30528511822</v>
      </c>
      <c r="I123" s="9">
        <f t="shared" si="8"/>
        <v>156.29864746605</v>
      </c>
      <c r="J123" s="9">
        <f t="shared" si="9"/>
        <v>514.64364617679996</v>
      </c>
      <c r="K123" s="9">
        <f t="shared" si="10"/>
        <v>156.29864746605</v>
      </c>
      <c r="L123" s="10">
        <f t="shared" si="7"/>
        <v>0.30370266615971275</v>
      </c>
      <c r="M123" s="10">
        <f t="shared" si="11"/>
        <v>0.31389275166392877</v>
      </c>
      <c r="P123" s="8">
        <f t="shared" si="12"/>
        <v>-7.4003074485636766</v>
      </c>
      <c r="X123" s="8">
        <v>-13</v>
      </c>
    </row>
    <row r="124" spans="1:24" x14ac:dyDescent="0.2">
      <c r="A124" s="8">
        <v>61</v>
      </c>
      <c r="B124" s="8">
        <v>122</v>
      </c>
      <c r="D124">
        <v>651.77009084556005</v>
      </c>
      <c r="E124">
        <v>270.33333333333002</v>
      </c>
      <c r="F124">
        <v>136.45688456189001</v>
      </c>
      <c r="G124">
        <v>115.3066759388</v>
      </c>
      <c r="I124" s="9">
        <f t="shared" si="8"/>
        <v>155.02665739453002</v>
      </c>
      <c r="J124" s="9">
        <f t="shared" si="9"/>
        <v>515.31320628367007</v>
      </c>
      <c r="K124" s="9">
        <f t="shared" si="10"/>
        <v>155.02665739453002</v>
      </c>
      <c r="L124" s="10">
        <f t="shared" si="7"/>
        <v>0.30083967479224821</v>
      </c>
      <c r="M124" s="10">
        <f t="shared" si="11"/>
        <v>0.31111397587914374</v>
      </c>
      <c r="P124" s="8">
        <f t="shared" si="12"/>
        <v>-8.2200580862463326</v>
      </c>
      <c r="X124" s="8">
        <v>-13</v>
      </c>
    </row>
    <row r="125" spans="1:24" x14ac:dyDescent="0.2">
      <c r="A125" s="8">
        <v>61.5</v>
      </c>
      <c r="B125" s="8">
        <v>123</v>
      </c>
      <c r="D125">
        <v>694.85953878406997</v>
      </c>
      <c r="E125">
        <v>280.13487071978</v>
      </c>
      <c r="F125">
        <v>136.37830319888999</v>
      </c>
      <c r="G125">
        <v>115.32753824757</v>
      </c>
      <c r="I125" s="9">
        <f t="shared" si="8"/>
        <v>164.80733247220999</v>
      </c>
      <c r="J125" s="9">
        <f t="shared" si="9"/>
        <v>558.48123558518</v>
      </c>
      <c r="K125" s="9">
        <f t="shared" si="10"/>
        <v>164.80733247220999</v>
      </c>
      <c r="L125" s="10">
        <f t="shared" si="7"/>
        <v>0.29509914025942857</v>
      </c>
      <c r="M125" s="10">
        <f t="shared" si="11"/>
        <v>0.30545765692900356</v>
      </c>
      <c r="P125" s="8">
        <f t="shared" si="12"/>
        <v>-9.8886961576237358</v>
      </c>
      <c r="X125" s="8">
        <v>-13</v>
      </c>
    </row>
    <row r="126" spans="1:24" x14ac:dyDescent="0.2">
      <c r="A126" s="8">
        <v>62</v>
      </c>
      <c r="B126" s="8">
        <v>124</v>
      </c>
      <c r="D126">
        <v>717.22431865828003</v>
      </c>
      <c r="E126">
        <v>284.65618448637002</v>
      </c>
      <c r="F126">
        <v>136.50625869263001</v>
      </c>
      <c r="G126">
        <v>115.08901251739</v>
      </c>
      <c r="I126" s="9">
        <f t="shared" si="8"/>
        <v>169.56717196898001</v>
      </c>
      <c r="J126" s="9">
        <f t="shared" si="9"/>
        <v>580.71805996565001</v>
      </c>
      <c r="K126" s="9">
        <f t="shared" si="10"/>
        <v>169.56717196898001</v>
      </c>
      <c r="L126" s="10">
        <f t="shared" si="7"/>
        <v>0.29199569233133554</v>
      </c>
      <c r="M126" s="10">
        <f t="shared" si="11"/>
        <v>0.30243842458358999</v>
      </c>
      <c r="P126" s="8">
        <f t="shared" si="12"/>
        <v>-10.779382500155094</v>
      </c>
      <c r="X126" s="8">
        <v>-13</v>
      </c>
    </row>
    <row r="127" spans="1:24" x14ac:dyDescent="0.2">
      <c r="A127" s="8">
        <v>62.5</v>
      </c>
      <c r="B127" s="8">
        <v>125</v>
      </c>
      <c r="D127">
        <v>739.08874912649003</v>
      </c>
      <c r="E127">
        <v>289.67714884695999</v>
      </c>
      <c r="F127">
        <v>136.16272600835001</v>
      </c>
      <c r="G127">
        <v>115.39499304589999</v>
      </c>
      <c r="I127" s="9">
        <f t="shared" si="8"/>
        <v>174.28215580106001</v>
      </c>
      <c r="J127" s="9">
        <f t="shared" si="9"/>
        <v>602.92602311814005</v>
      </c>
      <c r="K127" s="9">
        <f t="shared" si="10"/>
        <v>174.28215580106001</v>
      </c>
      <c r="L127" s="10">
        <f t="shared" si="7"/>
        <v>0.2890605963559652</v>
      </c>
      <c r="M127" s="10">
        <f t="shared" si="11"/>
        <v>0.29958754419089911</v>
      </c>
      <c r="P127" s="8">
        <f t="shared" si="12"/>
        <v>-11.620404302871764</v>
      </c>
      <c r="X127" s="8">
        <v>-13</v>
      </c>
    </row>
    <row r="128" spans="1:24" x14ac:dyDescent="0.2">
      <c r="A128" s="8">
        <v>63</v>
      </c>
      <c r="B128" s="8">
        <v>126</v>
      </c>
      <c r="D128">
        <v>762.79874213837002</v>
      </c>
      <c r="E128">
        <v>293.39552760307998</v>
      </c>
      <c r="F128">
        <v>136.38525730180999</v>
      </c>
      <c r="G128">
        <v>115.37899860918</v>
      </c>
      <c r="I128" s="9">
        <f t="shared" si="8"/>
        <v>178.01652899389998</v>
      </c>
      <c r="J128" s="9">
        <f t="shared" si="9"/>
        <v>626.41348483655997</v>
      </c>
      <c r="K128" s="9">
        <f t="shared" si="10"/>
        <v>178.01652899389998</v>
      </c>
      <c r="L128" s="10">
        <f t="shared" si="7"/>
        <v>0.28418374333104751</v>
      </c>
      <c r="M128" s="10">
        <f t="shared" si="11"/>
        <v>0.29479490674866088</v>
      </c>
      <c r="P128" s="8">
        <f t="shared" si="12"/>
        <v>-13.034252667669039</v>
      </c>
      <c r="X128" s="8">
        <v>-13</v>
      </c>
    </row>
    <row r="129" spans="1:24" x14ac:dyDescent="0.2">
      <c r="A129" s="8">
        <v>63.5</v>
      </c>
      <c r="B129" s="8">
        <v>127</v>
      </c>
      <c r="D129">
        <v>766.83298392732002</v>
      </c>
      <c r="E129">
        <v>294.47239692522999</v>
      </c>
      <c r="F129">
        <v>136.75104311544001</v>
      </c>
      <c r="G129">
        <v>115.28511821975</v>
      </c>
      <c r="I129" s="9">
        <f t="shared" si="8"/>
        <v>179.18727870547997</v>
      </c>
      <c r="J129" s="9">
        <f t="shared" si="9"/>
        <v>630.08194081188003</v>
      </c>
      <c r="K129" s="9">
        <f t="shared" si="10"/>
        <v>179.18727870547997</v>
      </c>
      <c r="L129" s="10">
        <f t="shared" si="7"/>
        <v>0.28438726314642765</v>
      </c>
      <c r="M129" s="10">
        <f t="shared" si="11"/>
        <v>0.29508264214672053</v>
      </c>
      <c r="P129" s="8">
        <f t="shared" si="12"/>
        <v>-12.949369505330152</v>
      </c>
      <c r="X129" s="8">
        <v>-13</v>
      </c>
    </row>
    <row r="130" spans="1:24" x14ac:dyDescent="0.2">
      <c r="A130" s="8">
        <v>64</v>
      </c>
      <c r="B130" s="8">
        <v>128</v>
      </c>
      <c r="D130">
        <v>748.22571628232004</v>
      </c>
      <c r="E130">
        <v>290.50244584207002</v>
      </c>
      <c r="F130">
        <v>136.36578581363</v>
      </c>
      <c r="G130">
        <v>115.48956884562</v>
      </c>
      <c r="I130" s="9">
        <f t="shared" si="8"/>
        <v>175.01287699645002</v>
      </c>
      <c r="J130" s="9">
        <f t="shared" si="9"/>
        <v>611.85993046868998</v>
      </c>
      <c r="K130" s="9">
        <f t="shared" si="10"/>
        <v>175.01287699645002</v>
      </c>
      <c r="L130" s="10">
        <f t="shared" ref="L130:L193" si="14">K130/J130</f>
        <v>0.28603421842379617</v>
      </c>
      <c r="M130" s="10">
        <f t="shared" si="11"/>
        <v>0.29681381300676851</v>
      </c>
      <c r="P130" s="8">
        <f t="shared" si="12"/>
        <v>-12.438666761973781</v>
      </c>
      <c r="X130" s="8">
        <v>-13</v>
      </c>
    </row>
    <row r="131" spans="1:24" x14ac:dyDescent="0.2">
      <c r="A131" s="8">
        <v>64.5</v>
      </c>
      <c r="B131" s="8">
        <v>129</v>
      </c>
      <c r="D131">
        <v>722.71611071682003</v>
      </c>
      <c r="E131">
        <v>284.18807665011002</v>
      </c>
      <c r="F131">
        <v>136.52294853964</v>
      </c>
      <c r="G131">
        <v>115.45340751043</v>
      </c>
      <c r="I131" s="9">
        <f t="shared" ref="I131:I194" si="15">E131-G131</f>
        <v>168.73466913968002</v>
      </c>
      <c r="J131" s="9">
        <f t="shared" ref="J131:J194" si="16">D131-F131</f>
        <v>586.19316217718006</v>
      </c>
      <c r="K131" s="9">
        <f t="shared" ref="K131:K194" si="17">I131*1</f>
        <v>168.73466913968002</v>
      </c>
      <c r="L131" s="10">
        <f t="shared" si="14"/>
        <v>0.28784823847651614</v>
      </c>
      <c r="M131" s="10">
        <f t="shared" ref="M131:M181" si="18">L131+ABS($N$2)*A131</f>
        <v>0.29871204864216794</v>
      </c>
      <c r="P131" s="8">
        <f t="shared" ref="P131:P194" si="19">(M131-$O$2)/$O$2*100</f>
        <v>-11.878679201584484</v>
      </c>
      <c r="X131" s="8">
        <v>-13</v>
      </c>
    </row>
    <row r="132" spans="1:24" x14ac:dyDescent="0.2">
      <c r="A132" s="8">
        <v>65</v>
      </c>
      <c r="B132" s="8">
        <v>130</v>
      </c>
      <c r="D132">
        <v>682.35982966642996</v>
      </c>
      <c r="E132">
        <v>273.06174591909001</v>
      </c>
      <c r="F132">
        <v>136.38317107092999</v>
      </c>
      <c r="G132">
        <v>115.62726008345</v>
      </c>
      <c r="I132" s="9">
        <f t="shared" si="15"/>
        <v>157.43448583564003</v>
      </c>
      <c r="J132" s="9">
        <f t="shared" si="16"/>
        <v>545.9766585955</v>
      </c>
      <c r="K132" s="9">
        <f t="shared" si="17"/>
        <v>157.43448583564003</v>
      </c>
      <c r="L132" s="10">
        <f t="shared" si="14"/>
        <v>0.28835387622729708</v>
      </c>
      <c r="M132" s="10">
        <f t="shared" si="18"/>
        <v>0.29930190197562834</v>
      </c>
      <c r="P132" s="8">
        <f t="shared" si="19"/>
        <v>-11.704669967413468</v>
      </c>
      <c r="X132" s="8">
        <v>-13</v>
      </c>
    </row>
    <row r="133" spans="1:24" x14ac:dyDescent="0.2">
      <c r="A133" s="8">
        <v>65.5</v>
      </c>
      <c r="B133" s="8">
        <v>131</v>
      </c>
      <c r="D133">
        <v>706.17064606741997</v>
      </c>
      <c r="E133">
        <v>281.94101123595999</v>
      </c>
      <c r="F133">
        <v>136.80806675938999</v>
      </c>
      <c r="G133">
        <v>115.30458970793001</v>
      </c>
      <c r="I133" s="9">
        <f t="shared" si="15"/>
        <v>166.63642152802998</v>
      </c>
      <c r="J133" s="9">
        <f t="shared" si="16"/>
        <v>569.36257930803004</v>
      </c>
      <c r="K133" s="9">
        <f t="shared" si="17"/>
        <v>166.63642152802998</v>
      </c>
      <c r="L133" s="10">
        <f t="shared" si="14"/>
        <v>0.29267188885253076</v>
      </c>
      <c r="M133" s="10">
        <f t="shared" si="18"/>
        <v>0.30370413018354153</v>
      </c>
      <c r="P133" s="8">
        <f t="shared" si="19"/>
        <v>-10.405993981959462</v>
      </c>
      <c r="X133" s="8">
        <v>-13</v>
      </c>
    </row>
    <row r="134" spans="1:24" x14ac:dyDescent="0.2">
      <c r="A134" s="8">
        <v>66</v>
      </c>
      <c r="B134" s="8">
        <v>132</v>
      </c>
      <c r="D134">
        <v>711.74367977528004</v>
      </c>
      <c r="E134">
        <v>282.45294943819999</v>
      </c>
      <c r="F134">
        <v>136.39221140473001</v>
      </c>
      <c r="G134">
        <v>115.73852573018</v>
      </c>
      <c r="I134" s="9">
        <f t="shared" si="15"/>
        <v>166.71442370801998</v>
      </c>
      <c r="J134" s="9">
        <f t="shared" si="16"/>
        <v>575.35146837055004</v>
      </c>
      <c r="K134" s="9">
        <f t="shared" si="17"/>
        <v>166.71442370801998</v>
      </c>
      <c r="L134" s="10">
        <f t="shared" si="14"/>
        <v>0.28976101196051701</v>
      </c>
      <c r="M134" s="10">
        <f t="shared" si="18"/>
        <v>0.30087746887420724</v>
      </c>
      <c r="P134" s="8">
        <f t="shared" si="19"/>
        <v>-11.239871052404331</v>
      </c>
      <c r="X134" s="8">
        <v>-13</v>
      </c>
    </row>
    <row r="135" spans="1:24" x14ac:dyDescent="0.2">
      <c r="A135" s="8">
        <v>66.5</v>
      </c>
      <c r="B135" s="8">
        <v>133</v>
      </c>
      <c r="D135">
        <v>699.70856741573004</v>
      </c>
      <c r="E135">
        <v>277.88623595505999</v>
      </c>
      <c r="F135">
        <v>136.94575799722</v>
      </c>
      <c r="G135">
        <v>115.23922114046999</v>
      </c>
      <c r="I135" s="9">
        <f t="shared" si="15"/>
        <v>162.64701481458999</v>
      </c>
      <c r="J135" s="9">
        <f t="shared" si="16"/>
        <v>562.76280941851007</v>
      </c>
      <c r="K135" s="9">
        <f t="shared" si="17"/>
        <v>162.64701481458999</v>
      </c>
      <c r="L135" s="10">
        <f t="shared" si="14"/>
        <v>0.28901521581116818</v>
      </c>
      <c r="M135" s="10">
        <f t="shared" si="18"/>
        <v>0.30021588830753787</v>
      </c>
      <c r="P135" s="8">
        <f t="shared" si="19"/>
        <v>-11.435040124473824</v>
      </c>
      <c r="X135" s="8">
        <v>-13</v>
      </c>
    </row>
    <row r="136" spans="1:24" x14ac:dyDescent="0.2">
      <c r="A136" s="8">
        <v>67</v>
      </c>
      <c r="B136" s="8">
        <v>134</v>
      </c>
      <c r="D136">
        <v>707.36376404494001</v>
      </c>
      <c r="E136">
        <v>281.00983146067</v>
      </c>
      <c r="F136">
        <v>136.97287899861001</v>
      </c>
      <c r="G136">
        <v>115.47844228095001</v>
      </c>
      <c r="I136" s="9">
        <f t="shared" si="15"/>
        <v>165.53138917972001</v>
      </c>
      <c r="J136" s="9">
        <f t="shared" si="16"/>
        <v>570.39088504633003</v>
      </c>
      <c r="K136" s="9">
        <f t="shared" si="17"/>
        <v>165.53138917972001</v>
      </c>
      <c r="L136" s="10">
        <f t="shared" si="14"/>
        <v>0.29020693268314535</v>
      </c>
      <c r="M136" s="10">
        <f t="shared" si="18"/>
        <v>0.3014918207621945</v>
      </c>
      <c r="P136" s="8">
        <f t="shared" si="19"/>
        <v>-11.058634640781413</v>
      </c>
      <c r="X136" s="8">
        <v>-13</v>
      </c>
    </row>
    <row r="137" spans="1:24" x14ac:dyDescent="0.2">
      <c r="A137" s="8">
        <v>67.5</v>
      </c>
      <c r="B137" s="8">
        <v>135</v>
      </c>
      <c r="D137">
        <v>683.57654494381995</v>
      </c>
      <c r="E137">
        <v>276.56811797752999</v>
      </c>
      <c r="F137">
        <v>137.01043115438</v>
      </c>
      <c r="G137">
        <v>115.30180806676</v>
      </c>
      <c r="I137" s="9">
        <f t="shared" si="15"/>
        <v>161.26630991076999</v>
      </c>
      <c r="J137" s="9">
        <f t="shared" si="16"/>
        <v>546.5661137894399</v>
      </c>
      <c r="K137" s="9">
        <f t="shared" si="17"/>
        <v>161.26630991076999</v>
      </c>
      <c r="L137" s="10">
        <f t="shared" si="14"/>
        <v>0.29505361902640109</v>
      </c>
      <c r="M137" s="10">
        <f t="shared" si="18"/>
        <v>0.30642272268812976</v>
      </c>
      <c r="P137" s="8">
        <f t="shared" si="19"/>
        <v>-9.6039976670938145</v>
      </c>
      <c r="X137" s="8">
        <v>-13</v>
      </c>
    </row>
    <row r="138" spans="1:24" x14ac:dyDescent="0.2">
      <c r="A138" s="8">
        <v>68</v>
      </c>
      <c r="B138" s="8">
        <v>136</v>
      </c>
      <c r="D138">
        <v>656.05450733753003</v>
      </c>
      <c r="E138">
        <v>268.67714884695999</v>
      </c>
      <c r="F138">
        <v>136.81084840055999</v>
      </c>
      <c r="G138">
        <v>114.97218358831999</v>
      </c>
      <c r="I138" s="9">
        <f t="shared" si="15"/>
        <v>153.70496525864002</v>
      </c>
      <c r="J138" s="9">
        <f t="shared" si="16"/>
        <v>519.24365893697006</v>
      </c>
      <c r="K138" s="9">
        <f t="shared" si="17"/>
        <v>153.70496525864002</v>
      </c>
      <c r="L138" s="10">
        <f t="shared" si="14"/>
        <v>0.29601702902509197</v>
      </c>
      <c r="M138" s="10">
        <f t="shared" si="18"/>
        <v>0.30747034826950009</v>
      </c>
      <c r="P138" s="8">
        <f t="shared" si="19"/>
        <v>-9.2949436789731283</v>
      </c>
      <c r="X138" s="8">
        <v>-13</v>
      </c>
    </row>
    <row r="139" spans="1:24" x14ac:dyDescent="0.2">
      <c r="A139" s="8">
        <v>68.5</v>
      </c>
      <c r="B139" s="8">
        <v>137</v>
      </c>
      <c r="D139">
        <v>636.55066387142006</v>
      </c>
      <c r="E139">
        <v>263.47868623340003</v>
      </c>
      <c r="F139">
        <v>136.86995827537999</v>
      </c>
      <c r="G139">
        <v>115.41515994437</v>
      </c>
      <c r="I139" s="9">
        <f t="shared" si="15"/>
        <v>148.06352628903002</v>
      </c>
      <c r="J139" s="9">
        <f t="shared" si="16"/>
        <v>499.68070559604007</v>
      </c>
      <c r="K139" s="9">
        <f t="shared" si="17"/>
        <v>148.06352628903002</v>
      </c>
      <c r="L139" s="10">
        <f t="shared" si="14"/>
        <v>0.29631627683605205</v>
      </c>
      <c r="M139" s="10">
        <f t="shared" si="18"/>
        <v>0.30785381166313963</v>
      </c>
      <c r="P139" s="8">
        <f t="shared" si="19"/>
        <v>-9.1818203520803543</v>
      </c>
      <c r="X139" s="8">
        <v>-13</v>
      </c>
    </row>
    <row r="140" spans="1:24" x14ac:dyDescent="0.2">
      <c r="A140" s="8">
        <v>69</v>
      </c>
      <c r="B140" s="8">
        <v>138</v>
      </c>
      <c r="D140">
        <v>622.99371069181996</v>
      </c>
      <c r="E140">
        <v>262.22361984626002</v>
      </c>
      <c r="F140">
        <v>136.77538247566</v>
      </c>
      <c r="G140">
        <v>115.50834492350999</v>
      </c>
      <c r="I140" s="9">
        <f t="shared" si="15"/>
        <v>146.71527492275004</v>
      </c>
      <c r="J140" s="9">
        <f t="shared" si="16"/>
        <v>486.21832821615999</v>
      </c>
      <c r="K140" s="9">
        <f t="shared" si="17"/>
        <v>146.71527492275004</v>
      </c>
      <c r="L140" s="10">
        <f t="shared" si="14"/>
        <v>0.30174772609049871</v>
      </c>
      <c r="M140" s="10">
        <f t="shared" si="18"/>
        <v>0.31336947650026575</v>
      </c>
      <c r="P140" s="8">
        <f t="shared" si="19"/>
        <v>-7.5546758403731085</v>
      </c>
      <c r="X140" s="8">
        <v>-13</v>
      </c>
    </row>
    <row r="141" spans="1:24" x14ac:dyDescent="0.2">
      <c r="A141" s="8">
        <v>69.5</v>
      </c>
      <c r="B141" s="8">
        <v>139</v>
      </c>
      <c r="D141">
        <v>665.30343377715997</v>
      </c>
      <c r="E141">
        <v>272.04414856341998</v>
      </c>
      <c r="F141">
        <v>137.00556328234001</v>
      </c>
      <c r="G141">
        <v>115.46314325452001</v>
      </c>
      <c r="I141" s="9">
        <f t="shared" si="15"/>
        <v>156.58100530889999</v>
      </c>
      <c r="J141" s="9">
        <f t="shared" si="16"/>
        <v>528.29787049482002</v>
      </c>
      <c r="K141" s="9">
        <f t="shared" si="17"/>
        <v>156.58100530889999</v>
      </c>
      <c r="L141" s="10">
        <f t="shared" si="14"/>
        <v>0.29638772755650405</v>
      </c>
      <c r="M141" s="10">
        <f t="shared" si="18"/>
        <v>0.30809369354895055</v>
      </c>
      <c r="P141" s="8">
        <f t="shared" si="19"/>
        <v>-9.1110541787392982</v>
      </c>
      <c r="X141" s="8">
        <v>-13</v>
      </c>
    </row>
    <row r="142" spans="1:24" x14ac:dyDescent="0.2">
      <c r="A142" s="8">
        <v>70</v>
      </c>
      <c r="B142" s="8">
        <v>140</v>
      </c>
      <c r="D142">
        <v>689.97337070777996</v>
      </c>
      <c r="E142">
        <v>275.43728100911</v>
      </c>
      <c r="F142">
        <v>136.19471488177999</v>
      </c>
      <c r="G142">
        <v>115.28998609179</v>
      </c>
      <c r="I142" s="9">
        <f t="shared" si="15"/>
        <v>160.14729491731998</v>
      </c>
      <c r="J142" s="9">
        <f t="shared" si="16"/>
        <v>553.77865582599998</v>
      </c>
      <c r="K142" s="9">
        <f t="shared" si="17"/>
        <v>160.14729491731998</v>
      </c>
      <c r="L142" s="10">
        <f t="shared" si="14"/>
        <v>0.28919008205263702</v>
      </c>
      <c r="M142" s="10">
        <f t="shared" si="18"/>
        <v>0.30098026362776303</v>
      </c>
      <c r="P142" s="8">
        <f t="shared" si="19"/>
        <v>-11.209546164286627</v>
      </c>
      <c r="X142" s="8">
        <v>-13</v>
      </c>
    </row>
    <row r="143" spans="1:24" x14ac:dyDescent="0.2">
      <c r="A143" s="8">
        <v>70.5</v>
      </c>
      <c r="B143" s="8">
        <v>141</v>
      </c>
      <c r="D143">
        <v>692.25858444288997</v>
      </c>
      <c r="E143">
        <v>275.27750525578</v>
      </c>
      <c r="F143">
        <v>136.65646731571999</v>
      </c>
      <c r="G143">
        <v>115.47566063978</v>
      </c>
      <c r="I143" s="9">
        <f t="shared" si="15"/>
        <v>159.80184461599998</v>
      </c>
      <c r="J143" s="9">
        <f t="shared" si="16"/>
        <v>555.60211712717</v>
      </c>
      <c r="K143" s="9">
        <f t="shared" si="17"/>
        <v>159.80184461599998</v>
      </c>
      <c r="L143" s="10">
        <f t="shared" si="14"/>
        <v>0.28761921470400631</v>
      </c>
      <c r="M143" s="10">
        <f t="shared" si="18"/>
        <v>0.29949361186181178</v>
      </c>
      <c r="P143" s="8">
        <f t="shared" si="19"/>
        <v>-11.648114738197267</v>
      </c>
      <c r="X143" s="8">
        <v>-13</v>
      </c>
    </row>
    <row r="144" spans="1:24" x14ac:dyDescent="0.2">
      <c r="A144" s="8">
        <v>71</v>
      </c>
      <c r="B144" s="8">
        <v>142</v>
      </c>
      <c r="D144">
        <v>691.61468531468995</v>
      </c>
      <c r="E144">
        <v>272.76223776223998</v>
      </c>
      <c r="F144">
        <v>137.21210013908001</v>
      </c>
      <c r="G144">
        <v>115.55146036161</v>
      </c>
      <c r="I144" s="9">
        <f t="shared" si="15"/>
        <v>157.21077740062998</v>
      </c>
      <c r="J144" s="9">
        <f t="shared" si="16"/>
        <v>554.40258517560994</v>
      </c>
      <c r="K144" s="9">
        <f t="shared" si="17"/>
        <v>157.21077740062998</v>
      </c>
      <c r="L144" s="10">
        <f t="shared" si="14"/>
        <v>0.28356790102418561</v>
      </c>
      <c r="M144" s="10">
        <f t="shared" si="18"/>
        <v>0.29552651376467054</v>
      </c>
      <c r="P144" s="8">
        <f t="shared" si="19"/>
        <v>-12.818425496153141</v>
      </c>
    </row>
    <row r="145" spans="1:16" x14ac:dyDescent="0.2">
      <c r="A145" s="8">
        <v>71.5</v>
      </c>
      <c r="B145" s="8">
        <v>143</v>
      </c>
      <c r="D145">
        <v>666.72535211267996</v>
      </c>
      <c r="E145">
        <v>266.32887323943999</v>
      </c>
      <c r="F145">
        <v>136.81710709319</v>
      </c>
      <c r="G145">
        <v>115.65716272601</v>
      </c>
      <c r="I145" s="9">
        <f t="shared" si="15"/>
        <v>150.67171051342999</v>
      </c>
      <c r="J145" s="9">
        <f t="shared" si="16"/>
        <v>529.90824501948998</v>
      </c>
      <c r="K145" s="9">
        <f t="shared" si="17"/>
        <v>150.67171051342999</v>
      </c>
      <c r="L145" s="10">
        <f t="shared" si="14"/>
        <v>0.28433547114913882</v>
      </c>
      <c r="M145" s="10">
        <f t="shared" si="18"/>
        <v>0.29637829947230321</v>
      </c>
      <c r="P145" s="8">
        <f t="shared" si="19"/>
        <v>-12.567145101087055</v>
      </c>
    </row>
    <row r="146" spans="1:16" x14ac:dyDescent="0.2">
      <c r="A146" s="8">
        <v>72</v>
      </c>
      <c r="B146" s="8">
        <v>144</v>
      </c>
      <c r="D146">
        <v>666.02816901408005</v>
      </c>
      <c r="E146">
        <v>267.90915492957998</v>
      </c>
      <c r="F146">
        <v>136.52294853964</v>
      </c>
      <c r="G146">
        <v>115.67663421419</v>
      </c>
      <c r="I146" s="9">
        <f t="shared" si="15"/>
        <v>152.23252071538997</v>
      </c>
      <c r="J146" s="9">
        <f t="shared" si="16"/>
        <v>529.50522047444008</v>
      </c>
      <c r="K146" s="9">
        <f t="shared" si="17"/>
        <v>152.23252071538997</v>
      </c>
      <c r="L146" s="10">
        <f t="shared" si="14"/>
        <v>0.28749956530926862</v>
      </c>
      <c r="M146" s="10">
        <f t="shared" si="18"/>
        <v>0.29962660921511253</v>
      </c>
      <c r="P146" s="8">
        <f t="shared" si="19"/>
        <v>-11.608879955104889</v>
      </c>
    </row>
    <row r="147" spans="1:16" x14ac:dyDescent="0.2">
      <c r="A147" s="8">
        <v>72.5</v>
      </c>
      <c r="B147" s="8">
        <v>145</v>
      </c>
      <c r="D147">
        <v>701.84014084506998</v>
      </c>
      <c r="E147">
        <v>274.77816901407999</v>
      </c>
      <c r="F147">
        <v>136.50834492351001</v>
      </c>
      <c r="G147">
        <v>115.58205841447</v>
      </c>
      <c r="I147" s="9">
        <f t="shared" si="15"/>
        <v>159.19611059960999</v>
      </c>
      <c r="J147" s="9">
        <f t="shared" si="16"/>
        <v>565.33179592156</v>
      </c>
      <c r="K147" s="9">
        <f t="shared" si="17"/>
        <v>159.19611059960999</v>
      </c>
      <c r="L147" s="10">
        <f t="shared" si="14"/>
        <v>0.28159765954805505</v>
      </c>
      <c r="M147" s="10">
        <f t="shared" si="18"/>
        <v>0.29380891903657841</v>
      </c>
      <c r="P147" s="8">
        <f t="shared" si="19"/>
        <v>-13.325123223023832</v>
      </c>
    </row>
    <row r="148" spans="1:16" x14ac:dyDescent="0.2">
      <c r="A148" s="8">
        <v>73</v>
      </c>
      <c r="B148" s="8">
        <v>146</v>
      </c>
      <c r="D148">
        <v>714.37630662021002</v>
      </c>
      <c r="E148">
        <v>276.86829268293002</v>
      </c>
      <c r="F148">
        <v>136.72114047287999</v>
      </c>
      <c r="G148">
        <v>115.57649513213001</v>
      </c>
      <c r="I148" s="9">
        <f t="shared" si="15"/>
        <v>161.29179755080003</v>
      </c>
      <c r="J148" s="9">
        <f t="shared" si="16"/>
        <v>577.65516614732996</v>
      </c>
      <c r="K148" s="9">
        <f t="shared" si="17"/>
        <v>161.29179755080003</v>
      </c>
      <c r="L148" s="10">
        <f t="shared" si="14"/>
        <v>0.27921813393712958</v>
      </c>
      <c r="M148" s="10">
        <f t="shared" si="18"/>
        <v>0.2915136090083324</v>
      </c>
      <c r="P148" s="8">
        <f t="shared" si="19"/>
        <v>-14.002249412778514</v>
      </c>
    </row>
    <row r="149" spans="1:16" x14ac:dyDescent="0.2">
      <c r="A149" s="8">
        <v>73.5</v>
      </c>
      <c r="B149" s="8">
        <v>147</v>
      </c>
      <c r="D149">
        <v>699.85164450665002</v>
      </c>
      <c r="E149">
        <v>268.91252624213001</v>
      </c>
      <c r="F149">
        <v>136.72878998608999</v>
      </c>
      <c r="G149">
        <v>115.03337969402</v>
      </c>
      <c r="I149" s="9">
        <f t="shared" si="15"/>
        <v>153.87914654811001</v>
      </c>
      <c r="J149" s="9">
        <f t="shared" si="16"/>
        <v>563.12285452056005</v>
      </c>
      <c r="K149" s="9">
        <f t="shared" si="17"/>
        <v>153.87914654811001</v>
      </c>
      <c r="L149" s="10">
        <f t="shared" si="14"/>
        <v>0.27326034685472311</v>
      </c>
      <c r="M149" s="10">
        <f t="shared" si="18"/>
        <v>0.28564003750860539</v>
      </c>
      <c r="P149" s="8">
        <f t="shared" si="19"/>
        <v>-15.734977907369302</v>
      </c>
    </row>
    <row r="150" spans="1:16" x14ac:dyDescent="0.2">
      <c r="A150" s="8">
        <v>74</v>
      </c>
      <c r="B150" s="8">
        <v>148</v>
      </c>
      <c r="D150">
        <v>679.98530440868001</v>
      </c>
      <c r="E150">
        <v>266.32470258922001</v>
      </c>
      <c r="F150">
        <v>137.42906815021001</v>
      </c>
      <c r="G150">
        <v>115.31502086231001</v>
      </c>
      <c r="I150" s="9">
        <f t="shared" si="15"/>
        <v>151.00968172691</v>
      </c>
      <c r="J150" s="9">
        <f t="shared" si="16"/>
        <v>542.55623625846999</v>
      </c>
      <c r="K150" s="9">
        <f t="shared" si="17"/>
        <v>151.00968172691</v>
      </c>
      <c r="L150" s="10">
        <f t="shared" si="14"/>
        <v>0.2783300082739627</v>
      </c>
      <c r="M150" s="10">
        <f t="shared" si="18"/>
        <v>0.29079391451052444</v>
      </c>
      <c r="P150" s="8">
        <f t="shared" si="19"/>
        <v>-14.214562340919427</v>
      </c>
    </row>
    <row r="151" spans="1:16" x14ac:dyDescent="0.2">
      <c r="A151" s="8">
        <v>74.5</v>
      </c>
      <c r="B151" s="8">
        <v>149</v>
      </c>
      <c r="D151">
        <v>699.32774283718004</v>
      </c>
      <c r="E151">
        <v>268.7714884696</v>
      </c>
      <c r="F151">
        <v>137.14255910988001</v>
      </c>
      <c r="G151">
        <v>115.48539638387</v>
      </c>
      <c r="I151" s="9">
        <f t="shared" si="15"/>
        <v>153.28609208572999</v>
      </c>
      <c r="J151" s="9">
        <f t="shared" si="16"/>
        <v>562.1851837273</v>
      </c>
      <c r="K151" s="9">
        <f t="shared" si="17"/>
        <v>153.28609208572999</v>
      </c>
      <c r="L151" s="10">
        <f t="shared" si="14"/>
        <v>0.27266120937133181</v>
      </c>
      <c r="M151" s="10">
        <f t="shared" si="18"/>
        <v>0.28520933119057307</v>
      </c>
      <c r="P151" s="8">
        <f t="shared" si="19"/>
        <v>-15.8620380972537</v>
      </c>
    </row>
    <row r="152" spans="1:16" x14ac:dyDescent="0.2">
      <c r="A152" s="8">
        <v>75</v>
      </c>
      <c r="B152" s="8">
        <v>150</v>
      </c>
      <c r="D152">
        <v>656.79315164220998</v>
      </c>
      <c r="E152">
        <v>257.23829489867001</v>
      </c>
      <c r="F152">
        <v>136.25452016689999</v>
      </c>
      <c r="G152">
        <v>115.22461752434</v>
      </c>
      <c r="I152" s="9">
        <f t="shared" si="15"/>
        <v>142.01367737433</v>
      </c>
      <c r="J152" s="9">
        <f t="shared" si="16"/>
        <v>520.53863147531001</v>
      </c>
      <c r="K152" s="9">
        <f t="shared" si="17"/>
        <v>142.01367737433</v>
      </c>
      <c r="L152" s="10">
        <f t="shared" si="14"/>
        <v>0.27282062999211987</v>
      </c>
      <c r="M152" s="10">
        <f t="shared" si="18"/>
        <v>0.28545296739404058</v>
      </c>
      <c r="P152" s="8">
        <f t="shared" si="19"/>
        <v>-15.790164384286776</v>
      </c>
    </row>
    <row r="153" spans="1:16" x14ac:dyDescent="0.2">
      <c r="A153" s="8">
        <v>75.5</v>
      </c>
      <c r="B153" s="8">
        <v>151</v>
      </c>
      <c r="D153">
        <v>658.17330538085002</v>
      </c>
      <c r="E153">
        <v>257.73934311670001</v>
      </c>
      <c r="F153">
        <v>137.21279554937001</v>
      </c>
      <c r="G153">
        <v>115.20514603616</v>
      </c>
      <c r="I153" s="9">
        <f t="shared" si="15"/>
        <v>142.53419708054003</v>
      </c>
      <c r="J153" s="9">
        <f t="shared" si="16"/>
        <v>520.96050983148007</v>
      </c>
      <c r="K153" s="9">
        <f t="shared" si="17"/>
        <v>142.53419708054003</v>
      </c>
      <c r="L153" s="10">
        <f t="shared" si="14"/>
        <v>0.27359885133452222</v>
      </c>
      <c r="M153" s="10">
        <f t="shared" si="18"/>
        <v>0.28631540431912239</v>
      </c>
      <c r="P153" s="8">
        <f t="shared" si="19"/>
        <v>-15.535741834915246</v>
      </c>
    </row>
    <row r="154" spans="1:16" x14ac:dyDescent="0.2">
      <c r="A154" s="8">
        <v>76</v>
      </c>
      <c r="B154" s="8">
        <v>152</v>
      </c>
      <c r="D154">
        <v>655.23130677847996</v>
      </c>
      <c r="E154">
        <v>256.71208944794</v>
      </c>
      <c r="F154">
        <v>136.72044506258999</v>
      </c>
      <c r="G154">
        <v>114.96244784423</v>
      </c>
      <c r="I154" s="9">
        <f t="shared" si="15"/>
        <v>141.74964160371002</v>
      </c>
      <c r="J154" s="9">
        <f t="shared" si="16"/>
        <v>518.51086171588997</v>
      </c>
      <c r="K154" s="9">
        <f t="shared" si="17"/>
        <v>141.74964160371002</v>
      </c>
      <c r="L154" s="10">
        <f t="shared" si="14"/>
        <v>0.27337834570065295</v>
      </c>
      <c r="M154" s="10">
        <f t="shared" si="18"/>
        <v>0.28617911426793258</v>
      </c>
      <c r="P154" s="8">
        <f t="shared" si="19"/>
        <v>-15.575947977844942</v>
      </c>
    </row>
    <row r="155" spans="1:16" x14ac:dyDescent="0.2">
      <c r="A155" s="8">
        <v>76.5</v>
      </c>
      <c r="B155" s="8">
        <v>153</v>
      </c>
      <c r="D155">
        <v>623.74633123690001</v>
      </c>
      <c r="E155">
        <v>253.35569531796</v>
      </c>
      <c r="F155">
        <v>137.04102920723</v>
      </c>
      <c r="G155">
        <v>115.53059805285</v>
      </c>
      <c r="I155" s="9">
        <f t="shared" si="15"/>
        <v>137.82509726511</v>
      </c>
      <c r="J155" s="9">
        <f t="shared" si="16"/>
        <v>486.70530202967001</v>
      </c>
      <c r="K155" s="9">
        <f t="shared" si="17"/>
        <v>137.82509726511</v>
      </c>
      <c r="L155" s="10">
        <f t="shared" si="14"/>
        <v>0.28317977365430069</v>
      </c>
      <c r="M155" s="10">
        <f t="shared" si="18"/>
        <v>0.29606475780425984</v>
      </c>
      <c r="P155" s="8">
        <f t="shared" si="19"/>
        <v>-12.659641222481937</v>
      </c>
    </row>
    <row r="156" spans="1:16" x14ac:dyDescent="0.2">
      <c r="A156" s="8">
        <v>77</v>
      </c>
      <c r="B156" s="8">
        <v>154</v>
      </c>
      <c r="D156">
        <v>629.46315789473999</v>
      </c>
      <c r="E156">
        <v>255.37824561404</v>
      </c>
      <c r="F156">
        <v>136.50904033379999</v>
      </c>
      <c r="G156">
        <v>115.67872044505999</v>
      </c>
      <c r="I156" s="9">
        <f t="shared" si="15"/>
        <v>139.69952516898002</v>
      </c>
      <c r="J156" s="9">
        <f t="shared" si="16"/>
        <v>492.95411756094001</v>
      </c>
      <c r="K156" s="9">
        <f t="shared" si="17"/>
        <v>139.69952516898002</v>
      </c>
      <c r="L156" s="10">
        <f t="shared" si="14"/>
        <v>0.28339255154250753</v>
      </c>
      <c r="M156" s="10">
        <f t="shared" si="18"/>
        <v>0.29636175127514613</v>
      </c>
      <c r="P156" s="8">
        <f t="shared" si="19"/>
        <v>-12.572026889407756</v>
      </c>
    </row>
    <row r="157" spans="1:16" x14ac:dyDescent="0.2">
      <c r="A157" s="8">
        <v>77.5</v>
      </c>
      <c r="B157" s="8">
        <v>155</v>
      </c>
      <c r="D157">
        <v>605.87438596490995</v>
      </c>
      <c r="E157">
        <v>250.33473684211</v>
      </c>
      <c r="F157">
        <v>136.9645340751</v>
      </c>
      <c r="G157">
        <v>115.47426981919</v>
      </c>
      <c r="I157" s="9">
        <f t="shared" si="15"/>
        <v>134.86046702292001</v>
      </c>
      <c r="J157" s="9">
        <f t="shared" si="16"/>
        <v>468.90985188980994</v>
      </c>
      <c r="K157" s="9">
        <f t="shared" si="17"/>
        <v>134.86046702292001</v>
      </c>
      <c r="L157" s="10">
        <f t="shared" si="14"/>
        <v>0.28760425160487169</v>
      </c>
      <c r="M157" s="10">
        <f t="shared" si="18"/>
        <v>0.30065766692018975</v>
      </c>
      <c r="P157" s="8">
        <f t="shared" si="19"/>
        <v>-11.304713560733472</v>
      </c>
    </row>
    <row r="158" spans="1:16" x14ac:dyDescent="0.2">
      <c r="A158" s="8">
        <v>78</v>
      </c>
      <c r="B158" s="8">
        <v>156</v>
      </c>
      <c r="D158">
        <v>605.88070175438997</v>
      </c>
      <c r="E158">
        <v>250.71228070174999</v>
      </c>
      <c r="F158">
        <v>136.63838664811999</v>
      </c>
      <c r="G158">
        <v>115.51390820584</v>
      </c>
      <c r="I158" s="9">
        <f t="shared" si="15"/>
        <v>135.19837249591001</v>
      </c>
      <c r="J158" s="9">
        <f t="shared" si="16"/>
        <v>469.24231510626998</v>
      </c>
      <c r="K158" s="9">
        <f t="shared" si="17"/>
        <v>135.19837249591001</v>
      </c>
      <c r="L158" s="10">
        <f t="shared" si="14"/>
        <v>0.28812058960473641</v>
      </c>
      <c r="M158" s="10">
        <f t="shared" si="18"/>
        <v>0.30125822050273393</v>
      </c>
      <c r="P158" s="8">
        <f t="shared" si="19"/>
        <v>-11.127547707716911</v>
      </c>
    </row>
    <row r="159" spans="1:16" x14ac:dyDescent="0.2">
      <c r="A159" s="8">
        <v>78.5</v>
      </c>
      <c r="B159" s="8">
        <v>157</v>
      </c>
      <c r="D159">
        <v>640.32468443198002</v>
      </c>
      <c r="E159">
        <v>256.53576437587998</v>
      </c>
      <c r="F159">
        <v>136.66063977747001</v>
      </c>
      <c r="G159">
        <v>115.25869262865</v>
      </c>
      <c r="I159" s="9">
        <f t="shared" si="15"/>
        <v>141.27707174722997</v>
      </c>
      <c r="J159" s="9">
        <f t="shared" si="16"/>
        <v>503.66404465451001</v>
      </c>
      <c r="K159" s="9">
        <f t="shared" si="17"/>
        <v>141.27707174722997</v>
      </c>
      <c r="L159" s="10">
        <f t="shared" si="14"/>
        <v>0.28049862452289887</v>
      </c>
      <c r="M159" s="10">
        <f t="shared" si="18"/>
        <v>0.29372047100357584</v>
      </c>
      <c r="P159" s="8">
        <f t="shared" si="19"/>
        <v>-13.351215767752567</v>
      </c>
    </row>
    <row r="160" spans="1:16" x14ac:dyDescent="0.2">
      <c r="A160" s="8">
        <v>79</v>
      </c>
      <c r="B160" s="8">
        <v>158</v>
      </c>
      <c r="D160">
        <v>676.70687237027005</v>
      </c>
      <c r="E160">
        <v>262.71248246843999</v>
      </c>
      <c r="F160">
        <v>137.47844228094999</v>
      </c>
      <c r="G160">
        <v>115.57510431154</v>
      </c>
      <c r="I160" s="9">
        <f t="shared" si="15"/>
        <v>147.13737815689998</v>
      </c>
      <c r="J160" s="9">
        <f t="shared" si="16"/>
        <v>539.22843008932</v>
      </c>
      <c r="K160" s="9">
        <f t="shared" si="17"/>
        <v>147.13737815689998</v>
      </c>
      <c r="L160" s="10">
        <f t="shared" si="14"/>
        <v>0.27286650693200198</v>
      </c>
      <c r="M160" s="10">
        <f t="shared" si="18"/>
        <v>0.28617256899535848</v>
      </c>
      <c r="P160" s="8">
        <f t="shared" si="19"/>
        <v>-15.577878861004285</v>
      </c>
    </row>
    <row r="161" spans="1:16" x14ac:dyDescent="0.2">
      <c r="A161" s="8">
        <v>79.5</v>
      </c>
      <c r="B161" s="8">
        <v>159</v>
      </c>
      <c r="D161">
        <v>699.11500701262003</v>
      </c>
      <c r="E161">
        <v>269.49509116410002</v>
      </c>
      <c r="F161">
        <v>136.94575799722</v>
      </c>
      <c r="G161">
        <v>115.41933240612001</v>
      </c>
      <c r="I161" s="9">
        <f t="shared" si="15"/>
        <v>154.07575875798</v>
      </c>
      <c r="J161" s="9">
        <f t="shared" si="16"/>
        <v>562.16924901540006</v>
      </c>
      <c r="K161" s="9">
        <f t="shared" si="17"/>
        <v>154.07575875798</v>
      </c>
      <c r="L161" s="10">
        <f t="shared" si="14"/>
        <v>0.27407361578000372</v>
      </c>
      <c r="M161" s="10">
        <f t="shared" si="18"/>
        <v>0.28746389342603967</v>
      </c>
      <c r="P161" s="8">
        <f t="shared" si="19"/>
        <v>-15.19693267912729</v>
      </c>
    </row>
    <row r="162" spans="1:16" x14ac:dyDescent="0.2">
      <c r="A162" s="8">
        <v>80</v>
      </c>
      <c r="B162" s="4">
        <v>160</v>
      </c>
      <c r="C162" s="4" t="s">
        <v>6</v>
      </c>
      <c r="D162">
        <v>694.08515130190005</v>
      </c>
      <c r="E162">
        <v>266.73539760732001</v>
      </c>
      <c r="F162">
        <v>137.05910987483</v>
      </c>
      <c r="G162">
        <v>115.79485396384</v>
      </c>
      <c r="H162" s="4"/>
      <c r="I162" s="5">
        <f t="shared" si="15"/>
        <v>150.94054364348</v>
      </c>
      <c r="J162" s="5">
        <f t="shared" si="16"/>
        <v>557.02604142707003</v>
      </c>
      <c r="K162" s="9">
        <f t="shared" si="17"/>
        <v>150.94054364348</v>
      </c>
      <c r="L162" s="6">
        <f t="shared" si="14"/>
        <v>0.27097573976394107</v>
      </c>
      <c r="M162" s="6">
        <f t="shared" si="18"/>
        <v>0.28445023299265648</v>
      </c>
      <c r="N162" s="4"/>
      <c r="O162" s="4"/>
      <c r="P162" s="4">
        <f t="shared" si="19"/>
        <v>-16.08597528398646</v>
      </c>
    </row>
    <row r="163" spans="1:16" x14ac:dyDescent="0.2">
      <c r="A163" s="8">
        <v>80.5</v>
      </c>
      <c r="B163" s="8">
        <v>161</v>
      </c>
      <c r="D163">
        <v>699.75862068966001</v>
      </c>
      <c r="E163">
        <v>267.89444053483999</v>
      </c>
      <c r="F163">
        <v>137.45757997218001</v>
      </c>
      <c r="G163">
        <v>115.03963838665</v>
      </c>
      <c r="I163" s="9">
        <f t="shared" si="15"/>
        <v>152.85480214819</v>
      </c>
      <c r="J163" s="9">
        <f t="shared" si="16"/>
        <v>562.30104071747996</v>
      </c>
      <c r="K163" s="9">
        <f t="shared" si="17"/>
        <v>152.85480214819</v>
      </c>
      <c r="L163" s="10">
        <f t="shared" si="14"/>
        <v>0.27183802105923843</v>
      </c>
      <c r="M163" s="10">
        <f t="shared" si="18"/>
        <v>0.2853967298706333</v>
      </c>
      <c r="P163" s="8">
        <f t="shared" si="19"/>
        <v>-15.806754692122057</v>
      </c>
    </row>
    <row r="164" spans="1:16" x14ac:dyDescent="0.2">
      <c r="A164" s="8">
        <v>81</v>
      </c>
      <c r="B164" s="8">
        <v>162</v>
      </c>
      <c r="D164">
        <v>700.47220267417003</v>
      </c>
      <c r="E164">
        <v>269.75299085150999</v>
      </c>
      <c r="F164">
        <v>136.64464534075</v>
      </c>
      <c r="G164">
        <v>115.41933240612001</v>
      </c>
      <c r="I164" s="9">
        <f t="shared" si="15"/>
        <v>154.33365844538997</v>
      </c>
      <c r="J164" s="9">
        <f t="shared" si="16"/>
        <v>563.82755733342003</v>
      </c>
      <c r="K164" s="9">
        <f t="shared" si="17"/>
        <v>154.33365844538997</v>
      </c>
      <c r="L164" s="10">
        <f t="shared" si="14"/>
        <v>0.27372492961376238</v>
      </c>
      <c r="M164" s="10">
        <f t="shared" si="18"/>
        <v>0.28736785400783676</v>
      </c>
      <c r="P164" s="8">
        <f t="shared" si="19"/>
        <v>-15.22526471467531</v>
      </c>
    </row>
    <row r="165" spans="1:16" x14ac:dyDescent="0.2">
      <c r="A165" s="8">
        <v>81.5</v>
      </c>
      <c r="B165" s="8">
        <v>163</v>
      </c>
      <c r="D165">
        <v>657.89440559441005</v>
      </c>
      <c r="E165">
        <v>259.07622377621999</v>
      </c>
      <c r="F165">
        <v>137.22531293463001</v>
      </c>
      <c r="G165">
        <v>115.26425591099</v>
      </c>
      <c r="I165" s="9">
        <f t="shared" si="15"/>
        <v>143.81196786522997</v>
      </c>
      <c r="J165" s="9">
        <f t="shared" si="16"/>
        <v>520.66909265978006</v>
      </c>
      <c r="K165" s="9">
        <f t="shared" si="17"/>
        <v>143.81196786522997</v>
      </c>
      <c r="L165" s="10">
        <f t="shared" si="14"/>
        <v>0.27620607770394545</v>
      </c>
      <c r="M165" s="10">
        <f t="shared" si="18"/>
        <v>0.2899332176806993</v>
      </c>
      <c r="P165" s="8">
        <f t="shared" si="19"/>
        <v>-14.468471554812764</v>
      </c>
    </row>
    <row r="166" spans="1:16" x14ac:dyDescent="0.2">
      <c r="A166" s="8">
        <v>82</v>
      </c>
      <c r="B166" s="8">
        <v>164</v>
      </c>
      <c r="D166">
        <v>609.63636363635999</v>
      </c>
      <c r="E166">
        <v>245.87552447552</v>
      </c>
      <c r="F166">
        <v>137.63769123783001</v>
      </c>
      <c r="G166">
        <v>115.62378303199</v>
      </c>
      <c r="I166" s="9">
        <f t="shared" si="15"/>
        <v>130.25174144352999</v>
      </c>
      <c r="J166" s="9">
        <f t="shared" si="16"/>
        <v>471.99867239852995</v>
      </c>
      <c r="K166" s="9">
        <f t="shared" si="17"/>
        <v>130.25174144352999</v>
      </c>
      <c r="L166" s="10">
        <f t="shared" si="14"/>
        <v>0.27595785552030649</v>
      </c>
      <c r="M166" s="10">
        <f t="shared" si="18"/>
        <v>0.2897692110797398</v>
      </c>
      <c r="P166" s="8">
        <f t="shared" si="19"/>
        <v>-14.516854197434329</v>
      </c>
    </row>
    <row r="167" spans="1:16" x14ac:dyDescent="0.2">
      <c r="A167" s="8">
        <v>82.5</v>
      </c>
      <c r="B167" s="8">
        <v>165</v>
      </c>
      <c r="D167">
        <v>603.80699300698996</v>
      </c>
      <c r="E167">
        <v>244.33846153846</v>
      </c>
      <c r="F167">
        <v>137.28303198886999</v>
      </c>
      <c r="G167">
        <v>115.52155771904999</v>
      </c>
      <c r="I167" s="9">
        <f t="shared" si="15"/>
        <v>128.81690381941002</v>
      </c>
      <c r="J167" s="9">
        <f t="shared" si="16"/>
        <v>466.52396101811996</v>
      </c>
      <c r="K167" s="9">
        <f t="shared" si="17"/>
        <v>128.81690381941002</v>
      </c>
      <c r="L167" s="10">
        <f t="shared" si="14"/>
        <v>0.27612065956545095</v>
      </c>
      <c r="M167" s="10">
        <f t="shared" si="18"/>
        <v>0.29001623070756372</v>
      </c>
      <c r="P167" s="8">
        <f t="shared" si="19"/>
        <v>-14.443982359937568</v>
      </c>
    </row>
    <row r="168" spans="1:16" x14ac:dyDescent="0.2">
      <c r="A168" s="8">
        <v>83</v>
      </c>
      <c r="B168" s="8">
        <v>166</v>
      </c>
      <c r="D168">
        <v>618.28531468532003</v>
      </c>
      <c r="E168">
        <v>245.11328671328999</v>
      </c>
      <c r="F168">
        <v>137.26008344924</v>
      </c>
      <c r="G168">
        <v>115.38734353268001</v>
      </c>
      <c r="I168" s="9">
        <f t="shared" si="15"/>
        <v>129.72594318060999</v>
      </c>
      <c r="J168" s="9">
        <f t="shared" si="16"/>
        <v>481.02523123608</v>
      </c>
      <c r="K168" s="9">
        <f t="shared" si="17"/>
        <v>129.72594318060999</v>
      </c>
      <c r="L168" s="10">
        <f t="shared" si="14"/>
        <v>0.26968635896137105</v>
      </c>
      <c r="M168" s="10">
        <f t="shared" si="18"/>
        <v>0.28366614568616333</v>
      </c>
      <c r="P168" s="8">
        <f t="shared" si="19"/>
        <v>-16.317284363695588</v>
      </c>
    </row>
    <row r="169" spans="1:16" x14ac:dyDescent="0.2">
      <c r="A169" s="8">
        <v>83.5</v>
      </c>
      <c r="B169" s="8">
        <v>167</v>
      </c>
      <c r="D169">
        <v>638.95804195803998</v>
      </c>
      <c r="E169">
        <v>250.36853146852999</v>
      </c>
      <c r="F169">
        <v>137.82267037552</v>
      </c>
      <c r="G169">
        <v>115.63351877608</v>
      </c>
      <c r="I169" s="9">
        <f t="shared" si="15"/>
        <v>134.73501269245</v>
      </c>
      <c r="J169" s="9">
        <f t="shared" si="16"/>
        <v>501.13537158251995</v>
      </c>
      <c r="K169" s="9">
        <f t="shared" si="17"/>
        <v>134.73501269245</v>
      </c>
      <c r="L169" s="10">
        <f t="shared" si="14"/>
        <v>0.26885951448003853</v>
      </c>
      <c r="M169" s="10">
        <f t="shared" si="18"/>
        <v>0.28292351678751027</v>
      </c>
      <c r="P169" s="8">
        <f t="shared" si="19"/>
        <v>-16.536363037320751</v>
      </c>
    </row>
    <row r="170" spans="1:16" x14ac:dyDescent="0.2">
      <c r="A170" s="8">
        <v>84</v>
      </c>
      <c r="B170" s="8">
        <v>168</v>
      </c>
      <c r="D170">
        <v>659.65874125873995</v>
      </c>
      <c r="E170">
        <v>254.09160839161001</v>
      </c>
      <c r="F170">
        <v>138.00834492351001</v>
      </c>
      <c r="G170">
        <v>115.39777468707</v>
      </c>
      <c r="I170" s="9">
        <f t="shared" si="15"/>
        <v>138.69383370454</v>
      </c>
      <c r="J170" s="9">
        <f t="shared" si="16"/>
        <v>521.65039633522997</v>
      </c>
      <c r="K170" s="9">
        <f t="shared" si="17"/>
        <v>138.69383370454</v>
      </c>
      <c r="L170" s="10">
        <f t="shared" si="14"/>
        <v>0.26587506628751933</v>
      </c>
      <c r="M170" s="10">
        <f t="shared" si="18"/>
        <v>0.28002328417767053</v>
      </c>
      <c r="P170" s="8">
        <f t="shared" si="19"/>
        <v>-17.391943953334845</v>
      </c>
    </row>
    <row r="171" spans="1:16" x14ac:dyDescent="0.2">
      <c r="A171" s="8">
        <v>84.5</v>
      </c>
      <c r="B171" s="8">
        <v>169</v>
      </c>
      <c r="D171">
        <v>685.12797202797003</v>
      </c>
      <c r="E171">
        <v>260.61608391608002</v>
      </c>
      <c r="F171">
        <v>137.28303198886999</v>
      </c>
      <c r="G171">
        <v>115.52920723227</v>
      </c>
      <c r="I171" s="9">
        <f t="shared" si="15"/>
        <v>145.08687668381003</v>
      </c>
      <c r="J171" s="9">
        <f t="shared" si="16"/>
        <v>547.84494003910004</v>
      </c>
      <c r="K171" s="9">
        <f t="shared" si="17"/>
        <v>145.08687668381003</v>
      </c>
      <c r="L171" s="10">
        <f t="shared" si="14"/>
        <v>0.26483201008200441</v>
      </c>
      <c r="M171" s="10">
        <f t="shared" si="18"/>
        <v>0.27906444355483506</v>
      </c>
      <c r="P171" s="8">
        <f t="shared" si="19"/>
        <v>-17.674806002266301</v>
      </c>
    </row>
    <row r="172" spans="1:16" x14ac:dyDescent="0.2">
      <c r="A172" s="8">
        <v>85</v>
      </c>
      <c r="B172" s="8">
        <v>170</v>
      </c>
      <c r="D172">
        <v>690.80909090908995</v>
      </c>
      <c r="E172">
        <v>261.03426573426998</v>
      </c>
      <c r="F172">
        <v>137.40681502085999</v>
      </c>
      <c r="G172">
        <v>115.97496522949</v>
      </c>
      <c r="I172" s="9">
        <f t="shared" si="15"/>
        <v>145.05930050477997</v>
      </c>
      <c r="J172" s="9">
        <f t="shared" si="16"/>
        <v>553.40227588822995</v>
      </c>
      <c r="K172" s="9">
        <f t="shared" si="17"/>
        <v>145.05930050477997</v>
      </c>
      <c r="L172" s="10">
        <f t="shared" si="14"/>
        <v>0.26212270318540837</v>
      </c>
      <c r="M172" s="10">
        <f t="shared" si="18"/>
        <v>0.27643935224091848</v>
      </c>
      <c r="P172" s="8">
        <f t="shared" si="19"/>
        <v>-18.449219069466974</v>
      </c>
    </row>
    <row r="173" spans="1:16" x14ac:dyDescent="0.2">
      <c r="A173" s="8">
        <v>85.5</v>
      </c>
      <c r="B173" s="8">
        <v>171</v>
      </c>
      <c r="D173">
        <v>691.40139860140005</v>
      </c>
      <c r="E173">
        <v>262.10699300699002</v>
      </c>
      <c r="F173">
        <v>137.43393602225001</v>
      </c>
      <c r="G173">
        <v>115.55841446453</v>
      </c>
      <c r="I173" s="9">
        <f t="shared" si="15"/>
        <v>146.54857854246001</v>
      </c>
      <c r="J173" s="9">
        <f t="shared" si="16"/>
        <v>553.96746257915004</v>
      </c>
      <c r="K173" s="9">
        <f t="shared" si="17"/>
        <v>146.54857854246001</v>
      </c>
      <c r="L173" s="10">
        <f t="shared" si="14"/>
        <v>0.26454365723965489</v>
      </c>
      <c r="M173" s="10">
        <f t="shared" si="18"/>
        <v>0.27894452187784452</v>
      </c>
      <c r="P173" s="8">
        <f t="shared" si="19"/>
        <v>-17.710183405410248</v>
      </c>
    </row>
    <row r="174" spans="1:16" x14ac:dyDescent="0.2">
      <c r="A174" s="8">
        <v>86</v>
      </c>
      <c r="B174" s="8">
        <v>172</v>
      </c>
      <c r="D174">
        <v>694.34125874126005</v>
      </c>
      <c r="E174">
        <v>262.66223776224001</v>
      </c>
      <c r="F174">
        <v>137.83588317107001</v>
      </c>
      <c r="G174">
        <v>115.59040333797</v>
      </c>
      <c r="I174" s="9">
        <f t="shared" si="15"/>
        <v>147.07183442427001</v>
      </c>
      <c r="J174" s="9">
        <f t="shared" si="16"/>
        <v>556.50537557019004</v>
      </c>
      <c r="K174" s="9">
        <f t="shared" si="17"/>
        <v>147.07183442427001</v>
      </c>
      <c r="L174" s="10">
        <f t="shared" si="14"/>
        <v>0.26427747310361849</v>
      </c>
      <c r="M174" s="10">
        <f t="shared" si="18"/>
        <v>0.27876255332448757</v>
      </c>
      <c r="P174" s="8">
        <f t="shared" si="19"/>
        <v>-17.76386490014232</v>
      </c>
    </row>
    <row r="175" spans="1:16" x14ac:dyDescent="0.2">
      <c r="A175" s="8">
        <v>86.5</v>
      </c>
      <c r="B175" s="8">
        <v>173</v>
      </c>
      <c r="D175">
        <v>703.24265734265998</v>
      </c>
      <c r="E175">
        <v>265.86433566433999</v>
      </c>
      <c r="F175">
        <v>138.03268428372999</v>
      </c>
      <c r="G175">
        <v>115.66063977747</v>
      </c>
      <c r="I175" s="9">
        <f t="shared" si="15"/>
        <v>150.20369588686998</v>
      </c>
      <c r="J175" s="9">
        <f t="shared" si="16"/>
        <v>565.20997305893002</v>
      </c>
      <c r="K175" s="9">
        <f t="shared" si="17"/>
        <v>150.20369588686998</v>
      </c>
      <c r="L175" s="10">
        <f t="shared" si="14"/>
        <v>0.26574848825466391</v>
      </c>
      <c r="M175" s="10">
        <f t="shared" si="18"/>
        <v>0.28031778405821245</v>
      </c>
      <c r="P175" s="8">
        <f t="shared" si="19"/>
        <v>-17.305065239984327</v>
      </c>
    </row>
    <row r="176" spans="1:16" x14ac:dyDescent="0.2">
      <c r="A176" s="8">
        <v>87</v>
      </c>
      <c r="B176" s="8">
        <v>174</v>
      </c>
      <c r="D176">
        <v>717.32492997198995</v>
      </c>
      <c r="E176">
        <v>271.87184873950002</v>
      </c>
      <c r="F176">
        <v>137.82406119610999</v>
      </c>
      <c r="G176">
        <v>115.56815020862</v>
      </c>
      <c r="I176" s="9">
        <f t="shared" si="15"/>
        <v>156.30369853088001</v>
      </c>
      <c r="J176" s="9">
        <f t="shared" si="16"/>
        <v>579.50086877588001</v>
      </c>
      <c r="K176" s="9">
        <f t="shared" si="17"/>
        <v>156.30369853088001</v>
      </c>
      <c r="L176" s="10">
        <f t="shared" si="14"/>
        <v>0.26972124970416556</v>
      </c>
      <c r="M176" s="10">
        <f t="shared" si="18"/>
        <v>0.28437476109039356</v>
      </c>
      <c r="P176" s="8">
        <f t="shared" si="19"/>
        <v>-16.108239815132123</v>
      </c>
    </row>
    <row r="177" spans="1:16" x14ac:dyDescent="0.2">
      <c r="A177" s="8">
        <v>87.5</v>
      </c>
      <c r="B177" s="8">
        <v>175</v>
      </c>
      <c r="D177">
        <v>716.97128851541004</v>
      </c>
      <c r="E177">
        <v>272.95098039215998</v>
      </c>
      <c r="F177">
        <v>137.57858136300001</v>
      </c>
      <c r="G177">
        <v>115.63838664812</v>
      </c>
      <c r="I177" s="9">
        <f t="shared" si="15"/>
        <v>157.31259374403999</v>
      </c>
      <c r="J177" s="9">
        <f t="shared" si="16"/>
        <v>579.39270715241003</v>
      </c>
      <c r="K177" s="9">
        <f t="shared" si="17"/>
        <v>157.31259374403999</v>
      </c>
      <c r="L177" s="10">
        <f t="shared" si="14"/>
        <v>0.27151289928587019</v>
      </c>
      <c r="M177" s="10">
        <f t="shared" si="18"/>
        <v>0.28625062625477771</v>
      </c>
      <c r="P177" s="8">
        <f t="shared" si="19"/>
        <v>-15.554851638536379</v>
      </c>
    </row>
    <row r="178" spans="1:16" x14ac:dyDescent="0.2">
      <c r="A178" s="8">
        <v>88</v>
      </c>
      <c r="B178" s="8">
        <v>176</v>
      </c>
      <c r="D178">
        <v>714.88795518206996</v>
      </c>
      <c r="E178">
        <v>271.11904761904998</v>
      </c>
      <c r="F178">
        <v>138.13004172462001</v>
      </c>
      <c r="G178">
        <v>116.01877607789</v>
      </c>
      <c r="I178" s="9">
        <f t="shared" si="15"/>
        <v>155.10027154116</v>
      </c>
      <c r="J178" s="9">
        <f t="shared" si="16"/>
        <v>576.75791345744994</v>
      </c>
      <c r="K178" s="9">
        <f t="shared" si="17"/>
        <v>155.10027154116</v>
      </c>
      <c r="L178" s="10">
        <f t="shared" si="14"/>
        <v>0.26891745725930549</v>
      </c>
      <c r="M178" s="10">
        <f t="shared" si="18"/>
        <v>0.28373939981089247</v>
      </c>
      <c r="P178" s="8">
        <f t="shared" si="19"/>
        <v>-16.295674086325104</v>
      </c>
    </row>
    <row r="179" spans="1:16" x14ac:dyDescent="0.2">
      <c r="A179" s="8">
        <v>88.5</v>
      </c>
      <c r="B179" s="8">
        <v>177</v>
      </c>
      <c r="D179">
        <v>714.04971988796001</v>
      </c>
      <c r="E179">
        <v>272.19397759103998</v>
      </c>
      <c r="F179">
        <v>138.13838664811999</v>
      </c>
      <c r="G179">
        <v>115.99721835883</v>
      </c>
      <c r="I179" s="9">
        <f t="shared" si="15"/>
        <v>156.19675923220998</v>
      </c>
      <c r="J179" s="9">
        <f t="shared" si="16"/>
        <v>575.91133323984002</v>
      </c>
      <c r="K179" s="9">
        <f t="shared" si="17"/>
        <v>156.19675923220998</v>
      </c>
      <c r="L179" s="10">
        <f t="shared" si="14"/>
        <v>0.27121667905632513</v>
      </c>
      <c r="M179" s="10">
        <f t="shared" si="18"/>
        <v>0.28612283719059156</v>
      </c>
      <c r="P179" s="8">
        <f t="shared" si="19"/>
        <v>-15.592549954258375</v>
      </c>
    </row>
    <row r="180" spans="1:16" x14ac:dyDescent="0.2">
      <c r="A180" s="8">
        <v>89</v>
      </c>
      <c r="B180" s="8">
        <v>178</v>
      </c>
      <c r="D180">
        <v>718.66036414565997</v>
      </c>
      <c r="E180">
        <v>271.36834733894</v>
      </c>
      <c r="F180">
        <v>137.77329624478</v>
      </c>
      <c r="G180">
        <v>116.05632823366</v>
      </c>
      <c r="I180" s="9">
        <f t="shared" si="15"/>
        <v>155.31201910528</v>
      </c>
      <c r="J180" s="9">
        <f t="shared" si="16"/>
        <v>580.88706790087997</v>
      </c>
      <c r="K180" s="9">
        <f t="shared" si="17"/>
        <v>155.31201910528</v>
      </c>
      <c r="L180" s="10">
        <f t="shared" si="14"/>
        <v>0.26737041963513253</v>
      </c>
      <c r="M180" s="10">
        <f t="shared" si="18"/>
        <v>0.28236079335207842</v>
      </c>
      <c r="P180" s="8">
        <f t="shared" si="19"/>
        <v>-16.702368836550757</v>
      </c>
    </row>
    <row r="181" spans="1:16" x14ac:dyDescent="0.2">
      <c r="A181" s="8">
        <v>89.5</v>
      </c>
      <c r="B181" s="8">
        <v>179</v>
      </c>
      <c r="D181">
        <v>708.15896358543</v>
      </c>
      <c r="E181">
        <v>269.67577030811998</v>
      </c>
      <c r="F181">
        <v>137.66689847009999</v>
      </c>
      <c r="G181">
        <v>115.62586926287</v>
      </c>
      <c r="I181" s="9">
        <f t="shared" si="15"/>
        <v>154.04990104524998</v>
      </c>
      <c r="J181" s="9">
        <f t="shared" si="16"/>
        <v>570.49206511532998</v>
      </c>
      <c r="K181" s="9">
        <f t="shared" si="17"/>
        <v>154.04990104524998</v>
      </c>
      <c r="L181" s="10">
        <f t="shared" si="14"/>
        <v>0.27002987502395398</v>
      </c>
      <c r="M181" s="10">
        <f t="shared" si="18"/>
        <v>0.28510446432357933</v>
      </c>
      <c r="P181" s="8">
        <f t="shared" si="19"/>
        <v>-15.892974267620733</v>
      </c>
    </row>
    <row r="182" spans="1:16" x14ac:dyDescent="0.2">
      <c r="A182" s="8">
        <v>90</v>
      </c>
      <c r="B182" s="8">
        <v>180</v>
      </c>
      <c r="D182">
        <v>710.96148459384005</v>
      </c>
      <c r="E182">
        <v>271.60854341737002</v>
      </c>
      <c r="F182">
        <v>137.83240611961</v>
      </c>
      <c r="G182">
        <v>116.06606397775001</v>
      </c>
      <c r="I182" s="9">
        <f t="shared" si="15"/>
        <v>155.54247943962002</v>
      </c>
      <c r="J182" s="9">
        <f t="shared" si="16"/>
        <v>573.12907847423003</v>
      </c>
      <c r="K182" s="9">
        <f t="shared" si="17"/>
        <v>155.54247943962002</v>
      </c>
      <c r="L182" s="10">
        <f t="shared" si="14"/>
        <v>0.2713917078744309</v>
      </c>
      <c r="M182" s="10">
        <f>L182+ABS($N$2)*A182</f>
        <v>0.28655051275673576</v>
      </c>
      <c r="P182" s="8">
        <f t="shared" si="19"/>
        <v>-15.466383849030448</v>
      </c>
    </row>
    <row r="183" spans="1:16" x14ac:dyDescent="0.2">
      <c r="A183" s="8">
        <v>90.5</v>
      </c>
      <c r="B183" s="8">
        <v>181</v>
      </c>
      <c r="D183">
        <v>710.26820728291</v>
      </c>
      <c r="E183">
        <v>273.02661064426002</v>
      </c>
      <c r="F183">
        <v>137.96731571627001</v>
      </c>
      <c r="G183">
        <v>115.92837273991999</v>
      </c>
      <c r="I183" s="9">
        <f t="shared" si="15"/>
        <v>157.09823790434001</v>
      </c>
      <c r="J183" s="9">
        <f t="shared" si="16"/>
        <v>572.30089156663996</v>
      </c>
      <c r="K183" s="9">
        <f t="shared" si="17"/>
        <v>157.09823790434001</v>
      </c>
      <c r="L183" s="10">
        <f t="shared" si="14"/>
        <v>0.27450287116326666</v>
      </c>
      <c r="M183" s="10">
        <f t="shared" ref="M183:M241" si="20">L183+ABS($N$2)*A183</f>
        <v>0.28974589162825098</v>
      </c>
      <c r="P183" s="8">
        <f t="shared" si="19"/>
        <v>-14.523733534490969</v>
      </c>
    </row>
    <row r="184" spans="1:16" x14ac:dyDescent="0.2">
      <c r="A184" s="8">
        <v>91</v>
      </c>
      <c r="B184" s="8">
        <v>182</v>
      </c>
      <c r="D184">
        <v>713.14215686274997</v>
      </c>
      <c r="E184">
        <v>274.43347338936002</v>
      </c>
      <c r="F184">
        <v>137.78929068150001</v>
      </c>
      <c r="G184">
        <v>115.86787204450999</v>
      </c>
      <c r="I184" s="9">
        <f t="shared" si="15"/>
        <v>158.56560134485002</v>
      </c>
      <c r="J184" s="9">
        <f t="shared" si="16"/>
        <v>575.35286618124996</v>
      </c>
      <c r="K184" s="9">
        <f t="shared" si="17"/>
        <v>158.56560134485002</v>
      </c>
      <c r="L184" s="10">
        <f t="shared" si="14"/>
        <v>0.27559713467195635</v>
      </c>
      <c r="M184" s="10">
        <f t="shared" si="20"/>
        <v>0.29092437071962013</v>
      </c>
      <c r="P184" s="8">
        <f t="shared" si="19"/>
        <v>-14.176077206141228</v>
      </c>
    </row>
    <row r="185" spans="1:16" x14ac:dyDescent="0.2">
      <c r="A185" s="8">
        <v>91.5</v>
      </c>
      <c r="B185" s="8">
        <v>183</v>
      </c>
      <c r="D185">
        <v>709.37184873950002</v>
      </c>
      <c r="E185">
        <v>273.85574229692003</v>
      </c>
      <c r="F185">
        <v>138.5438108484</v>
      </c>
      <c r="G185">
        <v>116.07371349096</v>
      </c>
      <c r="I185" s="9">
        <f t="shared" si="15"/>
        <v>157.78202880596001</v>
      </c>
      <c r="J185" s="9">
        <f t="shared" si="16"/>
        <v>570.82803789110005</v>
      </c>
      <c r="K185" s="9">
        <f t="shared" si="17"/>
        <v>157.78202880596001</v>
      </c>
      <c r="L185" s="10">
        <f t="shared" si="14"/>
        <v>0.27640903798082345</v>
      </c>
      <c r="M185" s="10">
        <f t="shared" si="20"/>
        <v>0.29182048961116669</v>
      </c>
      <c r="P185" s="8">
        <f t="shared" si="19"/>
        <v>-13.911718333861216</v>
      </c>
    </row>
    <row r="186" spans="1:16" x14ac:dyDescent="0.2">
      <c r="A186" s="8">
        <v>92</v>
      </c>
      <c r="B186" s="8">
        <v>184</v>
      </c>
      <c r="D186">
        <v>706.60084033612998</v>
      </c>
      <c r="E186">
        <v>275.49369747898999</v>
      </c>
      <c r="F186">
        <v>138.3504867872</v>
      </c>
      <c r="G186">
        <v>115.71488178025</v>
      </c>
      <c r="I186" s="9">
        <f t="shared" si="15"/>
        <v>159.77881569874</v>
      </c>
      <c r="J186" s="9">
        <f t="shared" si="16"/>
        <v>568.25035354892998</v>
      </c>
      <c r="K186" s="9">
        <f t="shared" si="17"/>
        <v>159.77881569874</v>
      </c>
      <c r="L186" s="10">
        <f t="shared" si="14"/>
        <v>0.28117679945267648</v>
      </c>
      <c r="M186" s="10">
        <f t="shared" si="20"/>
        <v>0.29667246666569924</v>
      </c>
      <c r="P186" s="8">
        <f t="shared" si="19"/>
        <v>-12.480364531855063</v>
      </c>
    </row>
    <row r="187" spans="1:16" x14ac:dyDescent="0.2">
      <c r="A187" s="8">
        <v>92.5</v>
      </c>
      <c r="B187" s="8">
        <v>185</v>
      </c>
      <c r="D187">
        <v>706.83053221289003</v>
      </c>
      <c r="E187">
        <v>273.46358543417</v>
      </c>
      <c r="F187">
        <v>138.21001390820999</v>
      </c>
      <c r="G187">
        <v>116.16550764951</v>
      </c>
      <c r="I187" s="9">
        <f t="shared" si="15"/>
        <v>157.29807778465999</v>
      </c>
      <c r="J187" s="9">
        <f t="shared" si="16"/>
        <v>568.62051830467999</v>
      </c>
      <c r="K187" s="9">
        <f t="shared" si="17"/>
        <v>157.29807778465999</v>
      </c>
      <c r="L187" s="10">
        <f t="shared" si="14"/>
        <v>0.27663102670589185</v>
      </c>
      <c r="M187" s="10">
        <f t="shared" si="20"/>
        <v>0.29221090950159406</v>
      </c>
      <c r="P187" s="8">
        <f t="shared" si="19"/>
        <v>-13.796542810922583</v>
      </c>
    </row>
    <row r="188" spans="1:16" x14ac:dyDescent="0.2">
      <c r="A188" s="8">
        <v>93</v>
      </c>
      <c r="B188" s="8">
        <v>186</v>
      </c>
      <c r="D188">
        <v>708.10224089635994</v>
      </c>
      <c r="E188">
        <v>274.44537815126</v>
      </c>
      <c r="F188">
        <v>138.38942976356</v>
      </c>
      <c r="G188">
        <v>115.79207232266999</v>
      </c>
      <c r="I188" s="9">
        <f t="shared" si="15"/>
        <v>158.65330582859002</v>
      </c>
      <c r="J188" s="9">
        <f t="shared" si="16"/>
        <v>569.71281113279997</v>
      </c>
      <c r="K188" s="9">
        <f t="shared" si="17"/>
        <v>158.65330582859002</v>
      </c>
      <c r="L188" s="10">
        <f t="shared" si="14"/>
        <v>0.27847944214757697</v>
      </c>
      <c r="M188" s="10">
        <f t="shared" si="20"/>
        <v>0.29414354052595865</v>
      </c>
      <c r="P188" s="8">
        <f t="shared" si="19"/>
        <v>-13.226408464962489</v>
      </c>
    </row>
    <row r="189" spans="1:16" x14ac:dyDescent="0.2">
      <c r="A189" s="8">
        <v>93.5</v>
      </c>
      <c r="B189" s="8">
        <v>187</v>
      </c>
      <c r="D189">
        <v>710.83893557423005</v>
      </c>
      <c r="E189">
        <v>276.47058823528999</v>
      </c>
      <c r="F189">
        <v>138.41098748261999</v>
      </c>
      <c r="G189">
        <v>116.09527121001</v>
      </c>
      <c r="I189" s="9">
        <f t="shared" si="15"/>
        <v>160.37531702528</v>
      </c>
      <c r="J189" s="9">
        <f t="shared" si="16"/>
        <v>572.42794809161001</v>
      </c>
      <c r="K189" s="9">
        <f t="shared" si="17"/>
        <v>160.37531702528</v>
      </c>
      <c r="L189" s="10">
        <f t="shared" si="14"/>
        <v>0.28016681847898506</v>
      </c>
      <c r="M189" s="10">
        <f t="shared" si="20"/>
        <v>0.29591513244004619</v>
      </c>
      <c r="P189" s="8">
        <f t="shared" si="19"/>
        <v>-12.703781339291369</v>
      </c>
    </row>
    <row r="190" spans="1:16" x14ac:dyDescent="0.2">
      <c r="A190" s="8">
        <v>94</v>
      </c>
      <c r="B190" s="8">
        <v>188</v>
      </c>
      <c r="D190">
        <v>706.34173669467998</v>
      </c>
      <c r="E190">
        <v>276.29971988796001</v>
      </c>
      <c r="F190">
        <v>138.66203059804999</v>
      </c>
      <c r="G190">
        <v>116.23296244783999</v>
      </c>
      <c r="I190" s="9">
        <f t="shared" si="15"/>
        <v>160.06675744012</v>
      </c>
      <c r="J190" s="9">
        <f t="shared" si="16"/>
        <v>567.67970609662996</v>
      </c>
      <c r="K190" s="9">
        <f t="shared" si="17"/>
        <v>160.06675744012</v>
      </c>
      <c r="L190" s="10">
        <f t="shared" si="14"/>
        <v>0.28196667191212499</v>
      </c>
      <c r="M190" s="10">
        <f t="shared" si="20"/>
        <v>0.29779920145586558</v>
      </c>
      <c r="P190" s="8">
        <f t="shared" si="19"/>
        <v>-12.147972991740378</v>
      </c>
    </row>
    <row r="191" spans="1:16" x14ac:dyDescent="0.2">
      <c r="A191" s="8">
        <v>94.5</v>
      </c>
      <c r="B191" s="8">
        <v>189</v>
      </c>
      <c r="D191">
        <v>708.85364145658002</v>
      </c>
      <c r="E191">
        <v>276.16106442577001</v>
      </c>
      <c r="F191">
        <v>137.96105702364</v>
      </c>
      <c r="G191">
        <v>116.00347705146</v>
      </c>
      <c r="I191" s="9">
        <f t="shared" si="15"/>
        <v>160.15758737431003</v>
      </c>
      <c r="J191" s="9">
        <f t="shared" si="16"/>
        <v>570.89258443294</v>
      </c>
      <c r="K191" s="9">
        <f t="shared" si="17"/>
        <v>160.15758737431003</v>
      </c>
      <c r="L191" s="10">
        <f t="shared" si="14"/>
        <v>0.28053891702480671</v>
      </c>
      <c r="M191" s="10">
        <f t="shared" si="20"/>
        <v>0.29645566215122682</v>
      </c>
      <c r="P191" s="8">
        <f t="shared" si="19"/>
        <v>-12.54432278281017</v>
      </c>
    </row>
    <row r="192" spans="1:16" x14ac:dyDescent="0.2">
      <c r="A192" s="8">
        <v>95</v>
      </c>
      <c r="B192" s="8">
        <v>190</v>
      </c>
      <c r="D192">
        <v>701.10294117647004</v>
      </c>
      <c r="E192">
        <v>275.61694677870997</v>
      </c>
      <c r="F192">
        <v>138.18428372739999</v>
      </c>
      <c r="G192">
        <v>116.14534075104</v>
      </c>
      <c r="I192" s="9">
        <f t="shared" si="15"/>
        <v>159.47160602766996</v>
      </c>
      <c r="J192" s="9">
        <f t="shared" si="16"/>
        <v>562.91865744907</v>
      </c>
      <c r="K192" s="9">
        <f t="shared" si="17"/>
        <v>159.47160602766996</v>
      </c>
      <c r="L192" s="10">
        <f t="shared" si="14"/>
        <v>0.28329422718076835</v>
      </c>
      <c r="M192" s="10">
        <f t="shared" si="20"/>
        <v>0.29929518788986792</v>
      </c>
      <c r="P192" s="8">
        <f t="shared" si="19"/>
        <v>-11.706650651178489</v>
      </c>
    </row>
    <row r="193" spans="1:16" x14ac:dyDescent="0.2">
      <c r="A193" s="8">
        <v>95.5</v>
      </c>
      <c r="B193" s="8">
        <v>191</v>
      </c>
      <c r="D193">
        <v>704.27801120447998</v>
      </c>
      <c r="E193">
        <v>276.66946778712003</v>
      </c>
      <c r="F193">
        <v>138.97635605007</v>
      </c>
      <c r="G193">
        <v>115.74687065369</v>
      </c>
      <c r="I193" s="9">
        <f t="shared" si="15"/>
        <v>160.92259713343003</v>
      </c>
      <c r="J193" s="9">
        <f t="shared" si="16"/>
        <v>565.30165515441001</v>
      </c>
      <c r="K193" s="9">
        <f t="shared" si="17"/>
        <v>160.92259713343003</v>
      </c>
      <c r="L193" s="10">
        <f t="shared" si="14"/>
        <v>0.28466677156548326</v>
      </c>
      <c r="M193" s="10">
        <f t="shared" si="20"/>
        <v>0.30075194785726228</v>
      </c>
      <c r="P193" s="8">
        <f t="shared" si="19"/>
        <v>-11.27690028457434</v>
      </c>
    </row>
    <row r="194" spans="1:16" x14ac:dyDescent="0.2">
      <c r="A194" s="8">
        <v>96</v>
      </c>
      <c r="B194" s="8">
        <v>192</v>
      </c>
      <c r="D194">
        <v>699.44607843136998</v>
      </c>
      <c r="E194">
        <v>275.36064425770002</v>
      </c>
      <c r="F194">
        <v>138.19193324061001</v>
      </c>
      <c r="G194">
        <v>116.26634214185999</v>
      </c>
      <c r="I194" s="9">
        <f t="shared" si="15"/>
        <v>159.09430211584004</v>
      </c>
      <c r="J194" s="9">
        <f t="shared" si="16"/>
        <v>561.25414519076003</v>
      </c>
      <c r="K194" s="9">
        <f t="shared" si="17"/>
        <v>159.09430211584004</v>
      </c>
      <c r="L194" s="10">
        <f t="shared" ref="L194:L257" si="21">K194/J194</f>
        <v>0.28346214184621621</v>
      </c>
      <c r="M194" s="10">
        <f t="shared" si="20"/>
        <v>0.29963153372067469</v>
      </c>
      <c r="P194" s="8">
        <f t="shared" si="19"/>
        <v>-11.607427205085633</v>
      </c>
    </row>
    <row r="195" spans="1:16" x14ac:dyDescent="0.2">
      <c r="A195" s="8">
        <v>96.5</v>
      </c>
      <c r="B195" s="8">
        <v>193</v>
      </c>
      <c r="D195">
        <v>695.96358543417</v>
      </c>
      <c r="E195">
        <v>273.70168067227002</v>
      </c>
      <c r="F195">
        <v>138.53824756605999</v>
      </c>
      <c r="G195">
        <v>116.14534075104</v>
      </c>
      <c r="I195" s="9">
        <f t="shared" ref="I195:I241" si="22">E195-G195</f>
        <v>157.55633992123001</v>
      </c>
      <c r="J195" s="9">
        <f t="shared" ref="J195:J241" si="23">D195-F195</f>
        <v>557.42533786810998</v>
      </c>
      <c r="K195" s="9">
        <f t="shared" ref="K195:K258" si="24">I195*1</f>
        <v>157.55633992123001</v>
      </c>
      <c r="L195" s="10">
        <f t="shared" si="21"/>
        <v>0.2826501222994437</v>
      </c>
      <c r="M195" s="10">
        <f t="shared" si="20"/>
        <v>0.29890372975658169</v>
      </c>
      <c r="P195" s="8">
        <f t="shared" ref="P195:P241" si="25">(M195-$O$2)/$O$2*100</f>
        <v>-11.822132460162324</v>
      </c>
    </row>
    <row r="196" spans="1:16" x14ac:dyDescent="0.2">
      <c r="A196" s="8">
        <v>97</v>
      </c>
      <c r="B196" s="8">
        <v>194</v>
      </c>
      <c r="D196">
        <v>697.57002801119995</v>
      </c>
      <c r="E196">
        <v>272.18417366947</v>
      </c>
      <c r="F196">
        <v>138.70097357441</v>
      </c>
      <c r="G196">
        <v>116.07997218359</v>
      </c>
      <c r="I196" s="9">
        <f t="shared" si="22"/>
        <v>156.10420148588</v>
      </c>
      <c r="J196" s="9">
        <f t="shared" si="23"/>
        <v>558.86905443678995</v>
      </c>
      <c r="K196" s="9">
        <f t="shared" si="24"/>
        <v>156.10420148588</v>
      </c>
      <c r="L196" s="10">
        <f t="shared" si="21"/>
        <v>0.27932160538607159</v>
      </c>
      <c r="M196" s="10">
        <f t="shared" si="20"/>
        <v>0.29565942842588905</v>
      </c>
      <c r="P196" s="8">
        <f t="shared" si="25"/>
        <v>-12.779215107575611</v>
      </c>
    </row>
    <row r="197" spans="1:16" x14ac:dyDescent="0.2">
      <c r="A197" s="8">
        <v>97.5</v>
      </c>
      <c r="B197" s="8">
        <v>195</v>
      </c>
      <c r="D197">
        <v>706.70098039215998</v>
      </c>
      <c r="E197">
        <v>274.22478991597001</v>
      </c>
      <c r="F197">
        <v>139.12378303199</v>
      </c>
      <c r="G197">
        <v>116.09874826147001</v>
      </c>
      <c r="I197" s="9">
        <f t="shared" si="22"/>
        <v>158.1260416545</v>
      </c>
      <c r="J197" s="9">
        <f t="shared" si="23"/>
        <v>567.57719736016998</v>
      </c>
      <c r="K197" s="9">
        <f t="shared" si="24"/>
        <v>158.1260416545</v>
      </c>
      <c r="L197" s="10">
        <f t="shared" si="21"/>
        <v>0.27859829885688175</v>
      </c>
      <c r="M197" s="10">
        <f t="shared" si="20"/>
        <v>0.29502033747937867</v>
      </c>
      <c r="P197" s="8">
        <f t="shared" si="25"/>
        <v>-12.967749646348997</v>
      </c>
    </row>
    <row r="198" spans="1:16" x14ac:dyDescent="0.2">
      <c r="A198" s="8">
        <v>98</v>
      </c>
      <c r="B198" s="8">
        <v>196</v>
      </c>
      <c r="D198">
        <v>699.83893557423005</v>
      </c>
      <c r="E198">
        <v>272.41876750699998</v>
      </c>
      <c r="F198">
        <v>138.54659248957</v>
      </c>
      <c r="G198">
        <v>116.10709318498</v>
      </c>
      <c r="I198" s="9">
        <f t="shared" si="22"/>
        <v>156.31167432202</v>
      </c>
      <c r="J198" s="9">
        <f t="shared" si="23"/>
        <v>561.29234308466005</v>
      </c>
      <c r="K198" s="9">
        <f t="shared" si="24"/>
        <v>156.31167432202</v>
      </c>
      <c r="L198" s="10">
        <f t="shared" si="21"/>
        <v>0.27848531384374048</v>
      </c>
      <c r="M198" s="10">
        <f t="shared" si="20"/>
        <v>0.29499156804891685</v>
      </c>
      <c r="P198" s="8">
        <f t="shared" si="25"/>
        <v>-12.976236750308939</v>
      </c>
    </row>
    <row r="199" spans="1:16" x14ac:dyDescent="0.2">
      <c r="A199" s="8">
        <v>98.5</v>
      </c>
      <c r="B199" s="8">
        <v>197</v>
      </c>
      <c r="D199">
        <v>698.81162464986005</v>
      </c>
      <c r="E199">
        <v>273.06442577030998</v>
      </c>
      <c r="F199">
        <v>138.27329624478</v>
      </c>
      <c r="G199">
        <v>116.26495132127999</v>
      </c>
      <c r="I199" s="9">
        <f t="shared" si="22"/>
        <v>156.79947444902999</v>
      </c>
      <c r="J199" s="9">
        <f t="shared" si="23"/>
        <v>560.53832840508005</v>
      </c>
      <c r="K199" s="9">
        <f t="shared" si="24"/>
        <v>156.79947444902999</v>
      </c>
      <c r="L199" s="10">
        <f t="shared" si="21"/>
        <v>0.27973015671413087</v>
      </c>
      <c r="M199" s="10">
        <f t="shared" si="20"/>
        <v>0.29632062650198676</v>
      </c>
      <c r="P199" s="8">
        <f t="shared" si="25"/>
        <v>-12.584158871846402</v>
      </c>
    </row>
    <row r="200" spans="1:16" x14ac:dyDescent="0.2">
      <c r="A200" s="8">
        <v>99</v>
      </c>
      <c r="B200" s="8">
        <v>198</v>
      </c>
      <c r="D200">
        <v>697.20588235293997</v>
      </c>
      <c r="E200">
        <v>276.14635854341998</v>
      </c>
      <c r="F200">
        <v>138.65855354659001</v>
      </c>
      <c r="G200">
        <v>116.03337969402</v>
      </c>
      <c r="I200" s="9">
        <f t="shared" si="22"/>
        <v>160.11297884939998</v>
      </c>
      <c r="J200" s="9">
        <f t="shared" si="23"/>
        <v>558.54732880634992</v>
      </c>
      <c r="K200" s="9">
        <f t="shared" si="24"/>
        <v>160.11297884939998</v>
      </c>
      <c r="L200" s="10">
        <f t="shared" si="21"/>
        <v>0.28665964474590055</v>
      </c>
      <c r="M200" s="10">
        <f t="shared" si="20"/>
        <v>0.3033343301164359</v>
      </c>
      <c r="P200" s="8">
        <f t="shared" si="25"/>
        <v>-10.515086569596352</v>
      </c>
    </row>
    <row r="201" spans="1:16" x14ac:dyDescent="0.2">
      <c r="A201" s="8">
        <v>99.5</v>
      </c>
      <c r="B201" s="8">
        <v>199</v>
      </c>
      <c r="D201">
        <v>699.55322128852004</v>
      </c>
      <c r="E201">
        <v>279.53711484593998</v>
      </c>
      <c r="F201">
        <v>138.87065368568</v>
      </c>
      <c r="G201">
        <v>116.27329624478</v>
      </c>
      <c r="I201" s="9">
        <f t="shared" si="22"/>
        <v>163.26381860115998</v>
      </c>
      <c r="J201" s="9">
        <f t="shared" si="23"/>
        <v>560.68256760283998</v>
      </c>
      <c r="K201" s="9">
        <f t="shared" si="24"/>
        <v>163.26381860115998</v>
      </c>
      <c r="L201" s="10">
        <f t="shared" si="21"/>
        <v>0.29118761316083591</v>
      </c>
      <c r="M201" s="10">
        <f t="shared" si="20"/>
        <v>0.30794651411405072</v>
      </c>
      <c r="P201" s="8">
        <f t="shared" si="25"/>
        <v>-9.1544727360311562</v>
      </c>
    </row>
    <row r="202" spans="1:16" x14ac:dyDescent="0.2">
      <c r="A202" s="8">
        <v>100</v>
      </c>
      <c r="B202" s="8">
        <v>200</v>
      </c>
      <c r="D202">
        <v>699.57843137254997</v>
      </c>
      <c r="E202">
        <v>280.13235294117999</v>
      </c>
      <c r="F202">
        <v>138.24478442281</v>
      </c>
      <c r="G202">
        <v>116.32197496523</v>
      </c>
      <c r="I202" s="9">
        <f t="shared" si="22"/>
        <v>163.81037797594999</v>
      </c>
      <c r="J202" s="9">
        <f t="shared" si="23"/>
        <v>561.33364694974</v>
      </c>
      <c r="K202" s="9">
        <f t="shared" si="24"/>
        <v>163.81037797594999</v>
      </c>
      <c r="L202" s="10">
        <f t="shared" si="21"/>
        <v>0.29182355069233368</v>
      </c>
      <c r="M202" s="10">
        <f t="shared" si="20"/>
        <v>0.30866666722822794</v>
      </c>
      <c r="P202" s="8">
        <f t="shared" si="25"/>
        <v>-8.9420245141169143</v>
      </c>
    </row>
    <row r="203" spans="1:16" x14ac:dyDescent="0.2">
      <c r="A203" s="8">
        <v>100.5</v>
      </c>
      <c r="B203" s="8">
        <v>201</v>
      </c>
      <c r="D203">
        <v>696.48319327730997</v>
      </c>
      <c r="E203">
        <v>280.67577030811998</v>
      </c>
      <c r="F203">
        <v>138.86717663421001</v>
      </c>
      <c r="G203">
        <v>116.39221140473001</v>
      </c>
      <c r="I203" s="9">
        <f t="shared" si="22"/>
        <v>164.28355890338997</v>
      </c>
      <c r="J203" s="9">
        <f t="shared" si="23"/>
        <v>557.61601664310001</v>
      </c>
      <c r="K203" s="9">
        <f t="shared" si="24"/>
        <v>164.28355890338997</v>
      </c>
      <c r="L203" s="10">
        <f t="shared" si="21"/>
        <v>0.29461771900382666</v>
      </c>
      <c r="M203" s="10">
        <f t="shared" si="20"/>
        <v>0.31154505112240038</v>
      </c>
      <c r="P203" s="8">
        <f t="shared" si="25"/>
        <v>-8.0928890618566331</v>
      </c>
    </row>
    <row r="204" spans="1:16" x14ac:dyDescent="0.2">
      <c r="A204" s="8">
        <v>101</v>
      </c>
      <c r="B204" s="8">
        <v>202</v>
      </c>
      <c r="D204">
        <v>702.01470588234997</v>
      </c>
      <c r="E204">
        <v>282.79271708684001</v>
      </c>
      <c r="F204">
        <v>138.99095966620001</v>
      </c>
      <c r="G204">
        <v>116.56397774686999</v>
      </c>
      <c r="I204" s="9">
        <f t="shared" si="22"/>
        <v>166.22873933997002</v>
      </c>
      <c r="J204" s="9">
        <f t="shared" si="23"/>
        <v>563.0237462161499</v>
      </c>
      <c r="K204" s="9">
        <f t="shared" si="24"/>
        <v>166.22873933997002</v>
      </c>
      <c r="L204" s="10">
        <f t="shared" si="21"/>
        <v>0.29524285690812285</v>
      </c>
      <c r="M204" s="10">
        <f t="shared" si="20"/>
        <v>0.31225440460937609</v>
      </c>
      <c r="P204" s="8">
        <f t="shared" si="25"/>
        <v>-7.8836267757540002</v>
      </c>
    </row>
    <row r="205" spans="1:16" x14ac:dyDescent="0.2">
      <c r="A205" s="8">
        <v>101.5</v>
      </c>
      <c r="B205" s="8">
        <v>203</v>
      </c>
      <c r="D205">
        <v>700.44327731092005</v>
      </c>
      <c r="E205">
        <v>284.57843137255003</v>
      </c>
      <c r="F205">
        <v>139.45201668985001</v>
      </c>
      <c r="G205">
        <v>116.44923504867999</v>
      </c>
      <c r="I205" s="9">
        <f t="shared" si="22"/>
        <v>168.12919632387002</v>
      </c>
      <c r="J205" s="9">
        <f t="shared" si="23"/>
        <v>560.99126062107007</v>
      </c>
      <c r="K205" s="9">
        <f t="shared" si="24"/>
        <v>168.12919632387002</v>
      </c>
      <c r="L205" s="10">
        <f t="shared" si="21"/>
        <v>0.29970020591360941</v>
      </c>
      <c r="M205" s="10">
        <f t="shared" si="20"/>
        <v>0.3167959691975421</v>
      </c>
      <c r="P205" s="8">
        <f t="shared" si="25"/>
        <v>-6.5438459673811931</v>
      </c>
    </row>
    <row r="206" spans="1:16" x14ac:dyDescent="0.2">
      <c r="A206" s="8">
        <v>102</v>
      </c>
      <c r="B206" s="8">
        <v>204</v>
      </c>
      <c r="D206">
        <v>697.71638655462004</v>
      </c>
      <c r="E206">
        <v>284.84873949579998</v>
      </c>
      <c r="F206">
        <v>139.13490959666001</v>
      </c>
      <c r="G206">
        <v>116.33240611961</v>
      </c>
      <c r="I206" s="9">
        <f t="shared" si="22"/>
        <v>168.51633337618998</v>
      </c>
      <c r="J206" s="9">
        <f t="shared" si="23"/>
        <v>558.58147695796004</v>
      </c>
      <c r="K206" s="9">
        <f t="shared" si="24"/>
        <v>168.51633337618998</v>
      </c>
      <c r="L206" s="10">
        <f t="shared" si="21"/>
        <v>0.30168621826475794</v>
      </c>
      <c r="M206" s="10">
        <f t="shared" si="20"/>
        <v>0.3188661971313701</v>
      </c>
      <c r="P206" s="8">
        <f t="shared" si="25"/>
        <v>-5.9331199497600053</v>
      </c>
    </row>
    <row r="207" spans="1:16" x14ac:dyDescent="0.2">
      <c r="A207" s="8">
        <v>102.5</v>
      </c>
      <c r="B207" s="8">
        <v>205</v>
      </c>
      <c r="D207">
        <v>701.96288515406002</v>
      </c>
      <c r="E207">
        <v>287.77521008402999</v>
      </c>
      <c r="F207">
        <v>139.12795549373999</v>
      </c>
      <c r="G207">
        <v>116.19888734353</v>
      </c>
      <c r="I207" s="9">
        <f t="shared" si="22"/>
        <v>171.57632274049999</v>
      </c>
      <c r="J207" s="9">
        <f t="shared" si="23"/>
        <v>562.83492966032009</v>
      </c>
      <c r="K207" s="9">
        <f t="shared" si="24"/>
        <v>171.57632274049999</v>
      </c>
      <c r="L207" s="10">
        <f t="shared" si="21"/>
        <v>0.3048430609025084</v>
      </c>
      <c r="M207" s="10">
        <f t="shared" si="20"/>
        <v>0.32210725535180001</v>
      </c>
      <c r="P207" s="8">
        <f t="shared" si="25"/>
        <v>-4.9769940336240319</v>
      </c>
    </row>
    <row r="208" spans="1:16" x14ac:dyDescent="0.2">
      <c r="A208" s="8">
        <v>103</v>
      </c>
      <c r="B208" s="8">
        <v>206</v>
      </c>
      <c r="D208">
        <v>701.62114845938004</v>
      </c>
      <c r="E208">
        <v>287.18767507003002</v>
      </c>
      <c r="F208">
        <v>139.16689847009999</v>
      </c>
      <c r="G208">
        <v>116.36926286508999</v>
      </c>
      <c r="I208" s="9">
        <f t="shared" si="22"/>
        <v>170.81841220494005</v>
      </c>
      <c r="J208" s="9">
        <f t="shared" si="23"/>
        <v>562.45424998928002</v>
      </c>
      <c r="K208" s="9">
        <f t="shared" si="24"/>
        <v>170.81841220494005</v>
      </c>
      <c r="L208" s="10">
        <f t="shared" si="21"/>
        <v>0.30370187834512002</v>
      </c>
      <c r="M208" s="10">
        <f t="shared" si="20"/>
        <v>0.32105028837709115</v>
      </c>
      <c r="P208" s="8">
        <f t="shared" si="25"/>
        <v>-5.2888037723842718</v>
      </c>
    </row>
    <row r="209" spans="1:16" x14ac:dyDescent="0.2">
      <c r="A209" s="8">
        <v>103.5</v>
      </c>
      <c r="B209" s="8">
        <v>207</v>
      </c>
      <c r="D209">
        <v>701.87044817927006</v>
      </c>
      <c r="E209">
        <v>289.71638655461999</v>
      </c>
      <c r="F209">
        <v>139.39082058414999</v>
      </c>
      <c r="G209">
        <v>116.63977746870999</v>
      </c>
      <c r="I209" s="9">
        <f t="shared" si="22"/>
        <v>173.07660908590998</v>
      </c>
      <c r="J209" s="9">
        <f t="shared" si="23"/>
        <v>562.47962759512006</v>
      </c>
      <c r="K209" s="9">
        <f t="shared" si="24"/>
        <v>173.07660908590998</v>
      </c>
      <c r="L209" s="10">
        <f t="shared" si="21"/>
        <v>0.30770289374905629</v>
      </c>
      <c r="M209" s="10">
        <f t="shared" si="20"/>
        <v>0.32513551936370688</v>
      </c>
      <c r="P209" s="8">
        <f t="shared" si="25"/>
        <v>-4.0836433111856101</v>
      </c>
    </row>
    <row r="210" spans="1:16" x14ac:dyDescent="0.2">
      <c r="A210" s="8">
        <v>104</v>
      </c>
      <c r="B210" s="8">
        <v>208</v>
      </c>
      <c r="D210">
        <v>706.77941176470995</v>
      </c>
      <c r="E210">
        <v>292.72969187675</v>
      </c>
      <c r="F210">
        <v>139.0876216968</v>
      </c>
      <c r="G210">
        <v>116.26077885953001</v>
      </c>
      <c r="I210" s="9">
        <f t="shared" si="22"/>
        <v>176.46891301721999</v>
      </c>
      <c r="J210" s="9">
        <f t="shared" si="23"/>
        <v>567.69179006791001</v>
      </c>
      <c r="K210" s="9">
        <f t="shared" si="24"/>
        <v>176.46891301721999</v>
      </c>
      <c r="L210" s="10">
        <f t="shared" si="21"/>
        <v>0.3108533822483322</v>
      </c>
      <c r="M210" s="10">
        <f t="shared" si="20"/>
        <v>0.32837022344566225</v>
      </c>
      <c r="P210" s="8">
        <f t="shared" si="25"/>
        <v>-3.1293918928392594</v>
      </c>
    </row>
    <row r="211" spans="1:16" x14ac:dyDescent="0.2">
      <c r="A211" s="8">
        <v>104.5</v>
      </c>
      <c r="B211" s="8">
        <v>209</v>
      </c>
      <c r="D211">
        <v>710.72128851541004</v>
      </c>
      <c r="E211">
        <v>294.13515406162998</v>
      </c>
      <c r="F211">
        <v>139.32197496523</v>
      </c>
      <c r="G211">
        <v>116.47774687064999</v>
      </c>
      <c r="I211" s="9">
        <f t="shared" si="22"/>
        <v>177.65740719098</v>
      </c>
      <c r="J211" s="9">
        <f t="shared" si="23"/>
        <v>571.39931355018007</v>
      </c>
      <c r="K211" s="9">
        <f t="shared" si="24"/>
        <v>177.65740719098</v>
      </c>
      <c r="L211" s="10">
        <f t="shared" si="21"/>
        <v>0.31091638190317528</v>
      </c>
      <c r="M211" s="10">
        <f t="shared" si="20"/>
        <v>0.32851743868318478</v>
      </c>
      <c r="P211" s="8">
        <f t="shared" si="25"/>
        <v>-3.0859627736219135</v>
      </c>
    </row>
    <row r="212" spans="1:16" x14ac:dyDescent="0.2">
      <c r="A212" s="8">
        <v>105</v>
      </c>
      <c r="B212" s="8">
        <v>210</v>
      </c>
      <c r="D212">
        <v>712.38305322128997</v>
      </c>
      <c r="E212">
        <v>294.54271708684001</v>
      </c>
      <c r="F212">
        <v>139.23574408901001</v>
      </c>
      <c r="G212">
        <v>116.84353268428001</v>
      </c>
      <c r="I212" s="9">
        <f t="shared" si="22"/>
        <v>177.69918440256001</v>
      </c>
      <c r="J212" s="9">
        <f t="shared" si="23"/>
        <v>573.14730913227993</v>
      </c>
      <c r="K212" s="9">
        <f t="shared" si="24"/>
        <v>177.69918440256001</v>
      </c>
      <c r="L212" s="10">
        <f t="shared" si="21"/>
        <v>0.31004103407828754</v>
      </c>
      <c r="M212" s="10">
        <f t="shared" si="20"/>
        <v>0.3277263064409765</v>
      </c>
      <c r="P212" s="8">
        <f t="shared" si="25"/>
        <v>-3.3193501392354086</v>
      </c>
    </row>
    <row r="213" spans="1:16" x14ac:dyDescent="0.2">
      <c r="A213" s="8">
        <v>105.5</v>
      </c>
      <c r="B213" s="8">
        <v>211</v>
      </c>
      <c r="D213">
        <v>701.44467787115002</v>
      </c>
      <c r="E213">
        <v>294.36344537815</v>
      </c>
      <c r="F213">
        <v>139.36648122392</v>
      </c>
      <c r="G213">
        <v>116.81780250348</v>
      </c>
      <c r="I213" s="9">
        <f t="shared" si="22"/>
        <v>177.54564287467002</v>
      </c>
      <c r="J213" s="9">
        <f t="shared" si="23"/>
        <v>562.07819664723002</v>
      </c>
      <c r="K213" s="9">
        <f t="shared" si="24"/>
        <v>177.54564287467002</v>
      </c>
      <c r="L213" s="10">
        <f t="shared" si="21"/>
        <v>0.31587356338267775</v>
      </c>
      <c r="M213" s="10">
        <f t="shared" si="20"/>
        <v>0.33364305132804623</v>
      </c>
      <c r="P213" s="8">
        <f t="shared" si="25"/>
        <v>-1.5738853123363796</v>
      </c>
    </row>
    <row r="214" spans="1:16" x14ac:dyDescent="0.2">
      <c r="A214" s="8">
        <v>106</v>
      </c>
      <c r="B214" s="8">
        <v>212</v>
      </c>
      <c r="D214">
        <v>702.45938375349999</v>
      </c>
      <c r="E214">
        <v>296.49859943977998</v>
      </c>
      <c r="F214">
        <v>139.53059805285</v>
      </c>
      <c r="G214">
        <v>116.68636995828</v>
      </c>
      <c r="I214" s="9">
        <f t="shared" si="22"/>
        <v>179.81222948149997</v>
      </c>
      <c r="J214" s="9">
        <f t="shared" si="23"/>
        <v>562.92878570065</v>
      </c>
      <c r="K214" s="9">
        <f t="shared" si="24"/>
        <v>179.81222948149997</v>
      </c>
      <c r="L214" s="10">
        <f t="shared" si="21"/>
        <v>0.3194226943958754</v>
      </c>
      <c r="M214" s="10">
        <f t="shared" si="20"/>
        <v>0.33727639792392333</v>
      </c>
      <c r="P214" s="8">
        <f t="shared" si="25"/>
        <v>-0.50203266225911125</v>
      </c>
    </row>
    <row r="215" spans="1:16" x14ac:dyDescent="0.2">
      <c r="A215" s="8">
        <v>106.5</v>
      </c>
      <c r="B215" s="8">
        <v>213</v>
      </c>
      <c r="D215">
        <v>704.63375350139995</v>
      </c>
      <c r="E215">
        <v>299.59033613445001</v>
      </c>
      <c r="F215">
        <v>139.67037552156</v>
      </c>
      <c r="G215">
        <v>116.74408901252001</v>
      </c>
      <c r="I215" s="9">
        <f t="shared" si="22"/>
        <v>182.84624712192999</v>
      </c>
      <c r="J215" s="9">
        <f t="shared" si="23"/>
        <v>564.96337797983995</v>
      </c>
      <c r="K215" s="9">
        <f t="shared" si="24"/>
        <v>182.84624712192999</v>
      </c>
      <c r="L215" s="10">
        <f t="shared" si="21"/>
        <v>0.32364265410572268</v>
      </c>
      <c r="M215" s="10">
        <f t="shared" si="20"/>
        <v>0.34158057321645008</v>
      </c>
      <c r="P215" s="8">
        <f t="shared" si="25"/>
        <v>0.76771729744111028</v>
      </c>
    </row>
    <row r="216" spans="1:16" x14ac:dyDescent="0.2">
      <c r="A216" s="8">
        <v>107</v>
      </c>
      <c r="B216" s="8">
        <v>214</v>
      </c>
      <c r="D216">
        <v>707.36624649860005</v>
      </c>
      <c r="E216">
        <v>303.29761904762</v>
      </c>
      <c r="F216">
        <v>139.66898470096999</v>
      </c>
      <c r="G216">
        <v>116.58275382476</v>
      </c>
      <c r="I216" s="9">
        <f t="shared" si="22"/>
        <v>186.71486522286</v>
      </c>
      <c r="J216" s="9">
        <f t="shared" si="23"/>
        <v>567.69726179763006</v>
      </c>
      <c r="K216" s="9">
        <f t="shared" si="24"/>
        <v>186.71486522286</v>
      </c>
      <c r="L216" s="10">
        <f t="shared" si="21"/>
        <v>0.32889865389102263</v>
      </c>
      <c r="M216" s="10">
        <f t="shared" si="20"/>
        <v>0.34692078858442948</v>
      </c>
      <c r="P216" s="8">
        <f t="shared" si="25"/>
        <v>2.3431034718972517</v>
      </c>
    </row>
    <row r="217" spans="1:16" x14ac:dyDescent="0.2">
      <c r="A217" s="8">
        <v>107.5</v>
      </c>
      <c r="B217" s="8">
        <v>215</v>
      </c>
      <c r="D217">
        <v>712.97198879552002</v>
      </c>
      <c r="E217">
        <v>303.60924369748</v>
      </c>
      <c r="F217">
        <v>139.43254520167</v>
      </c>
      <c r="G217">
        <v>116.90125173852999</v>
      </c>
      <c r="I217" s="9">
        <f t="shared" si="22"/>
        <v>186.70799195895</v>
      </c>
      <c r="J217" s="9">
        <f t="shared" si="23"/>
        <v>573.53944359385002</v>
      </c>
      <c r="K217" s="9">
        <f t="shared" si="24"/>
        <v>186.70799195895</v>
      </c>
      <c r="L217" s="10">
        <f t="shared" si="21"/>
        <v>0.32553644573949586</v>
      </c>
      <c r="M217" s="10">
        <f t="shared" si="20"/>
        <v>0.34364279601558223</v>
      </c>
      <c r="P217" s="8">
        <f t="shared" si="25"/>
        <v>1.3760817663876677</v>
      </c>
    </row>
    <row r="218" spans="1:16" x14ac:dyDescent="0.2">
      <c r="A218" s="8">
        <v>108</v>
      </c>
      <c r="B218" s="8">
        <v>216</v>
      </c>
      <c r="D218">
        <v>700.73109243698002</v>
      </c>
      <c r="E218">
        <v>302.04411764705998</v>
      </c>
      <c r="F218">
        <v>139.65646731571999</v>
      </c>
      <c r="G218">
        <v>116.66550764951</v>
      </c>
      <c r="I218" s="9">
        <f t="shared" si="22"/>
        <v>185.37860999754997</v>
      </c>
      <c r="J218" s="9">
        <f t="shared" si="23"/>
        <v>561.07462512126006</v>
      </c>
      <c r="K218" s="9">
        <f t="shared" si="24"/>
        <v>185.37860999754997</v>
      </c>
      <c r="L218" s="10">
        <f t="shared" si="21"/>
        <v>0.33039920484282415</v>
      </c>
      <c r="M218" s="10">
        <f t="shared" si="20"/>
        <v>0.34858977070158997</v>
      </c>
      <c r="P218" s="8">
        <f t="shared" si="25"/>
        <v>2.8354602724403035</v>
      </c>
    </row>
    <row r="219" spans="1:16" x14ac:dyDescent="0.2">
      <c r="A219" s="8">
        <v>108.5</v>
      </c>
      <c r="B219" s="8">
        <v>217</v>
      </c>
      <c r="D219">
        <v>704.74789915966005</v>
      </c>
      <c r="E219">
        <v>303.40266106442999</v>
      </c>
      <c r="F219">
        <v>140.38942976356</v>
      </c>
      <c r="G219">
        <v>117.10083449235</v>
      </c>
      <c r="I219" s="9">
        <f t="shared" si="22"/>
        <v>186.30182657207999</v>
      </c>
      <c r="J219" s="9">
        <f t="shared" si="23"/>
        <v>564.35846939610008</v>
      </c>
      <c r="K219" s="9">
        <f t="shared" si="24"/>
        <v>186.30182657207999</v>
      </c>
      <c r="L219" s="10">
        <f t="shared" si="21"/>
        <v>0.33011257325762283</v>
      </c>
      <c r="M219" s="10">
        <f t="shared" si="20"/>
        <v>0.34838735469906812</v>
      </c>
      <c r="P219" s="8">
        <f t="shared" si="25"/>
        <v>2.7757466935135668</v>
      </c>
    </row>
    <row r="220" spans="1:16" x14ac:dyDescent="0.2">
      <c r="A220" s="8">
        <v>109</v>
      </c>
      <c r="B220" s="8">
        <v>218</v>
      </c>
      <c r="D220">
        <v>705.81722689076003</v>
      </c>
      <c r="E220">
        <v>306.03711484593998</v>
      </c>
      <c r="F220">
        <v>139.99930458970999</v>
      </c>
      <c r="G220">
        <v>116.72461752434</v>
      </c>
      <c r="I220" s="9">
        <f t="shared" si="22"/>
        <v>189.31249732159998</v>
      </c>
      <c r="J220" s="9">
        <f t="shared" si="23"/>
        <v>565.81792230104998</v>
      </c>
      <c r="K220" s="9">
        <f t="shared" si="24"/>
        <v>189.31249732159998</v>
      </c>
      <c r="L220" s="10">
        <f t="shared" si="21"/>
        <v>0.33458200926494169</v>
      </c>
      <c r="M220" s="10">
        <f t="shared" si="20"/>
        <v>0.35294100628906644</v>
      </c>
      <c r="P220" s="8">
        <f t="shared" si="25"/>
        <v>4.1190932186721465</v>
      </c>
    </row>
    <row r="221" spans="1:16" x14ac:dyDescent="0.2">
      <c r="A221" s="8">
        <v>109.5</v>
      </c>
      <c r="B221" s="8">
        <v>219</v>
      </c>
      <c r="D221">
        <v>692.69257703080996</v>
      </c>
      <c r="E221">
        <v>297.25980392156998</v>
      </c>
      <c r="F221">
        <v>140.17454798330999</v>
      </c>
      <c r="G221">
        <v>116.82753824757</v>
      </c>
      <c r="I221" s="9">
        <f t="shared" si="22"/>
        <v>180.43226567399998</v>
      </c>
      <c r="J221" s="9">
        <f t="shared" si="23"/>
        <v>552.51802904750002</v>
      </c>
      <c r="K221" s="9">
        <f t="shared" si="24"/>
        <v>180.43226567399998</v>
      </c>
      <c r="L221" s="10">
        <f t="shared" si="21"/>
        <v>0.32656358016959514</v>
      </c>
      <c r="M221" s="10">
        <f t="shared" si="20"/>
        <v>0.34500679277639934</v>
      </c>
      <c r="P221" s="8">
        <f t="shared" si="25"/>
        <v>1.7784665937635142</v>
      </c>
    </row>
    <row r="222" spans="1:16" x14ac:dyDescent="0.2">
      <c r="A222" s="8">
        <v>110</v>
      </c>
      <c r="B222" s="8">
        <v>220</v>
      </c>
      <c r="D222">
        <v>702.39075630252</v>
      </c>
      <c r="E222">
        <v>300.78991596639003</v>
      </c>
      <c r="F222">
        <v>140.09248956885</v>
      </c>
      <c r="G222">
        <v>116.87204450626</v>
      </c>
      <c r="I222" s="9">
        <f t="shared" si="22"/>
        <v>183.91787146013002</v>
      </c>
      <c r="J222" s="9">
        <f t="shared" si="23"/>
        <v>562.29826673367006</v>
      </c>
      <c r="K222" s="9">
        <f t="shared" si="24"/>
        <v>183.91787146013002</v>
      </c>
      <c r="L222" s="10">
        <f t="shared" si="21"/>
        <v>0.32708240864495114</v>
      </c>
      <c r="M222" s="10">
        <f t="shared" si="20"/>
        <v>0.34560983683443486</v>
      </c>
      <c r="P222" s="8">
        <f t="shared" si="25"/>
        <v>1.9563671476088822</v>
      </c>
    </row>
    <row r="223" spans="1:16" x14ac:dyDescent="0.2">
      <c r="A223" s="8">
        <v>110.5</v>
      </c>
      <c r="B223" s="8">
        <v>221</v>
      </c>
      <c r="D223">
        <v>705.56512605041996</v>
      </c>
      <c r="E223">
        <v>302.59733893557001</v>
      </c>
      <c r="F223">
        <v>139.74061196106001</v>
      </c>
      <c r="G223">
        <v>116.59318497914001</v>
      </c>
      <c r="I223" s="9">
        <f t="shared" si="22"/>
        <v>186.00415395643</v>
      </c>
      <c r="J223" s="9">
        <f t="shared" si="23"/>
        <v>565.82451408935992</v>
      </c>
      <c r="K223" s="9">
        <f t="shared" si="24"/>
        <v>186.00415395643</v>
      </c>
      <c r="L223" s="10">
        <f t="shared" si="21"/>
        <v>0.32873116898405469</v>
      </c>
      <c r="M223" s="10">
        <f t="shared" si="20"/>
        <v>0.34734281275621787</v>
      </c>
      <c r="P223" s="8">
        <f t="shared" si="25"/>
        <v>2.4676023918300038</v>
      </c>
    </row>
    <row r="224" spans="1:16" x14ac:dyDescent="0.2">
      <c r="A224" s="8">
        <v>111</v>
      </c>
      <c r="B224" s="8">
        <v>222</v>
      </c>
      <c r="D224">
        <v>693.47128851541004</v>
      </c>
      <c r="E224">
        <v>295.51400560223999</v>
      </c>
      <c r="F224">
        <v>139.89986091794</v>
      </c>
      <c r="G224">
        <v>116.82127955494001</v>
      </c>
      <c r="I224" s="9">
        <f t="shared" si="22"/>
        <v>178.69272604729997</v>
      </c>
      <c r="J224" s="9">
        <f t="shared" si="23"/>
        <v>553.57142759747001</v>
      </c>
      <c r="K224" s="9">
        <f t="shared" si="24"/>
        <v>178.69272604729997</v>
      </c>
      <c r="L224" s="10">
        <f t="shared" si="21"/>
        <v>0.32279976375015612</v>
      </c>
      <c r="M224" s="10">
        <f t="shared" si="20"/>
        <v>0.34149562310499876</v>
      </c>
      <c r="P224" s="8">
        <f t="shared" si="25"/>
        <v>0.74265665440012441</v>
      </c>
    </row>
    <row r="225" spans="1:16" x14ac:dyDescent="0.2">
      <c r="A225" s="8">
        <v>111.5</v>
      </c>
      <c r="B225" s="8">
        <v>223</v>
      </c>
      <c r="D225">
        <v>687.48459383754005</v>
      </c>
      <c r="E225">
        <v>294.77871148459002</v>
      </c>
      <c r="F225">
        <v>140.20723226704001</v>
      </c>
      <c r="G225">
        <v>117.43880389429999</v>
      </c>
      <c r="I225" s="9">
        <f t="shared" si="22"/>
        <v>177.33990759029001</v>
      </c>
      <c r="J225" s="9">
        <f t="shared" si="23"/>
        <v>547.27736157050003</v>
      </c>
      <c r="K225" s="9">
        <f t="shared" si="24"/>
        <v>177.33990759029001</v>
      </c>
      <c r="L225" s="10">
        <f t="shared" si="21"/>
        <v>0.32404027654530554</v>
      </c>
      <c r="M225" s="10">
        <f t="shared" si="20"/>
        <v>0.34282035148282763</v>
      </c>
      <c r="P225" s="8">
        <f t="shared" si="25"/>
        <v>1.1334571423083439</v>
      </c>
    </row>
    <row r="226" spans="1:16" x14ac:dyDescent="0.2">
      <c r="A226" s="8">
        <v>112</v>
      </c>
      <c r="B226" s="8">
        <v>224</v>
      </c>
      <c r="D226">
        <v>685.39495798319001</v>
      </c>
      <c r="E226">
        <v>292.85014005602</v>
      </c>
      <c r="F226">
        <v>140.42420027815999</v>
      </c>
      <c r="G226">
        <v>116.90542420028</v>
      </c>
      <c r="I226" s="9">
        <f t="shared" si="22"/>
        <v>175.94471585574001</v>
      </c>
      <c r="J226" s="9">
        <f t="shared" si="23"/>
        <v>544.97075770503</v>
      </c>
      <c r="K226" s="9">
        <f t="shared" si="24"/>
        <v>175.94471585574001</v>
      </c>
      <c r="L226" s="10">
        <f t="shared" si="21"/>
        <v>0.32285166381527497</v>
      </c>
      <c r="M226" s="10">
        <f t="shared" si="20"/>
        <v>0.34171595433547658</v>
      </c>
      <c r="P226" s="8">
        <f t="shared" si="25"/>
        <v>0.80765530152903331</v>
      </c>
    </row>
    <row r="227" spans="1:16" x14ac:dyDescent="0.2">
      <c r="A227" s="8">
        <v>112.5</v>
      </c>
      <c r="B227" s="8">
        <v>225</v>
      </c>
      <c r="D227">
        <v>668.15056022408999</v>
      </c>
      <c r="E227">
        <v>286.33403361345</v>
      </c>
      <c r="F227">
        <v>140.57093184978999</v>
      </c>
      <c r="G227">
        <v>117.4471488178</v>
      </c>
      <c r="I227" s="9">
        <f t="shared" si="22"/>
        <v>168.88688479565002</v>
      </c>
      <c r="J227" s="9">
        <f t="shared" si="23"/>
        <v>527.5796283743</v>
      </c>
      <c r="K227" s="9">
        <f t="shared" si="24"/>
        <v>168.88688479565002</v>
      </c>
      <c r="L227" s="10">
        <f t="shared" si="21"/>
        <v>0.32011638757937494</v>
      </c>
      <c r="M227" s="10">
        <f t="shared" si="20"/>
        <v>0.33906489368225601</v>
      </c>
      <c r="P227" s="8">
        <f t="shared" si="25"/>
        <v>2.5581169131520965E-2</v>
      </c>
    </row>
    <row r="228" spans="1:16" x14ac:dyDescent="0.2">
      <c r="A228" s="8">
        <v>113</v>
      </c>
      <c r="B228" s="8">
        <v>226</v>
      </c>
      <c r="D228">
        <v>659.10994397758998</v>
      </c>
      <c r="E228">
        <v>283.47899159664001</v>
      </c>
      <c r="F228">
        <v>140.51460361612999</v>
      </c>
      <c r="G228">
        <v>117.10152990264</v>
      </c>
      <c r="I228" s="9">
        <f t="shared" si="22"/>
        <v>166.37746169400003</v>
      </c>
      <c r="J228" s="9">
        <f t="shared" si="23"/>
        <v>518.59534036145999</v>
      </c>
      <c r="K228" s="9">
        <f t="shared" si="24"/>
        <v>166.37746169400003</v>
      </c>
      <c r="L228" s="10">
        <f t="shared" si="21"/>
        <v>0.32082328695440121</v>
      </c>
      <c r="M228" s="10">
        <f t="shared" si="20"/>
        <v>0.33985600863996174</v>
      </c>
      <c r="P228" s="8">
        <f t="shared" si="25"/>
        <v>0.25896343574348207</v>
      </c>
    </row>
    <row r="229" spans="1:16" x14ac:dyDescent="0.2">
      <c r="A229" s="8">
        <v>113.5</v>
      </c>
      <c r="B229" s="8">
        <v>227</v>
      </c>
      <c r="D229">
        <v>700.80812324930002</v>
      </c>
      <c r="E229">
        <v>295.97128851540998</v>
      </c>
      <c r="F229">
        <v>140.40055632823001</v>
      </c>
      <c r="G229">
        <v>117.17802503477</v>
      </c>
      <c r="I229" s="9">
        <f t="shared" si="22"/>
        <v>178.79326348063998</v>
      </c>
      <c r="J229" s="9">
        <f t="shared" si="23"/>
        <v>560.40756692107004</v>
      </c>
      <c r="K229" s="9">
        <f t="shared" si="24"/>
        <v>178.79326348063998</v>
      </c>
      <c r="L229" s="10">
        <f t="shared" si="21"/>
        <v>0.31904148700729784</v>
      </c>
      <c r="M229" s="10">
        <f t="shared" si="20"/>
        <v>0.33815842427553783</v>
      </c>
      <c r="P229" s="8">
        <f t="shared" si="25"/>
        <v>-0.24183114900717864</v>
      </c>
    </row>
    <row r="230" spans="1:16" x14ac:dyDescent="0.2">
      <c r="A230" s="8">
        <v>114</v>
      </c>
      <c r="B230" s="8">
        <v>228</v>
      </c>
      <c r="D230">
        <v>678.24159663865998</v>
      </c>
      <c r="E230">
        <v>291.53151260504001</v>
      </c>
      <c r="F230">
        <v>140.1314325452</v>
      </c>
      <c r="G230">
        <v>117.25243393602</v>
      </c>
      <c r="I230" s="9">
        <f t="shared" si="22"/>
        <v>174.27907866902001</v>
      </c>
      <c r="J230" s="9">
        <f t="shared" si="23"/>
        <v>538.11016409345996</v>
      </c>
      <c r="K230" s="9">
        <f t="shared" si="24"/>
        <v>174.27907866902001</v>
      </c>
      <c r="L230" s="10">
        <f t="shared" si="21"/>
        <v>0.32387248986947381</v>
      </c>
      <c r="M230" s="10">
        <f t="shared" si="20"/>
        <v>0.34307364272039331</v>
      </c>
      <c r="P230" s="8">
        <f t="shared" si="25"/>
        <v>1.2081791312686578</v>
      </c>
    </row>
    <row r="231" spans="1:16" x14ac:dyDescent="0.2">
      <c r="A231" s="8">
        <v>114.5</v>
      </c>
      <c r="B231" s="8">
        <v>229</v>
      </c>
      <c r="D231">
        <v>703.22784810126996</v>
      </c>
      <c r="E231">
        <v>294.56469760900001</v>
      </c>
      <c r="F231">
        <v>140.64186369958</v>
      </c>
      <c r="G231">
        <v>117.17872044505999</v>
      </c>
      <c r="I231" s="9">
        <f t="shared" si="22"/>
        <v>177.38597716394003</v>
      </c>
      <c r="J231" s="9">
        <f t="shared" si="23"/>
        <v>562.58598440168998</v>
      </c>
      <c r="K231" s="9">
        <f t="shared" si="24"/>
        <v>177.38597716394003</v>
      </c>
      <c r="L231" s="10">
        <f t="shared" si="21"/>
        <v>0.31530465045728068</v>
      </c>
      <c r="M231" s="10">
        <f t="shared" si="20"/>
        <v>0.33459001889087964</v>
      </c>
      <c r="P231" s="8">
        <f t="shared" si="25"/>
        <v>-1.2945258664437214</v>
      </c>
    </row>
    <row r="232" spans="1:16" x14ac:dyDescent="0.2">
      <c r="A232" s="8">
        <v>115</v>
      </c>
      <c r="B232" s="8">
        <v>230</v>
      </c>
      <c r="D232">
        <v>706.11814345992002</v>
      </c>
      <c r="E232">
        <v>295.27144866384998</v>
      </c>
      <c r="F232">
        <v>140.78859527121</v>
      </c>
      <c r="G232">
        <v>117.27746870654001</v>
      </c>
      <c r="I232" s="9">
        <f t="shared" si="22"/>
        <v>177.99397995730999</v>
      </c>
      <c r="J232" s="9">
        <f t="shared" si="23"/>
        <v>565.32954818871008</v>
      </c>
      <c r="K232" s="9">
        <f t="shared" si="24"/>
        <v>177.99397995730999</v>
      </c>
      <c r="L232" s="10">
        <f t="shared" si="21"/>
        <v>0.31484994995855875</v>
      </c>
      <c r="M232" s="10">
        <f t="shared" si="20"/>
        <v>0.33421953397483717</v>
      </c>
      <c r="P232" s="8">
        <f t="shared" si="25"/>
        <v>-1.403820487420532</v>
      </c>
    </row>
    <row r="233" spans="1:16" x14ac:dyDescent="0.2">
      <c r="A233" s="8">
        <v>115.5</v>
      </c>
      <c r="B233" s="8">
        <v>231</v>
      </c>
      <c r="D233">
        <v>701.95639943741003</v>
      </c>
      <c r="E233">
        <v>295.66736990154999</v>
      </c>
      <c r="F233">
        <v>140.71557719053999</v>
      </c>
      <c r="G233">
        <v>117.3247566064</v>
      </c>
      <c r="I233" s="9">
        <f t="shared" si="22"/>
        <v>178.34261329514999</v>
      </c>
      <c r="J233" s="9">
        <f t="shared" si="23"/>
        <v>561.24082224687004</v>
      </c>
      <c r="K233" s="9">
        <f t="shared" si="24"/>
        <v>178.34261329514999</v>
      </c>
      <c r="L233" s="10">
        <f t="shared" si="21"/>
        <v>0.31776486354141814</v>
      </c>
      <c r="M233" s="10">
        <f t="shared" si="20"/>
        <v>0.33721866314037602</v>
      </c>
      <c r="P233" s="8">
        <f t="shared" si="25"/>
        <v>-0.51906466818363473</v>
      </c>
    </row>
    <row r="234" spans="1:16" x14ac:dyDescent="0.2">
      <c r="A234" s="8">
        <v>116</v>
      </c>
      <c r="B234" s="8">
        <v>232</v>
      </c>
      <c r="D234">
        <v>703.20956399437</v>
      </c>
      <c r="E234">
        <v>297.09142053445998</v>
      </c>
      <c r="F234">
        <v>140.68080667594</v>
      </c>
      <c r="G234">
        <v>117.16411682893001</v>
      </c>
      <c r="I234" s="9">
        <f t="shared" si="22"/>
        <v>179.92730370552999</v>
      </c>
      <c r="J234" s="9">
        <f t="shared" si="23"/>
        <v>562.52875731843005</v>
      </c>
      <c r="K234" s="9">
        <f t="shared" si="24"/>
        <v>179.92730370552999</v>
      </c>
      <c r="L234" s="10">
        <f t="shared" si="21"/>
        <v>0.31985440986740299</v>
      </c>
      <c r="M234" s="10">
        <f t="shared" si="20"/>
        <v>0.33939242504904032</v>
      </c>
      <c r="P234" s="8">
        <f t="shared" si="25"/>
        <v>0.12220431096708571</v>
      </c>
    </row>
    <row r="235" spans="1:16" x14ac:dyDescent="0.2">
      <c r="A235" s="8">
        <v>116.5</v>
      </c>
      <c r="B235" s="8">
        <v>233</v>
      </c>
      <c r="D235">
        <v>705.54641350211</v>
      </c>
      <c r="E235">
        <v>297.14486638536999</v>
      </c>
      <c r="F235">
        <v>140.75730180807</v>
      </c>
      <c r="G235">
        <v>117.38108484006</v>
      </c>
      <c r="I235" s="9">
        <f t="shared" si="22"/>
        <v>179.76378154531</v>
      </c>
      <c r="J235" s="9">
        <f t="shared" si="23"/>
        <v>564.78911169404</v>
      </c>
      <c r="K235" s="9">
        <f t="shared" si="24"/>
        <v>179.76378154531</v>
      </c>
      <c r="L235" s="10">
        <f t="shared" si="21"/>
        <v>0.31828478599051396</v>
      </c>
      <c r="M235" s="10">
        <f t="shared" si="20"/>
        <v>0.33790701675483081</v>
      </c>
      <c r="P235" s="8">
        <f t="shared" si="25"/>
        <v>-0.31599743350779541</v>
      </c>
    </row>
    <row r="236" spans="1:16" x14ac:dyDescent="0.2">
      <c r="A236" s="8">
        <v>117</v>
      </c>
      <c r="B236" s="8">
        <v>234</v>
      </c>
      <c r="D236">
        <v>711.34036568214003</v>
      </c>
      <c r="E236">
        <v>297.84739803093998</v>
      </c>
      <c r="F236">
        <v>141.13838664811999</v>
      </c>
      <c r="G236">
        <v>117.27816411683</v>
      </c>
      <c r="I236" s="9">
        <f t="shared" si="22"/>
        <v>180.56923391410999</v>
      </c>
      <c r="J236" s="9">
        <f t="shared" si="23"/>
        <v>570.20197903402004</v>
      </c>
      <c r="K236" s="9">
        <f t="shared" si="24"/>
        <v>180.56923391410999</v>
      </c>
      <c r="L236" s="10">
        <f t="shared" si="21"/>
        <v>0.31667591582199095</v>
      </c>
      <c r="M236" s="10">
        <f t="shared" si="20"/>
        <v>0.33638236216898726</v>
      </c>
      <c r="P236" s="8">
        <f t="shared" si="25"/>
        <v>-0.76577700040715668</v>
      </c>
    </row>
    <row r="237" spans="1:16" x14ac:dyDescent="0.2">
      <c r="A237" s="8">
        <v>117.5</v>
      </c>
      <c r="B237" s="8">
        <v>235</v>
      </c>
      <c r="D237">
        <v>714.03164556961997</v>
      </c>
      <c r="E237">
        <v>300.69971870605002</v>
      </c>
      <c r="F237">
        <v>140.5438108484</v>
      </c>
      <c r="G237">
        <v>117.37065368568</v>
      </c>
      <c r="I237" s="9">
        <f t="shared" si="22"/>
        <v>183.32906502037002</v>
      </c>
      <c r="J237" s="9">
        <f t="shared" si="23"/>
        <v>573.48783472122</v>
      </c>
      <c r="K237" s="9">
        <f t="shared" si="24"/>
        <v>183.32906502037002</v>
      </c>
      <c r="L237" s="10">
        <f t="shared" si="21"/>
        <v>0.31967385168595375</v>
      </c>
      <c r="M237" s="10">
        <f t="shared" si="20"/>
        <v>0.33946451361562952</v>
      </c>
      <c r="P237" s="8">
        <f t="shared" si="25"/>
        <v>0.14347074374467272</v>
      </c>
    </row>
    <row r="238" spans="1:16" x14ac:dyDescent="0.2">
      <c r="A238" s="8">
        <v>118</v>
      </c>
      <c r="B238" s="8">
        <v>236</v>
      </c>
      <c r="D238">
        <v>702.85302390999004</v>
      </c>
      <c r="E238">
        <v>298.66315049226</v>
      </c>
      <c r="F238">
        <v>141.20931849791</v>
      </c>
      <c r="G238">
        <v>117.31641168289001</v>
      </c>
      <c r="I238" s="9">
        <f t="shared" si="22"/>
        <v>181.34673880936998</v>
      </c>
      <c r="J238" s="9">
        <f t="shared" si="23"/>
        <v>561.64370541208007</v>
      </c>
      <c r="K238" s="9">
        <f t="shared" si="24"/>
        <v>181.34673880936998</v>
      </c>
      <c r="L238" s="10">
        <f t="shared" si="21"/>
        <v>0.3228857317582064</v>
      </c>
      <c r="M238" s="10">
        <f t="shared" si="20"/>
        <v>0.34276060927056162</v>
      </c>
      <c r="P238" s="8">
        <f t="shared" si="25"/>
        <v>1.1158329364009123</v>
      </c>
    </row>
    <row r="239" spans="1:16" x14ac:dyDescent="0.2">
      <c r="A239" s="8">
        <v>118.5</v>
      </c>
      <c r="B239" s="8">
        <v>237</v>
      </c>
      <c r="D239">
        <v>709.27496483825996</v>
      </c>
      <c r="E239">
        <v>304.15471167369998</v>
      </c>
      <c r="F239">
        <v>141.27468706536999</v>
      </c>
      <c r="G239">
        <v>117.02016689846999</v>
      </c>
      <c r="I239" s="9">
        <f t="shared" si="22"/>
        <v>187.13454477522998</v>
      </c>
      <c r="J239" s="9">
        <f t="shared" si="23"/>
        <v>568.00027777288994</v>
      </c>
      <c r="K239" s="9">
        <f t="shared" si="24"/>
        <v>187.13454477522998</v>
      </c>
      <c r="L239" s="10">
        <f t="shared" si="21"/>
        <v>0.32946206559788715</v>
      </c>
      <c r="M239" s="10">
        <f t="shared" si="20"/>
        <v>0.3494211586929219</v>
      </c>
      <c r="P239" s="8">
        <f t="shared" si="25"/>
        <v>3.0807232547175047</v>
      </c>
    </row>
    <row r="240" spans="1:16" x14ac:dyDescent="0.2">
      <c r="A240" s="8">
        <v>119</v>
      </c>
      <c r="B240" s="8">
        <v>238</v>
      </c>
      <c r="D240">
        <v>677.52883263010006</v>
      </c>
      <c r="E240">
        <v>292.27848101266</v>
      </c>
      <c r="F240">
        <v>141.40820584145001</v>
      </c>
      <c r="G240">
        <v>117.09596662030999</v>
      </c>
      <c r="I240" s="9">
        <f t="shared" si="22"/>
        <v>175.18251439235001</v>
      </c>
      <c r="J240" s="9">
        <f t="shared" si="23"/>
        <v>536.12062678865004</v>
      </c>
      <c r="K240" s="9">
        <f t="shared" si="24"/>
        <v>175.18251439235001</v>
      </c>
      <c r="L240" s="10">
        <f t="shared" si="21"/>
        <v>0.32675951201819853</v>
      </c>
      <c r="M240" s="10">
        <f t="shared" si="20"/>
        <v>0.34680282069591273</v>
      </c>
      <c r="P240" s="8">
        <f t="shared" si="25"/>
        <v>2.3083024446365474</v>
      </c>
    </row>
    <row r="241" spans="1:16" x14ac:dyDescent="0.2">
      <c r="A241" s="8">
        <v>119.5</v>
      </c>
      <c r="B241" s="8">
        <v>239</v>
      </c>
      <c r="D241">
        <v>684.51758087200994</v>
      </c>
      <c r="E241">
        <v>293.63783403656998</v>
      </c>
      <c r="F241">
        <v>141.33796940195001</v>
      </c>
      <c r="G241">
        <v>117.4471488178</v>
      </c>
      <c r="I241" s="9">
        <f t="shared" si="22"/>
        <v>176.19068521877</v>
      </c>
      <c r="J241" s="9">
        <f t="shared" si="23"/>
        <v>543.17961147005997</v>
      </c>
      <c r="K241" s="9">
        <f t="shared" si="24"/>
        <v>176.19068521877</v>
      </c>
      <c r="L241" s="10">
        <f t="shared" si="21"/>
        <v>0.3243691064580424</v>
      </c>
      <c r="M241" s="10">
        <f t="shared" si="20"/>
        <v>0.34449663071843606</v>
      </c>
      <c r="P241" s="8">
        <f t="shared" si="25"/>
        <v>1.6279666237311172</v>
      </c>
    </row>
    <row r="242" spans="1:16" x14ac:dyDescent="0.2">
      <c r="A242" s="8">
        <v>120</v>
      </c>
      <c r="B242" s="8">
        <v>240</v>
      </c>
      <c r="D242">
        <v>701.91631504922998</v>
      </c>
      <c r="E242">
        <v>298.02180028128998</v>
      </c>
      <c r="F242">
        <v>141.13004172462001</v>
      </c>
      <c r="G242">
        <v>117.65994436718</v>
      </c>
      <c r="I242" s="9">
        <f>E242-G242</f>
        <v>180.36185591410998</v>
      </c>
      <c r="J242" s="9">
        <f>D242-F242</f>
        <v>560.78627332460997</v>
      </c>
      <c r="K242" s="9">
        <f t="shared" si="24"/>
        <v>180.36185591410998</v>
      </c>
      <c r="L242" s="10">
        <f t="shared" si="21"/>
        <v>0.32162316464138541</v>
      </c>
      <c r="M242" s="10">
        <f>L242+ABS($N$2)*A242</f>
        <v>0.34183490448445852</v>
      </c>
      <c r="O242" s="11"/>
      <c r="P242" s="8">
        <f>(M242-$O$2)/$O$2*100</f>
        <v>0.84274609979145576</v>
      </c>
    </row>
    <row r="243" spans="1:16" x14ac:dyDescent="0.2">
      <c r="A243" s="8">
        <v>120.5</v>
      </c>
      <c r="B243" s="8">
        <v>241</v>
      </c>
      <c r="D243">
        <v>710.78832630098998</v>
      </c>
      <c r="E243">
        <v>302.64345991560998</v>
      </c>
      <c r="F243">
        <v>141.77746870653999</v>
      </c>
      <c r="G243">
        <v>117.59179415855</v>
      </c>
      <c r="I243" s="9">
        <f t="shared" ref="I243:I274" si="26">E243-G243</f>
        <v>185.05166575705999</v>
      </c>
      <c r="J243" s="9">
        <f t="shared" ref="J243:J274" si="27">D243-F243</f>
        <v>569.01085759445004</v>
      </c>
      <c r="K243" s="9">
        <f t="shared" si="24"/>
        <v>185.05166575705999</v>
      </c>
      <c r="L243" s="10">
        <f t="shared" si="21"/>
        <v>0.32521640542921149</v>
      </c>
      <c r="M243" s="10">
        <f t="shared" ref="M243:M274" si="28">L243+ABS($N$2)*A243</f>
        <v>0.34551236085496406</v>
      </c>
      <c r="P243" s="8">
        <f t="shared" ref="P243:P274" si="29">(M243-$O$2)/$O$2*100</f>
        <v>1.9276113203962493</v>
      </c>
    </row>
    <row r="244" spans="1:16" x14ac:dyDescent="0.2">
      <c r="A244" s="8">
        <v>121</v>
      </c>
      <c r="B244" s="8">
        <v>242</v>
      </c>
      <c r="D244">
        <v>696.03656821378001</v>
      </c>
      <c r="E244">
        <v>300.36146272855001</v>
      </c>
      <c r="F244">
        <v>141.21418636996</v>
      </c>
      <c r="G244">
        <v>117.42698191933</v>
      </c>
      <c r="I244" s="9">
        <f t="shared" si="26"/>
        <v>182.93448080922002</v>
      </c>
      <c r="J244" s="9">
        <f t="shared" si="27"/>
        <v>554.82238184382004</v>
      </c>
      <c r="K244" s="9">
        <f t="shared" si="24"/>
        <v>182.93448080922002</v>
      </c>
      <c r="L244" s="10">
        <f t="shared" si="21"/>
        <v>0.32971719742322009</v>
      </c>
      <c r="M244" s="10">
        <f t="shared" si="28"/>
        <v>0.35009736843165218</v>
      </c>
      <c r="N244" s="1"/>
      <c r="P244" s="8">
        <f t="shared" si="29"/>
        <v>3.2802079945682432</v>
      </c>
    </row>
    <row r="245" spans="1:16" x14ac:dyDescent="0.2">
      <c r="A245" s="8">
        <v>121.5</v>
      </c>
      <c r="B245" s="8">
        <v>243</v>
      </c>
      <c r="D245">
        <v>692.39240506328997</v>
      </c>
      <c r="E245">
        <v>298.39803094233997</v>
      </c>
      <c r="F245">
        <v>141.69401947149001</v>
      </c>
      <c r="G245">
        <v>117.86369958275</v>
      </c>
      <c r="I245" s="9">
        <f t="shared" si="26"/>
        <v>180.53433135958997</v>
      </c>
      <c r="J245" s="9">
        <f t="shared" si="27"/>
        <v>550.69838559179993</v>
      </c>
      <c r="K245" s="9">
        <f t="shared" si="24"/>
        <v>180.53433135958997</v>
      </c>
      <c r="L245" s="10">
        <f t="shared" si="21"/>
        <v>0.32782796551252169</v>
      </c>
      <c r="M245" s="10">
        <f t="shared" si="28"/>
        <v>0.34829235210363324</v>
      </c>
      <c r="P245" s="8">
        <f t="shared" si="29"/>
        <v>2.7477205250779315</v>
      </c>
    </row>
    <row r="246" spans="1:16" x14ac:dyDescent="0.2">
      <c r="A246" s="8">
        <v>122</v>
      </c>
      <c r="B246" s="8">
        <v>244</v>
      </c>
      <c r="D246">
        <v>701.91983122363001</v>
      </c>
      <c r="E246">
        <v>297.91561181434997</v>
      </c>
      <c r="F246">
        <v>141.18219749651999</v>
      </c>
      <c r="G246">
        <v>117.65159944366999</v>
      </c>
      <c r="I246" s="9">
        <f t="shared" si="26"/>
        <v>180.26401237067998</v>
      </c>
      <c r="J246" s="9">
        <f t="shared" si="27"/>
        <v>560.73763372711005</v>
      </c>
      <c r="K246" s="9">
        <f t="shared" si="24"/>
        <v>180.26401237067998</v>
      </c>
      <c r="L246" s="10">
        <f t="shared" si="21"/>
        <v>0.32147657215817926</v>
      </c>
      <c r="M246" s="10">
        <f t="shared" si="28"/>
        <v>0.34202517433197027</v>
      </c>
      <c r="P246" s="8">
        <f t="shared" si="29"/>
        <v>0.89887651149417758</v>
      </c>
    </row>
    <row r="247" spans="1:16" x14ac:dyDescent="0.2">
      <c r="A247" s="8">
        <v>122.5</v>
      </c>
      <c r="B247" s="8">
        <v>245</v>
      </c>
      <c r="D247">
        <v>707.27496483825996</v>
      </c>
      <c r="E247">
        <v>297.54149085795001</v>
      </c>
      <c r="F247">
        <v>141.30180806676</v>
      </c>
      <c r="G247">
        <v>117.48748261474</v>
      </c>
      <c r="I247" s="9">
        <f t="shared" si="26"/>
        <v>180.05400824321001</v>
      </c>
      <c r="J247" s="9">
        <f t="shared" si="27"/>
        <v>565.97315677149993</v>
      </c>
      <c r="K247" s="9">
        <f t="shared" si="24"/>
        <v>180.05400824321001</v>
      </c>
      <c r="L247" s="10">
        <f t="shared" si="21"/>
        <v>0.31813171011554375</v>
      </c>
      <c r="M247" s="10">
        <f t="shared" si="28"/>
        <v>0.33876452787201422</v>
      </c>
      <c r="P247" s="8">
        <f t="shared" si="29"/>
        <v>-6.3028018350232543E-2</v>
      </c>
    </row>
    <row r="248" spans="1:16" x14ac:dyDescent="0.2">
      <c r="A248" s="8">
        <v>123</v>
      </c>
      <c r="B248" s="8">
        <v>246</v>
      </c>
      <c r="D248">
        <v>707.80098452882999</v>
      </c>
      <c r="E248">
        <v>297.10689170183002</v>
      </c>
      <c r="F248">
        <v>141.5876216968</v>
      </c>
      <c r="G248">
        <v>117.70723226704</v>
      </c>
      <c r="I248" s="9">
        <f t="shared" si="26"/>
        <v>179.39965943479001</v>
      </c>
      <c r="J248" s="9">
        <f t="shared" si="27"/>
        <v>566.21336283203004</v>
      </c>
      <c r="K248" s="9">
        <f t="shared" si="24"/>
        <v>179.39965943479001</v>
      </c>
      <c r="L248" s="10">
        <f t="shared" si="21"/>
        <v>0.31684109067558303</v>
      </c>
      <c r="M248" s="10">
        <f t="shared" si="28"/>
        <v>0.33755812401473301</v>
      </c>
      <c r="P248" s="8">
        <f t="shared" si="29"/>
        <v>-0.41892227103661828</v>
      </c>
    </row>
    <row r="249" spans="1:16" x14ac:dyDescent="0.2">
      <c r="A249" s="8">
        <v>123.5</v>
      </c>
      <c r="B249" s="8">
        <v>247</v>
      </c>
      <c r="D249">
        <v>714.92545710266995</v>
      </c>
      <c r="E249">
        <v>298.36779184248002</v>
      </c>
      <c r="F249">
        <v>141.33240611961</v>
      </c>
      <c r="G249">
        <v>117.67037552156</v>
      </c>
      <c r="I249" s="9">
        <f t="shared" si="26"/>
        <v>180.69741632092001</v>
      </c>
      <c r="J249" s="9">
        <f t="shared" si="27"/>
        <v>573.59305098305992</v>
      </c>
      <c r="K249" s="9">
        <f t="shared" si="24"/>
        <v>180.69741632092001</v>
      </c>
      <c r="L249" s="10">
        <f t="shared" si="21"/>
        <v>0.31502720615465857</v>
      </c>
      <c r="M249" s="10">
        <f t="shared" si="28"/>
        <v>0.33582845507648801</v>
      </c>
      <c r="P249" s="8">
        <f t="shared" si="29"/>
        <v>-0.92918194109341479</v>
      </c>
    </row>
    <row r="250" spans="1:16" x14ac:dyDescent="0.2">
      <c r="A250" s="8">
        <v>124</v>
      </c>
      <c r="B250" s="8">
        <v>248</v>
      </c>
      <c r="D250">
        <v>708.15400843882003</v>
      </c>
      <c r="E250">
        <v>292.21448663854</v>
      </c>
      <c r="F250">
        <v>141.8247566064</v>
      </c>
      <c r="G250">
        <v>117.87899860918</v>
      </c>
      <c r="I250" s="9">
        <f t="shared" si="26"/>
        <v>174.33548802935999</v>
      </c>
      <c r="J250" s="9">
        <f t="shared" si="27"/>
        <v>566.32925183242003</v>
      </c>
      <c r="K250" s="9">
        <f t="shared" si="24"/>
        <v>174.33548802935999</v>
      </c>
      <c r="L250" s="10">
        <f t="shared" si="21"/>
        <v>0.30783415736566411</v>
      </c>
      <c r="M250" s="10">
        <f t="shared" si="28"/>
        <v>0.32871962187017301</v>
      </c>
      <c r="P250" s="8">
        <f t="shared" si="29"/>
        <v>-3.0263178762646654</v>
      </c>
    </row>
    <row r="251" spans="1:16" x14ac:dyDescent="0.2">
      <c r="A251" s="8">
        <v>124.5</v>
      </c>
      <c r="B251" s="8">
        <v>249</v>
      </c>
      <c r="D251">
        <v>698.99367088608005</v>
      </c>
      <c r="E251">
        <v>291.91772151898999</v>
      </c>
      <c r="F251">
        <v>141.81154381085</v>
      </c>
      <c r="G251">
        <v>118.17176634214</v>
      </c>
      <c r="I251" s="9">
        <f t="shared" si="26"/>
        <v>173.74595517684998</v>
      </c>
      <c r="J251" s="9">
        <f t="shared" si="27"/>
        <v>557.18212707523003</v>
      </c>
      <c r="K251" s="9">
        <f t="shared" si="24"/>
        <v>173.74595517684998</v>
      </c>
      <c r="L251" s="10">
        <f t="shared" si="21"/>
        <v>0.31182973525888247</v>
      </c>
      <c r="M251" s="10">
        <f t="shared" si="28"/>
        <v>0.33279941534607083</v>
      </c>
      <c r="P251" s="8">
        <f t="shared" si="29"/>
        <v>-1.8227615037811922</v>
      </c>
    </row>
    <row r="252" spans="1:16" x14ac:dyDescent="0.2">
      <c r="A252" s="8">
        <v>125</v>
      </c>
      <c r="B252" s="8">
        <v>250</v>
      </c>
      <c r="D252">
        <v>711.90436005625997</v>
      </c>
      <c r="E252">
        <v>297.64627285513001</v>
      </c>
      <c r="F252">
        <v>141.90959666203</v>
      </c>
      <c r="G252">
        <v>117.72392211405</v>
      </c>
      <c r="I252" s="9">
        <f t="shared" si="26"/>
        <v>179.92235074108001</v>
      </c>
      <c r="J252" s="9">
        <f t="shared" si="27"/>
        <v>569.99476339422995</v>
      </c>
      <c r="K252" s="9">
        <f t="shared" si="24"/>
        <v>179.92235074108001</v>
      </c>
      <c r="L252" s="10">
        <f t="shared" si="21"/>
        <v>0.3156561468559298</v>
      </c>
      <c r="M252" s="10">
        <f t="shared" si="28"/>
        <v>0.33671004252579761</v>
      </c>
      <c r="P252" s="8">
        <f t="shared" si="29"/>
        <v>-0.66910990588223773</v>
      </c>
    </row>
    <row r="253" spans="1:16" x14ac:dyDescent="0.2">
      <c r="A253" s="8">
        <v>125.5</v>
      </c>
      <c r="B253" s="8">
        <v>251</v>
      </c>
      <c r="D253">
        <v>716.45007032348997</v>
      </c>
      <c r="E253">
        <v>298.13783403656998</v>
      </c>
      <c r="F253">
        <v>141.80111265647</v>
      </c>
      <c r="G253">
        <v>117.98678720445</v>
      </c>
      <c r="I253" s="9">
        <f t="shared" si="26"/>
        <v>180.15104683211999</v>
      </c>
      <c r="J253" s="9">
        <f t="shared" si="27"/>
        <v>574.64895766702</v>
      </c>
      <c r="K253" s="9">
        <f t="shared" si="24"/>
        <v>180.15104683211999</v>
      </c>
      <c r="L253" s="10">
        <f t="shared" si="21"/>
        <v>0.31349756129986478</v>
      </c>
      <c r="M253" s="10">
        <f t="shared" si="28"/>
        <v>0.33463567255241211</v>
      </c>
      <c r="P253" s="8">
        <f t="shared" si="29"/>
        <v>-1.2810578427338883</v>
      </c>
    </row>
    <row r="254" spans="1:16" x14ac:dyDescent="0.2">
      <c r="A254" s="8">
        <v>126</v>
      </c>
      <c r="B254" s="8">
        <v>252</v>
      </c>
      <c r="D254">
        <v>697.45710267229003</v>
      </c>
      <c r="E254">
        <v>290.66244725737999</v>
      </c>
      <c r="F254">
        <v>141.62100139082</v>
      </c>
      <c r="G254">
        <v>117.89221140473001</v>
      </c>
      <c r="I254" s="9">
        <f t="shared" si="26"/>
        <v>172.77023585264999</v>
      </c>
      <c r="J254" s="9">
        <f t="shared" si="27"/>
        <v>555.83610128147006</v>
      </c>
      <c r="K254" s="9">
        <f t="shared" si="24"/>
        <v>172.77023585264999</v>
      </c>
      <c r="L254" s="10">
        <f t="shared" si="21"/>
        <v>0.31082946115650162</v>
      </c>
      <c r="M254" s="10">
        <f t="shared" si="28"/>
        <v>0.33205178799172841</v>
      </c>
      <c r="P254" s="8">
        <f t="shared" si="29"/>
        <v>-2.0433147430266563</v>
      </c>
    </row>
    <row r="255" spans="1:16" x14ac:dyDescent="0.2">
      <c r="A255" s="8">
        <v>126.5</v>
      </c>
      <c r="B255" s="8">
        <v>253</v>
      </c>
      <c r="D255">
        <v>697.91561181434997</v>
      </c>
      <c r="E255">
        <v>288.77637130801998</v>
      </c>
      <c r="F255">
        <v>142.08275382476</v>
      </c>
      <c r="G255">
        <v>117.98052851182</v>
      </c>
      <c r="I255" s="9">
        <f t="shared" si="26"/>
        <v>170.79584279619996</v>
      </c>
      <c r="J255" s="9">
        <f t="shared" si="27"/>
        <v>555.83285798958991</v>
      </c>
      <c r="K255" s="9">
        <f t="shared" si="24"/>
        <v>170.79584279619996</v>
      </c>
      <c r="L255" s="10">
        <f t="shared" si="21"/>
        <v>0.30727914037676191</v>
      </c>
      <c r="M255" s="10">
        <f t="shared" si="28"/>
        <v>0.32858568279466815</v>
      </c>
      <c r="P255" s="8">
        <f t="shared" si="29"/>
        <v>-3.0658304713998725</v>
      </c>
    </row>
    <row r="256" spans="1:16" x14ac:dyDescent="0.2">
      <c r="A256" s="8">
        <v>127</v>
      </c>
      <c r="B256" s="8">
        <v>254</v>
      </c>
      <c r="D256">
        <v>706.02812939522005</v>
      </c>
      <c r="E256">
        <v>294.62658227847999</v>
      </c>
      <c r="F256">
        <v>141.65299026426001</v>
      </c>
      <c r="G256">
        <v>117.8337969402</v>
      </c>
      <c r="I256" s="9">
        <f t="shared" si="26"/>
        <v>176.79278533828</v>
      </c>
      <c r="J256" s="9">
        <f t="shared" si="27"/>
        <v>564.37513913096006</v>
      </c>
      <c r="K256" s="9">
        <f t="shared" si="24"/>
        <v>176.79278533828</v>
      </c>
      <c r="L256" s="10">
        <f t="shared" si="21"/>
        <v>0.31325402747277326</v>
      </c>
      <c r="M256" s="10">
        <f t="shared" si="28"/>
        <v>0.33464478547335896</v>
      </c>
      <c r="P256" s="8">
        <f t="shared" si="29"/>
        <v>-1.2783694924185314</v>
      </c>
    </row>
    <row r="257" spans="1:16" x14ac:dyDescent="0.2">
      <c r="A257" s="8">
        <v>127.5</v>
      </c>
      <c r="B257" s="8">
        <v>255</v>
      </c>
      <c r="D257">
        <v>702.82981715893004</v>
      </c>
      <c r="E257">
        <v>293.40576652601999</v>
      </c>
      <c r="F257">
        <v>141.73296244784001</v>
      </c>
      <c r="G257">
        <v>118.56467315716</v>
      </c>
      <c r="I257" s="9">
        <f t="shared" si="26"/>
        <v>174.84109336885999</v>
      </c>
      <c r="J257" s="9">
        <f t="shared" si="27"/>
        <v>561.09685471109003</v>
      </c>
      <c r="K257" s="9">
        <f t="shared" si="24"/>
        <v>174.84109336885999</v>
      </c>
      <c r="L257" s="10">
        <f t="shared" si="21"/>
        <v>0.3116059052922085</v>
      </c>
      <c r="M257" s="10">
        <f t="shared" si="28"/>
        <v>0.33308087887547372</v>
      </c>
      <c r="P257" s="8">
        <f t="shared" si="29"/>
        <v>-1.7397285692868814</v>
      </c>
    </row>
    <row r="258" spans="1:16" x14ac:dyDescent="0.2">
      <c r="A258" s="8">
        <v>128</v>
      </c>
      <c r="B258" s="8">
        <v>256</v>
      </c>
      <c r="D258">
        <v>718.38045007031997</v>
      </c>
      <c r="E258">
        <v>299.11181434599001</v>
      </c>
      <c r="F258">
        <v>142.31432545202</v>
      </c>
      <c r="G258">
        <v>118.28303198886999</v>
      </c>
      <c r="I258" s="9">
        <f t="shared" si="26"/>
        <v>180.82878235712002</v>
      </c>
      <c r="J258" s="9">
        <f t="shared" si="27"/>
        <v>576.06612461829991</v>
      </c>
      <c r="K258" s="9">
        <f t="shared" si="24"/>
        <v>180.82878235712002</v>
      </c>
      <c r="L258" s="10">
        <f t="shared" ref="L258:L319" si="30">K258/J258</f>
        <v>0.31390282231390843</v>
      </c>
      <c r="M258" s="10">
        <f t="shared" si="28"/>
        <v>0.33546201147985311</v>
      </c>
      <c r="P258" s="8">
        <f t="shared" si="29"/>
        <v>-1.0372843557110183</v>
      </c>
    </row>
    <row r="259" spans="1:16" x14ac:dyDescent="0.2">
      <c r="A259" s="8">
        <v>128.5</v>
      </c>
      <c r="B259" s="8">
        <v>257</v>
      </c>
      <c r="D259">
        <v>720.08860759493996</v>
      </c>
      <c r="E259">
        <v>303.07102672293001</v>
      </c>
      <c r="F259">
        <v>142.07719054242</v>
      </c>
      <c r="G259">
        <v>118.04659248957</v>
      </c>
      <c r="I259" s="9">
        <f t="shared" si="26"/>
        <v>185.02443423336001</v>
      </c>
      <c r="J259" s="9">
        <f t="shared" si="27"/>
        <v>578.01141705251996</v>
      </c>
      <c r="K259" s="9">
        <f t="shared" ref="K259:K319" si="31">I259*1</f>
        <v>185.02443423336001</v>
      </c>
      <c r="L259" s="10">
        <f t="shared" si="30"/>
        <v>0.32010515497576775</v>
      </c>
      <c r="M259" s="10">
        <f t="shared" si="28"/>
        <v>0.34174855972439189</v>
      </c>
      <c r="P259" s="8">
        <f t="shared" si="29"/>
        <v>0.81727402949606209</v>
      </c>
    </row>
    <row r="260" spans="1:16" x14ac:dyDescent="0.2">
      <c r="A260" s="8">
        <v>129</v>
      </c>
      <c r="B260" s="8">
        <v>258</v>
      </c>
      <c r="D260">
        <v>715.45780590717004</v>
      </c>
      <c r="E260">
        <v>303.66596343178998</v>
      </c>
      <c r="F260">
        <v>142.10778859526999</v>
      </c>
      <c r="G260">
        <v>118.03755215577</v>
      </c>
      <c r="I260" s="9">
        <f t="shared" si="26"/>
        <v>185.62841127601996</v>
      </c>
      <c r="J260" s="9">
        <f t="shared" si="27"/>
        <v>573.35001731190005</v>
      </c>
      <c r="K260" s="9">
        <f t="shared" si="31"/>
        <v>185.62841127601996</v>
      </c>
      <c r="L260" s="10">
        <f t="shared" si="30"/>
        <v>0.32376106334891563</v>
      </c>
      <c r="M260" s="10">
        <f t="shared" si="28"/>
        <v>0.34548868368021923</v>
      </c>
      <c r="P260" s="8">
        <f t="shared" si="29"/>
        <v>1.9206264534624464</v>
      </c>
    </row>
    <row r="261" spans="1:16" x14ac:dyDescent="0.2">
      <c r="A261" s="8">
        <v>129.5</v>
      </c>
      <c r="B261" s="8">
        <v>259</v>
      </c>
      <c r="D261">
        <v>713.1511954993</v>
      </c>
      <c r="E261">
        <v>307.97257383966001</v>
      </c>
      <c r="F261">
        <v>142.43254520167</v>
      </c>
      <c r="G261">
        <v>118.52155771904999</v>
      </c>
      <c r="I261" s="9">
        <f t="shared" si="26"/>
        <v>189.45101612061001</v>
      </c>
      <c r="J261" s="9">
        <f t="shared" si="27"/>
        <v>570.71865029763001</v>
      </c>
      <c r="K261" s="9">
        <f t="shared" si="31"/>
        <v>189.45101612061001</v>
      </c>
      <c r="L261" s="10">
        <f t="shared" si="30"/>
        <v>0.33195168236014583</v>
      </c>
      <c r="M261" s="10">
        <f t="shared" si="28"/>
        <v>0.35376351827412889</v>
      </c>
      <c r="P261" s="8">
        <f t="shared" si="29"/>
        <v>4.3617377414682634</v>
      </c>
    </row>
    <row r="262" spans="1:16" x14ac:dyDescent="0.2">
      <c r="A262" s="8">
        <v>130</v>
      </c>
      <c r="B262" s="8">
        <v>260</v>
      </c>
      <c r="D262">
        <v>701.37201125176</v>
      </c>
      <c r="E262">
        <v>305.45218002812999</v>
      </c>
      <c r="F262">
        <v>142.22461752434</v>
      </c>
      <c r="G262">
        <v>118.5</v>
      </c>
      <c r="I262" s="9">
        <f t="shared" si="26"/>
        <v>186.95218002812999</v>
      </c>
      <c r="J262" s="9">
        <f t="shared" si="27"/>
        <v>559.14739372741997</v>
      </c>
      <c r="K262" s="9">
        <f t="shared" si="31"/>
        <v>186.95218002812999</v>
      </c>
      <c r="L262" s="10">
        <f t="shared" si="30"/>
        <v>0.33435223364247268</v>
      </c>
      <c r="M262" s="10">
        <f t="shared" si="28"/>
        <v>0.35624828513913526</v>
      </c>
      <c r="P262" s="8">
        <f t="shared" si="29"/>
        <v>5.0947545013070892</v>
      </c>
    </row>
    <row r="263" spans="1:16" x14ac:dyDescent="0.2">
      <c r="A263" s="8">
        <v>130.5</v>
      </c>
      <c r="B263" s="8">
        <v>261</v>
      </c>
      <c r="D263">
        <v>717.28973277074999</v>
      </c>
      <c r="E263">
        <v>308.58509142052998</v>
      </c>
      <c r="F263">
        <v>142.84561891516</v>
      </c>
      <c r="G263">
        <v>118.41863699583</v>
      </c>
      <c r="I263" s="9">
        <f t="shared" si="26"/>
        <v>190.16645442469996</v>
      </c>
      <c r="J263" s="9">
        <f t="shared" si="27"/>
        <v>574.44411385558999</v>
      </c>
      <c r="K263" s="9">
        <f t="shared" si="31"/>
        <v>190.16645442469996</v>
      </c>
      <c r="L263" s="10">
        <f t="shared" si="30"/>
        <v>0.33104430846776173</v>
      </c>
      <c r="M263" s="10">
        <f t="shared" si="28"/>
        <v>0.35302457554710376</v>
      </c>
      <c r="P263" s="8">
        <f t="shared" si="29"/>
        <v>4.1437465041015997</v>
      </c>
    </row>
    <row r="264" spans="1:16" x14ac:dyDescent="0.2">
      <c r="A264" s="8">
        <v>131</v>
      </c>
      <c r="B264" s="8">
        <v>262</v>
      </c>
      <c r="D264">
        <v>723.45991561180995</v>
      </c>
      <c r="E264">
        <v>304.68917018283997</v>
      </c>
      <c r="F264">
        <v>142.65159944366999</v>
      </c>
      <c r="G264">
        <v>117.66759388039</v>
      </c>
      <c r="I264" s="9">
        <f t="shared" si="26"/>
        <v>187.02157630244997</v>
      </c>
      <c r="J264" s="9">
        <f t="shared" si="27"/>
        <v>580.80831616813998</v>
      </c>
      <c r="K264" s="9">
        <f t="shared" si="31"/>
        <v>187.02157630244997</v>
      </c>
      <c r="L264" s="10">
        <f t="shared" si="30"/>
        <v>0.32200223567099978</v>
      </c>
      <c r="M264" s="10">
        <f t="shared" si="28"/>
        <v>0.34406671833302127</v>
      </c>
      <c r="P264" s="8">
        <f t="shared" si="29"/>
        <v>1.5011406473349291</v>
      </c>
    </row>
    <row r="265" spans="1:16" x14ac:dyDescent="0.2">
      <c r="A265" s="8">
        <v>131.5</v>
      </c>
      <c r="B265" s="8">
        <v>263</v>
      </c>
      <c r="D265">
        <v>707.33544303797999</v>
      </c>
      <c r="E265">
        <v>297.94444444444002</v>
      </c>
      <c r="F265">
        <v>142.64742698192001</v>
      </c>
      <c r="G265">
        <v>118.14812239221</v>
      </c>
      <c r="I265" s="9">
        <f t="shared" si="26"/>
        <v>179.79632205223004</v>
      </c>
      <c r="J265" s="9">
        <f t="shared" si="27"/>
        <v>564.68801605605995</v>
      </c>
      <c r="K265" s="9">
        <f t="shared" si="31"/>
        <v>179.79632205223004</v>
      </c>
      <c r="L265" s="10">
        <f t="shared" si="30"/>
        <v>0.31839939389537281</v>
      </c>
      <c r="M265" s="10">
        <f t="shared" si="28"/>
        <v>0.34054809214007375</v>
      </c>
      <c r="P265" s="8">
        <f t="shared" si="29"/>
        <v>0.46313100250179196</v>
      </c>
    </row>
    <row r="266" spans="1:16" x14ac:dyDescent="0.2">
      <c r="A266" s="8">
        <v>132</v>
      </c>
      <c r="B266" s="8">
        <v>264</v>
      </c>
      <c r="D266">
        <v>713.39240506328997</v>
      </c>
      <c r="E266">
        <v>305.97960618846997</v>
      </c>
      <c r="F266">
        <v>142.40611961056999</v>
      </c>
      <c r="G266">
        <v>118.2628650904</v>
      </c>
      <c r="I266" s="9">
        <f t="shared" si="26"/>
        <v>187.71674109806997</v>
      </c>
      <c r="J266" s="9">
        <f t="shared" si="27"/>
        <v>570.98628545272004</v>
      </c>
      <c r="K266" s="9">
        <f t="shared" si="31"/>
        <v>187.71674109806997</v>
      </c>
      <c r="L266" s="10">
        <f t="shared" si="30"/>
        <v>0.32875875634952301</v>
      </c>
      <c r="M266" s="10">
        <f t="shared" si="28"/>
        <v>0.35099167017690347</v>
      </c>
      <c r="P266" s="8">
        <f t="shared" si="29"/>
        <v>3.5440308009869961</v>
      </c>
    </row>
    <row r="267" spans="1:16" x14ac:dyDescent="0.2">
      <c r="A267" s="8">
        <v>132.5</v>
      </c>
      <c r="B267" s="8">
        <v>265</v>
      </c>
      <c r="D267">
        <v>703.03867791843004</v>
      </c>
      <c r="E267">
        <v>305.21308016877998</v>
      </c>
      <c r="F267">
        <v>142.49235048679</v>
      </c>
      <c r="G267">
        <v>118.34144645341</v>
      </c>
      <c r="I267" s="9">
        <f t="shared" si="26"/>
        <v>186.87163371536997</v>
      </c>
      <c r="J267" s="9">
        <f t="shared" si="27"/>
        <v>560.54632743164007</v>
      </c>
      <c r="K267" s="9">
        <f t="shared" si="31"/>
        <v>186.87163371536997</v>
      </c>
      <c r="L267" s="10">
        <f t="shared" si="30"/>
        <v>0.3333741112382177</v>
      </c>
      <c r="M267" s="10">
        <f t="shared" si="28"/>
        <v>0.35569124064827762</v>
      </c>
      <c r="P267" s="8">
        <f t="shared" si="29"/>
        <v>4.9304240148034841</v>
      </c>
    </row>
    <row r="268" spans="1:16" x14ac:dyDescent="0.2">
      <c r="A268" s="8">
        <v>133</v>
      </c>
      <c r="B268" s="8">
        <v>266</v>
      </c>
      <c r="D268">
        <v>726.15541490858004</v>
      </c>
      <c r="E268">
        <v>314.00703234881001</v>
      </c>
      <c r="F268">
        <v>142.32684283726999</v>
      </c>
      <c r="G268">
        <v>117.86369958275</v>
      </c>
      <c r="I268" s="9">
        <f t="shared" si="26"/>
        <v>196.14333276606001</v>
      </c>
      <c r="J268" s="9">
        <f t="shared" si="27"/>
        <v>583.82857207131008</v>
      </c>
      <c r="K268" s="9">
        <f t="shared" si="31"/>
        <v>196.14333276606001</v>
      </c>
      <c r="L268" s="10">
        <f t="shared" si="30"/>
        <v>0.33596048934395528</v>
      </c>
      <c r="M268" s="10">
        <f t="shared" si="28"/>
        <v>0.35836183433669466</v>
      </c>
      <c r="P268" s="8">
        <f t="shared" si="29"/>
        <v>5.7182604753981323</v>
      </c>
    </row>
    <row r="269" spans="1:16" x14ac:dyDescent="0.2">
      <c r="A269" s="8">
        <v>133.5</v>
      </c>
      <c r="B269" s="8">
        <v>267</v>
      </c>
      <c r="D269">
        <v>719.00351617440003</v>
      </c>
      <c r="E269">
        <v>313.83333333333002</v>
      </c>
      <c r="F269">
        <v>142.91029207232</v>
      </c>
      <c r="G269">
        <v>118.48817802504</v>
      </c>
      <c r="I269" s="9">
        <f t="shared" si="26"/>
        <v>195.34515530829003</v>
      </c>
      <c r="J269" s="9">
        <f t="shared" si="27"/>
        <v>576.09322410208006</v>
      </c>
      <c r="K269" s="9">
        <f t="shared" si="31"/>
        <v>195.34515530829003</v>
      </c>
      <c r="L269" s="10">
        <f t="shared" si="30"/>
        <v>0.33908601444282238</v>
      </c>
      <c r="M269" s="10">
        <f t="shared" si="28"/>
        <v>0.36157157501824122</v>
      </c>
      <c r="P269" s="8">
        <f t="shared" si="29"/>
        <v>6.6651475847865989</v>
      </c>
    </row>
    <row r="270" spans="1:16" x14ac:dyDescent="0.2">
      <c r="A270" s="8">
        <v>134</v>
      </c>
      <c r="B270" s="8">
        <v>268</v>
      </c>
      <c r="D270">
        <v>712.28621659633995</v>
      </c>
      <c r="E270">
        <v>305.73417721519002</v>
      </c>
      <c r="F270">
        <v>143.04242002781999</v>
      </c>
      <c r="G270">
        <v>118.02712100139</v>
      </c>
      <c r="I270" s="9">
        <f t="shared" si="26"/>
        <v>187.7070562138</v>
      </c>
      <c r="J270" s="9">
        <f t="shared" si="27"/>
        <v>569.24379656852</v>
      </c>
      <c r="K270" s="9">
        <f t="shared" si="31"/>
        <v>187.7070562138</v>
      </c>
      <c r="L270" s="10">
        <f t="shared" si="30"/>
        <v>0.32974809272463573</v>
      </c>
      <c r="M270" s="10">
        <f t="shared" si="28"/>
        <v>0.35231786888273409</v>
      </c>
      <c r="P270" s="8">
        <f t="shared" si="29"/>
        <v>3.935265041889477</v>
      </c>
    </row>
    <row r="271" spans="1:16" x14ac:dyDescent="0.2">
      <c r="A271" s="8">
        <v>134.5</v>
      </c>
      <c r="B271" s="8">
        <v>269</v>
      </c>
      <c r="D271">
        <v>718.17299578058999</v>
      </c>
      <c r="E271">
        <v>309.73206751055</v>
      </c>
      <c r="F271">
        <v>142.65577190542001</v>
      </c>
      <c r="G271">
        <v>118.37691237830001</v>
      </c>
      <c r="I271" s="9">
        <f t="shared" si="26"/>
        <v>191.35515513224999</v>
      </c>
      <c r="J271" s="9">
        <f t="shared" si="27"/>
        <v>575.51722387516998</v>
      </c>
      <c r="K271" s="9">
        <f t="shared" si="31"/>
        <v>191.35515513224999</v>
      </c>
      <c r="L271" s="10">
        <f t="shared" si="30"/>
        <v>0.33249249057010855</v>
      </c>
      <c r="M271" s="10">
        <f t="shared" si="28"/>
        <v>0.35514648231088636</v>
      </c>
      <c r="P271" s="8">
        <f t="shared" si="29"/>
        <v>4.7697179956620452</v>
      </c>
    </row>
    <row r="272" spans="1:16" x14ac:dyDescent="0.2">
      <c r="A272" s="8">
        <v>135</v>
      </c>
      <c r="B272" s="8">
        <v>270</v>
      </c>
      <c r="D272">
        <v>710.59212376933999</v>
      </c>
      <c r="E272">
        <v>301.26300984529001</v>
      </c>
      <c r="F272">
        <v>142.64673157163</v>
      </c>
      <c r="G272">
        <v>118.47148817803</v>
      </c>
      <c r="I272" s="9">
        <f t="shared" si="26"/>
        <v>182.79152166726001</v>
      </c>
      <c r="J272" s="9">
        <f t="shared" si="27"/>
        <v>567.94539219771002</v>
      </c>
      <c r="K272" s="9">
        <f t="shared" si="31"/>
        <v>182.79152166726001</v>
      </c>
      <c r="L272" s="10">
        <f t="shared" si="30"/>
        <v>0.32184700180405307</v>
      </c>
      <c r="M272" s="10">
        <f t="shared" si="28"/>
        <v>0.34458520912751034</v>
      </c>
      <c r="P272" s="8">
        <f t="shared" si="29"/>
        <v>1.6540976299537637</v>
      </c>
    </row>
    <row r="273" spans="1:16" x14ac:dyDescent="0.2">
      <c r="A273" s="8">
        <v>135.5</v>
      </c>
      <c r="B273" s="8">
        <v>271</v>
      </c>
      <c r="D273">
        <v>694.17369901546999</v>
      </c>
      <c r="E273">
        <v>297.62306610408001</v>
      </c>
      <c r="F273">
        <v>142.61613351878</v>
      </c>
      <c r="G273">
        <v>118.0347705146</v>
      </c>
      <c r="I273" s="9">
        <f t="shared" si="26"/>
        <v>179.58829558948003</v>
      </c>
      <c r="J273" s="9">
        <f t="shared" si="27"/>
        <v>551.55756549669002</v>
      </c>
      <c r="K273" s="9">
        <f t="shared" si="31"/>
        <v>179.58829558948003</v>
      </c>
      <c r="L273" s="10">
        <f t="shared" si="30"/>
        <v>0.32560208910878907</v>
      </c>
      <c r="M273" s="10">
        <f t="shared" si="28"/>
        <v>0.3484245120149258</v>
      </c>
      <c r="P273" s="8">
        <f t="shared" si="29"/>
        <v>2.7867082592273937</v>
      </c>
    </row>
    <row r="274" spans="1:16" x14ac:dyDescent="0.2">
      <c r="A274" s="8">
        <v>136</v>
      </c>
      <c r="B274" s="8">
        <v>272</v>
      </c>
      <c r="D274">
        <v>708.90787623066001</v>
      </c>
      <c r="E274">
        <v>300.29184247539001</v>
      </c>
      <c r="F274">
        <v>142.66133518775999</v>
      </c>
      <c r="G274">
        <v>118.48539638387</v>
      </c>
      <c r="I274" s="9">
        <f t="shared" si="26"/>
        <v>181.80644609152</v>
      </c>
      <c r="J274" s="9">
        <f t="shared" si="27"/>
        <v>566.24654104290005</v>
      </c>
      <c r="K274" s="9">
        <f t="shared" si="31"/>
        <v>181.80644609152</v>
      </c>
      <c r="L274" s="10">
        <f t="shared" si="30"/>
        <v>0.32107294775995099</v>
      </c>
      <c r="M274" s="10">
        <f t="shared" si="28"/>
        <v>0.34397958624876718</v>
      </c>
      <c r="P274" s="8">
        <f t="shared" si="29"/>
        <v>1.4754363130662189</v>
      </c>
    </row>
    <row r="275" spans="1:16" x14ac:dyDescent="0.2">
      <c r="A275" s="8">
        <v>136.5</v>
      </c>
      <c r="B275" s="8">
        <v>273</v>
      </c>
      <c r="D275">
        <v>708.73699015471004</v>
      </c>
      <c r="E275">
        <v>305.62165963432</v>
      </c>
      <c r="F275">
        <v>143.38317107092999</v>
      </c>
      <c r="G275">
        <v>118.40055632823</v>
      </c>
      <c r="I275" s="9">
        <f>E275-G275</f>
        <v>187.22110330609001</v>
      </c>
      <c r="J275" s="9">
        <f>D275-F275</f>
        <v>565.35381908378008</v>
      </c>
      <c r="K275" s="9">
        <f t="shared" si="31"/>
        <v>187.22110330609001</v>
      </c>
      <c r="L275" s="10">
        <f t="shared" si="30"/>
        <v>0.33115740441888769</v>
      </c>
      <c r="M275" s="10">
        <f>L275+ABS($N$2)*A275</f>
        <v>0.35414825849038339</v>
      </c>
      <c r="O275" s="11"/>
      <c r="P275" s="8">
        <f>(M275-$O$2)/$O$2*100</f>
        <v>4.4752377364457985</v>
      </c>
    </row>
    <row r="276" spans="1:16" x14ac:dyDescent="0.2">
      <c r="A276" s="8">
        <v>137</v>
      </c>
      <c r="B276" s="8">
        <v>274</v>
      </c>
      <c r="D276">
        <v>699.38051857043001</v>
      </c>
      <c r="E276">
        <v>299.90469516467999</v>
      </c>
      <c r="F276">
        <v>143.23157162726</v>
      </c>
      <c r="G276">
        <v>118.63977746870999</v>
      </c>
      <c r="I276" s="9">
        <f t="shared" ref="I276:I291" si="32">E276-G276</f>
        <v>181.26491769596998</v>
      </c>
      <c r="J276" s="9">
        <f t="shared" ref="J276:J291" si="33">D276-F276</f>
        <v>556.14894694317002</v>
      </c>
      <c r="K276" s="9">
        <f t="shared" si="31"/>
        <v>181.26491769596998</v>
      </c>
      <c r="L276" s="10">
        <f t="shared" si="30"/>
        <v>0.32592872591466493</v>
      </c>
      <c r="M276" s="10">
        <f t="shared" ref="M276:M291" si="34">L276+ABS($N$2)*A276</f>
        <v>0.34900379556884009</v>
      </c>
      <c r="P276" s="8">
        <f t="shared" ref="P276:P291" si="35">(M276-$O$2)/$O$2*100</f>
        <v>2.9575993636196296</v>
      </c>
    </row>
    <row r="277" spans="1:16" x14ac:dyDescent="0.2">
      <c r="A277" s="8">
        <v>137.5</v>
      </c>
      <c r="B277" s="8">
        <v>275</v>
      </c>
      <c r="D277">
        <v>685.52557813595001</v>
      </c>
      <c r="E277">
        <v>293.08128941835997</v>
      </c>
      <c r="F277">
        <v>143.17593880389001</v>
      </c>
      <c r="G277">
        <v>118.52781641168001</v>
      </c>
      <c r="I277" s="9">
        <f t="shared" si="32"/>
        <v>174.55347300667995</v>
      </c>
      <c r="J277" s="9">
        <f t="shared" si="33"/>
        <v>542.34963933205995</v>
      </c>
      <c r="K277" s="9">
        <f t="shared" si="31"/>
        <v>174.55347300667995</v>
      </c>
      <c r="L277" s="10">
        <f t="shared" si="30"/>
        <v>0.32184675778830479</v>
      </c>
      <c r="M277" s="10">
        <f t="shared" si="34"/>
        <v>0.34500604302515941</v>
      </c>
      <c r="N277" s="1"/>
      <c r="P277" s="8">
        <f t="shared" si="35"/>
        <v>1.7782454139690169</v>
      </c>
    </row>
    <row r="278" spans="1:16" x14ac:dyDescent="0.2">
      <c r="A278" s="8">
        <v>138</v>
      </c>
      <c r="B278" s="8">
        <v>276</v>
      </c>
      <c r="D278">
        <v>683.80028030834001</v>
      </c>
      <c r="E278">
        <v>290.14015416959001</v>
      </c>
      <c r="F278">
        <v>142.80319888733999</v>
      </c>
      <c r="G278">
        <v>118.44367176634</v>
      </c>
      <c r="I278" s="9">
        <f t="shared" si="32"/>
        <v>171.69648240325</v>
      </c>
      <c r="J278" s="9">
        <f t="shared" si="33"/>
        <v>540.99708142100008</v>
      </c>
      <c r="K278" s="9">
        <f t="shared" si="31"/>
        <v>171.69648240325</v>
      </c>
      <c r="L278" s="10">
        <f t="shared" si="30"/>
        <v>0.31737044117182034</v>
      </c>
      <c r="M278" s="10">
        <f t="shared" si="34"/>
        <v>0.34061394199135442</v>
      </c>
      <c r="P278" s="8">
        <f t="shared" si="35"/>
        <v>0.48255698781309275</v>
      </c>
    </row>
    <row r="279" spans="1:16" x14ac:dyDescent="0.2">
      <c r="A279" s="8">
        <v>138.5</v>
      </c>
      <c r="B279" s="8">
        <v>277</v>
      </c>
      <c r="D279">
        <v>691.97266993692995</v>
      </c>
      <c r="E279">
        <v>288.79747722495</v>
      </c>
      <c r="F279">
        <v>143.01529902643</v>
      </c>
      <c r="G279">
        <v>118.64394993046</v>
      </c>
      <c r="I279" s="9">
        <f t="shared" si="32"/>
        <v>170.15352729449</v>
      </c>
      <c r="J279" s="9">
        <f t="shared" si="33"/>
        <v>548.9573709105</v>
      </c>
      <c r="K279" s="9">
        <f t="shared" si="31"/>
        <v>170.15352729449</v>
      </c>
      <c r="L279" s="10">
        <f t="shared" si="30"/>
        <v>0.30995763298026874</v>
      </c>
      <c r="M279" s="10">
        <f t="shared" si="34"/>
        <v>0.33328534938248233</v>
      </c>
      <c r="P279" s="8">
        <f t="shared" si="35"/>
        <v>-1.6794089028260719</v>
      </c>
    </row>
    <row r="280" spans="1:16" x14ac:dyDescent="0.2">
      <c r="A280" s="8">
        <v>139</v>
      </c>
      <c r="B280" s="8">
        <v>278</v>
      </c>
      <c r="D280">
        <v>693.78906797476998</v>
      </c>
      <c r="E280">
        <v>287.94043447793001</v>
      </c>
      <c r="F280">
        <v>143.07858136300001</v>
      </c>
      <c r="G280">
        <v>118.36230876217</v>
      </c>
      <c r="I280" s="9">
        <f t="shared" si="32"/>
        <v>169.57812571576</v>
      </c>
      <c r="J280" s="9">
        <f t="shared" si="33"/>
        <v>550.71048661176997</v>
      </c>
      <c r="K280" s="9">
        <f t="shared" si="31"/>
        <v>169.57812571576</v>
      </c>
      <c r="L280" s="10">
        <f t="shared" si="30"/>
        <v>0.30792608791433118</v>
      </c>
      <c r="M280" s="10">
        <f t="shared" si="34"/>
        <v>0.33133801989922423</v>
      </c>
      <c r="P280" s="8">
        <f t="shared" si="35"/>
        <v>-2.2538793564767832</v>
      </c>
    </row>
    <row r="281" spans="1:16" x14ac:dyDescent="0.2">
      <c r="A281" s="8">
        <v>139.5</v>
      </c>
      <c r="B281" s="8">
        <v>279</v>
      </c>
      <c r="D281">
        <v>672.87386124736997</v>
      </c>
      <c r="E281">
        <v>283.84232655922</v>
      </c>
      <c r="F281">
        <v>142.88803894297999</v>
      </c>
      <c r="G281">
        <v>118.4478442281</v>
      </c>
      <c r="I281" s="9">
        <f t="shared" si="32"/>
        <v>165.39448233112</v>
      </c>
      <c r="J281" s="9">
        <f t="shared" si="33"/>
        <v>529.98582230439001</v>
      </c>
      <c r="K281" s="9">
        <f t="shared" si="31"/>
        <v>165.39448233112</v>
      </c>
      <c r="L281" s="10">
        <f t="shared" si="30"/>
        <v>0.31207340908098474</v>
      </c>
      <c r="M281" s="10">
        <f t="shared" si="34"/>
        <v>0.33556955664855725</v>
      </c>
      <c r="P281" s="8">
        <f t="shared" si="35"/>
        <v>-1.0055580749842217</v>
      </c>
    </row>
    <row r="282" spans="1:16" x14ac:dyDescent="0.2">
      <c r="A282" s="8">
        <v>140</v>
      </c>
      <c r="B282" s="8">
        <v>280</v>
      </c>
      <c r="D282">
        <v>716.70468859341997</v>
      </c>
      <c r="E282">
        <v>294.35899230231001</v>
      </c>
      <c r="F282">
        <v>143.41515994437</v>
      </c>
      <c r="G282">
        <v>118.87134909597</v>
      </c>
      <c r="I282" s="9">
        <f t="shared" si="32"/>
        <v>175.48764320634001</v>
      </c>
      <c r="J282" s="9">
        <f t="shared" si="33"/>
        <v>573.28952864905</v>
      </c>
      <c r="K282" s="9">
        <f t="shared" si="31"/>
        <v>175.48764320634001</v>
      </c>
      <c r="L282" s="10">
        <f t="shared" si="30"/>
        <v>0.30610648622847614</v>
      </c>
      <c r="M282" s="10">
        <f t="shared" si="34"/>
        <v>0.32968684937872811</v>
      </c>
      <c r="P282" s="8">
        <f t="shared" si="35"/>
        <v>-2.7409816604880506</v>
      </c>
    </row>
    <row r="283" spans="1:16" x14ac:dyDescent="0.2">
      <c r="A283" s="8">
        <v>140.5</v>
      </c>
      <c r="B283" s="8">
        <v>281</v>
      </c>
      <c r="D283">
        <v>690.75740479548995</v>
      </c>
      <c r="E283">
        <v>286.71438645979998</v>
      </c>
      <c r="F283">
        <v>143.68636995828001</v>
      </c>
      <c r="G283">
        <v>118.64603616134001</v>
      </c>
      <c r="I283" s="9">
        <f t="shared" si="32"/>
        <v>168.06835029845996</v>
      </c>
      <c r="J283" s="9">
        <f t="shared" si="33"/>
        <v>547.07103483720994</v>
      </c>
      <c r="K283" s="9">
        <f t="shared" si="31"/>
        <v>168.06835029845996</v>
      </c>
      <c r="L283" s="10">
        <f t="shared" si="30"/>
        <v>0.30721485802747989</v>
      </c>
      <c r="M283" s="10">
        <f t="shared" si="34"/>
        <v>0.33087943676041132</v>
      </c>
      <c r="P283" s="8">
        <f t="shared" si="35"/>
        <v>-2.389163326680765</v>
      </c>
    </row>
    <row r="284" spans="1:16" x14ac:dyDescent="0.2">
      <c r="A284" s="8">
        <v>141</v>
      </c>
      <c r="B284" s="8">
        <v>282</v>
      </c>
      <c r="D284">
        <v>696.57475317347996</v>
      </c>
      <c r="E284">
        <v>288.32581100140999</v>
      </c>
      <c r="F284">
        <v>143.43324061196</v>
      </c>
      <c r="G284">
        <v>118.75799721836</v>
      </c>
      <c r="I284" s="9">
        <f t="shared" si="32"/>
        <v>169.56781378304998</v>
      </c>
      <c r="J284" s="9">
        <f t="shared" si="33"/>
        <v>553.1415125615199</v>
      </c>
      <c r="K284" s="9">
        <f t="shared" si="31"/>
        <v>169.56781378304998</v>
      </c>
      <c r="L284" s="10">
        <f t="shared" si="30"/>
        <v>0.30655412752842487</v>
      </c>
      <c r="M284" s="10">
        <f t="shared" si="34"/>
        <v>0.33030292184403581</v>
      </c>
      <c r="P284" s="8">
        <f t="shared" si="35"/>
        <v>-2.5592376712608709</v>
      </c>
    </row>
    <row r="285" spans="1:16" x14ac:dyDescent="0.2">
      <c r="A285" s="8">
        <v>141.5</v>
      </c>
      <c r="B285" s="8">
        <v>283</v>
      </c>
      <c r="D285">
        <v>683.19605077573999</v>
      </c>
      <c r="E285">
        <v>283.57263751763003</v>
      </c>
      <c r="F285">
        <v>143.41724617524</v>
      </c>
      <c r="G285">
        <v>118.63004172462</v>
      </c>
      <c r="I285" s="9">
        <f t="shared" si="32"/>
        <v>164.94259579301001</v>
      </c>
      <c r="J285" s="9">
        <f t="shared" si="33"/>
        <v>539.77880460050005</v>
      </c>
      <c r="K285" s="9">
        <f t="shared" si="31"/>
        <v>164.94259579301001</v>
      </c>
      <c r="L285" s="10">
        <f t="shared" si="30"/>
        <v>0.30557442120219408</v>
      </c>
      <c r="M285" s="10">
        <f t="shared" si="34"/>
        <v>0.32940743110048448</v>
      </c>
      <c r="P285" s="8">
        <f t="shared" si="35"/>
        <v>-2.8234112372191302</v>
      </c>
    </row>
    <row r="286" spans="1:16" x14ac:dyDescent="0.2">
      <c r="A286" s="8">
        <v>142</v>
      </c>
      <c r="B286" s="8">
        <v>284</v>
      </c>
      <c r="D286">
        <v>690.01410437235995</v>
      </c>
      <c r="E286">
        <v>288.45063469676001</v>
      </c>
      <c r="F286">
        <v>143.37760778859999</v>
      </c>
      <c r="G286">
        <v>118.35396383867</v>
      </c>
      <c r="I286" s="9">
        <f t="shared" si="32"/>
        <v>170.09667085809002</v>
      </c>
      <c r="J286" s="9">
        <f t="shared" si="33"/>
        <v>546.63649658375994</v>
      </c>
      <c r="K286" s="9">
        <f t="shared" si="31"/>
        <v>170.09667085809002</v>
      </c>
      <c r="L286" s="10">
        <f t="shared" si="30"/>
        <v>0.31116961988656106</v>
      </c>
      <c r="M286" s="10">
        <f t="shared" si="34"/>
        <v>0.33508684536753092</v>
      </c>
      <c r="P286" s="8">
        <f t="shared" si="35"/>
        <v>-1.1479599494372068</v>
      </c>
    </row>
    <row r="287" spans="1:16" x14ac:dyDescent="0.2">
      <c r="A287" s="8">
        <v>142.5</v>
      </c>
      <c r="B287" s="8">
        <v>285</v>
      </c>
      <c r="D287">
        <v>689.30183356840996</v>
      </c>
      <c r="E287">
        <v>288.39421720732997</v>
      </c>
      <c r="F287">
        <v>143.83379694019999</v>
      </c>
      <c r="G287">
        <v>118.95688456189001</v>
      </c>
      <c r="I287" s="9">
        <f t="shared" si="32"/>
        <v>169.43733264543997</v>
      </c>
      <c r="J287" s="9">
        <f t="shared" si="33"/>
        <v>545.46803662821003</v>
      </c>
      <c r="K287" s="9">
        <f t="shared" si="31"/>
        <v>169.43733264543997</v>
      </c>
      <c r="L287" s="10">
        <f t="shared" si="30"/>
        <v>0.31062742684761219</v>
      </c>
      <c r="M287" s="10">
        <f t="shared" si="34"/>
        <v>0.33462886791126151</v>
      </c>
      <c r="P287" s="8">
        <f t="shared" si="35"/>
        <v>-1.2830652407229424</v>
      </c>
    </row>
    <row r="288" spans="1:16" x14ac:dyDescent="0.2">
      <c r="A288" s="8">
        <v>143</v>
      </c>
      <c r="B288" s="8">
        <v>286</v>
      </c>
      <c r="D288">
        <v>723.05481377371996</v>
      </c>
      <c r="E288">
        <v>297.70274068869003</v>
      </c>
      <c r="F288">
        <v>144.04937413074001</v>
      </c>
      <c r="G288">
        <v>118.58136300417</v>
      </c>
      <c r="I288" s="9">
        <f t="shared" si="32"/>
        <v>179.12137768452004</v>
      </c>
      <c r="J288" s="9">
        <f t="shared" si="33"/>
        <v>579.00543964297992</v>
      </c>
      <c r="K288" s="9">
        <f t="shared" si="31"/>
        <v>179.12137768452004</v>
      </c>
      <c r="L288" s="10">
        <f t="shared" si="30"/>
        <v>0.30936044019719044</v>
      </c>
      <c r="M288" s="10">
        <f t="shared" si="34"/>
        <v>0.33344609684351928</v>
      </c>
      <c r="P288" s="8">
        <f t="shared" si="35"/>
        <v>-1.6319877202994288</v>
      </c>
    </row>
    <row r="289" spans="1:16" x14ac:dyDescent="0.2">
      <c r="A289" s="8">
        <v>143.5</v>
      </c>
      <c r="B289" s="8">
        <v>287</v>
      </c>
      <c r="D289">
        <v>694.54082344731</v>
      </c>
      <c r="E289">
        <v>286.7418004187</v>
      </c>
      <c r="F289">
        <v>144.32753824757</v>
      </c>
      <c r="G289">
        <v>118.58205841447</v>
      </c>
      <c r="I289" s="9">
        <f t="shared" si="32"/>
        <v>168.15974200423</v>
      </c>
      <c r="J289" s="9">
        <f t="shared" si="33"/>
        <v>550.21328519973997</v>
      </c>
      <c r="K289" s="9">
        <f t="shared" si="31"/>
        <v>168.15974200423</v>
      </c>
      <c r="L289" s="10">
        <f t="shared" si="30"/>
        <v>0.30562646618607942</v>
      </c>
      <c r="M289" s="10">
        <f t="shared" si="34"/>
        <v>0.32979633841508771</v>
      </c>
      <c r="P289" s="8">
        <f t="shared" si="35"/>
        <v>-2.7086819305614829</v>
      </c>
    </row>
    <row r="290" spans="1:16" x14ac:dyDescent="0.2">
      <c r="A290" s="8">
        <v>144</v>
      </c>
      <c r="B290" s="8">
        <v>288</v>
      </c>
      <c r="D290">
        <v>690.95882763432996</v>
      </c>
      <c r="E290">
        <v>286.21074668528001</v>
      </c>
      <c r="F290">
        <v>143.44019471487999</v>
      </c>
      <c r="G290">
        <v>118.60778859526999</v>
      </c>
      <c r="I290" s="9">
        <f t="shared" si="32"/>
        <v>167.60295809001002</v>
      </c>
      <c r="J290" s="9">
        <f t="shared" si="33"/>
        <v>547.51863291944994</v>
      </c>
      <c r="K290" s="9">
        <f t="shared" si="31"/>
        <v>167.60295809001002</v>
      </c>
      <c r="L290" s="10">
        <f t="shared" si="30"/>
        <v>0.30611370648031899</v>
      </c>
      <c r="M290" s="10">
        <f t="shared" si="34"/>
        <v>0.33036779429200674</v>
      </c>
      <c r="P290" s="8">
        <f t="shared" si="35"/>
        <v>-2.5401000240698366</v>
      </c>
    </row>
    <row r="291" spans="1:16" x14ac:dyDescent="0.2">
      <c r="A291" s="8">
        <v>144.5</v>
      </c>
      <c r="B291" s="8">
        <v>289</v>
      </c>
      <c r="D291">
        <v>680.70900209350998</v>
      </c>
      <c r="E291">
        <v>285.82903000698002</v>
      </c>
      <c r="F291">
        <v>143.49026425591001</v>
      </c>
      <c r="G291">
        <v>118.69958275383</v>
      </c>
      <c r="I291" s="9">
        <f t="shared" si="32"/>
        <v>167.12944725315003</v>
      </c>
      <c r="J291" s="9">
        <f t="shared" si="33"/>
        <v>537.21873783759997</v>
      </c>
      <c r="K291" s="9">
        <f t="shared" si="31"/>
        <v>167.12944725315003</v>
      </c>
      <c r="L291" s="10">
        <f t="shared" si="30"/>
        <v>0.31110129912049511</v>
      </c>
      <c r="M291" s="10">
        <f t="shared" si="34"/>
        <v>0.33543960251486232</v>
      </c>
      <c r="P291" s="8">
        <f t="shared" si="35"/>
        <v>-1.0438950953905508</v>
      </c>
    </row>
    <row r="292" spans="1:16" x14ac:dyDescent="0.2">
      <c r="A292" s="8">
        <v>145</v>
      </c>
      <c r="B292" s="8">
        <v>290</v>
      </c>
      <c r="D292">
        <v>679.64759246335996</v>
      </c>
      <c r="E292">
        <v>287.92882065597001</v>
      </c>
      <c r="F292">
        <v>143.50069541029001</v>
      </c>
      <c r="G292">
        <v>118.55771905424</v>
      </c>
      <c r="I292" s="9">
        <f>E292-G292</f>
        <v>169.37110160173</v>
      </c>
      <c r="J292" s="9">
        <f>D292-F292</f>
        <v>536.14689705307001</v>
      </c>
      <c r="K292" s="9">
        <f t="shared" si="31"/>
        <v>169.37110160173</v>
      </c>
      <c r="L292" s="10">
        <f t="shared" si="30"/>
        <v>0.31590428394284814</v>
      </c>
      <c r="M292" s="10">
        <f>L292+ABS($N$2)*A292</f>
        <v>0.34032680291989481</v>
      </c>
      <c r="O292" s="11"/>
      <c r="P292" s="8">
        <f>(M292-$O$2)/$O$2*100</f>
        <v>0.39784974434946457</v>
      </c>
    </row>
    <row r="293" spans="1:16" x14ac:dyDescent="0.2">
      <c r="A293" s="8">
        <v>145.5</v>
      </c>
      <c r="B293" s="8">
        <v>291</v>
      </c>
      <c r="D293">
        <v>699.75313807530995</v>
      </c>
      <c r="E293">
        <v>296.00348675035002</v>
      </c>
      <c r="F293">
        <v>143.58623087621999</v>
      </c>
      <c r="G293">
        <v>119.18011126565</v>
      </c>
      <c r="I293" s="9">
        <f t="shared" ref="I293:I301" si="36">E293-G293</f>
        <v>176.82337548470002</v>
      </c>
      <c r="J293" s="9">
        <f t="shared" ref="J293:J301" si="37">D293-F293</f>
        <v>556.16690719909002</v>
      </c>
      <c r="K293" s="9">
        <f t="shared" si="31"/>
        <v>176.82337548470002</v>
      </c>
      <c r="L293" s="10">
        <f t="shared" si="30"/>
        <v>0.31793221278698425</v>
      </c>
      <c r="M293" s="10">
        <f t="shared" ref="M293:M301" si="38">L293+ABS($N$2)*A293</f>
        <v>0.34243894734671043</v>
      </c>
      <c r="P293" s="8">
        <f t="shared" ref="P293:P301" si="39">(M293-$O$2)/$O$2*100</f>
        <v>1.0209413051152874</v>
      </c>
    </row>
    <row r="294" spans="1:16" x14ac:dyDescent="0.2">
      <c r="A294" s="8">
        <v>146</v>
      </c>
      <c r="B294" s="8">
        <v>292</v>
      </c>
      <c r="D294">
        <v>704.61854951186001</v>
      </c>
      <c r="E294">
        <v>294.63807531381002</v>
      </c>
      <c r="F294">
        <v>143.61961057024001</v>
      </c>
      <c r="G294">
        <v>118.79763560501</v>
      </c>
      <c r="I294" s="9">
        <f t="shared" si="36"/>
        <v>175.84043970880003</v>
      </c>
      <c r="J294" s="9">
        <f t="shared" si="37"/>
        <v>560.99893894162005</v>
      </c>
      <c r="K294" s="9">
        <f t="shared" si="31"/>
        <v>175.84043970880003</v>
      </c>
      <c r="L294" s="10">
        <f t="shared" si="30"/>
        <v>0.31344166183369332</v>
      </c>
      <c r="M294" s="10">
        <f t="shared" si="38"/>
        <v>0.33803261197609896</v>
      </c>
      <c r="N294" s="1"/>
      <c r="P294" s="8">
        <f t="shared" si="39"/>
        <v>-0.27894631074784071</v>
      </c>
    </row>
    <row r="295" spans="1:16" x14ac:dyDescent="0.2">
      <c r="A295" s="8">
        <v>146.5</v>
      </c>
      <c r="B295" s="8">
        <v>293</v>
      </c>
      <c r="D295">
        <v>700.49372384936999</v>
      </c>
      <c r="E295">
        <v>291.78521617851999</v>
      </c>
      <c r="F295">
        <v>144.13282336578999</v>
      </c>
      <c r="G295">
        <v>118.88178025035</v>
      </c>
      <c r="I295" s="9">
        <f t="shared" si="36"/>
        <v>172.90343592816998</v>
      </c>
      <c r="J295" s="9">
        <f t="shared" si="37"/>
        <v>556.36090048358005</v>
      </c>
      <c r="K295" s="9">
        <f t="shared" si="31"/>
        <v>172.90343592816998</v>
      </c>
      <c r="L295" s="10">
        <f t="shared" si="30"/>
        <v>0.3107756777621955</v>
      </c>
      <c r="M295" s="10">
        <f t="shared" si="38"/>
        <v>0.3354508434872806</v>
      </c>
      <c r="P295" s="8">
        <f t="shared" si="39"/>
        <v>-1.0405789608688261</v>
      </c>
    </row>
    <row r="296" spans="1:16" x14ac:dyDescent="0.2">
      <c r="A296" s="8">
        <v>147</v>
      </c>
      <c r="B296" s="8">
        <v>294</v>
      </c>
      <c r="D296">
        <v>699.99787535410996</v>
      </c>
      <c r="E296">
        <v>296.98371104815999</v>
      </c>
      <c r="F296">
        <v>144.03894297636</v>
      </c>
      <c r="G296">
        <v>118.5090403338</v>
      </c>
      <c r="I296" s="9">
        <f t="shared" si="36"/>
        <v>178.47467071436</v>
      </c>
      <c r="J296" s="9">
        <f t="shared" si="37"/>
        <v>555.95893237774999</v>
      </c>
      <c r="K296" s="9">
        <f t="shared" si="31"/>
        <v>178.47467071436</v>
      </c>
      <c r="L296" s="10">
        <f t="shared" si="30"/>
        <v>0.32102132067750322</v>
      </c>
      <c r="M296" s="10">
        <f t="shared" si="38"/>
        <v>0.34578070198526778</v>
      </c>
      <c r="P296" s="8">
        <f t="shared" si="39"/>
        <v>2.00677309152129</v>
      </c>
    </row>
    <row r="297" spans="1:16" x14ac:dyDescent="0.2">
      <c r="A297" s="8">
        <v>147.5</v>
      </c>
      <c r="B297" s="8">
        <v>295</v>
      </c>
      <c r="D297">
        <v>678.80807365439</v>
      </c>
      <c r="E297">
        <v>290.63739376771002</v>
      </c>
      <c r="F297">
        <v>143.70653685675001</v>
      </c>
      <c r="G297">
        <v>118.89290681502</v>
      </c>
      <c r="I297" s="9">
        <f t="shared" si="36"/>
        <v>171.74448695269001</v>
      </c>
      <c r="J297" s="9">
        <f t="shared" si="37"/>
        <v>535.10153679763994</v>
      </c>
      <c r="K297" s="9">
        <f t="shared" si="31"/>
        <v>171.74448695269001</v>
      </c>
      <c r="L297" s="10">
        <f t="shared" si="30"/>
        <v>0.32095681873856935</v>
      </c>
      <c r="M297" s="10">
        <f t="shared" si="38"/>
        <v>0.34580041562901342</v>
      </c>
      <c r="P297" s="8">
        <f t="shared" si="39"/>
        <v>2.012588700006158</v>
      </c>
    </row>
    <row r="298" spans="1:16" x14ac:dyDescent="0.2">
      <c r="A298" s="8">
        <v>148</v>
      </c>
      <c r="B298" s="8">
        <v>296</v>
      </c>
      <c r="D298">
        <v>671.01912181302998</v>
      </c>
      <c r="E298">
        <v>288.18201133144998</v>
      </c>
      <c r="F298">
        <v>143.94853963839</v>
      </c>
      <c r="G298">
        <v>118.89499304589999</v>
      </c>
      <c r="I298" s="9">
        <f t="shared" si="36"/>
        <v>169.28701828555</v>
      </c>
      <c r="J298" s="9">
        <f t="shared" si="37"/>
        <v>527.07058217463998</v>
      </c>
      <c r="K298" s="9">
        <f t="shared" si="31"/>
        <v>169.28701828555</v>
      </c>
      <c r="L298" s="10">
        <f t="shared" si="30"/>
        <v>0.32118472176361818</v>
      </c>
      <c r="M298" s="10">
        <f t="shared" si="38"/>
        <v>0.34611253423674171</v>
      </c>
      <c r="P298" s="8">
        <f t="shared" si="39"/>
        <v>2.1046650125747441</v>
      </c>
    </row>
    <row r="299" spans="1:16" x14ac:dyDescent="0.2">
      <c r="A299" s="8">
        <v>148.5</v>
      </c>
      <c r="B299" s="8">
        <v>297</v>
      </c>
      <c r="D299">
        <v>704.78839348903</v>
      </c>
      <c r="E299">
        <v>302.94762915782002</v>
      </c>
      <c r="F299">
        <v>144.08692628650999</v>
      </c>
      <c r="G299">
        <v>119.08414464534</v>
      </c>
      <c r="I299" s="9">
        <f t="shared" si="36"/>
        <v>183.86348451248</v>
      </c>
      <c r="J299" s="9">
        <f t="shared" si="37"/>
        <v>560.70146720252001</v>
      </c>
      <c r="K299" s="9">
        <f t="shared" si="31"/>
        <v>183.86348451248</v>
      </c>
      <c r="L299" s="10">
        <f t="shared" si="30"/>
        <v>0.32791689565183585</v>
      </c>
      <c r="M299" s="10">
        <f t="shared" si="38"/>
        <v>0.35292892370763884</v>
      </c>
      <c r="P299" s="8">
        <f t="shared" si="39"/>
        <v>4.1155288059245043</v>
      </c>
    </row>
    <row r="300" spans="1:16" x14ac:dyDescent="0.2">
      <c r="A300" s="8">
        <v>149</v>
      </c>
      <c r="B300" s="8">
        <v>298</v>
      </c>
      <c r="D300">
        <v>701.84925690020998</v>
      </c>
      <c r="E300">
        <v>304.89242745931</v>
      </c>
      <c r="F300">
        <v>143.77746870653999</v>
      </c>
      <c r="G300">
        <v>118.95479833102</v>
      </c>
      <c r="I300" s="9">
        <f t="shared" si="36"/>
        <v>185.93762912828998</v>
      </c>
      <c r="J300" s="9">
        <f t="shared" si="37"/>
        <v>558.07178819367005</v>
      </c>
      <c r="K300" s="9">
        <f t="shared" si="31"/>
        <v>185.93762912828998</v>
      </c>
      <c r="L300" s="10">
        <f t="shared" si="30"/>
        <v>0.33317869324683236</v>
      </c>
      <c r="M300" s="10">
        <f t="shared" si="38"/>
        <v>0.35827493688531481</v>
      </c>
      <c r="P300" s="8">
        <f t="shared" si="39"/>
        <v>5.6926253588220961</v>
      </c>
    </row>
    <row r="301" spans="1:16" x14ac:dyDescent="0.2">
      <c r="A301" s="8">
        <v>149.5</v>
      </c>
      <c r="B301" s="8">
        <v>299</v>
      </c>
      <c r="D301">
        <v>713.25070224719002</v>
      </c>
      <c r="E301">
        <v>307.45926966292001</v>
      </c>
      <c r="F301">
        <v>143.75799721836</v>
      </c>
      <c r="G301">
        <v>118.73852573018</v>
      </c>
      <c r="I301" s="9">
        <f t="shared" si="36"/>
        <v>188.72074393273999</v>
      </c>
      <c r="J301" s="9">
        <f t="shared" si="37"/>
        <v>569.49270502882996</v>
      </c>
      <c r="K301" s="9">
        <f t="shared" si="31"/>
        <v>188.72074393273999</v>
      </c>
      <c r="L301" s="10">
        <f t="shared" si="30"/>
        <v>0.33138395323814762</v>
      </c>
      <c r="M301" s="10">
        <f t="shared" si="38"/>
        <v>0.35656441245930959</v>
      </c>
      <c r="P301" s="8">
        <f t="shared" si="39"/>
        <v>5.1880134010429906</v>
      </c>
    </row>
    <row r="302" spans="1:16" x14ac:dyDescent="0.2">
      <c r="A302" s="8">
        <v>150</v>
      </c>
      <c r="B302" s="8">
        <v>300</v>
      </c>
      <c r="D302">
        <v>707.85603932584002</v>
      </c>
      <c r="E302">
        <v>309.56179775280998</v>
      </c>
      <c r="F302">
        <v>143.65646731571999</v>
      </c>
      <c r="G302">
        <v>118.76981919332</v>
      </c>
      <c r="I302" s="9">
        <f>E302-G302</f>
        <v>190.79197855948996</v>
      </c>
      <c r="J302" s="9">
        <f>D302-F302</f>
        <v>564.19957201012005</v>
      </c>
      <c r="K302" s="9">
        <f t="shared" si="31"/>
        <v>190.79197855948996</v>
      </c>
      <c r="L302" s="10">
        <f t="shared" si="30"/>
        <v>0.33816399023441251</v>
      </c>
      <c r="M302" s="10">
        <f>L302+ABS($N$2)*A302</f>
        <v>0.36342866503825394</v>
      </c>
      <c r="O302" s="11"/>
      <c r="P302" s="8">
        <f>(M302-$O$2)/$O$2*100</f>
        <v>7.2129970141918198</v>
      </c>
    </row>
    <row r="303" spans="1:16" x14ac:dyDescent="0.2">
      <c r="A303" s="8">
        <v>150.5</v>
      </c>
      <c r="B303" s="8">
        <v>301</v>
      </c>
      <c r="D303">
        <v>714.88826025460003</v>
      </c>
      <c r="E303">
        <v>302.56294200848998</v>
      </c>
      <c r="F303">
        <v>144.0876216968</v>
      </c>
      <c r="G303">
        <v>119.12517385257</v>
      </c>
      <c r="I303" s="9">
        <f t="shared" ref="I303:I309" si="40">E303-G303</f>
        <v>183.43776815591997</v>
      </c>
      <c r="J303" s="9">
        <f t="shared" ref="J303:J309" si="41">D303-F303</f>
        <v>570.80063855780008</v>
      </c>
      <c r="K303" s="9">
        <f t="shared" si="31"/>
        <v>183.43776815591997</v>
      </c>
      <c r="L303" s="10">
        <f t="shared" si="30"/>
        <v>0.32136924131584482</v>
      </c>
      <c r="M303" s="10">
        <f t="shared" ref="M303:M309" si="42">L303+ABS($N$2)*A303</f>
        <v>0.34671813170236571</v>
      </c>
      <c r="P303" s="8">
        <f t="shared" ref="P303:P309" si="43">(M303-$O$2)/$O$2*100</f>
        <v>2.2833188324843912</v>
      </c>
    </row>
    <row r="304" spans="1:16" x14ac:dyDescent="0.2">
      <c r="A304" s="8">
        <v>151</v>
      </c>
      <c r="B304" s="8">
        <v>302</v>
      </c>
      <c r="D304">
        <v>705.91371994342001</v>
      </c>
      <c r="E304">
        <v>295.91725601131998</v>
      </c>
      <c r="F304">
        <v>144.29415855355001</v>
      </c>
      <c r="G304">
        <v>119.00556328234001</v>
      </c>
      <c r="I304" s="9">
        <f t="shared" si="40"/>
        <v>176.91169272897997</v>
      </c>
      <c r="J304" s="9">
        <f t="shared" si="41"/>
        <v>561.61956138987</v>
      </c>
      <c r="K304" s="9">
        <f t="shared" si="31"/>
        <v>176.91169272897997</v>
      </c>
      <c r="L304" s="10">
        <f t="shared" si="30"/>
        <v>0.31500272585087158</v>
      </c>
      <c r="M304" s="10">
        <f t="shared" si="42"/>
        <v>0.34043583182007192</v>
      </c>
      <c r="N304" s="1"/>
      <c r="P304" s="8">
        <f t="shared" si="43"/>
        <v>0.43001373215135902</v>
      </c>
    </row>
    <row r="305" spans="1:16" x14ac:dyDescent="0.2">
      <c r="A305" s="8">
        <v>151.5</v>
      </c>
      <c r="B305" s="8">
        <v>303</v>
      </c>
      <c r="D305">
        <v>699.65346534653997</v>
      </c>
      <c r="E305">
        <v>294.64780763790998</v>
      </c>
      <c r="F305">
        <v>144.18358831711001</v>
      </c>
      <c r="G305">
        <v>118.83031988873</v>
      </c>
      <c r="I305" s="9">
        <f t="shared" si="40"/>
        <v>175.81748774917997</v>
      </c>
      <c r="J305" s="9">
        <f t="shared" si="41"/>
        <v>555.46987702942999</v>
      </c>
      <c r="K305" s="9">
        <f t="shared" si="31"/>
        <v>175.81748774917997</v>
      </c>
      <c r="L305" s="10">
        <f t="shared" si="30"/>
        <v>0.31652029213433797</v>
      </c>
      <c r="M305" s="10">
        <f t="shared" si="42"/>
        <v>0.34203761368621777</v>
      </c>
      <c r="P305" s="8">
        <f t="shared" si="43"/>
        <v>0.90254617373629831</v>
      </c>
    </row>
    <row r="306" spans="1:16" x14ac:dyDescent="0.2">
      <c r="A306" s="8">
        <v>152</v>
      </c>
      <c r="B306" s="8">
        <v>304</v>
      </c>
      <c r="D306">
        <v>697.24859943978004</v>
      </c>
      <c r="E306">
        <v>290.37324929971999</v>
      </c>
      <c r="F306">
        <v>144.62934631433001</v>
      </c>
      <c r="G306">
        <v>118.68219749652</v>
      </c>
      <c r="I306" s="9">
        <f t="shared" si="40"/>
        <v>171.69105180319997</v>
      </c>
      <c r="J306" s="9">
        <f t="shared" si="41"/>
        <v>552.61925312545009</v>
      </c>
      <c r="K306" s="9">
        <f t="shared" si="31"/>
        <v>171.69105180319997</v>
      </c>
      <c r="L306" s="10">
        <f t="shared" si="30"/>
        <v>0.31068597561913824</v>
      </c>
      <c r="M306" s="10">
        <f t="shared" si="42"/>
        <v>0.33628751275369756</v>
      </c>
      <c r="P306" s="8">
        <f t="shared" si="43"/>
        <v>-0.79375798005052633</v>
      </c>
    </row>
    <row r="307" spans="1:16" x14ac:dyDescent="0.2">
      <c r="A307" s="8">
        <v>152.5</v>
      </c>
      <c r="B307" s="8">
        <v>305</v>
      </c>
      <c r="D307">
        <v>702.86484593837997</v>
      </c>
      <c r="E307">
        <v>289.79691876751002</v>
      </c>
      <c r="F307">
        <v>143.79694019472001</v>
      </c>
      <c r="G307">
        <v>118.94019471487999</v>
      </c>
      <c r="I307" s="9">
        <f t="shared" si="40"/>
        <v>170.85672405263003</v>
      </c>
      <c r="J307" s="9">
        <f t="shared" si="41"/>
        <v>559.06790574365994</v>
      </c>
      <c r="K307" s="9">
        <f t="shared" si="31"/>
        <v>170.85672405263003</v>
      </c>
      <c r="L307" s="10">
        <f t="shared" si="30"/>
        <v>0.30560996669154195</v>
      </c>
      <c r="M307" s="10">
        <f t="shared" si="42"/>
        <v>0.33129571940878072</v>
      </c>
      <c r="P307" s="8">
        <f t="shared" si="43"/>
        <v>-2.2663581804989388</v>
      </c>
    </row>
    <row r="308" spans="1:16" x14ac:dyDescent="0.2">
      <c r="A308" s="8">
        <v>153</v>
      </c>
      <c r="B308" s="8">
        <v>306</v>
      </c>
      <c r="D308">
        <v>705.92857142856997</v>
      </c>
      <c r="E308">
        <v>286.56722689076003</v>
      </c>
      <c r="F308">
        <v>143.68636995828001</v>
      </c>
      <c r="G308">
        <v>119.04520166899</v>
      </c>
      <c r="I308" s="9">
        <f t="shared" si="40"/>
        <v>167.52202522177004</v>
      </c>
      <c r="J308" s="9">
        <f t="shared" si="41"/>
        <v>562.24220147028996</v>
      </c>
      <c r="K308" s="9">
        <f t="shared" si="31"/>
        <v>167.52202522177004</v>
      </c>
      <c r="L308" s="10">
        <f t="shared" si="30"/>
        <v>0.29795348834308777</v>
      </c>
      <c r="M308" s="10">
        <f t="shared" si="42"/>
        <v>0.323723456643006</v>
      </c>
      <c r="P308" s="8">
        <f t="shared" si="43"/>
        <v>-4.5002078005123378</v>
      </c>
    </row>
    <row r="309" spans="1:16" x14ac:dyDescent="0.2">
      <c r="A309" s="8">
        <v>153.5</v>
      </c>
      <c r="B309" s="8">
        <v>307</v>
      </c>
      <c r="D309">
        <v>693.41176470588005</v>
      </c>
      <c r="E309">
        <v>283.14495798319001</v>
      </c>
      <c r="F309">
        <v>144.25104311544001</v>
      </c>
      <c r="G309">
        <v>119.18150208623</v>
      </c>
      <c r="I309" s="9">
        <f t="shared" si="40"/>
        <v>163.96345589696</v>
      </c>
      <c r="J309" s="9">
        <f t="shared" si="41"/>
        <v>549.16072159044006</v>
      </c>
      <c r="K309" s="9">
        <f t="shared" si="31"/>
        <v>163.96345589696</v>
      </c>
      <c r="L309" s="10">
        <f t="shared" si="30"/>
        <v>0.29857098195606696</v>
      </c>
      <c r="M309" s="10">
        <f t="shared" si="42"/>
        <v>0.32442516583866465</v>
      </c>
      <c r="P309" s="8">
        <f t="shared" si="43"/>
        <v>-4.293200612757726</v>
      </c>
    </row>
    <row r="310" spans="1:16" x14ac:dyDescent="0.2">
      <c r="A310" s="8">
        <v>154</v>
      </c>
      <c r="B310" s="8">
        <v>308</v>
      </c>
      <c r="D310">
        <v>703.54691876750996</v>
      </c>
      <c r="E310">
        <v>286.06792717087001</v>
      </c>
      <c r="F310">
        <v>144.15994436718</v>
      </c>
      <c r="G310">
        <v>118.89151599444</v>
      </c>
      <c r="I310" s="9">
        <f>E310-G310</f>
        <v>167.17641117643001</v>
      </c>
      <c r="J310" s="9">
        <f>D310-F310</f>
        <v>559.38697440033002</v>
      </c>
      <c r="K310" s="9">
        <f t="shared" si="31"/>
        <v>167.17641117643001</v>
      </c>
      <c r="L310" s="10">
        <f t="shared" si="30"/>
        <v>0.29885646042374381</v>
      </c>
      <c r="M310" s="10">
        <f>L310+ABS($N$2)*A310</f>
        <v>0.32479485988902101</v>
      </c>
      <c r="O310" s="11"/>
      <c r="P310" s="8">
        <f>(M310-$O$2)/$O$2*100</f>
        <v>-4.1841393005113492</v>
      </c>
    </row>
    <row r="311" spans="1:16" x14ac:dyDescent="0.2">
      <c r="A311" s="8">
        <v>154.5</v>
      </c>
      <c r="B311" s="8">
        <v>309</v>
      </c>
      <c r="D311">
        <v>722.16946778711997</v>
      </c>
      <c r="E311">
        <v>289.03011204481999</v>
      </c>
      <c r="F311">
        <v>144.31223922114</v>
      </c>
      <c r="G311">
        <v>119.09457579972</v>
      </c>
      <c r="I311" s="9">
        <f t="shared" ref="I311:I319" si="44">E311-G311</f>
        <v>169.93553624509997</v>
      </c>
      <c r="J311" s="9">
        <f t="shared" ref="J311:J319" si="45">D311-F311</f>
        <v>577.85722856597999</v>
      </c>
      <c r="K311" s="9">
        <f t="shared" si="31"/>
        <v>169.93553624509997</v>
      </c>
      <c r="L311" s="10">
        <f t="shared" si="30"/>
        <v>0.29407875828916219</v>
      </c>
      <c r="M311" s="10">
        <f t="shared" ref="M311:M319" si="46">L311+ABS($N$2)*A311</f>
        <v>0.32010137333711886</v>
      </c>
      <c r="P311" s="8">
        <f t="shared" ref="P311:P319" si="47">(M311-$O$2)/$O$2*100</f>
        <v>-5.5687377322896161</v>
      </c>
    </row>
    <row r="312" spans="1:16" x14ac:dyDescent="0.2">
      <c r="A312" s="8">
        <v>155</v>
      </c>
      <c r="B312" s="8">
        <v>310</v>
      </c>
      <c r="D312">
        <v>713.10434173670001</v>
      </c>
      <c r="E312">
        <v>286.13585434174001</v>
      </c>
      <c r="F312">
        <v>143.87899860918</v>
      </c>
      <c r="G312">
        <v>118.98052851182</v>
      </c>
      <c r="I312" s="9">
        <f t="shared" si="44"/>
        <v>167.15532582992</v>
      </c>
      <c r="J312" s="9">
        <f t="shared" si="45"/>
        <v>569.22534312751998</v>
      </c>
      <c r="K312" s="9">
        <f t="shared" si="31"/>
        <v>167.15532582992</v>
      </c>
      <c r="L312" s="10">
        <f t="shared" si="30"/>
        <v>0.29365404729085165</v>
      </c>
      <c r="M312" s="10">
        <f t="shared" si="46"/>
        <v>0.31976087792148777</v>
      </c>
      <c r="N312" s="1"/>
      <c r="P312" s="8">
        <f t="shared" si="47"/>
        <v>-5.6691853234986329</v>
      </c>
    </row>
    <row r="313" spans="1:16" x14ac:dyDescent="0.2">
      <c r="A313" s="8">
        <v>155.5</v>
      </c>
      <c r="B313" s="8">
        <v>311</v>
      </c>
      <c r="D313">
        <v>655.33263305321998</v>
      </c>
      <c r="E313">
        <v>274.85504201680999</v>
      </c>
      <c r="F313">
        <v>144.10500695409999</v>
      </c>
      <c r="G313">
        <v>118.87482614743</v>
      </c>
      <c r="I313" s="9">
        <f t="shared" si="44"/>
        <v>155.98021586938</v>
      </c>
      <c r="J313" s="9">
        <f t="shared" si="45"/>
        <v>511.22762609912002</v>
      </c>
      <c r="K313" s="9">
        <f t="shared" si="31"/>
        <v>155.98021586938</v>
      </c>
      <c r="L313" s="10">
        <f t="shared" si="30"/>
        <v>0.30510912929251122</v>
      </c>
      <c r="M313" s="10">
        <f t="shared" si="46"/>
        <v>0.3313001755058268</v>
      </c>
      <c r="P313" s="8">
        <f t="shared" si="47"/>
        <v>-2.2650436129778382</v>
      </c>
    </row>
    <row r="314" spans="1:16" x14ac:dyDescent="0.2">
      <c r="A314" s="8">
        <v>156</v>
      </c>
      <c r="B314" s="8">
        <v>312</v>
      </c>
      <c r="D314">
        <v>666.58204768583005</v>
      </c>
      <c r="E314">
        <v>281.38078541375</v>
      </c>
      <c r="F314">
        <v>144.29972183588001</v>
      </c>
      <c r="G314">
        <v>118.82127955494001</v>
      </c>
      <c r="I314" s="9">
        <f t="shared" si="44"/>
        <v>162.55950585880998</v>
      </c>
      <c r="J314" s="9">
        <f t="shared" si="45"/>
        <v>522.28232584994998</v>
      </c>
      <c r="K314" s="9">
        <f t="shared" si="31"/>
        <v>162.55950585880998</v>
      </c>
      <c r="L314" s="10">
        <f t="shared" si="30"/>
        <v>0.31124833794493134</v>
      </c>
      <c r="M314" s="10">
        <f t="shared" si="46"/>
        <v>0.33752359974092638</v>
      </c>
      <c r="P314" s="8">
        <f t="shared" si="47"/>
        <v>-0.42910707818207872</v>
      </c>
    </row>
    <row r="315" spans="1:16" x14ac:dyDescent="0.2">
      <c r="A315" s="8">
        <v>156.5</v>
      </c>
      <c r="B315" s="8">
        <v>313</v>
      </c>
      <c r="D315">
        <v>683.44460028051003</v>
      </c>
      <c r="E315">
        <v>287.52103786816002</v>
      </c>
      <c r="F315">
        <v>144.32197496523</v>
      </c>
      <c r="G315">
        <v>119.20584144644999</v>
      </c>
      <c r="I315" s="9">
        <f t="shared" si="44"/>
        <v>168.31519642171003</v>
      </c>
      <c r="J315" s="9">
        <f t="shared" si="45"/>
        <v>539.12262531528006</v>
      </c>
      <c r="K315" s="9">
        <f t="shared" si="31"/>
        <v>168.31519642171003</v>
      </c>
      <c r="L315" s="10">
        <f t="shared" si="30"/>
        <v>0.31220206409122403</v>
      </c>
      <c r="M315" s="10">
        <f t="shared" si="46"/>
        <v>0.33856154146989859</v>
      </c>
      <c r="P315" s="8">
        <f t="shared" si="47"/>
        <v>-0.12290986757545633</v>
      </c>
    </row>
    <row r="316" spans="1:16" x14ac:dyDescent="0.2">
      <c r="A316" s="8">
        <v>157</v>
      </c>
      <c r="B316" s="8">
        <v>314</v>
      </c>
      <c r="D316">
        <v>682.13253856943004</v>
      </c>
      <c r="E316">
        <v>290.17040673212</v>
      </c>
      <c r="F316">
        <v>144.06884561891999</v>
      </c>
      <c r="G316">
        <v>118.75452016689999</v>
      </c>
      <c r="I316" s="9">
        <f t="shared" si="44"/>
        <v>171.41588656522001</v>
      </c>
      <c r="J316" s="9">
        <f t="shared" si="45"/>
        <v>538.06369295051002</v>
      </c>
      <c r="K316" s="9">
        <f t="shared" si="31"/>
        <v>171.41588656522001</v>
      </c>
      <c r="L316" s="10">
        <f t="shared" si="30"/>
        <v>0.31857917345295861</v>
      </c>
      <c r="M316" s="10">
        <f t="shared" si="46"/>
        <v>0.34502286641431262</v>
      </c>
      <c r="P316" s="8">
        <f t="shared" si="47"/>
        <v>1.7832083850953089</v>
      </c>
    </row>
    <row r="317" spans="1:16" x14ac:dyDescent="0.2">
      <c r="A317" s="8">
        <v>157.5</v>
      </c>
      <c r="B317" s="8">
        <v>315</v>
      </c>
      <c r="D317">
        <v>703.925509487</v>
      </c>
      <c r="E317">
        <v>297.00983836964002</v>
      </c>
      <c r="F317">
        <v>144.26912378303001</v>
      </c>
      <c r="G317">
        <v>119.05980528512001</v>
      </c>
      <c r="I317" s="9">
        <f t="shared" si="44"/>
        <v>177.95003308452002</v>
      </c>
      <c r="J317" s="9">
        <f t="shared" si="45"/>
        <v>559.65638570397005</v>
      </c>
      <c r="K317" s="9">
        <f t="shared" si="31"/>
        <v>177.95003308452002</v>
      </c>
      <c r="L317" s="10">
        <f t="shared" si="30"/>
        <v>0.31796301736231164</v>
      </c>
      <c r="M317" s="10">
        <f t="shared" si="46"/>
        <v>0.34449092590634511</v>
      </c>
      <c r="P317" s="8">
        <f t="shared" si="47"/>
        <v>1.6262836799776061</v>
      </c>
    </row>
    <row r="318" spans="1:16" x14ac:dyDescent="0.2">
      <c r="A318" s="8">
        <v>158</v>
      </c>
      <c r="B318" s="8">
        <v>316</v>
      </c>
      <c r="D318">
        <v>698.84891075193002</v>
      </c>
      <c r="E318">
        <v>299.65214335910002</v>
      </c>
      <c r="F318">
        <v>144.40264255911001</v>
      </c>
      <c r="G318">
        <v>118.6752433936</v>
      </c>
      <c r="I318" s="9">
        <f t="shared" si="44"/>
        <v>180.97689996550002</v>
      </c>
      <c r="J318" s="9">
        <f t="shared" si="45"/>
        <v>554.44626819282007</v>
      </c>
      <c r="K318" s="9">
        <f t="shared" si="31"/>
        <v>180.97689996550002</v>
      </c>
      <c r="L318" s="10">
        <f t="shared" si="30"/>
        <v>0.32641016875337969</v>
      </c>
      <c r="M318" s="10">
        <f t="shared" si="46"/>
        <v>0.35302229288009263</v>
      </c>
      <c r="P318" s="8">
        <f t="shared" si="47"/>
        <v>4.1430731076554963</v>
      </c>
    </row>
    <row r="319" spans="1:16" x14ac:dyDescent="0.2">
      <c r="A319" s="8">
        <v>158.5</v>
      </c>
      <c r="B319" s="8">
        <v>317</v>
      </c>
      <c r="D319">
        <v>688.65565706253994</v>
      </c>
      <c r="E319">
        <v>296.22909346451002</v>
      </c>
      <c r="F319">
        <v>144.42141863699999</v>
      </c>
      <c r="G319">
        <v>119.25173852573</v>
      </c>
      <c r="I319" s="9">
        <f t="shared" si="44"/>
        <v>176.97735493878002</v>
      </c>
      <c r="J319" s="9">
        <f t="shared" si="45"/>
        <v>544.23423842553996</v>
      </c>
      <c r="K319" s="9">
        <f t="shared" si="31"/>
        <v>176.97735493878002</v>
      </c>
      <c r="L319" s="10">
        <f t="shared" si="30"/>
        <v>0.32518599978342483</v>
      </c>
      <c r="M319" s="10">
        <f t="shared" si="46"/>
        <v>0.35188233949281728</v>
      </c>
      <c r="P319" s="8">
        <f t="shared" si="47"/>
        <v>3.8067820253507869</v>
      </c>
    </row>
    <row r="320" spans="1:16" x14ac:dyDescent="0.2">
      <c r="A320" s="8">
        <v>159</v>
      </c>
      <c r="B320" s="8">
        <v>318</v>
      </c>
      <c r="D320">
        <v>690.90231904427003</v>
      </c>
      <c r="E320">
        <v>294.77231201686999</v>
      </c>
      <c r="F320">
        <v>143.93532684284</v>
      </c>
      <c r="G320">
        <v>118.88108484006</v>
      </c>
      <c r="I320" s="9">
        <f t="shared" ref="I320:I322" si="48">E320-G320</f>
        <v>175.89122717680999</v>
      </c>
      <c r="J320" s="9">
        <f t="shared" ref="J320:J322" si="49">D320-F320</f>
        <v>546.96699220143</v>
      </c>
      <c r="K320" s="9">
        <f t="shared" ref="K320:K322" si="50">I320*1</f>
        <v>175.89122717680999</v>
      </c>
      <c r="L320" s="10">
        <f t="shared" ref="L320:L322" si="51">K320/J320</f>
        <v>0.32157557893737582</v>
      </c>
      <c r="M320" s="10">
        <f t="shared" ref="M320:M322" si="52">L320+ABS($N$2)*A320</f>
        <v>0.34835613422944772</v>
      </c>
      <c r="P320" s="8">
        <f t="shared" ref="P320:P322" si="53">(M320-$O$2)/$O$2*100</f>
        <v>2.7665365226101768</v>
      </c>
    </row>
    <row r="321" spans="1:16" x14ac:dyDescent="0.2">
      <c r="A321" s="8">
        <v>159.5</v>
      </c>
      <c r="B321" s="8">
        <v>319</v>
      </c>
      <c r="D321">
        <v>695.60154602952002</v>
      </c>
      <c r="E321">
        <v>300.42094167251997</v>
      </c>
      <c r="F321">
        <v>144.25173852572999</v>
      </c>
      <c r="G321">
        <v>118.71835883171001</v>
      </c>
      <c r="I321" s="9">
        <f t="shared" si="48"/>
        <v>181.70258284080995</v>
      </c>
      <c r="J321" s="9">
        <f t="shared" si="49"/>
        <v>551.34980750379009</v>
      </c>
      <c r="K321" s="9">
        <f t="shared" si="50"/>
        <v>181.70258284080995</v>
      </c>
      <c r="L321" s="10">
        <f t="shared" si="51"/>
        <v>0.32955952893764434</v>
      </c>
      <c r="M321" s="10">
        <f t="shared" si="52"/>
        <v>0.35642429981239571</v>
      </c>
      <c r="P321" s="8">
        <f t="shared" si="53"/>
        <v>5.1466795761680393</v>
      </c>
    </row>
    <row r="322" spans="1:16" x14ac:dyDescent="0.2">
      <c r="A322" s="8">
        <v>160</v>
      </c>
      <c r="B322" s="8">
        <v>320</v>
      </c>
      <c r="D322">
        <v>699.38229093464997</v>
      </c>
      <c r="E322">
        <v>301.48840477864002</v>
      </c>
      <c r="F322">
        <v>144.00139082058001</v>
      </c>
      <c r="G322">
        <v>119.00625869263</v>
      </c>
      <c r="I322" s="9">
        <f t="shared" si="48"/>
        <v>182.48214608601</v>
      </c>
      <c r="J322" s="9">
        <f t="shared" si="49"/>
        <v>555.38090011406996</v>
      </c>
      <c r="K322" s="9">
        <f t="shared" si="50"/>
        <v>182.48214608601</v>
      </c>
      <c r="L322" s="10">
        <f t="shared" si="51"/>
        <v>0.32857115908834805</v>
      </c>
      <c r="M322" s="10">
        <f t="shared" si="52"/>
        <v>0.35552014554577888</v>
      </c>
      <c r="P322" s="8">
        <f t="shared" si="53"/>
        <v>4.8799502341747329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240806A010</vt:lpstr>
      <vt:lpstr>240806A011</vt:lpstr>
      <vt:lpstr>240806A012</vt:lpstr>
      <vt:lpstr>240806A013</vt:lpstr>
      <vt:lpstr>240806A014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Walsh, Breanna M. (Medical Student)</cp:lastModifiedBy>
  <dcterms:created xsi:type="dcterms:W3CDTF">2024-07-26T18:06:04Z</dcterms:created>
  <dcterms:modified xsi:type="dcterms:W3CDTF">2026-03-12T18:18:39Z</dcterms:modified>
</cp:coreProperties>
</file>