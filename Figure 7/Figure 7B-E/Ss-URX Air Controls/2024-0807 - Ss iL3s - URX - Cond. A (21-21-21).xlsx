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annawalsh/Documents/UCLA :: 2019-2027/Hallem Lab/Data/Calcium Imaging Data/Ss iL3s - URX/2024-0807/"/>
    </mc:Choice>
  </mc:AlternateContent>
  <xr:revisionPtr revIDLastSave="0" documentId="13_ncr:1_{8D8AE95C-0FB3-D44B-A752-9BDFAA134186}" xr6:coauthVersionLast="47" xr6:coauthVersionMax="47" xr10:uidLastSave="{00000000-0000-0000-0000-000000000000}"/>
  <bookViews>
    <workbookView xWindow="640" yWindow="740" windowWidth="28000" windowHeight="15620" activeTab="5" xr2:uid="{703F31A7-3FB6-4B05-8EA8-379C6E25ED1D}"/>
  </bookViews>
  <sheets>
    <sheet name="240807A001" sheetId="1" r:id="rId1"/>
    <sheet name="240807A002" sheetId="9" r:id="rId2"/>
    <sheet name="240807A003" sheetId="11" r:id="rId3"/>
    <sheet name="240807A004" sheetId="12" r:id="rId4"/>
    <sheet name="240807A006" sheetId="13" r:id="rId5"/>
    <sheet name="240807A007" sheetId="14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2" i="14" l="1"/>
  <c r="I322" i="14"/>
  <c r="K322" i="14" s="1"/>
  <c r="L322" i="14" s="1"/>
  <c r="J321" i="14"/>
  <c r="I321" i="14"/>
  <c r="K321" i="14" s="1"/>
  <c r="L321" i="14" s="1"/>
  <c r="J320" i="14"/>
  <c r="I320" i="14"/>
  <c r="K320" i="14" s="1"/>
  <c r="L320" i="14" s="1"/>
  <c r="V102" i="14" s="1"/>
  <c r="J319" i="14"/>
  <c r="I319" i="14"/>
  <c r="K319" i="14" s="1"/>
  <c r="J318" i="14"/>
  <c r="I318" i="14"/>
  <c r="K318" i="14" s="1"/>
  <c r="J317" i="14"/>
  <c r="I317" i="14"/>
  <c r="K317" i="14" s="1"/>
  <c r="J316" i="14"/>
  <c r="I316" i="14"/>
  <c r="K316" i="14" s="1"/>
  <c r="L316" i="14" s="1"/>
  <c r="J315" i="14"/>
  <c r="I315" i="14"/>
  <c r="K315" i="14" s="1"/>
  <c r="L315" i="14" s="1"/>
  <c r="J314" i="14"/>
  <c r="I314" i="14"/>
  <c r="K314" i="14" s="1"/>
  <c r="L314" i="14" s="1"/>
  <c r="J313" i="14"/>
  <c r="I313" i="14"/>
  <c r="K313" i="14" s="1"/>
  <c r="L313" i="14" s="1"/>
  <c r="J312" i="14"/>
  <c r="I312" i="14"/>
  <c r="K312" i="14" s="1"/>
  <c r="J311" i="14"/>
  <c r="I311" i="14"/>
  <c r="K311" i="14" s="1"/>
  <c r="J310" i="14"/>
  <c r="I310" i="14"/>
  <c r="K310" i="14" s="1"/>
  <c r="J309" i="14"/>
  <c r="I309" i="14"/>
  <c r="K309" i="14" s="1"/>
  <c r="J308" i="14"/>
  <c r="I308" i="14"/>
  <c r="K308" i="14" s="1"/>
  <c r="L308" i="14" s="1"/>
  <c r="V90" i="14" s="1"/>
  <c r="J307" i="14"/>
  <c r="I307" i="14"/>
  <c r="K307" i="14" s="1"/>
  <c r="L307" i="14" s="1"/>
  <c r="J306" i="14"/>
  <c r="I306" i="14"/>
  <c r="K306" i="14" s="1"/>
  <c r="L306" i="14" s="1"/>
  <c r="J305" i="14"/>
  <c r="I305" i="14"/>
  <c r="K305" i="14" s="1"/>
  <c r="L305" i="14" s="1"/>
  <c r="V87" i="14" s="1"/>
  <c r="J304" i="14"/>
  <c r="I304" i="14"/>
  <c r="K304" i="14" s="1"/>
  <c r="L304" i="14" s="1"/>
  <c r="V86" i="14" s="1"/>
  <c r="J303" i="14"/>
  <c r="I303" i="14"/>
  <c r="K303" i="14" s="1"/>
  <c r="J302" i="14"/>
  <c r="I302" i="14"/>
  <c r="K302" i="14" s="1"/>
  <c r="J301" i="14"/>
  <c r="I301" i="14"/>
  <c r="K301" i="14" s="1"/>
  <c r="K300" i="14"/>
  <c r="J300" i="14"/>
  <c r="I300" i="14"/>
  <c r="J299" i="14"/>
  <c r="I299" i="14"/>
  <c r="K299" i="14" s="1"/>
  <c r="L299" i="14" s="1"/>
  <c r="J298" i="14"/>
  <c r="I298" i="14"/>
  <c r="K298" i="14" s="1"/>
  <c r="L298" i="14" s="1"/>
  <c r="J297" i="14"/>
  <c r="I297" i="14"/>
  <c r="K297" i="14" s="1"/>
  <c r="L297" i="14" s="1"/>
  <c r="J296" i="14"/>
  <c r="I296" i="14"/>
  <c r="K296" i="14" s="1"/>
  <c r="J295" i="14"/>
  <c r="I295" i="14"/>
  <c r="K295" i="14" s="1"/>
  <c r="J294" i="14"/>
  <c r="I294" i="14"/>
  <c r="K294" i="14" s="1"/>
  <c r="J293" i="14"/>
  <c r="I293" i="14"/>
  <c r="K293" i="14" s="1"/>
  <c r="K292" i="14"/>
  <c r="L292" i="14" s="1"/>
  <c r="J292" i="14"/>
  <c r="I292" i="14"/>
  <c r="J291" i="14"/>
  <c r="I291" i="14"/>
  <c r="K291" i="14" s="1"/>
  <c r="L291" i="14" s="1"/>
  <c r="J290" i="14"/>
  <c r="I290" i="14"/>
  <c r="K290" i="14" s="1"/>
  <c r="L290" i="14" s="1"/>
  <c r="J289" i="14"/>
  <c r="I289" i="14"/>
  <c r="K289" i="14" s="1"/>
  <c r="L289" i="14" s="1"/>
  <c r="J288" i="14"/>
  <c r="I288" i="14"/>
  <c r="K288" i="14" s="1"/>
  <c r="J287" i="14"/>
  <c r="I287" i="14"/>
  <c r="K287" i="14" s="1"/>
  <c r="J286" i="14"/>
  <c r="I286" i="14"/>
  <c r="K286" i="14" s="1"/>
  <c r="J285" i="14"/>
  <c r="I285" i="14"/>
  <c r="K285" i="14" s="1"/>
  <c r="J284" i="14"/>
  <c r="I284" i="14"/>
  <c r="K284" i="14" s="1"/>
  <c r="J283" i="14"/>
  <c r="I283" i="14"/>
  <c r="K283" i="14" s="1"/>
  <c r="L283" i="14" s="1"/>
  <c r="J282" i="14"/>
  <c r="I282" i="14"/>
  <c r="K282" i="14" s="1"/>
  <c r="L282" i="14" s="1"/>
  <c r="J281" i="14"/>
  <c r="I281" i="14"/>
  <c r="K281" i="14" s="1"/>
  <c r="L281" i="14" s="1"/>
  <c r="J280" i="14"/>
  <c r="I280" i="14"/>
  <c r="K280" i="14" s="1"/>
  <c r="J279" i="14"/>
  <c r="I279" i="14"/>
  <c r="K279" i="14" s="1"/>
  <c r="J278" i="14"/>
  <c r="I278" i="14"/>
  <c r="K278" i="14" s="1"/>
  <c r="J277" i="14"/>
  <c r="I277" i="14"/>
  <c r="K277" i="14" s="1"/>
  <c r="J276" i="14"/>
  <c r="I276" i="14"/>
  <c r="K276" i="14" s="1"/>
  <c r="L276" i="14" s="1"/>
  <c r="J275" i="14"/>
  <c r="I275" i="14"/>
  <c r="K275" i="14" s="1"/>
  <c r="L275" i="14" s="1"/>
  <c r="J274" i="14"/>
  <c r="I274" i="14"/>
  <c r="K274" i="14" s="1"/>
  <c r="L274" i="14" s="1"/>
  <c r="J273" i="14"/>
  <c r="I273" i="14"/>
  <c r="K273" i="14" s="1"/>
  <c r="L273" i="14" s="1"/>
  <c r="J272" i="14"/>
  <c r="I272" i="14"/>
  <c r="K272" i="14" s="1"/>
  <c r="L272" i="14" s="1"/>
  <c r="J271" i="14"/>
  <c r="I271" i="14"/>
  <c r="K271" i="14" s="1"/>
  <c r="J270" i="14"/>
  <c r="I270" i="14"/>
  <c r="K270" i="14" s="1"/>
  <c r="J269" i="14"/>
  <c r="I269" i="14"/>
  <c r="K269" i="14" s="1"/>
  <c r="J268" i="14"/>
  <c r="I268" i="14"/>
  <c r="K268" i="14" s="1"/>
  <c r="L268" i="14" s="1"/>
  <c r="J267" i="14"/>
  <c r="I267" i="14"/>
  <c r="K267" i="14" s="1"/>
  <c r="L267" i="14" s="1"/>
  <c r="J266" i="14"/>
  <c r="I266" i="14"/>
  <c r="K266" i="14" s="1"/>
  <c r="J265" i="14"/>
  <c r="I265" i="14"/>
  <c r="K265" i="14" s="1"/>
  <c r="L265" i="14" s="1"/>
  <c r="J264" i="14"/>
  <c r="I264" i="14"/>
  <c r="K264" i="14" s="1"/>
  <c r="L264" i="14" s="1"/>
  <c r="J263" i="14"/>
  <c r="I263" i="14"/>
  <c r="K263" i="14" s="1"/>
  <c r="J262" i="14"/>
  <c r="I262" i="14"/>
  <c r="K262" i="14" s="1"/>
  <c r="J261" i="14"/>
  <c r="I261" i="14"/>
  <c r="K261" i="14" s="1"/>
  <c r="J260" i="14"/>
  <c r="I260" i="14"/>
  <c r="K260" i="14" s="1"/>
  <c r="L260" i="14" s="1"/>
  <c r="J259" i="14"/>
  <c r="I259" i="14"/>
  <c r="K259" i="14" s="1"/>
  <c r="L259" i="14" s="1"/>
  <c r="J258" i="14"/>
  <c r="I258" i="14"/>
  <c r="K258" i="14" s="1"/>
  <c r="J257" i="14"/>
  <c r="I257" i="14"/>
  <c r="K257" i="14" s="1"/>
  <c r="J256" i="14"/>
  <c r="I256" i="14"/>
  <c r="K256" i="14" s="1"/>
  <c r="L256" i="14" s="1"/>
  <c r="J255" i="14"/>
  <c r="I255" i="14"/>
  <c r="K255" i="14" s="1"/>
  <c r="J254" i="14"/>
  <c r="I254" i="14"/>
  <c r="K254" i="14" s="1"/>
  <c r="J253" i="14"/>
  <c r="I253" i="14"/>
  <c r="K253" i="14" s="1"/>
  <c r="J252" i="14"/>
  <c r="I252" i="14"/>
  <c r="K252" i="14" s="1"/>
  <c r="L252" i="14" s="1"/>
  <c r="J251" i="14"/>
  <c r="I251" i="14"/>
  <c r="K251" i="14" s="1"/>
  <c r="J250" i="14"/>
  <c r="I250" i="14"/>
  <c r="K250" i="14" s="1"/>
  <c r="J249" i="14"/>
  <c r="I249" i="14"/>
  <c r="K249" i="14" s="1"/>
  <c r="L249" i="14" s="1"/>
  <c r="J248" i="14"/>
  <c r="I248" i="14"/>
  <c r="K248" i="14" s="1"/>
  <c r="L248" i="14" s="1"/>
  <c r="K247" i="14"/>
  <c r="L247" i="14" s="1"/>
  <c r="J247" i="14"/>
  <c r="I247" i="14"/>
  <c r="J246" i="14"/>
  <c r="I246" i="14"/>
  <c r="K246" i="14" s="1"/>
  <c r="L246" i="14" s="1"/>
  <c r="J245" i="14"/>
  <c r="I245" i="14"/>
  <c r="K245" i="14" s="1"/>
  <c r="L245" i="14" s="1"/>
  <c r="J244" i="14"/>
  <c r="I244" i="14"/>
  <c r="K244" i="14" s="1"/>
  <c r="L244" i="14" s="1"/>
  <c r="J243" i="14"/>
  <c r="I243" i="14"/>
  <c r="K243" i="14" s="1"/>
  <c r="L243" i="14" s="1"/>
  <c r="J242" i="14"/>
  <c r="I242" i="14"/>
  <c r="K242" i="14" s="1"/>
  <c r="J241" i="14"/>
  <c r="I241" i="14"/>
  <c r="K241" i="14" s="1"/>
  <c r="K240" i="14"/>
  <c r="J240" i="14"/>
  <c r="I240" i="14"/>
  <c r="J239" i="14"/>
  <c r="I239" i="14"/>
  <c r="K239" i="14" s="1"/>
  <c r="L239" i="14" s="1"/>
  <c r="J238" i="14"/>
  <c r="I238" i="14"/>
  <c r="K238" i="14" s="1"/>
  <c r="L238" i="14" s="1"/>
  <c r="J237" i="14"/>
  <c r="I237" i="14"/>
  <c r="K237" i="14" s="1"/>
  <c r="L237" i="14" s="1"/>
  <c r="J236" i="14"/>
  <c r="I236" i="14"/>
  <c r="K236" i="14" s="1"/>
  <c r="J235" i="14"/>
  <c r="I235" i="14"/>
  <c r="K235" i="14" s="1"/>
  <c r="L235" i="14" s="1"/>
  <c r="J234" i="14"/>
  <c r="I234" i="14"/>
  <c r="K234" i="14" s="1"/>
  <c r="L234" i="14" s="1"/>
  <c r="J233" i="14"/>
  <c r="I233" i="14"/>
  <c r="K233" i="14" s="1"/>
  <c r="L233" i="14" s="1"/>
  <c r="J232" i="14"/>
  <c r="I232" i="14"/>
  <c r="K232" i="14" s="1"/>
  <c r="J231" i="14"/>
  <c r="I231" i="14"/>
  <c r="K231" i="14" s="1"/>
  <c r="J230" i="14"/>
  <c r="I230" i="14"/>
  <c r="K230" i="14" s="1"/>
  <c r="L230" i="14" s="1"/>
  <c r="J229" i="14"/>
  <c r="I229" i="14"/>
  <c r="K229" i="14" s="1"/>
  <c r="J228" i="14"/>
  <c r="I228" i="14"/>
  <c r="K228" i="14" s="1"/>
  <c r="L228" i="14" s="1"/>
  <c r="J227" i="14"/>
  <c r="I227" i="14"/>
  <c r="K227" i="14" s="1"/>
  <c r="L227" i="14" s="1"/>
  <c r="J226" i="14"/>
  <c r="I226" i="14"/>
  <c r="K226" i="14" s="1"/>
  <c r="J225" i="14"/>
  <c r="I225" i="14"/>
  <c r="K225" i="14" s="1"/>
  <c r="J224" i="14"/>
  <c r="I224" i="14"/>
  <c r="K224" i="14" s="1"/>
  <c r="L224" i="14" s="1"/>
  <c r="J223" i="14"/>
  <c r="I223" i="14"/>
  <c r="K223" i="14" s="1"/>
  <c r="L223" i="14" s="1"/>
  <c r="J222" i="14"/>
  <c r="I222" i="14"/>
  <c r="K222" i="14" s="1"/>
  <c r="J221" i="14"/>
  <c r="I221" i="14"/>
  <c r="K221" i="14" s="1"/>
  <c r="J220" i="14"/>
  <c r="I220" i="14"/>
  <c r="K220" i="14" s="1"/>
  <c r="L220" i="14" s="1"/>
  <c r="J219" i="14"/>
  <c r="I219" i="14"/>
  <c r="K219" i="14" s="1"/>
  <c r="L219" i="14" s="1"/>
  <c r="K218" i="14"/>
  <c r="L218" i="14" s="1"/>
  <c r="J218" i="14"/>
  <c r="I218" i="14"/>
  <c r="J217" i="14"/>
  <c r="I217" i="14"/>
  <c r="K217" i="14" s="1"/>
  <c r="L217" i="14" s="1"/>
  <c r="J216" i="14"/>
  <c r="I216" i="14"/>
  <c r="K216" i="14" s="1"/>
  <c r="J215" i="14"/>
  <c r="I215" i="14"/>
  <c r="K215" i="14" s="1"/>
  <c r="K214" i="14"/>
  <c r="L214" i="14" s="1"/>
  <c r="J214" i="14"/>
  <c r="I214" i="14"/>
  <c r="J213" i="14"/>
  <c r="I213" i="14"/>
  <c r="K213" i="14" s="1"/>
  <c r="L213" i="14" s="1"/>
  <c r="J212" i="14"/>
  <c r="I212" i="14"/>
  <c r="K212" i="14" s="1"/>
  <c r="L212" i="14" s="1"/>
  <c r="K211" i="14"/>
  <c r="L211" i="14" s="1"/>
  <c r="J211" i="14"/>
  <c r="I211" i="14"/>
  <c r="J210" i="14"/>
  <c r="I210" i="14"/>
  <c r="K210" i="14" s="1"/>
  <c r="L210" i="14" s="1"/>
  <c r="J209" i="14"/>
  <c r="I209" i="14"/>
  <c r="K209" i="14" s="1"/>
  <c r="L209" i="14" s="1"/>
  <c r="K208" i="14"/>
  <c r="J208" i="14"/>
  <c r="I208" i="14"/>
  <c r="J207" i="14"/>
  <c r="I207" i="14"/>
  <c r="K207" i="14" s="1"/>
  <c r="L207" i="14" s="1"/>
  <c r="J206" i="14"/>
  <c r="I206" i="14"/>
  <c r="K206" i="14" s="1"/>
  <c r="J205" i="14"/>
  <c r="I205" i="14"/>
  <c r="K205" i="14" s="1"/>
  <c r="L205" i="14" s="1"/>
  <c r="J204" i="14"/>
  <c r="I204" i="14"/>
  <c r="K204" i="14" s="1"/>
  <c r="J203" i="14"/>
  <c r="I203" i="14"/>
  <c r="K203" i="14" s="1"/>
  <c r="L203" i="14" s="1"/>
  <c r="J202" i="14"/>
  <c r="I202" i="14"/>
  <c r="K202" i="14" s="1"/>
  <c r="L202" i="14" s="1"/>
  <c r="J201" i="14"/>
  <c r="I201" i="14"/>
  <c r="K201" i="14" s="1"/>
  <c r="J200" i="14"/>
  <c r="I200" i="14"/>
  <c r="K200" i="14" s="1"/>
  <c r="J199" i="14"/>
  <c r="I199" i="14"/>
  <c r="K199" i="14" s="1"/>
  <c r="L199" i="14" s="1"/>
  <c r="J198" i="14"/>
  <c r="I198" i="14"/>
  <c r="K198" i="14" s="1"/>
  <c r="L198" i="14" s="1"/>
  <c r="J197" i="14"/>
  <c r="I197" i="14"/>
  <c r="K197" i="14" s="1"/>
  <c r="J196" i="14"/>
  <c r="I196" i="14"/>
  <c r="K196" i="14" s="1"/>
  <c r="L196" i="14" s="1"/>
  <c r="J195" i="14"/>
  <c r="I195" i="14"/>
  <c r="K195" i="14" s="1"/>
  <c r="L195" i="14" s="1"/>
  <c r="J194" i="14"/>
  <c r="I194" i="14"/>
  <c r="K194" i="14" s="1"/>
  <c r="J193" i="14"/>
  <c r="I193" i="14"/>
  <c r="K193" i="14" s="1"/>
  <c r="L193" i="14" s="1"/>
  <c r="J192" i="14"/>
  <c r="I192" i="14"/>
  <c r="K192" i="14" s="1"/>
  <c r="L192" i="14" s="1"/>
  <c r="J191" i="14"/>
  <c r="I191" i="14"/>
  <c r="K191" i="14" s="1"/>
  <c r="J190" i="14"/>
  <c r="I190" i="14"/>
  <c r="K190" i="14" s="1"/>
  <c r="L190" i="14" s="1"/>
  <c r="J189" i="14"/>
  <c r="I189" i="14"/>
  <c r="K189" i="14" s="1"/>
  <c r="J188" i="14"/>
  <c r="I188" i="14"/>
  <c r="K188" i="14" s="1"/>
  <c r="J187" i="14"/>
  <c r="I187" i="14"/>
  <c r="K187" i="14" s="1"/>
  <c r="J186" i="14"/>
  <c r="I186" i="14"/>
  <c r="K186" i="14" s="1"/>
  <c r="L186" i="14" s="1"/>
  <c r="J185" i="14"/>
  <c r="I185" i="14"/>
  <c r="K185" i="14" s="1"/>
  <c r="J184" i="14"/>
  <c r="I184" i="14"/>
  <c r="K184" i="14" s="1"/>
  <c r="J183" i="14"/>
  <c r="I183" i="14"/>
  <c r="K183" i="14" s="1"/>
  <c r="J182" i="14"/>
  <c r="I182" i="14"/>
  <c r="K182" i="14" s="1"/>
  <c r="L182" i="14" s="1"/>
  <c r="J181" i="14"/>
  <c r="I181" i="14"/>
  <c r="K181" i="14" s="1"/>
  <c r="J180" i="14"/>
  <c r="I180" i="14"/>
  <c r="K180" i="14" s="1"/>
  <c r="L180" i="14" s="1"/>
  <c r="J179" i="14"/>
  <c r="I179" i="14"/>
  <c r="K179" i="14" s="1"/>
  <c r="L179" i="14" s="1"/>
  <c r="J178" i="14"/>
  <c r="I178" i="14"/>
  <c r="K178" i="14" s="1"/>
  <c r="J177" i="14"/>
  <c r="I177" i="14"/>
  <c r="K177" i="14" s="1"/>
  <c r="J176" i="14"/>
  <c r="I176" i="14"/>
  <c r="K176" i="14" s="1"/>
  <c r="L176" i="14" s="1"/>
  <c r="J175" i="14"/>
  <c r="I175" i="14"/>
  <c r="K175" i="14" s="1"/>
  <c r="L175" i="14" s="1"/>
  <c r="J174" i="14"/>
  <c r="I174" i="14"/>
  <c r="K174" i="14" s="1"/>
  <c r="J173" i="14"/>
  <c r="I173" i="14"/>
  <c r="K173" i="14" s="1"/>
  <c r="L173" i="14" s="1"/>
  <c r="J172" i="14"/>
  <c r="I172" i="14"/>
  <c r="K172" i="14" s="1"/>
  <c r="L172" i="14" s="1"/>
  <c r="J171" i="14"/>
  <c r="I171" i="14"/>
  <c r="K171" i="14" s="1"/>
  <c r="J170" i="14"/>
  <c r="I170" i="14"/>
  <c r="K170" i="14" s="1"/>
  <c r="L170" i="14" s="1"/>
  <c r="J169" i="14"/>
  <c r="I169" i="14"/>
  <c r="K169" i="14" s="1"/>
  <c r="L169" i="14" s="1"/>
  <c r="J168" i="14"/>
  <c r="I168" i="14"/>
  <c r="K168" i="14" s="1"/>
  <c r="L167" i="14"/>
  <c r="J167" i="14"/>
  <c r="I167" i="14"/>
  <c r="K167" i="14" s="1"/>
  <c r="J166" i="14"/>
  <c r="I166" i="14"/>
  <c r="K166" i="14" s="1"/>
  <c r="L166" i="14" s="1"/>
  <c r="J165" i="14"/>
  <c r="I165" i="14"/>
  <c r="K165" i="14" s="1"/>
  <c r="L165" i="14" s="1"/>
  <c r="J164" i="14"/>
  <c r="I164" i="14"/>
  <c r="K164" i="14" s="1"/>
  <c r="J163" i="14"/>
  <c r="I163" i="14"/>
  <c r="K163" i="14" s="1"/>
  <c r="L163" i="14" s="1"/>
  <c r="J162" i="14"/>
  <c r="I162" i="14"/>
  <c r="K162" i="14" s="1"/>
  <c r="L162" i="14" s="1"/>
  <c r="J161" i="14"/>
  <c r="I161" i="14"/>
  <c r="K161" i="14" s="1"/>
  <c r="J160" i="14"/>
  <c r="I160" i="14"/>
  <c r="K160" i="14" s="1"/>
  <c r="L160" i="14" s="1"/>
  <c r="J159" i="14"/>
  <c r="I159" i="14"/>
  <c r="K159" i="14" s="1"/>
  <c r="J158" i="14"/>
  <c r="I158" i="14"/>
  <c r="K158" i="14" s="1"/>
  <c r="J157" i="14"/>
  <c r="I157" i="14"/>
  <c r="K157" i="14" s="1"/>
  <c r="J156" i="14"/>
  <c r="I156" i="14"/>
  <c r="K156" i="14" s="1"/>
  <c r="L156" i="14" s="1"/>
  <c r="J155" i="14"/>
  <c r="I155" i="14"/>
  <c r="K155" i="14" s="1"/>
  <c r="J154" i="14"/>
  <c r="I154" i="14"/>
  <c r="K154" i="14" s="1"/>
  <c r="L154" i="14" s="1"/>
  <c r="J153" i="14"/>
  <c r="I153" i="14"/>
  <c r="K153" i="14" s="1"/>
  <c r="L153" i="14" s="1"/>
  <c r="J152" i="14"/>
  <c r="I152" i="14"/>
  <c r="K152" i="14" s="1"/>
  <c r="J151" i="14"/>
  <c r="I151" i="14"/>
  <c r="K151" i="14" s="1"/>
  <c r="J150" i="14"/>
  <c r="I150" i="14"/>
  <c r="K150" i="14" s="1"/>
  <c r="L150" i="14" s="1"/>
  <c r="J149" i="14"/>
  <c r="I149" i="14"/>
  <c r="K149" i="14" s="1"/>
  <c r="L149" i="14" s="1"/>
  <c r="J148" i="14"/>
  <c r="I148" i="14"/>
  <c r="K148" i="14" s="1"/>
  <c r="J147" i="14"/>
  <c r="I147" i="14"/>
  <c r="K147" i="14" s="1"/>
  <c r="L147" i="14" s="1"/>
  <c r="J146" i="14"/>
  <c r="I146" i="14"/>
  <c r="K146" i="14" s="1"/>
  <c r="L146" i="14" s="1"/>
  <c r="J145" i="14"/>
  <c r="I145" i="14"/>
  <c r="K145" i="14" s="1"/>
  <c r="J144" i="14"/>
  <c r="I144" i="14"/>
  <c r="K144" i="14" s="1"/>
  <c r="J143" i="14"/>
  <c r="I143" i="14"/>
  <c r="K143" i="14" s="1"/>
  <c r="L143" i="14" s="1"/>
  <c r="J142" i="14"/>
  <c r="I142" i="14"/>
  <c r="K142" i="14" s="1"/>
  <c r="L142" i="14" s="1"/>
  <c r="J141" i="14"/>
  <c r="I141" i="14"/>
  <c r="K141" i="14" s="1"/>
  <c r="J140" i="14"/>
  <c r="I140" i="14"/>
  <c r="K140" i="14" s="1"/>
  <c r="J139" i="14"/>
  <c r="I139" i="14"/>
  <c r="K139" i="14" s="1"/>
  <c r="J138" i="14"/>
  <c r="I138" i="14"/>
  <c r="K138" i="14" s="1"/>
  <c r="L138" i="14" s="1"/>
  <c r="J137" i="14"/>
  <c r="I137" i="14"/>
  <c r="K137" i="14" s="1"/>
  <c r="J136" i="14"/>
  <c r="I136" i="14"/>
  <c r="K136" i="14" s="1"/>
  <c r="J135" i="14"/>
  <c r="I135" i="14"/>
  <c r="K135" i="14" s="1"/>
  <c r="J134" i="14"/>
  <c r="I134" i="14"/>
  <c r="K134" i="14" s="1"/>
  <c r="L134" i="14" s="1"/>
  <c r="J133" i="14"/>
  <c r="I133" i="14"/>
  <c r="K133" i="14" s="1"/>
  <c r="J132" i="14"/>
  <c r="I132" i="14"/>
  <c r="K132" i="14" s="1"/>
  <c r="J131" i="14"/>
  <c r="I131" i="14"/>
  <c r="K131" i="14" s="1"/>
  <c r="L131" i="14" s="1"/>
  <c r="J130" i="14"/>
  <c r="I130" i="14"/>
  <c r="K130" i="14" s="1"/>
  <c r="L130" i="14" s="1"/>
  <c r="J129" i="14"/>
  <c r="I129" i="14"/>
  <c r="K129" i="14" s="1"/>
  <c r="J128" i="14"/>
  <c r="I128" i="14"/>
  <c r="K128" i="14" s="1"/>
  <c r="L128" i="14" s="1"/>
  <c r="J127" i="14"/>
  <c r="I127" i="14"/>
  <c r="K127" i="14" s="1"/>
  <c r="K126" i="14"/>
  <c r="J126" i="14"/>
  <c r="I126" i="14"/>
  <c r="J125" i="14"/>
  <c r="I125" i="14"/>
  <c r="K125" i="14" s="1"/>
  <c r="L125" i="14" s="1"/>
  <c r="J124" i="14"/>
  <c r="I124" i="14"/>
  <c r="K124" i="14" s="1"/>
  <c r="J123" i="14"/>
  <c r="I123" i="14"/>
  <c r="K123" i="14" s="1"/>
  <c r="K122" i="14"/>
  <c r="L122" i="14" s="1"/>
  <c r="J122" i="14"/>
  <c r="I122" i="14"/>
  <c r="J121" i="14"/>
  <c r="I121" i="14"/>
  <c r="K121" i="14" s="1"/>
  <c r="L121" i="14" s="1"/>
  <c r="J120" i="14"/>
  <c r="I120" i="14"/>
  <c r="K120" i="14" s="1"/>
  <c r="L120" i="14" s="1"/>
  <c r="J119" i="14"/>
  <c r="I119" i="14"/>
  <c r="K119" i="14" s="1"/>
  <c r="J118" i="14"/>
  <c r="I118" i="14"/>
  <c r="K118" i="14" s="1"/>
  <c r="J117" i="14"/>
  <c r="I117" i="14"/>
  <c r="K117" i="14" s="1"/>
  <c r="J116" i="14"/>
  <c r="I116" i="14"/>
  <c r="K116" i="14" s="1"/>
  <c r="L116" i="14" s="1"/>
  <c r="J115" i="14"/>
  <c r="I115" i="14"/>
  <c r="K115" i="14" s="1"/>
  <c r="J114" i="14"/>
  <c r="I114" i="14"/>
  <c r="K114" i="14" s="1"/>
  <c r="J113" i="14"/>
  <c r="I113" i="14"/>
  <c r="K113" i="14" s="1"/>
  <c r="L113" i="14" s="1"/>
  <c r="J112" i="14"/>
  <c r="I112" i="14"/>
  <c r="K112" i="14" s="1"/>
  <c r="J111" i="14"/>
  <c r="I111" i="14"/>
  <c r="K111" i="14" s="1"/>
  <c r="J110" i="14"/>
  <c r="I110" i="14"/>
  <c r="K110" i="14" s="1"/>
  <c r="L110" i="14" s="1"/>
  <c r="J109" i="14"/>
  <c r="I109" i="14"/>
  <c r="K109" i="14" s="1"/>
  <c r="J108" i="14"/>
  <c r="I108" i="14"/>
  <c r="K108" i="14" s="1"/>
  <c r="J107" i="14"/>
  <c r="I107" i="14"/>
  <c r="K107" i="14" s="1"/>
  <c r="K106" i="14"/>
  <c r="J106" i="14"/>
  <c r="I106" i="14"/>
  <c r="J105" i="14"/>
  <c r="I105" i="14"/>
  <c r="K105" i="14" s="1"/>
  <c r="J104" i="14"/>
  <c r="I104" i="14"/>
  <c r="K104" i="14" s="1"/>
  <c r="V103" i="14"/>
  <c r="J103" i="14"/>
  <c r="I103" i="14"/>
  <c r="K103" i="14" s="1"/>
  <c r="J102" i="14"/>
  <c r="I102" i="14"/>
  <c r="K102" i="14" s="1"/>
  <c r="J101" i="14"/>
  <c r="I101" i="14"/>
  <c r="K101" i="14" s="1"/>
  <c r="J100" i="14"/>
  <c r="I100" i="14"/>
  <c r="K100" i="14" s="1"/>
  <c r="L100" i="14" s="1"/>
  <c r="K99" i="14"/>
  <c r="L99" i="14" s="1"/>
  <c r="J99" i="14"/>
  <c r="I99" i="14"/>
  <c r="J98" i="14"/>
  <c r="I98" i="14"/>
  <c r="K98" i="14" s="1"/>
  <c r="L98" i="14" s="1"/>
  <c r="J97" i="14"/>
  <c r="I97" i="14"/>
  <c r="K97" i="14" s="1"/>
  <c r="L97" i="14" s="1"/>
  <c r="V96" i="14"/>
  <c r="J96" i="14"/>
  <c r="I96" i="14"/>
  <c r="K96" i="14" s="1"/>
  <c r="V95" i="14"/>
  <c r="J95" i="14"/>
  <c r="I95" i="14"/>
  <c r="K95" i="14" s="1"/>
  <c r="J94" i="14"/>
  <c r="I94" i="14"/>
  <c r="K94" i="14" s="1"/>
  <c r="J93" i="14"/>
  <c r="I93" i="14"/>
  <c r="K93" i="14" s="1"/>
  <c r="J92" i="14"/>
  <c r="I92" i="14"/>
  <c r="K92" i="14" s="1"/>
  <c r="L92" i="14" s="1"/>
  <c r="J91" i="14"/>
  <c r="I91" i="14"/>
  <c r="K91" i="14" s="1"/>
  <c r="L91" i="14" s="1"/>
  <c r="J90" i="14"/>
  <c r="I90" i="14"/>
  <c r="K90" i="14" s="1"/>
  <c r="L90" i="14" s="1"/>
  <c r="J89" i="14"/>
  <c r="I89" i="14"/>
  <c r="K89" i="14" s="1"/>
  <c r="V88" i="14"/>
  <c r="J88" i="14"/>
  <c r="I88" i="14"/>
  <c r="K88" i="14" s="1"/>
  <c r="L88" i="14" s="1"/>
  <c r="J87" i="14"/>
  <c r="I87" i="14"/>
  <c r="K87" i="14" s="1"/>
  <c r="J86" i="14"/>
  <c r="I86" i="14"/>
  <c r="K86" i="14" s="1"/>
  <c r="J85" i="14"/>
  <c r="I85" i="14"/>
  <c r="K85" i="14" s="1"/>
  <c r="J84" i="14"/>
  <c r="I84" i="14"/>
  <c r="K84" i="14" s="1"/>
  <c r="L84" i="14" s="1"/>
  <c r="J83" i="14"/>
  <c r="I83" i="14"/>
  <c r="K83" i="14" s="1"/>
  <c r="L83" i="14" s="1"/>
  <c r="J82" i="14"/>
  <c r="I82" i="14"/>
  <c r="K82" i="14" s="1"/>
  <c r="J81" i="14"/>
  <c r="I81" i="14"/>
  <c r="K81" i="14" s="1"/>
  <c r="J80" i="14"/>
  <c r="I80" i="14"/>
  <c r="K80" i="14" s="1"/>
  <c r="L80" i="14" s="1"/>
  <c r="J79" i="14"/>
  <c r="I79" i="14"/>
  <c r="K79" i="14" s="1"/>
  <c r="J78" i="14"/>
  <c r="I78" i="14"/>
  <c r="K78" i="14" s="1"/>
  <c r="J77" i="14"/>
  <c r="I77" i="14"/>
  <c r="K77" i="14" s="1"/>
  <c r="L77" i="14" s="1"/>
  <c r="V79" i="14" s="1"/>
  <c r="J76" i="14"/>
  <c r="I76" i="14"/>
  <c r="K76" i="14" s="1"/>
  <c r="L76" i="14" s="1"/>
  <c r="K75" i="14"/>
  <c r="J75" i="14"/>
  <c r="I75" i="14"/>
  <c r="J74" i="14"/>
  <c r="I74" i="14"/>
  <c r="K74" i="14" s="1"/>
  <c r="L74" i="14" s="1"/>
  <c r="J73" i="14"/>
  <c r="I73" i="14"/>
  <c r="K73" i="14" s="1"/>
  <c r="L73" i="14" s="1"/>
  <c r="V75" i="14" s="1"/>
  <c r="J72" i="14"/>
  <c r="I72" i="14"/>
  <c r="K72" i="14" s="1"/>
  <c r="L72" i="14" s="1"/>
  <c r="J71" i="14"/>
  <c r="I71" i="14"/>
  <c r="K71" i="14" s="1"/>
  <c r="L71" i="14" s="1"/>
  <c r="J70" i="14"/>
  <c r="I70" i="14"/>
  <c r="K70" i="14" s="1"/>
  <c r="L70" i="14" s="1"/>
  <c r="J69" i="14"/>
  <c r="I69" i="14"/>
  <c r="K69" i="14" s="1"/>
  <c r="J68" i="14"/>
  <c r="I68" i="14"/>
  <c r="K68" i="14" s="1"/>
  <c r="J67" i="14"/>
  <c r="I67" i="14"/>
  <c r="K67" i="14" s="1"/>
  <c r="L67" i="14" s="1"/>
  <c r="J66" i="14"/>
  <c r="I66" i="14"/>
  <c r="K66" i="14" s="1"/>
  <c r="J65" i="14"/>
  <c r="I65" i="14"/>
  <c r="K65" i="14" s="1"/>
  <c r="L65" i="14" s="1"/>
  <c r="J64" i="14"/>
  <c r="I64" i="14"/>
  <c r="K64" i="14" s="1"/>
  <c r="J63" i="14"/>
  <c r="I63" i="14"/>
  <c r="K63" i="14" s="1"/>
  <c r="J62" i="14"/>
  <c r="I62" i="14"/>
  <c r="K62" i="14" s="1"/>
  <c r="J61" i="14"/>
  <c r="I61" i="14"/>
  <c r="K61" i="14" s="1"/>
  <c r="L61" i="14" s="1"/>
  <c r="K60" i="14"/>
  <c r="L60" i="14" s="1"/>
  <c r="J60" i="14"/>
  <c r="I60" i="14"/>
  <c r="J59" i="14"/>
  <c r="I59" i="14"/>
  <c r="K59" i="14" s="1"/>
  <c r="J58" i="14"/>
  <c r="I58" i="14"/>
  <c r="K58" i="14" s="1"/>
  <c r="L58" i="14" s="1"/>
  <c r="J57" i="14"/>
  <c r="L57" i="14" s="1"/>
  <c r="I57" i="14"/>
  <c r="K57" i="14" s="1"/>
  <c r="J56" i="14"/>
  <c r="I56" i="14"/>
  <c r="K56" i="14" s="1"/>
  <c r="J55" i="14"/>
  <c r="I55" i="14"/>
  <c r="K55" i="14" s="1"/>
  <c r="J54" i="14"/>
  <c r="I54" i="14"/>
  <c r="K54" i="14" s="1"/>
  <c r="L54" i="14" s="1"/>
  <c r="K53" i="14"/>
  <c r="L53" i="14" s="1"/>
  <c r="J53" i="14"/>
  <c r="I53" i="14"/>
  <c r="J52" i="14"/>
  <c r="I52" i="14"/>
  <c r="K52" i="14" s="1"/>
  <c r="J51" i="14"/>
  <c r="I51" i="14"/>
  <c r="K51" i="14" s="1"/>
  <c r="L51" i="14" s="1"/>
  <c r="J50" i="14"/>
  <c r="I50" i="14"/>
  <c r="K50" i="14" s="1"/>
  <c r="J49" i="14"/>
  <c r="I49" i="14"/>
  <c r="K49" i="14" s="1"/>
  <c r="J48" i="14"/>
  <c r="I48" i="14"/>
  <c r="K48" i="14" s="1"/>
  <c r="J47" i="14"/>
  <c r="I47" i="14"/>
  <c r="K47" i="14" s="1"/>
  <c r="J46" i="14"/>
  <c r="I46" i="14"/>
  <c r="K46" i="14" s="1"/>
  <c r="J45" i="14"/>
  <c r="I45" i="14"/>
  <c r="K45" i="14" s="1"/>
  <c r="J44" i="14"/>
  <c r="I44" i="14"/>
  <c r="K44" i="14" s="1"/>
  <c r="L44" i="14" s="1"/>
  <c r="J43" i="14"/>
  <c r="I43" i="14"/>
  <c r="K43" i="14" s="1"/>
  <c r="J42" i="14"/>
  <c r="I42" i="14"/>
  <c r="K42" i="14" s="1"/>
  <c r="J41" i="14"/>
  <c r="I41" i="14"/>
  <c r="K41" i="14" s="1"/>
  <c r="J40" i="14"/>
  <c r="I40" i="14"/>
  <c r="K40" i="14" s="1"/>
  <c r="L40" i="14" s="1"/>
  <c r="J39" i="14"/>
  <c r="I39" i="14"/>
  <c r="K39" i="14" s="1"/>
  <c r="L39" i="14" s="1"/>
  <c r="L38" i="14"/>
  <c r="J38" i="14"/>
  <c r="I38" i="14"/>
  <c r="K38" i="14" s="1"/>
  <c r="J37" i="14"/>
  <c r="I37" i="14"/>
  <c r="K37" i="14" s="1"/>
  <c r="L37" i="14" s="1"/>
  <c r="J36" i="14"/>
  <c r="I36" i="14"/>
  <c r="K36" i="14" s="1"/>
  <c r="J35" i="14"/>
  <c r="I35" i="14"/>
  <c r="K35" i="14" s="1"/>
  <c r="J34" i="14"/>
  <c r="I34" i="14"/>
  <c r="K34" i="14" s="1"/>
  <c r="J33" i="14"/>
  <c r="I33" i="14"/>
  <c r="K33" i="14" s="1"/>
  <c r="J32" i="14"/>
  <c r="I32" i="14"/>
  <c r="K32" i="14" s="1"/>
  <c r="J31" i="14"/>
  <c r="I31" i="14"/>
  <c r="K31" i="14" s="1"/>
  <c r="J30" i="14"/>
  <c r="I30" i="14"/>
  <c r="K30" i="14" s="1"/>
  <c r="L30" i="14" s="1"/>
  <c r="J29" i="14"/>
  <c r="I29" i="14"/>
  <c r="K29" i="14" s="1"/>
  <c r="L29" i="14" s="1"/>
  <c r="J28" i="14"/>
  <c r="I28" i="14"/>
  <c r="K28" i="14" s="1"/>
  <c r="L28" i="14" s="1"/>
  <c r="J27" i="14"/>
  <c r="I27" i="14"/>
  <c r="K27" i="14" s="1"/>
  <c r="J26" i="14"/>
  <c r="I26" i="14"/>
  <c r="K26" i="14" s="1"/>
  <c r="J25" i="14"/>
  <c r="I25" i="14"/>
  <c r="K25" i="14" s="1"/>
  <c r="J24" i="14"/>
  <c r="I24" i="14"/>
  <c r="K24" i="14" s="1"/>
  <c r="L24" i="14" s="1"/>
  <c r="J23" i="14"/>
  <c r="I23" i="14"/>
  <c r="K23" i="14" s="1"/>
  <c r="J22" i="14"/>
  <c r="I22" i="14"/>
  <c r="K22" i="14" s="1"/>
  <c r="J21" i="14"/>
  <c r="I21" i="14"/>
  <c r="K21" i="14" s="1"/>
  <c r="L21" i="14" s="1"/>
  <c r="J20" i="14"/>
  <c r="I20" i="14"/>
  <c r="K20" i="14" s="1"/>
  <c r="J19" i="14"/>
  <c r="I19" i="14"/>
  <c r="K19" i="14" s="1"/>
  <c r="L19" i="14" s="1"/>
  <c r="J18" i="14"/>
  <c r="I18" i="14"/>
  <c r="K18" i="14" s="1"/>
  <c r="L18" i="14" s="1"/>
  <c r="J17" i="14"/>
  <c r="I17" i="14"/>
  <c r="K17" i="14" s="1"/>
  <c r="L17" i="14" s="1"/>
  <c r="J16" i="14"/>
  <c r="I16" i="14"/>
  <c r="K16" i="14" s="1"/>
  <c r="J15" i="14"/>
  <c r="I15" i="14"/>
  <c r="K15" i="14" s="1"/>
  <c r="J14" i="14"/>
  <c r="I14" i="14"/>
  <c r="K14" i="14" s="1"/>
  <c r="J13" i="14"/>
  <c r="I13" i="14"/>
  <c r="K13" i="14" s="1"/>
  <c r="L13" i="14" s="1"/>
  <c r="K12" i="14"/>
  <c r="J12" i="14"/>
  <c r="I12" i="14"/>
  <c r="J11" i="14"/>
  <c r="I11" i="14"/>
  <c r="K11" i="14" s="1"/>
  <c r="J10" i="14"/>
  <c r="I10" i="14"/>
  <c r="K10" i="14" s="1"/>
  <c r="L10" i="14" s="1"/>
  <c r="J9" i="14"/>
  <c r="I9" i="14"/>
  <c r="K9" i="14" s="1"/>
  <c r="J8" i="14"/>
  <c r="I8" i="14"/>
  <c r="K8" i="14" s="1"/>
  <c r="L8" i="14" s="1"/>
  <c r="J7" i="14"/>
  <c r="I7" i="14"/>
  <c r="K7" i="14" s="1"/>
  <c r="J6" i="14"/>
  <c r="I6" i="14"/>
  <c r="K6" i="14" s="1"/>
  <c r="L6" i="14" s="1"/>
  <c r="K5" i="14"/>
  <c r="J5" i="14"/>
  <c r="I5" i="14"/>
  <c r="J4" i="14"/>
  <c r="I4" i="14"/>
  <c r="K4" i="14" s="1"/>
  <c r="J3" i="14"/>
  <c r="I3" i="14"/>
  <c r="K3" i="14" s="1"/>
  <c r="L3" i="14" s="1"/>
  <c r="J2" i="14"/>
  <c r="I2" i="14"/>
  <c r="K2" i="14" s="1"/>
  <c r="L2" i="14" s="1"/>
  <c r="I322" i="1"/>
  <c r="K322" i="1" s="1"/>
  <c r="J322" i="1"/>
  <c r="I316" i="11"/>
  <c r="J316" i="11"/>
  <c r="K316" i="11"/>
  <c r="I317" i="11"/>
  <c r="K317" i="11" s="1"/>
  <c r="J317" i="11"/>
  <c r="I318" i="11"/>
  <c r="K318" i="11" s="1"/>
  <c r="L318" i="11" s="1"/>
  <c r="J318" i="11"/>
  <c r="I319" i="11"/>
  <c r="J319" i="11"/>
  <c r="K319" i="11"/>
  <c r="I320" i="11"/>
  <c r="J320" i="11"/>
  <c r="K320" i="11"/>
  <c r="L320" i="11"/>
  <c r="I321" i="11"/>
  <c r="K321" i="11" s="1"/>
  <c r="J321" i="11"/>
  <c r="L240" i="14" l="1"/>
  <c r="L36" i="14"/>
  <c r="L300" i="14"/>
  <c r="L257" i="14"/>
  <c r="L106" i="14"/>
  <c r="L126" i="14"/>
  <c r="L177" i="14"/>
  <c r="L208" i="14"/>
  <c r="L23" i="14"/>
  <c r="L27" i="14"/>
  <c r="L34" i="14"/>
  <c r="L64" i="14"/>
  <c r="V66" i="14" s="1"/>
  <c r="L82" i="14"/>
  <c r="L112" i="14"/>
  <c r="L118" i="14"/>
  <c r="L144" i="14"/>
  <c r="L181" i="14"/>
  <c r="L191" i="14"/>
  <c r="L194" i="14"/>
  <c r="L197" i="14"/>
  <c r="L204" i="14"/>
  <c r="L232" i="14"/>
  <c r="L258" i="14"/>
  <c r="L284" i="14"/>
  <c r="L288" i="14"/>
  <c r="L9" i="14"/>
  <c r="L16" i="14"/>
  <c r="L20" i="14"/>
  <c r="L46" i="14"/>
  <c r="L68" i="14"/>
  <c r="L86" i="14"/>
  <c r="L93" i="14"/>
  <c r="L103" i="14"/>
  <c r="L109" i="14"/>
  <c r="L115" i="14"/>
  <c r="L133" i="14"/>
  <c r="L141" i="14"/>
  <c r="L155" i="14"/>
  <c r="L161" i="14"/>
  <c r="L164" i="14"/>
  <c r="L171" i="14"/>
  <c r="L178" i="14"/>
  <c r="L185" i="14"/>
  <c r="L188" i="14"/>
  <c r="L201" i="14"/>
  <c r="L222" i="14"/>
  <c r="L229" i="14"/>
  <c r="L236" i="14"/>
  <c r="L266" i="14"/>
  <c r="L296" i="14"/>
  <c r="L5" i="14"/>
  <c r="L12" i="14"/>
  <c r="L50" i="14"/>
  <c r="L105" i="14"/>
  <c r="L108" i="14"/>
  <c r="L114" i="14"/>
  <c r="L159" i="14"/>
  <c r="L263" i="14"/>
  <c r="L270" i="14"/>
  <c r="L277" i="14"/>
  <c r="L280" i="14"/>
  <c r="L295" i="14"/>
  <c r="L302" i="14"/>
  <c r="V84" i="14" s="1"/>
  <c r="L309" i="14"/>
  <c r="V91" i="14" s="1"/>
  <c r="L312" i="14"/>
  <c r="V94" i="14" s="1"/>
  <c r="L41" i="14"/>
  <c r="L48" i="14"/>
  <c r="L55" i="14"/>
  <c r="L62" i="14"/>
  <c r="V64" i="14" s="1"/>
  <c r="L75" i="14"/>
  <c r="L78" i="14"/>
  <c r="V80" i="14" s="1"/>
  <c r="L89" i="14"/>
  <c r="L96" i="14"/>
  <c r="L129" i="14"/>
  <c r="L135" i="14"/>
  <c r="L250" i="14"/>
  <c r="L253" i="14"/>
  <c r="L271" i="14"/>
  <c r="L278" i="14"/>
  <c r="L285" i="14"/>
  <c r="L303" i="14"/>
  <c r="V85" i="14" s="1"/>
  <c r="L310" i="14"/>
  <c r="V92" i="14" s="1"/>
  <c r="L317" i="14"/>
  <c r="V99" i="14" s="1"/>
  <c r="L7" i="14"/>
  <c r="L14" i="14"/>
  <c r="L35" i="14"/>
  <c r="L45" i="14"/>
  <c r="L52" i="14"/>
  <c r="L59" i="14"/>
  <c r="L66" i="14"/>
  <c r="V68" i="14" s="1"/>
  <c r="L69" i="14"/>
  <c r="V71" i="14" s="1"/>
  <c r="L81" i="14"/>
  <c r="V83" i="14" s="1"/>
  <c r="L94" i="14"/>
  <c r="L101" i="14"/>
  <c r="L119" i="14"/>
  <c r="L145" i="14"/>
  <c r="L151" i="14"/>
  <c r="L221" i="14"/>
  <c r="L4" i="14"/>
  <c r="L25" i="14"/>
  <c r="L32" i="14"/>
  <c r="L42" i="14"/>
  <c r="L49" i="14"/>
  <c r="L56" i="14"/>
  <c r="L79" i="14"/>
  <c r="L87" i="14"/>
  <c r="L104" i="14"/>
  <c r="L107" i="14"/>
  <c r="L123" i="14"/>
  <c r="L136" i="14"/>
  <c r="L139" i="14"/>
  <c r="L158" i="14"/>
  <c r="L183" i="14"/>
  <c r="L215" i="14"/>
  <c r="L225" i="14"/>
  <c r="L241" i="14"/>
  <c r="L254" i="14"/>
  <c r="L261" i="14"/>
  <c r="L279" i="14"/>
  <c r="L286" i="14"/>
  <c r="L293" i="14"/>
  <c r="L311" i="14"/>
  <c r="V93" i="14" s="1"/>
  <c r="L318" i="14"/>
  <c r="V100" i="14" s="1"/>
  <c r="L22" i="14"/>
  <c r="L26" i="14"/>
  <c r="L43" i="14"/>
  <c r="L85" i="14"/>
  <c r="L102" i="14"/>
  <c r="L111" i="14"/>
  <c r="L117" i="14"/>
  <c r="L124" i="14"/>
  <c r="L127" i="14"/>
  <c r="L137" i="14"/>
  <c r="L140" i="14"/>
  <c r="L168" i="14"/>
  <c r="L174" i="14"/>
  <c r="L184" i="14"/>
  <c r="L187" i="14"/>
  <c r="L200" i="14"/>
  <c r="L206" i="14"/>
  <c r="L216" i="14"/>
  <c r="L226" i="14"/>
  <c r="L242" i="14"/>
  <c r="L255" i="14"/>
  <c r="L262" i="14"/>
  <c r="L269" i="14"/>
  <c r="L287" i="14"/>
  <c r="L294" i="14"/>
  <c r="L301" i="14"/>
  <c r="L319" i="14"/>
  <c r="V101" i="14" s="1"/>
  <c r="V69" i="14"/>
  <c r="V70" i="14"/>
  <c r="V74" i="14"/>
  <c r="V78" i="14"/>
  <c r="V98" i="14"/>
  <c r="L157" i="14"/>
  <c r="L31" i="14"/>
  <c r="V81" i="14"/>
  <c r="V82" i="14"/>
  <c r="V67" i="14"/>
  <c r="L231" i="14"/>
  <c r="V73" i="14"/>
  <c r="L63" i="14"/>
  <c r="V77" i="14"/>
  <c r="L132" i="14"/>
  <c r="V76" i="14"/>
  <c r="L15" i="14"/>
  <c r="V72" i="14"/>
  <c r="L95" i="14"/>
  <c r="L11" i="14"/>
  <c r="L33" i="14"/>
  <c r="L47" i="14"/>
  <c r="L251" i="14"/>
  <c r="V89" i="14"/>
  <c r="L189" i="14"/>
  <c r="L148" i="14"/>
  <c r="L152" i="14"/>
  <c r="V97" i="14"/>
  <c r="L319" i="11"/>
  <c r="L316" i="11"/>
  <c r="L321" i="11"/>
  <c r="L317" i="11"/>
  <c r="L322" i="1"/>
  <c r="V65" i="14" l="1"/>
  <c r="I314" i="12"/>
  <c r="K314" i="12" s="1"/>
  <c r="J314" i="12"/>
  <c r="I315" i="12"/>
  <c r="K315" i="12" s="1"/>
  <c r="J315" i="12"/>
  <c r="I316" i="12"/>
  <c r="K316" i="12" s="1"/>
  <c r="J316" i="12"/>
  <c r="I317" i="12"/>
  <c r="K317" i="12" s="1"/>
  <c r="J317" i="12"/>
  <c r="I318" i="12"/>
  <c r="K318" i="12" s="1"/>
  <c r="J318" i="12"/>
  <c r="I319" i="12"/>
  <c r="K319" i="12" s="1"/>
  <c r="J319" i="12"/>
  <c r="I320" i="12"/>
  <c r="K320" i="12" s="1"/>
  <c r="J320" i="12"/>
  <c r="I321" i="12"/>
  <c r="K321" i="12" s="1"/>
  <c r="J321" i="12"/>
  <c r="I322" i="12"/>
  <c r="K322" i="12" s="1"/>
  <c r="L322" i="12" s="1"/>
  <c r="J322" i="12"/>
  <c r="I320" i="13"/>
  <c r="J320" i="13"/>
  <c r="K320" i="13"/>
  <c r="L320" i="13" s="1"/>
  <c r="I321" i="13"/>
  <c r="K321" i="13" s="1"/>
  <c r="J321" i="13"/>
  <c r="I322" i="13"/>
  <c r="K322" i="13" s="1"/>
  <c r="L322" i="13" s="1"/>
  <c r="J322" i="13"/>
  <c r="J319" i="13"/>
  <c r="I319" i="13"/>
  <c r="K319" i="13" s="1"/>
  <c r="J318" i="13"/>
  <c r="I318" i="13"/>
  <c r="K318" i="13" s="1"/>
  <c r="L318" i="13" s="1"/>
  <c r="J317" i="13"/>
  <c r="I317" i="13"/>
  <c r="K317" i="13" s="1"/>
  <c r="J316" i="13"/>
  <c r="I316" i="13"/>
  <c r="K316" i="13" s="1"/>
  <c r="J315" i="13"/>
  <c r="I315" i="13"/>
  <c r="K315" i="13" s="1"/>
  <c r="J314" i="13"/>
  <c r="I314" i="13"/>
  <c r="K314" i="13" s="1"/>
  <c r="J313" i="13"/>
  <c r="I313" i="13"/>
  <c r="K313" i="13" s="1"/>
  <c r="J312" i="13"/>
  <c r="I312" i="13"/>
  <c r="K312" i="13" s="1"/>
  <c r="J311" i="13"/>
  <c r="I311" i="13"/>
  <c r="K311" i="13" s="1"/>
  <c r="J310" i="13"/>
  <c r="I310" i="13"/>
  <c r="K310" i="13" s="1"/>
  <c r="J309" i="13"/>
  <c r="I309" i="13"/>
  <c r="K309" i="13" s="1"/>
  <c r="J308" i="13"/>
  <c r="I308" i="13"/>
  <c r="K308" i="13" s="1"/>
  <c r="J307" i="13"/>
  <c r="I307" i="13"/>
  <c r="K307" i="13" s="1"/>
  <c r="J306" i="13"/>
  <c r="I306" i="13"/>
  <c r="K306" i="13" s="1"/>
  <c r="J305" i="13"/>
  <c r="I305" i="13"/>
  <c r="K305" i="13" s="1"/>
  <c r="J304" i="13"/>
  <c r="I304" i="13"/>
  <c r="K304" i="13" s="1"/>
  <c r="J303" i="13"/>
  <c r="I303" i="13"/>
  <c r="K303" i="13" s="1"/>
  <c r="J302" i="13"/>
  <c r="I302" i="13"/>
  <c r="K302" i="13" s="1"/>
  <c r="L302" i="13" s="1"/>
  <c r="J301" i="13"/>
  <c r="I301" i="13"/>
  <c r="K301" i="13" s="1"/>
  <c r="J300" i="13"/>
  <c r="I300" i="13"/>
  <c r="K300" i="13" s="1"/>
  <c r="J299" i="13"/>
  <c r="I299" i="13"/>
  <c r="K299" i="13" s="1"/>
  <c r="J298" i="13"/>
  <c r="I298" i="13"/>
  <c r="K298" i="13" s="1"/>
  <c r="L298" i="13" s="1"/>
  <c r="J297" i="13"/>
  <c r="I297" i="13"/>
  <c r="K297" i="13" s="1"/>
  <c r="L297" i="13" s="1"/>
  <c r="J296" i="13"/>
  <c r="I296" i="13"/>
  <c r="K296" i="13" s="1"/>
  <c r="J295" i="13"/>
  <c r="I295" i="13"/>
  <c r="K295" i="13" s="1"/>
  <c r="J294" i="13"/>
  <c r="I294" i="13"/>
  <c r="K294" i="13" s="1"/>
  <c r="L294" i="13" s="1"/>
  <c r="J293" i="13"/>
  <c r="I293" i="13"/>
  <c r="K293" i="13" s="1"/>
  <c r="J292" i="13"/>
  <c r="I292" i="13"/>
  <c r="K292" i="13" s="1"/>
  <c r="J291" i="13"/>
  <c r="I291" i="13"/>
  <c r="K291" i="13" s="1"/>
  <c r="J290" i="13"/>
  <c r="I290" i="13"/>
  <c r="K290" i="13" s="1"/>
  <c r="J289" i="13"/>
  <c r="I289" i="13"/>
  <c r="K289" i="13" s="1"/>
  <c r="L289" i="13" s="1"/>
  <c r="J288" i="13"/>
  <c r="I288" i="13"/>
  <c r="K288" i="13" s="1"/>
  <c r="J287" i="13"/>
  <c r="I287" i="13"/>
  <c r="K287" i="13" s="1"/>
  <c r="J286" i="13"/>
  <c r="I286" i="13"/>
  <c r="K286" i="13" s="1"/>
  <c r="J285" i="13"/>
  <c r="I285" i="13"/>
  <c r="K285" i="13" s="1"/>
  <c r="J284" i="13"/>
  <c r="I284" i="13"/>
  <c r="K284" i="13" s="1"/>
  <c r="J283" i="13"/>
  <c r="I283" i="13"/>
  <c r="K283" i="13" s="1"/>
  <c r="J282" i="13"/>
  <c r="I282" i="13"/>
  <c r="K282" i="13" s="1"/>
  <c r="J281" i="13"/>
  <c r="I281" i="13"/>
  <c r="K281" i="13" s="1"/>
  <c r="L281" i="13" s="1"/>
  <c r="J280" i="13"/>
  <c r="I280" i="13"/>
  <c r="K280" i="13" s="1"/>
  <c r="J279" i="13"/>
  <c r="I279" i="13"/>
  <c r="K279" i="13" s="1"/>
  <c r="J278" i="13"/>
  <c r="I278" i="13"/>
  <c r="K278" i="13" s="1"/>
  <c r="J277" i="13"/>
  <c r="I277" i="13"/>
  <c r="K277" i="13" s="1"/>
  <c r="J276" i="13"/>
  <c r="I276" i="13"/>
  <c r="K276" i="13" s="1"/>
  <c r="J275" i="13"/>
  <c r="I275" i="13"/>
  <c r="K275" i="13" s="1"/>
  <c r="J274" i="13"/>
  <c r="I274" i="13"/>
  <c r="K274" i="13" s="1"/>
  <c r="J273" i="13"/>
  <c r="I273" i="13"/>
  <c r="K273" i="13" s="1"/>
  <c r="L273" i="13" s="1"/>
  <c r="J272" i="13"/>
  <c r="I272" i="13"/>
  <c r="K272" i="13" s="1"/>
  <c r="J271" i="13"/>
  <c r="I271" i="13"/>
  <c r="K271" i="13" s="1"/>
  <c r="J270" i="13"/>
  <c r="I270" i="13"/>
  <c r="K270" i="13" s="1"/>
  <c r="J269" i="13"/>
  <c r="I269" i="13"/>
  <c r="K269" i="13" s="1"/>
  <c r="J268" i="13"/>
  <c r="I268" i="13"/>
  <c r="K268" i="13" s="1"/>
  <c r="J267" i="13"/>
  <c r="I267" i="13"/>
  <c r="K267" i="13" s="1"/>
  <c r="J266" i="13"/>
  <c r="I266" i="13"/>
  <c r="K266" i="13" s="1"/>
  <c r="J265" i="13"/>
  <c r="I265" i="13"/>
  <c r="K265" i="13" s="1"/>
  <c r="J264" i="13"/>
  <c r="I264" i="13"/>
  <c r="K264" i="13" s="1"/>
  <c r="J263" i="13"/>
  <c r="I263" i="13"/>
  <c r="K263" i="13" s="1"/>
  <c r="J262" i="13"/>
  <c r="I262" i="13"/>
  <c r="K262" i="13" s="1"/>
  <c r="J261" i="13"/>
  <c r="I261" i="13"/>
  <c r="K261" i="13" s="1"/>
  <c r="J260" i="13"/>
  <c r="I260" i="13"/>
  <c r="K260" i="13" s="1"/>
  <c r="J259" i="13"/>
  <c r="I259" i="13"/>
  <c r="K259" i="13" s="1"/>
  <c r="J258" i="13"/>
  <c r="I258" i="13"/>
  <c r="K258" i="13" s="1"/>
  <c r="J257" i="13"/>
  <c r="I257" i="13"/>
  <c r="K257" i="13" s="1"/>
  <c r="J256" i="13"/>
  <c r="I256" i="13"/>
  <c r="K256" i="13" s="1"/>
  <c r="J255" i="13"/>
  <c r="I255" i="13"/>
  <c r="K255" i="13" s="1"/>
  <c r="J254" i="13"/>
  <c r="I254" i="13"/>
  <c r="K254" i="13" s="1"/>
  <c r="J253" i="13"/>
  <c r="I253" i="13"/>
  <c r="K253" i="13" s="1"/>
  <c r="L253" i="13" s="1"/>
  <c r="J252" i="13"/>
  <c r="I252" i="13"/>
  <c r="K252" i="13" s="1"/>
  <c r="J251" i="13"/>
  <c r="I251" i="13"/>
  <c r="K251" i="13" s="1"/>
  <c r="J250" i="13"/>
  <c r="I250" i="13"/>
  <c r="K250" i="13" s="1"/>
  <c r="J249" i="13"/>
  <c r="I249" i="13"/>
  <c r="K249" i="13" s="1"/>
  <c r="L249" i="13" s="1"/>
  <c r="J248" i="13"/>
  <c r="I248" i="13"/>
  <c r="K248" i="13" s="1"/>
  <c r="J247" i="13"/>
  <c r="I247" i="13"/>
  <c r="K247" i="13" s="1"/>
  <c r="J246" i="13"/>
  <c r="I246" i="13"/>
  <c r="K246" i="13" s="1"/>
  <c r="J245" i="13"/>
  <c r="I245" i="13"/>
  <c r="K245" i="13" s="1"/>
  <c r="J244" i="13"/>
  <c r="I244" i="13"/>
  <c r="K244" i="13" s="1"/>
  <c r="J243" i="13"/>
  <c r="I243" i="13"/>
  <c r="K243" i="13" s="1"/>
  <c r="J242" i="13"/>
  <c r="I242" i="13"/>
  <c r="K242" i="13" s="1"/>
  <c r="J241" i="13"/>
  <c r="I241" i="13"/>
  <c r="K241" i="13" s="1"/>
  <c r="J240" i="13"/>
  <c r="I240" i="13"/>
  <c r="K240" i="13" s="1"/>
  <c r="J239" i="13"/>
  <c r="I239" i="13"/>
  <c r="K239" i="13" s="1"/>
  <c r="J238" i="13"/>
  <c r="I238" i="13"/>
  <c r="K238" i="13" s="1"/>
  <c r="L238" i="13" s="1"/>
  <c r="J237" i="13"/>
  <c r="I237" i="13"/>
  <c r="K237" i="13" s="1"/>
  <c r="J236" i="13"/>
  <c r="I236" i="13"/>
  <c r="K236" i="13" s="1"/>
  <c r="J235" i="13"/>
  <c r="I235" i="13"/>
  <c r="K235" i="13" s="1"/>
  <c r="J234" i="13"/>
  <c r="I234" i="13"/>
  <c r="K234" i="13" s="1"/>
  <c r="J233" i="13"/>
  <c r="I233" i="13"/>
  <c r="K233" i="13" s="1"/>
  <c r="J232" i="13"/>
  <c r="I232" i="13"/>
  <c r="K232" i="13" s="1"/>
  <c r="J231" i="13"/>
  <c r="I231" i="13"/>
  <c r="K231" i="13" s="1"/>
  <c r="J230" i="13"/>
  <c r="I230" i="13"/>
  <c r="K230" i="13" s="1"/>
  <c r="J229" i="13"/>
  <c r="I229" i="13"/>
  <c r="K229" i="13" s="1"/>
  <c r="J228" i="13"/>
  <c r="I228" i="13"/>
  <c r="K228" i="13" s="1"/>
  <c r="J227" i="13"/>
  <c r="I227" i="13"/>
  <c r="K227" i="13" s="1"/>
  <c r="J226" i="13"/>
  <c r="I226" i="13"/>
  <c r="K226" i="13" s="1"/>
  <c r="L226" i="13" s="1"/>
  <c r="J225" i="13"/>
  <c r="I225" i="13"/>
  <c r="K225" i="13" s="1"/>
  <c r="J224" i="13"/>
  <c r="I224" i="13"/>
  <c r="K224" i="13" s="1"/>
  <c r="J223" i="13"/>
  <c r="I223" i="13"/>
  <c r="K223" i="13" s="1"/>
  <c r="J222" i="13"/>
  <c r="I222" i="13"/>
  <c r="K222" i="13" s="1"/>
  <c r="L222" i="13" s="1"/>
  <c r="J221" i="13"/>
  <c r="I221" i="13"/>
  <c r="K221" i="13" s="1"/>
  <c r="J220" i="13"/>
  <c r="I220" i="13"/>
  <c r="K220" i="13" s="1"/>
  <c r="J219" i="13"/>
  <c r="I219" i="13"/>
  <c r="K219" i="13" s="1"/>
  <c r="J218" i="13"/>
  <c r="I218" i="13"/>
  <c r="K218" i="13" s="1"/>
  <c r="J217" i="13"/>
  <c r="I217" i="13"/>
  <c r="K217" i="13" s="1"/>
  <c r="J216" i="13"/>
  <c r="I216" i="13"/>
  <c r="K216" i="13" s="1"/>
  <c r="J215" i="13"/>
  <c r="I215" i="13"/>
  <c r="K215" i="13" s="1"/>
  <c r="J214" i="13"/>
  <c r="I214" i="13"/>
  <c r="K214" i="13" s="1"/>
  <c r="J213" i="13"/>
  <c r="I213" i="13"/>
  <c r="K213" i="13" s="1"/>
  <c r="J212" i="13"/>
  <c r="I212" i="13"/>
  <c r="K212" i="13" s="1"/>
  <c r="J211" i="13"/>
  <c r="I211" i="13"/>
  <c r="K211" i="13" s="1"/>
  <c r="J210" i="13"/>
  <c r="I210" i="13"/>
  <c r="K210" i="13" s="1"/>
  <c r="J209" i="13"/>
  <c r="I209" i="13"/>
  <c r="K209" i="13" s="1"/>
  <c r="J208" i="13"/>
  <c r="I208" i="13"/>
  <c r="K208" i="13" s="1"/>
  <c r="J207" i="13"/>
  <c r="I207" i="13"/>
  <c r="K207" i="13" s="1"/>
  <c r="J206" i="13"/>
  <c r="I206" i="13"/>
  <c r="K206" i="13" s="1"/>
  <c r="L206" i="13" s="1"/>
  <c r="J205" i="13"/>
  <c r="I205" i="13"/>
  <c r="K205" i="13" s="1"/>
  <c r="J204" i="13"/>
  <c r="I204" i="13"/>
  <c r="K204" i="13" s="1"/>
  <c r="J203" i="13"/>
  <c r="I203" i="13"/>
  <c r="K203" i="13" s="1"/>
  <c r="L203" i="13" s="1"/>
  <c r="J202" i="13"/>
  <c r="I202" i="13"/>
  <c r="K202" i="13" s="1"/>
  <c r="L202" i="13" s="1"/>
  <c r="J201" i="13"/>
  <c r="I201" i="13"/>
  <c r="K201" i="13" s="1"/>
  <c r="J200" i="13"/>
  <c r="I200" i="13"/>
  <c r="K200" i="13" s="1"/>
  <c r="J199" i="13"/>
  <c r="I199" i="13"/>
  <c r="K199" i="13" s="1"/>
  <c r="L199" i="13" s="1"/>
  <c r="J198" i="13"/>
  <c r="I198" i="13"/>
  <c r="K198" i="13" s="1"/>
  <c r="J197" i="13"/>
  <c r="I197" i="13"/>
  <c r="K197" i="13" s="1"/>
  <c r="J196" i="13"/>
  <c r="I196" i="13"/>
  <c r="K196" i="13" s="1"/>
  <c r="J195" i="13"/>
  <c r="I195" i="13"/>
  <c r="K195" i="13" s="1"/>
  <c r="L195" i="13" s="1"/>
  <c r="J194" i="13"/>
  <c r="I194" i="13"/>
  <c r="K194" i="13" s="1"/>
  <c r="L194" i="13" s="1"/>
  <c r="J193" i="13"/>
  <c r="I193" i="13"/>
  <c r="K193" i="13" s="1"/>
  <c r="J192" i="13"/>
  <c r="I192" i="13"/>
  <c r="K192" i="13" s="1"/>
  <c r="J191" i="13"/>
  <c r="I191" i="13"/>
  <c r="K191" i="13" s="1"/>
  <c r="J190" i="13"/>
  <c r="I190" i="13"/>
  <c r="K190" i="13" s="1"/>
  <c r="J189" i="13"/>
  <c r="I189" i="13"/>
  <c r="K189" i="13" s="1"/>
  <c r="J188" i="13"/>
  <c r="I188" i="13"/>
  <c r="K188" i="13" s="1"/>
  <c r="J187" i="13"/>
  <c r="I187" i="13"/>
  <c r="K187" i="13" s="1"/>
  <c r="L187" i="13" s="1"/>
  <c r="J186" i="13"/>
  <c r="I186" i="13"/>
  <c r="K186" i="13" s="1"/>
  <c r="L186" i="13" s="1"/>
  <c r="J185" i="13"/>
  <c r="I185" i="13"/>
  <c r="K185" i="13" s="1"/>
  <c r="K184" i="13"/>
  <c r="J184" i="13"/>
  <c r="I184" i="13"/>
  <c r="J183" i="13"/>
  <c r="I183" i="13"/>
  <c r="K183" i="13" s="1"/>
  <c r="J182" i="13"/>
  <c r="I182" i="13"/>
  <c r="K182" i="13" s="1"/>
  <c r="J181" i="13"/>
  <c r="I181" i="13"/>
  <c r="K181" i="13" s="1"/>
  <c r="J180" i="13"/>
  <c r="I180" i="13"/>
  <c r="K180" i="13" s="1"/>
  <c r="J179" i="13"/>
  <c r="I179" i="13"/>
  <c r="K179" i="13" s="1"/>
  <c r="J178" i="13"/>
  <c r="I178" i="13"/>
  <c r="K178" i="13" s="1"/>
  <c r="J177" i="13"/>
  <c r="I177" i="13"/>
  <c r="K177" i="13" s="1"/>
  <c r="J176" i="13"/>
  <c r="I176" i="13"/>
  <c r="K176" i="13" s="1"/>
  <c r="J175" i="13"/>
  <c r="I175" i="13"/>
  <c r="K175" i="13" s="1"/>
  <c r="J174" i="13"/>
  <c r="I174" i="13"/>
  <c r="K174" i="13" s="1"/>
  <c r="J173" i="13"/>
  <c r="I173" i="13"/>
  <c r="K173" i="13" s="1"/>
  <c r="J172" i="13"/>
  <c r="I172" i="13"/>
  <c r="K172" i="13" s="1"/>
  <c r="J171" i="13"/>
  <c r="I171" i="13"/>
  <c r="K171" i="13" s="1"/>
  <c r="J170" i="13"/>
  <c r="I170" i="13"/>
  <c r="K170" i="13" s="1"/>
  <c r="J169" i="13"/>
  <c r="I169" i="13"/>
  <c r="K169" i="13" s="1"/>
  <c r="J168" i="13"/>
  <c r="I168" i="13"/>
  <c r="K168" i="13" s="1"/>
  <c r="L168" i="13" s="1"/>
  <c r="J167" i="13"/>
  <c r="I167" i="13"/>
  <c r="K167" i="13" s="1"/>
  <c r="J166" i="13"/>
  <c r="I166" i="13"/>
  <c r="K166" i="13" s="1"/>
  <c r="J165" i="13"/>
  <c r="I165" i="13"/>
  <c r="K165" i="13" s="1"/>
  <c r="J164" i="13"/>
  <c r="I164" i="13"/>
  <c r="K164" i="13" s="1"/>
  <c r="J163" i="13"/>
  <c r="I163" i="13"/>
  <c r="K163" i="13" s="1"/>
  <c r="J162" i="13"/>
  <c r="I162" i="13"/>
  <c r="K162" i="13" s="1"/>
  <c r="J161" i="13"/>
  <c r="I161" i="13"/>
  <c r="K161" i="13" s="1"/>
  <c r="J160" i="13"/>
  <c r="I160" i="13"/>
  <c r="K160" i="13" s="1"/>
  <c r="L160" i="13" s="1"/>
  <c r="J159" i="13"/>
  <c r="I159" i="13"/>
  <c r="K159" i="13" s="1"/>
  <c r="J158" i="13"/>
  <c r="I158" i="13"/>
  <c r="K158" i="13" s="1"/>
  <c r="J157" i="13"/>
  <c r="I157" i="13"/>
  <c r="K157" i="13" s="1"/>
  <c r="J156" i="13"/>
  <c r="I156" i="13"/>
  <c r="K156" i="13" s="1"/>
  <c r="L156" i="13" s="1"/>
  <c r="J155" i="13"/>
  <c r="I155" i="13"/>
  <c r="K155" i="13" s="1"/>
  <c r="J154" i="13"/>
  <c r="I154" i="13"/>
  <c r="K154" i="13" s="1"/>
  <c r="J153" i="13"/>
  <c r="I153" i="13"/>
  <c r="K153" i="13" s="1"/>
  <c r="J152" i="13"/>
  <c r="I152" i="13"/>
  <c r="K152" i="13" s="1"/>
  <c r="L152" i="13" s="1"/>
  <c r="J151" i="13"/>
  <c r="I151" i="13"/>
  <c r="K151" i="13" s="1"/>
  <c r="J150" i="13"/>
  <c r="I150" i="13"/>
  <c r="K150" i="13" s="1"/>
  <c r="J149" i="13"/>
  <c r="I149" i="13"/>
  <c r="K149" i="13" s="1"/>
  <c r="J148" i="13"/>
  <c r="I148" i="13"/>
  <c r="K148" i="13" s="1"/>
  <c r="L148" i="13" s="1"/>
  <c r="J147" i="13"/>
  <c r="I147" i="13"/>
  <c r="K147" i="13" s="1"/>
  <c r="J146" i="13"/>
  <c r="I146" i="13"/>
  <c r="K146" i="13" s="1"/>
  <c r="J145" i="13"/>
  <c r="I145" i="13"/>
  <c r="K145" i="13" s="1"/>
  <c r="J144" i="13"/>
  <c r="I144" i="13"/>
  <c r="K144" i="13" s="1"/>
  <c r="L144" i="13" s="1"/>
  <c r="J143" i="13"/>
  <c r="I143" i="13"/>
  <c r="K143" i="13" s="1"/>
  <c r="J142" i="13"/>
  <c r="I142" i="13"/>
  <c r="K142" i="13" s="1"/>
  <c r="J141" i="13"/>
  <c r="I141" i="13"/>
  <c r="K141" i="13" s="1"/>
  <c r="J140" i="13"/>
  <c r="I140" i="13"/>
  <c r="K140" i="13" s="1"/>
  <c r="L140" i="13" s="1"/>
  <c r="J139" i="13"/>
  <c r="I139" i="13"/>
  <c r="K139" i="13" s="1"/>
  <c r="J138" i="13"/>
  <c r="I138" i="13"/>
  <c r="K138" i="13" s="1"/>
  <c r="J137" i="13"/>
  <c r="I137" i="13"/>
  <c r="K137" i="13" s="1"/>
  <c r="J136" i="13"/>
  <c r="I136" i="13"/>
  <c r="K136" i="13" s="1"/>
  <c r="L136" i="13" s="1"/>
  <c r="J135" i="13"/>
  <c r="I135" i="13"/>
  <c r="K135" i="13" s="1"/>
  <c r="J134" i="13"/>
  <c r="I134" i="13"/>
  <c r="K134" i="13" s="1"/>
  <c r="J133" i="13"/>
  <c r="I133" i="13"/>
  <c r="K133" i="13" s="1"/>
  <c r="J132" i="13"/>
  <c r="I132" i="13"/>
  <c r="K132" i="13" s="1"/>
  <c r="L132" i="13" s="1"/>
  <c r="J131" i="13"/>
  <c r="I131" i="13"/>
  <c r="K131" i="13" s="1"/>
  <c r="L131" i="13" s="1"/>
  <c r="J130" i="13"/>
  <c r="I130" i="13"/>
  <c r="K130" i="13" s="1"/>
  <c r="J129" i="13"/>
  <c r="I129" i="13"/>
  <c r="K129" i="13" s="1"/>
  <c r="J128" i="13"/>
  <c r="I128" i="13"/>
  <c r="K128" i="13" s="1"/>
  <c r="L128" i="13" s="1"/>
  <c r="J127" i="13"/>
  <c r="I127" i="13"/>
  <c r="K127" i="13" s="1"/>
  <c r="L127" i="13" s="1"/>
  <c r="J126" i="13"/>
  <c r="I126" i="13"/>
  <c r="K126" i="13" s="1"/>
  <c r="J125" i="13"/>
  <c r="I125" i="13"/>
  <c r="K125" i="13" s="1"/>
  <c r="J124" i="13"/>
  <c r="I124" i="13"/>
  <c r="K124" i="13" s="1"/>
  <c r="J123" i="13"/>
  <c r="I123" i="13"/>
  <c r="K123" i="13" s="1"/>
  <c r="J122" i="13"/>
  <c r="I122" i="13"/>
  <c r="K122" i="13" s="1"/>
  <c r="J121" i="13"/>
  <c r="I121" i="13"/>
  <c r="K121" i="13" s="1"/>
  <c r="J120" i="13"/>
  <c r="I120" i="13"/>
  <c r="K120" i="13" s="1"/>
  <c r="L120" i="13" s="1"/>
  <c r="J119" i="13"/>
  <c r="I119" i="13"/>
  <c r="K119" i="13" s="1"/>
  <c r="L119" i="13" s="1"/>
  <c r="J118" i="13"/>
  <c r="I118" i="13"/>
  <c r="K118" i="13" s="1"/>
  <c r="J117" i="13"/>
  <c r="I117" i="13"/>
  <c r="K117" i="13" s="1"/>
  <c r="J116" i="13"/>
  <c r="I116" i="13"/>
  <c r="K116" i="13" s="1"/>
  <c r="J115" i="13"/>
  <c r="I115" i="13"/>
  <c r="K115" i="13" s="1"/>
  <c r="J114" i="13"/>
  <c r="I114" i="13"/>
  <c r="K114" i="13" s="1"/>
  <c r="J113" i="13"/>
  <c r="I113" i="13"/>
  <c r="K113" i="13" s="1"/>
  <c r="J112" i="13"/>
  <c r="I112" i="13"/>
  <c r="K112" i="13" s="1"/>
  <c r="J111" i="13"/>
  <c r="I111" i="13"/>
  <c r="K111" i="13" s="1"/>
  <c r="L111" i="13" s="1"/>
  <c r="J110" i="13"/>
  <c r="I110" i="13"/>
  <c r="K110" i="13" s="1"/>
  <c r="J109" i="13"/>
  <c r="I109" i="13"/>
  <c r="K109" i="13" s="1"/>
  <c r="J108" i="13"/>
  <c r="I108" i="13"/>
  <c r="K108" i="13" s="1"/>
  <c r="J107" i="13"/>
  <c r="I107" i="13"/>
  <c r="K107" i="13" s="1"/>
  <c r="L107" i="13" s="1"/>
  <c r="J106" i="13"/>
  <c r="I106" i="13"/>
  <c r="K106" i="13" s="1"/>
  <c r="J105" i="13"/>
  <c r="I105" i="13"/>
  <c r="K105" i="13" s="1"/>
  <c r="L105" i="13" s="1"/>
  <c r="J104" i="13"/>
  <c r="I104" i="13"/>
  <c r="K104" i="13" s="1"/>
  <c r="J103" i="13"/>
  <c r="I103" i="13"/>
  <c r="K103" i="13" s="1"/>
  <c r="L103" i="13" s="1"/>
  <c r="J102" i="13"/>
  <c r="I102" i="13"/>
  <c r="K102" i="13" s="1"/>
  <c r="J101" i="13"/>
  <c r="I101" i="13"/>
  <c r="K101" i="13" s="1"/>
  <c r="J100" i="13"/>
  <c r="I100" i="13"/>
  <c r="K100" i="13" s="1"/>
  <c r="L100" i="13" s="1"/>
  <c r="J99" i="13"/>
  <c r="I99" i="13"/>
  <c r="K99" i="13" s="1"/>
  <c r="L99" i="13" s="1"/>
  <c r="J98" i="13"/>
  <c r="I98" i="13"/>
  <c r="K98" i="13" s="1"/>
  <c r="J97" i="13"/>
  <c r="I97" i="13"/>
  <c r="K97" i="13" s="1"/>
  <c r="J96" i="13"/>
  <c r="I96" i="13"/>
  <c r="K96" i="13" s="1"/>
  <c r="J95" i="13"/>
  <c r="I95" i="13"/>
  <c r="K95" i="13" s="1"/>
  <c r="L95" i="13" s="1"/>
  <c r="J94" i="13"/>
  <c r="I94" i="13"/>
  <c r="K94" i="13" s="1"/>
  <c r="J93" i="13"/>
  <c r="I93" i="13"/>
  <c r="K93" i="13" s="1"/>
  <c r="L93" i="13" s="1"/>
  <c r="J92" i="13"/>
  <c r="I92" i="13"/>
  <c r="K92" i="13" s="1"/>
  <c r="J91" i="13"/>
  <c r="I91" i="13"/>
  <c r="K91" i="13" s="1"/>
  <c r="J90" i="13"/>
  <c r="I90" i="13"/>
  <c r="K90" i="13" s="1"/>
  <c r="J89" i="13"/>
  <c r="I89" i="13"/>
  <c r="K89" i="13" s="1"/>
  <c r="L89" i="13" s="1"/>
  <c r="J88" i="13"/>
  <c r="I88" i="13"/>
  <c r="K88" i="13" s="1"/>
  <c r="J87" i="13"/>
  <c r="I87" i="13"/>
  <c r="K87" i="13" s="1"/>
  <c r="L87" i="13" s="1"/>
  <c r="J86" i="13"/>
  <c r="I86" i="13"/>
  <c r="K86" i="13" s="1"/>
  <c r="J85" i="13"/>
  <c r="I85" i="13"/>
  <c r="K85" i="13" s="1"/>
  <c r="J84" i="13"/>
  <c r="I84" i="13"/>
  <c r="K84" i="13" s="1"/>
  <c r="J83" i="13"/>
  <c r="I83" i="13"/>
  <c r="K83" i="13" s="1"/>
  <c r="L83" i="13" s="1"/>
  <c r="J82" i="13"/>
  <c r="I82" i="13"/>
  <c r="K82" i="13" s="1"/>
  <c r="J81" i="13"/>
  <c r="I81" i="13"/>
  <c r="K81" i="13" s="1"/>
  <c r="L81" i="13" s="1"/>
  <c r="V83" i="13" s="1"/>
  <c r="J80" i="13"/>
  <c r="I80" i="13"/>
  <c r="K80" i="13" s="1"/>
  <c r="J79" i="13"/>
  <c r="I79" i="13"/>
  <c r="K79" i="13" s="1"/>
  <c r="J78" i="13"/>
  <c r="I78" i="13"/>
  <c r="K78" i="13" s="1"/>
  <c r="J77" i="13"/>
  <c r="I77" i="13"/>
  <c r="K77" i="13" s="1"/>
  <c r="L77" i="13" s="1"/>
  <c r="V79" i="13" s="1"/>
  <c r="J76" i="13"/>
  <c r="I76" i="13"/>
  <c r="K76" i="13" s="1"/>
  <c r="J75" i="13"/>
  <c r="I75" i="13"/>
  <c r="K75" i="13" s="1"/>
  <c r="L75" i="13" s="1"/>
  <c r="J74" i="13"/>
  <c r="I74" i="13"/>
  <c r="K74" i="13" s="1"/>
  <c r="J73" i="13"/>
  <c r="I73" i="13"/>
  <c r="K73" i="13" s="1"/>
  <c r="J72" i="13"/>
  <c r="I72" i="13"/>
  <c r="K72" i="13" s="1"/>
  <c r="J71" i="13"/>
  <c r="I71" i="13"/>
  <c r="K71" i="13" s="1"/>
  <c r="L71" i="13" s="1"/>
  <c r="J70" i="13"/>
  <c r="I70" i="13"/>
  <c r="K70" i="13" s="1"/>
  <c r="J69" i="13"/>
  <c r="I69" i="13"/>
  <c r="K69" i="13" s="1"/>
  <c r="J68" i="13"/>
  <c r="I68" i="13"/>
  <c r="K68" i="13" s="1"/>
  <c r="J67" i="13"/>
  <c r="I67" i="13"/>
  <c r="K67" i="13" s="1"/>
  <c r="L67" i="13" s="1"/>
  <c r="V69" i="13" s="1"/>
  <c r="J66" i="13"/>
  <c r="I66" i="13"/>
  <c r="K66" i="13" s="1"/>
  <c r="J65" i="13"/>
  <c r="I65" i="13"/>
  <c r="K65" i="13" s="1"/>
  <c r="L65" i="13" s="1"/>
  <c r="V67" i="13" s="1"/>
  <c r="J64" i="13"/>
  <c r="I64" i="13"/>
  <c r="K64" i="13" s="1"/>
  <c r="L64" i="13" s="1"/>
  <c r="J63" i="13"/>
  <c r="I63" i="13"/>
  <c r="K63" i="13" s="1"/>
  <c r="L63" i="13" s="1"/>
  <c r="J62" i="13"/>
  <c r="I62" i="13"/>
  <c r="K62" i="13" s="1"/>
  <c r="J61" i="13"/>
  <c r="I61" i="13"/>
  <c r="K61" i="13" s="1"/>
  <c r="L61" i="13" s="1"/>
  <c r="J60" i="13"/>
  <c r="I60" i="13"/>
  <c r="K60" i="13" s="1"/>
  <c r="J59" i="13"/>
  <c r="I59" i="13"/>
  <c r="K59" i="13" s="1"/>
  <c r="L59" i="13" s="1"/>
  <c r="J58" i="13"/>
  <c r="I58" i="13"/>
  <c r="K58" i="13" s="1"/>
  <c r="J57" i="13"/>
  <c r="I57" i="13"/>
  <c r="K57" i="13" s="1"/>
  <c r="J56" i="13"/>
  <c r="I56" i="13"/>
  <c r="K56" i="13" s="1"/>
  <c r="J55" i="13"/>
  <c r="I55" i="13"/>
  <c r="K55" i="13" s="1"/>
  <c r="J54" i="13"/>
  <c r="I54" i="13"/>
  <c r="K54" i="13" s="1"/>
  <c r="J53" i="13"/>
  <c r="I53" i="13"/>
  <c r="K53" i="13" s="1"/>
  <c r="J52" i="13"/>
  <c r="I52" i="13"/>
  <c r="K52" i="13" s="1"/>
  <c r="L52" i="13" s="1"/>
  <c r="J51" i="13"/>
  <c r="I51" i="13"/>
  <c r="K51" i="13" s="1"/>
  <c r="J50" i="13"/>
  <c r="I50" i="13"/>
  <c r="K50" i="13" s="1"/>
  <c r="J49" i="13"/>
  <c r="I49" i="13"/>
  <c r="K49" i="13" s="1"/>
  <c r="J48" i="13"/>
  <c r="I48" i="13"/>
  <c r="K48" i="13" s="1"/>
  <c r="L48" i="13" s="1"/>
  <c r="J47" i="13"/>
  <c r="I47" i="13"/>
  <c r="K47" i="13" s="1"/>
  <c r="J46" i="13"/>
  <c r="I46" i="13"/>
  <c r="K46" i="13" s="1"/>
  <c r="J45" i="13"/>
  <c r="I45" i="13"/>
  <c r="K45" i="13" s="1"/>
  <c r="J44" i="13"/>
  <c r="I44" i="13"/>
  <c r="K44" i="13" s="1"/>
  <c r="L44" i="13" s="1"/>
  <c r="J43" i="13"/>
  <c r="I43" i="13"/>
  <c r="K43" i="13" s="1"/>
  <c r="J42" i="13"/>
  <c r="I42" i="13"/>
  <c r="K42" i="13" s="1"/>
  <c r="J41" i="13"/>
  <c r="I41" i="13"/>
  <c r="K41" i="13" s="1"/>
  <c r="J40" i="13"/>
  <c r="I40" i="13"/>
  <c r="K40" i="13" s="1"/>
  <c r="L40" i="13" s="1"/>
  <c r="J39" i="13"/>
  <c r="I39" i="13"/>
  <c r="K39" i="13" s="1"/>
  <c r="J38" i="13"/>
  <c r="I38" i="13"/>
  <c r="K38" i="13" s="1"/>
  <c r="J37" i="13"/>
  <c r="I37" i="13"/>
  <c r="K37" i="13" s="1"/>
  <c r="J36" i="13"/>
  <c r="I36" i="13"/>
  <c r="K36" i="13" s="1"/>
  <c r="J35" i="13"/>
  <c r="I35" i="13"/>
  <c r="K35" i="13" s="1"/>
  <c r="J34" i="13"/>
  <c r="I34" i="13"/>
  <c r="K34" i="13" s="1"/>
  <c r="J33" i="13"/>
  <c r="I33" i="13"/>
  <c r="K33" i="13" s="1"/>
  <c r="J32" i="13"/>
  <c r="I32" i="13"/>
  <c r="K32" i="13" s="1"/>
  <c r="L32" i="13" s="1"/>
  <c r="J31" i="13"/>
  <c r="I31" i="13"/>
  <c r="K31" i="13" s="1"/>
  <c r="L31" i="13" s="1"/>
  <c r="J30" i="13"/>
  <c r="I30" i="13"/>
  <c r="K30" i="13" s="1"/>
  <c r="J29" i="13"/>
  <c r="I29" i="13"/>
  <c r="K29" i="13" s="1"/>
  <c r="J28" i="13"/>
  <c r="I28" i="13"/>
  <c r="K28" i="13" s="1"/>
  <c r="J27" i="13"/>
  <c r="I27" i="13"/>
  <c r="K27" i="13" s="1"/>
  <c r="L27" i="13" s="1"/>
  <c r="J26" i="13"/>
  <c r="I26" i="13"/>
  <c r="K26" i="13" s="1"/>
  <c r="J25" i="13"/>
  <c r="I25" i="13"/>
  <c r="K25" i="13" s="1"/>
  <c r="J24" i="13"/>
  <c r="I24" i="13"/>
  <c r="K24" i="13" s="1"/>
  <c r="L24" i="13" s="1"/>
  <c r="J23" i="13"/>
  <c r="I23" i="13"/>
  <c r="K23" i="13" s="1"/>
  <c r="L23" i="13" s="1"/>
  <c r="J22" i="13"/>
  <c r="I22" i="13"/>
  <c r="K22" i="13" s="1"/>
  <c r="J21" i="13"/>
  <c r="I21" i="13"/>
  <c r="K21" i="13" s="1"/>
  <c r="J20" i="13"/>
  <c r="I20" i="13"/>
  <c r="K20" i="13" s="1"/>
  <c r="J19" i="13"/>
  <c r="I19" i="13"/>
  <c r="K19" i="13" s="1"/>
  <c r="L19" i="13" s="1"/>
  <c r="J18" i="13"/>
  <c r="I18" i="13"/>
  <c r="K18" i="13" s="1"/>
  <c r="J17" i="13"/>
  <c r="I17" i="13"/>
  <c r="K17" i="13" s="1"/>
  <c r="J16" i="13"/>
  <c r="I16" i="13"/>
  <c r="K16" i="13" s="1"/>
  <c r="L16" i="13" s="1"/>
  <c r="J15" i="13"/>
  <c r="I15" i="13"/>
  <c r="K15" i="13" s="1"/>
  <c r="J14" i="13"/>
  <c r="I14" i="13"/>
  <c r="K14" i="13" s="1"/>
  <c r="J13" i="13"/>
  <c r="I13" i="13"/>
  <c r="K13" i="13" s="1"/>
  <c r="J12" i="13"/>
  <c r="I12" i="13"/>
  <c r="K12" i="13" s="1"/>
  <c r="J11" i="13"/>
  <c r="I11" i="13"/>
  <c r="K11" i="13" s="1"/>
  <c r="J10" i="13"/>
  <c r="I10" i="13"/>
  <c r="K10" i="13" s="1"/>
  <c r="J9" i="13"/>
  <c r="I9" i="13"/>
  <c r="K9" i="13" s="1"/>
  <c r="J8" i="13"/>
  <c r="I8" i="13"/>
  <c r="K8" i="13" s="1"/>
  <c r="J7" i="13"/>
  <c r="I7" i="13"/>
  <c r="K7" i="13" s="1"/>
  <c r="J6" i="13"/>
  <c r="I6" i="13"/>
  <c r="K6" i="13" s="1"/>
  <c r="J5" i="13"/>
  <c r="I5" i="13"/>
  <c r="K5" i="13" s="1"/>
  <c r="J4" i="13"/>
  <c r="I4" i="13"/>
  <c r="K4" i="13" s="1"/>
  <c r="J3" i="13"/>
  <c r="I3" i="13"/>
  <c r="K3" i="13" s="1"/>
  <c r="J2" i="13"/>
  <c r="I2" i="13"/>
  <c r="K2" i="13" s="1"/>
  <c r="J313" i="12"/>
  <c r="I313" i="12"/>
  <c r="K313" i="12" s="1"/>
  <c r="J312" i="12"/>
  <c r="I312" i="12"/>
  <c r="K312" i="12" s="1"/>
  <c r="J311" i="12"/>
  <c r="I311" i="12"/>
  <c r="K311" i="12" s="1"/>
  <c r="L311" i="12" s="1"/>
  <c r="V93" i="12" s="1"/>
  <c r="J310" i="12"/>
  <c r="I310" i="12"/>
  <c r="K310" i="12" s="1"/>
  <c r="J309" i="12"/>
  <c r="I309" i="12"/>
  <c r="K309" i="12" s="1"/>
  <c r="J308" i="12"/>
  <c r="I308" i="12"/>
  <c r="K308" i="12" s="1"/>
  <c r="J307" i="12"/>
  <c r="I307" i="12"/>
  <c r="K307" i="12" s="1"/>
  <c r="L307" i="12" s="1"/>
  <c r="V89" i="12" s="1"/>
  <c r="J306" i="12"/>
  <c r="I306" i="12"/>
  <c r="K306" i="12" s="1"/>
  <c r="J305" i="12"/>
  <c r="I305" i="12"/>
  <c r="K305" i="12" s="1"/>
  <c r="J304" i="12"/>
  <c r="I304" i="12"/>
  <c r="K304" i="12" s="1"/>
  <c r="J303" i="12"/>
  <c r="I303" i="12"/>
  <c r="K303" i="12" s="1"/>
  <c r="L303" i="12" s="1"/>
  <c r="V85" i="12" s="1"/>
  <c r="J302" i="12"/>
  <c r="I302" i="12"/>
  <c r="K302" i="12" s="1"/>
  <c r="J301" i="12"/>
  <c r="I301" i="12"/>
  <c r="K301" i="12" s="1"/>
  <c r="J300" i="12"/>
  <c r="I300" i="12"/>
  <c r="K300" i="12" s="1"/>
  <c r="J299" i="12"/>
  <c r="I299" i="12"/>
  <c r="K299" i="12" s="1"/>
  <c r="J298" i="12"/>
  <c r="I298" i="12"/>
  <c r="K298" i="12" s="1"/>
  <c r="J297" i="12"/>
  <c r="I297" i="12"/>
  <c r="K297" i="12" s="1"/>
  <c r="J296" i="12"/>
  <c r="I296" i="12"/>
  <c r="K296" i="12" s="1"/>
  <c r="J295" i="12"/>
  <c r="I295" i="12"/>
  <c r="K295" i="12" s="1"/>
  <c r="J294" i="12"/>
  <c r="I294" i="12"/>
  <c r="K294" i="12" s="1"/>
  <c r="J293" i="12"/>
  <c r="I293" i="12"/>
  <c r="K293" i="12" s="1"/>
  <c r="J292" i="12"/>
  <c r="I292" i="12"/>
  <c r="K292" i="12" s="1"/>
  <c r="J291" i="12"/>
  <c r="I291" i="12"/>
  <c r="K291" i="12" s="1"/>
  <c r="J290" i="12"/>
  <c r="I290" i="12"/>
  <c r="K290" i="12" s="1"/>
  <c r="J289" i="12"/>
  <c r="I289" i="12"/>
  <c r="K289" i="12" s="1"/>
  <c r="J288" i="12"/>
  <c r="I288" i="12"/>
  <c r="K288" i="12" s="1"/>
  <c r="J287" i="12"/>
  <c r="I287" i="12"/>
  <c r="K287" i="12" s="1"/>
  <c r="J286" i="12"/>
  <c r="I286" i="12"/>
  <c r="K286" i="12" s="1"/>
  <c r="J285" i="12"/>
  <c r="I285" i="12"/>
  <c r="K285" i="12" s="1"/>
  <c r="J284" i="12"/>
  <c r="I284" i="12"/>
  <c r="K284" i="12" s="1"/>
  <c r="J283" i="12"/>
  <c r="I283" i="12"/>
  <c r="K283" i="12" s="1"/>
  <c r="J282" i="12"/>
  <c r="I282" i="12"/>
  <c r="K282" i="12" s="1"/>
  <c r="J281" i="12"/>
  <c r="I281" i="12"/>
  <c r="K281" i="12" s="1"/>
  <c r="J280" i="12"/>
  <c r="I280" i="12"/>
  <c r="K280" i="12" s="1"/>
  <c r="J279" i="12"/>
  <c r="I279" i="12"/>
  <c r="K279" i="12" s="1"/>
  <c r="J278" i="12"/>
  <c r="I278" i="12"/>
  <c r="K278" i="12" s="1"/>
  <c r="J277" i="12"/>
  <c r="I277" i="12"/>
  <c r="K277" i="12" s="1"/>
  <c r="J276" i="12"/>
  <c r="I276" i="12"/>
  <c r="K276" i="12" s="1"/>
  <c r="L276" i="12" s="1"/>
  <c r="J275" i="12"/>
  <c r="I275" i="12"/>
  <c r="K275" i="12" s="1"/>
  <c r="L275" i="12" s="1"/>
  <c r="J274" i="12"/>
  <c r="I274" i="12"/>
  <c r="K274" i="12" s="1"/>
  <c r="J273" i="12"/>
  <c r="I273" i="12"/>
  <c r="K273" i="12" s="1"/>
  <c r="J272" i="12"/>
  <c r="I272" i="12"/>
  <c r="K272" i="12" s="1"/>
  <c r="L272" i="12" s="1"/>
  <c r="J271" i="12"/>
  <c r="I271" i="12"/>
  <c r="K271" i="12" s="1"/>
  <c r="L271" i="12" s="1"/>
  <c r="J270" i="12"/>
  <c r="I270" i="12"/>
  <c r="K270" i="12" s="1"/>
  <c r="J269" i="12"/>
  <c r="I269" i="12"/>
  <c r="K269" i="12" s="1"/>
  <c r="J268" i="12"/>
  <c r="I268" i="12"/>
  <c r="K268" i="12" s="1"/>
  <c r="L268" i="12" s="1"/>
  <c r="J267" i="12"/>
  <c r="I267" i="12"/>
  <c r="K267" i="12" s="1"/>
  <c r="J266" i="12"/>
  <c r="I266" i="12"/>
  <c r="K266" i="12" s="1"/>
  <c r="J265" i="12"/>
  <c r="I265" i="12"/>
  <c r="K265" i="12" s="1"/>
  <c r="J264" i="12"/>
  <c r="I264" i="12"/>
  <c r="K264" i="12" s="1"/>
  <c r="J263" i="12"/>
  <c r="I263" i="12"/>
  <c r="K263" i="12" s="1"/>
  <c r="L263" i="12" s="1"/>
  <c r="J262" i="12"/>
  <c r="I262" i="12"/>
  <c r="K262" i="12" s="1"/>
  <c r="J261" i="12"/>
  <c r="I261" i="12"/>
  <c r="K261" i="12" s="1"/>
  <c r="J260" i="12"/>
  <c r="I260" i="12"/>
  <c r="K260" i="12" s="1"/>
  <c r="L260" i="12" s="1"/>
  <c r="J259" i="12"/>
  <c r="I259" i="12"/>
  <c r="K259" i="12" s="1"/>
  <c r="L259" i="12" s="1"/>
  <c r="J258" i="12"/>
  <c r="I258" i="12"/>
  <c r="K258" i="12" s="1"/>
  <c r="J257" i="12"/>
  <c r="I257" i="12"/>
  <c r="K257" i="12" s="1"/>
  <c r="J256" i="12"/>
  <c r="I256" i="12"/>
  <c r="K256" i="12" s="1"/>
  <c r="L256" i="12" s="1"/>
  <c r="J255" i="12"/>
  <c r="I255" i="12"/>
  <c r="K255" i="12" s="1"/>
  <c r="L255" i="12" s="1"/>
  <c r="J254" i="12"/>
  <c r="I254" i="12"/>
  <c r="K254" i="12" s="1"/>
  <c r="J253" i="12"/>
  <c r="I253" i="12"/>
  <c r="K253" i="12" s="1"/>
  <c r="J252" i="12"/>
  <c r="I252" i="12"/>
  <c r="K252" i="12" s="1"/>
  <c r="L252" i="12" s="1"/>
  <c r="J251" i="12"/>
  <c r="I251" i="12"/>
  <c r="K251" i="12" s="1"/>
  <c r="J250" i="12"/>
  <c r="I250" i="12"/>
  <c r="K250" i="12" s="1"/>
  <c r="J249" i="12"/>
  <c r="I249" i="12"/>
  <c r="K249" i="12" s="1"/>
  <c r="J248" i="12"/>
  <c r="I248" i="12"/>
  <c r="K248" i="12" s="1"/>
  <c r="L248" i="12" s="1"/>
  <c r="J247" i="12"/>
  <c r="I247" i="12"/>
  <c r="K247" i="12" s="1"/>
  <c r="L247" i="12" s="1"/>
  <c r="J246" i="12"/>
  <c r="I246" i="12"/>
  <c r="K246" i="12" s="1"/>
  <c r="J245" i="12"/>
  <c r="I245" i="12"/>
  <c r="K245" i="12" s="1"/>
  <c r="J244" i="12"/>
  <c r="I244" i="12"/>
  <c r="K244" i="12" s="1"/>
  <c r="L244" i="12" s="1"/>
  <c r="J243" i="12"/>
  <c r="I243" i="12"/>
  <c r="K243" i="12" s="1"/>
  <c r="J242" i="12"/>
  <c r="I242" i="12"/>
  <c r="K242" i="12" s="1"/>
  <c r="J241" i="12"/>
  <c r="I241" i="12"/>
  <c r="K241" i="12" s="1"/>
  <c r="J240" i="12"/>
  <c r="I240" i="12"/>
  <c r="K240" i="12" s="1"/>
  <c r="L240" i="12" s="1"/>
  <c r="J239" i="12"/>
  <c r="I239" i="12"/>
  <c r="K239" i="12" s="1"/>
  <c r="J238" i="12"/>
  <c r="I238" i="12"/>
  <c r="K238" i="12" s="1"/>
  <c r="J237" i="12"/>
  <c r="I237" i="12"/>
  <c r="K237" i="12" s="1"/>
  <c r="J236" i="12"/>
  <c r="I236" i="12"/>
  <c r="K236" i="12" s="1"/>
  <c r="L236" i="12" s="1"/>
  <c r="J235" i="12"/>
  <c r="I235" i="12"/>
  <c r="K235" i="12" s="1"/>
  <c r="J234" i="12"/>
  <c r="I234" i="12"/>
  <c r="K234" i="12" s="1"/>
  <c r="J233" i="12"/>
  <c r="I233" i="12"/>
  <c r="K233" i="12" s="1"/>
  <c r="J232" i="12"/>
  <c r="I232" i="12"/>
  <c r="K232" i="12" s="1"/>
  <c r="J231" i="12"/>
  <c r="I231" i="12"/>
  <c r="K231" i="12" s="1"/>
  <c r="L231" i="12" s="1"/>
  <c r="J230" i="12"/>
  <c r="I230" i="12"/>
  <c r="K230" i="12" s="1"/>
  <c r="J229" i="12"/>
  <c r="I229" i="12"/>
  <c r="K229" i="12" s="1"/>
  <c r="J228" i="12"/>
  <c r="I228" i="12"/>
  <c r="K228" i="12" s="1"/>
  <c r="L228" i="12" s="1"/>
  <c r="J227" i="12"/>
  <c r="I227" i="12"/>
  <c r="K227" i="12" s="1"/>
  <c r="L227" i="12" s="1"/>
  <c r="J226" i="12"/>
  <c r="I226" i="12"/>
  <c r="K226" i="12" s="1"/>
  <c r="J225" i="12"/>
  <c r="I225" i="12"/>
  <c r="K225" i="12" s="1"/>
  <c r="J224" i="12"/>
  <c r="I224" i="12"/>
  <c r="K224" i="12" s="1"/>
  <c r="J223" i="12"/>
  <c r="I223" i="12"/>
  <c r="K223" i="12" s="1"/>
  <c r="L223" i="12" s="1"/>
  <c r="J222" i="12"/>
  <c r="I222" i="12"/>
  <c r="K222" i="12" s="1"/>
  <c r="J221" i="12"/>
  <c r="I221" i="12"/>
  <c r="K221" i="12" s="1"/>
  <c r="J220" i="12"/>
  <c r="I220" i="12"/>
  <c r="K220" i="12" s="1"/>
  <c r="L220" i="12" s="1"/>
  <c r="J219" i="12"/>
  <c r="I219" i="12"/>
  <c r="K219" i="12" s="1"/>
  <c r="J218" i="12"/>
  <c r="I218" i="12"/>
  <c r="K218" i="12" s="1"/>
  <c r="J217" i="12"/>
  <c r="I217" i="12"/>
  <c r="K217" i="12" s="1"/>
  <c r="J216" i="12"/>
  <c r="I216" i="12"/>
  <c r="K216" i="12" s="1"/>
  <c r="L216" i="12" s="1"/>
  <c r="J215" i="12"/>
  <c r="I215" i="12"/>
  <c r="K215" i="12" s="1"/>
  <c r="L215" i="12" s="1"/>
  <c r="J214" i="12"/>
  <c r="I214" i="12"/>
  <c r="K214" i="12" s="1"/>
  <c r="J213" i="12"/>
  <c r="I213" i="12"/>
  <c r="K213" i="12" s="1"/>
  <c r="J212" i="12"/>
  <c r="I212" i="12"/>
  <c r="K212" i="12" s="1"/>
  <c r="L212" i="12" s="1"/>
  <c r="J211" i="12"/>
  <c r="I211" i="12"/>
  <c r="K211" i="12" s="1"/>
  <c r="L211" i="12" s="1"/>
  <c r="J210" i="12"/>
  <c r="I210" i="12"/>
  <c r="K210" i="12" s="1"/>
  <c r="J209" i="12"/>
  <c r="I209" i="12"/>
  <c r="K209" i="12" s="1"/>
  <c r="J208" i="12"/>
  <c r="I208" i="12"/>
  <c r="K208" i="12" s="1"/>
  <c r="L208" i="12" s="1"/>
  <c r="J207" i="12"/>
  <c r="I207" i="12"/>
  <c r="K207" i="12" s="1"/>
  <c r="L207" i="12" s="1"/>
  <c r="J206" i="12"/>
  <c r="I206" i="12"/>
  <c r="K206" i="12" s="1"/>
  <c r="J205" i="12"/>
  <c r="I205" i="12"/>
  <c r="K205" i="12" s="1"/>
  <c r="J204" i="12"/>
  <c r="I204" i="12"/>
  <c r="K204" i="12" s="1"/>
  <c r="L204" i="12" s="1"/>
  <c r="J203" i="12"/>
  <c r="I203" i="12"/>
  <c r="K203" i="12" s="1"/>
  <c r="J202" i="12"/>
  <c r="I202" i="12"/>
  <c r="K202" i="12" s="1"/>
  <c r="J201" i="12"/>
  <c r="I201" i="12"/>
  <c r="K201" i="12" s="1"/>
  <c r="J200" i="12"/>
  <c r="I200" i="12"/>
  <c r="K200" i="12" s="1"/>
  <c r="L200" i="12" s="1"/>
  <c r="J199" i="12"/>
  <c r="I199" i="12"/>
  <c r="K199" i="12" s="1"/>
  <c r="L199" i="12" s="1"/>
  <c r="J198" i="12"/>
  <c r="I198" i="12"/>
  <c r="K198" i="12" s="1"/>
  <c r="J197" i="12"/>
  <c r="I197" i="12"/>
  <c r="K197" i="12" s="1"/>
  <c r="J196" i="12"/>
  <c r="I196" i="12"/>
  <c r="K196" i="12" s="1"/>
  <c r="L196" i="12" s="1"/>
  <c r="J195" i="12"/>
  <c r="I195" i="12"/>
  <c r="K195" i="12" s="1"/>
  <c r="J194" i="12"/>
  <c r="I194" i="12"/>
  <c r="K194" i="12" s="1"/>
  <c r="J193" i="12"/>
  <c r="I193" i="12"/>
  <c r="K193" i="12" s="1"/>
  <c r="J192" i="12"/>
  <c r="I192" i="12"/>
  <c r="K192" i="12" s="1"/>
  <c r="L192" i="12" s="1"/>
  <c r="J191" i="12"/>
  <c r="I191" i="12"/>
  <c r="K191" i="12" s="1"/>
  <c r="J190" i="12"/>
  <c r="I190" i="12"/>
  <c r="K190" i="12" s="1"/>
  <c r="J189" i="12"/>
  <c r="I189" i="12"/>
  <c r="K189" i="12" s="1"/>
  <c r="J188" i="12"/>
  <c r="I188" i="12"/>
  <c r="K188" i="12" s="1"/>
  <c r="L188" i="12" s="1"/>
  <c r="J187" i="12"/>
  <c r="I187" i="12"/>
  <c r="K187" i="12" s="1"/>
  <c r="J186" i="12"/>
  <c r="I186" i="12"/>
  <c r="K186" i="12" s="1"/>
  <c r="J185" i="12"/>
  <c r="I185" i="12"/>
  <c r="K185" i="12" s="1"/>
  <c r="J184" i="12"/>
  <c r="I184" i="12"/>
  <c r="K184" i="12" s="1"/>
  <c r="J183" i="12"/>
  <c r="I183" i="12"/>
  <c r="K183" i="12" s="1"/>
  <c r="L183" i="12" s="1"/>
  <c r="J182" i="12"/>
  <c r="I182" i="12"/>
  <c r="K182" i="12" s="1"/>
  <c r="J181" i="12"/>
  <c r="I181" i="12"/>
  <c r="K181" i="12" s="1"/>
  <c r="J180" i="12"/>
  <c r="I180" i="12"/>
  <c r="K180" i="12" s="1"/>
  <c r="J179" i="12"/>
  <c r="I179" i="12"/>
  <c r="K179" i="12" s="1"/>
  <c r="J178" i="12"/>
  <c r="I178" i="12"/>
  <c r="K178" i="12" s="1"/>
  <c r="L178" i="12" s="1"/>
  <c r="J177" i="12"/>
  <c r="I177" i="12"/>
  <c r="K177" i="12" s="1"/>
  <c r="J176" i="12"/>
  <c r="I176" i="12"/>
  <c r="K176" i="12" s="1"/>
  <c r="J175" i="12"/>
  <c r="I175" i="12"/>
  <c r="K175" i="12" s="1"/>
  <c r="J174" i="12"/>
  <c r="I174" i="12"/>
  <c r="K174" i="12" s="1"/>
  <c r="L174" i="12" s="1"/>
  <c r="J173" i="12"/>
  <c r="I173" i="12"/>
  <c r="K173" i="12" s="1"/>
  <c r="J172" i="12"/>
  <c r="I172" i="12"/>
  <c r="K172" i="12" s="1"/>
  <c r="J171" i="12"/>
  <c r="I171" i="12"/>
  <c r="K171" i="12" s="1"/>
  <c r="J170" i="12"/>
  <c r="I170" i="12"/>
  <c r="K170" i="12" s="1"/>
  <c r="J169" i="12"/>
  <c r="I169" i="12"/>
  <c r="K169" i="12" s="1"/>
  <c r="J168" i="12"/>
  <c r="I168" i="12"/>
  <c r="K168" i="12" s="1"/>
  <c r="J167" i="12"/>
  <c r="I167" i="12"/>
  <c r="K167" i="12" s="1"/>
  <c r="J166" i="12"/>
  <c r="I166" i="12"/>
  <c r="K166" i="12" s="1"/>
  <c r="J165" i="12"/>
  <c r="I165" i="12"/>
  <c r="K165" i="12" s="1"/>
  <c r="J164" i="12"/>
  <c r="I164" i="12"/>
  <c r="K164" i="12" s="1"/>
  <c r="J163" i="12"/>
  <c r="I163" i="12"/>
  <c r="K163" i="12" s="1"/>
  <c r="J162" i="12"/>
  <c r="I162" i="12"/>
  <c r="K162" i="12" s="1"/>
  <c r="J161" i="12"/>
  <c r="I161" i="12"/>
  <c r="K161" i="12" s="1"/>
  <c r="J160" i="12"/>
  <c r="I160" i="12"/>
  <c r="K160" i="12" s="1"/>
  <c r="L160" i="12" s="1"/>
  <c r="J159" i="12"/>
  <c r="I159" i="12"/>
  <c r="K159" i="12" s="1"/>
  <c r="J158" i="12"/>
  <c r="I158" i="12"/>
  <c r="K158" i="12" s="1"/>
  <c r="J157" i="12"/>
  <c r="I157" i="12"/>
  <c r="K157" i="12" s="1"/>
  <c r="J156" i="12"/>
  <c r="I156" i="12"/>
  <c r="K156" i="12" s="1"/>
  <c r="J155" i="12"/>
  <c r="I155" i="12"/>
  <c r="K155" i="12" s="1"/>
  <c r="J154" i="12"/>
  <c r="I154" i="12"/>
  <c r="K154" i="12" s="1"/>
  <c r="J153" i="12"/>
  <c r="I153" i="12"/>
  <c r="K153" i="12" s="1"/>
  <c r="J152" i="12"/>
  <c r="I152" i="12"/>
  <c r="K152" i="12" s="1"/>
  <c r="L152" i="12" s="1"/>
  <c r="J151" i="12"/>
  <c r="I151" i="12"/>
  <c r="K151" i="12" s="1"/>
  <c r="L151" i="12" s="1"/>
  <c r="J150" i="12"/>
  <c r="I150" i="12"/>
  <c r="K150" i="12" s="1"/>
  <c r="J149" i="12"/>
  <c r="I149" i="12"/>
  <c r="K149" i="12" s="1"/>
  <c r="J148" i="12"/>
  <c r="I148" i="12"/>
  <c r="K148" i="12" s="1"/>
  <c r="J147" i="12"/>
  <c r="I147" i="12"/>
  <c r="K147" i="12" s="1"/>
  <c r="L147" i="12" s="1"/>
  <c r="J146" i="12"/>
  <c r="I146" i="12"/>
  <c r="K146" i="12" s="1"/>
  <c r="J145" i="12"/>
  <c r="I145" i="12"/>
  <c r="K145" i="12" s="1"/>
  <c r="J144" i="12"/>
  <c r="I144" i="12"/>
  <c r="K144" i="12" s="1"/>
  <c r="L144" i="12" s="1"/>
  <c r="J143" i="12"/>
  <c r="I143" i="12"/>
  <c r="K143" i="12" s="1"/>
  <c r="L143" i="12" s="1"/>
  <c r="J142" i="12"/>
  <c r="I142" i="12"/>
  <c r="K142" i="12" s="1"/>
  <c r="J141" i="12"/>
  <c r="I141" i="12"/>
  <c r="K141" i="12" s="1"/>
  <c r="J140" i="12"/>
  <c r="I140" i="12"/>
  <c r="K140" i="12" s="1"/>
  <c r="L140" i="12" s="1"/>
  <c r="J139" i="12"/>
  <c r="I139" i="12"/>
  <c r="K139" i="12" s="1"/>
  <c r="J138" i="12"/>
  <c r="I138" i="12"/>
  <c r="K138" i="12" s="1"/>
  <c r="L138" i="12" s="1"/>
  <c r="J137" i="12"/>
  <c r="I137" i="12"/>
  <c r="K137" i="12" s="1"/>
  <c r="J136" i="12"/>
  <c r="I136" i="12"/>
  <c r="K136" i="12" s="1"/>
  <c r="J135" i="12"/>
  <c r="I135" i="12"/>
  <c r="K135" i="12" s="1"/>
  <c r="L135" i="12" s="1"/>
  <c r="J134" i="12"/>
  <c r="I134" i="12"/>
  <c r="K134" i="12" s="1"/>
  <c r="J133" i="12"/>
  <c r="I133" i="12"/>
  <c r="K133" i="12" s="1"/>
  <c r="J132" i="12"/>
  <c r="I132" i="12"/>
  <c r="K132" i="12" s="1"/>
  <c r="J131" i="12"/>
  <c r="I131" i="12"/>
  <c r="K131" i="12" s="1"/>
  <c r="L131" i="12" s="1"/>
  <c r="J130" i="12"/>
  <c r="I130" i="12"/>
  <c r="K130" i="12" s="1"/>
  <c r="J129" i="12"/>
  <c r="I129" i="12"/>
  <c r="K129" i="12" s="1"/>
  <c r="J128" i="12"/>
  <c r="I128" i="12"/>
  <c r="K128" i="12" s="1"/>
  <c r="L128" i="12" s="1"/>
  <c r="J127" i="12"/>
  <c r="I127" i="12"/>
  <c r="K127" i="12" s="1"/>
  <c r="L127" i="12" s="1"/>
  <c r="J126" i="12"/>
  <c r="I126" i="12"/>
  <c r="K126" i="12" s="1"/>
  <c r="J125" i="12"/>
  <c r="I125" i="12"/>
  <c r="K125" i="12" s="1"/>
  <c r="J124" i="12"/>
  <c r="I124" i="12"/>
  <c r="K124" i="12" s="1"/>
  <c r="L124" i="12" s="1"/>
  <c r="J123" i="12"/>
  <c r="I123" i="12"/>
  <c r="K123" i="12" s="1"/>
  <c r="L123" i="12" s="1"/>
  <c r="J122" i="12"/>
  <c r="I122" i="12"/>
  <c r="K122" i="12" s="1"/>
  <c r="J121" i="12"/>
  <c r="I121" i="12"/>
  <c r="K121" i="12" s="1"/>
  <c r="J120" i="12"/>
  <c r="I120" i="12"/>
  <c r="K120" i="12" s="1"/>
  <c r="J119" i="12"/>
  <c r="I119" i="12"/>
  <c r="K119" i="12" s="1"/>
  <c r="L119" i="12" s="1"/>
  <c r="J118" i="12"/>
  <c r="I118" i="12"/>
  <c r="K118" i="12" s="1"/>
  <c r="J117" i="12"/>
  <c r="I117" i="12"/>
  <c r="K117" i="12" s="1"/>
  <c r="J116" i="12"/>
  <c r="I116" i="12"/>
  <c r="K116" i="12" s="1"/>
  <c r="J115" i="12"/>
  <c r="I115" i="12"/>
  <c r="K115" i="12" s="1"/>
  <c r="L115" i="12" s="1"/>
  <c r="J114" i="12"/>
  <c r="I114" i="12"/>
  <c r="K114" i="12" s="1"/>
  <c r="L114" i="12" s="1"/>
  <c r="J113" i="12"/>
  <c r="I113" i="12"/>
  <c r="K113" i="12" s="1"/>
  <c r="J112" i="12"/>
  <c r="I112" i="12"/>
  <c r="K112" i="12" s="1"/>
  <c r="L112" i="12" s="1"/>
  <c r="J111" i="12"/>
  <c r="I111" i="12"/>
  <c r="K111" i="12" s="1"/>
  <c r="L111" i="12" s="1"/>
  <c r="J110" i="12"/>
  <c r="I110" i="12"/>
  <c r="K110" i="12" s="1"/>
  <c r="L110" i="12" s="1"/>
  <c r="J109" i="12"/>
  <c r="I109" i="12"/>
  <c r="K109" i="12" s="1"/>
  <c r="J108" i="12"/>
  <c r="I108" i="12"/>
  <c r="K108" i="12" s="1"/>
  <c r="L108" i="12" s="1"/>
  <c r="J107" i="12"/>
  <c r="I107" i="12"/>
  <c r="K107" i="12" s="1"/>
  <c r="L107" i="12" s="1"/>
  <c r="J106" i="12"/>
  <c r="I106" i="12"/>
  <c r="K106" i="12" s="1"/>
  <c r="J105" i="12"/>
  <c r="I105" i="12"/>
  <c r="K105" i="12" s="1"/>
  <c r="J104" i="12"/>
  <c r="I104" i="12"/>
  <c r="K104" i="12" s="1"/>
  <c r="J103" i="12"/>
  <c r="I103" i="12"/>
  <c r="K103" i="12" s="1"/>
  <c r="J102" i="12"/>
  <c r="I102" i="12"/>
  <c r="K102" i="12" s="1"/>
  <c r="J101" i="12"/>
  <c r="I101" i="12"/>
  <c r="K101" i="12" s="1"/>
  <c r="J100" i="12"/>
  <c r="I100" i="12"/>
  <c r="K100" i="12" s="1"/>
  <c r="J99" i="12"/>
  <c r="I99" i="12"/>
  <c r="K99" i="12" s="1"/>
  <c r="J98" i="12"/>
  <c r="I98" i="12"/>
  <c r="K98" i="12" s="1"/>
  <c r="L98" i="12" s="1"/>
  <c r="J97" i="12"/>
  <c r="I97" i="12"/>
  <c r="K97" i="12" s="1"/>
  <c r="J96" i="12"/>
  <c r="I96" i="12"/>
  <c r="K96" i="12" s="1"/>
  <c r="J95" i="12"/>
  <c r="I95" i="12"/>
  <c r="K95" i="12" s="1"/>
  <c r="J94" i="12"/>
  <c r="I94" i="12"/>
  <c r="K94" i="12" s="1"/>
  <c r="L94" i="12" s="1"/>
  <c r="J93" i="12"/>
  <c r="I93" i="12"/>
  <c r="K93" i="12" s="1"/>
  <c r="J92" i="12"/>
  <c r="I92" i="12"/>
  <c r="K92" i="12" s="1"/>
  <c r="J91" i="12"/>
  <c r="I91" i="12"/>
  <c r="K91" i="12" s="1"/>
  <c r="J90" i="12"/>
  <c r="I90" i="12"/>
  <c r="K90" i="12" s="1"/>
  <c r="J89" i="12"/>
  <c r="I89" i="12"/>
  <c r="K89" i="12" s="1"/>
  <c r="J88" i="12"/>
  <c r="I88" i="12"/>
  <c r="K88" i="12" s="1"/>
  <c r="L88" i="12" s="1"/>
  <c r="J87" i="12"/>
  <c r="I87" i="12"/>
  <c r="K87" i="12" s="1"/>
  <c r="J86" i="12"/>
  <c r="I86" i="12"/>
  <c r="K86" i="12" s="1"/>
  <c r="L86" i="12" s="1"/>
  <c r="J85" i="12"/>
  <c r="I85" i="12"/>
  <c r="K85" i="12" s="1"/>
  <c r="J84" i="12"/>
  <c r="I84" i="12"/>
  <c r="K84" i="12" s="1"/>
  <c r="L84" i="12" s="1"/>
  <c r="J83" i="12"/>
  <c r="I83" i="12"/>
  <c r="K83" i="12" s="1"/>
  <c r="J82" i="12"/>
  <c r="I82" i="12"/>
  <c r="K82" i="12" s="1"/>
  <c r="L82" i="12" s="1"/>
  <c r="J81" i="12"/>
  <c r="I81" i="12"/>
  <c r="K81" i="12" s="1"/>
  <c r="J80" i="12"/>
  <c r="I80" i="12"/>
  <c r="K80" i="12" s="1"/>
  <c r="J79" i="12"/>
  <c r="I79" i="12"/>
  <c r="K79" i="12" s="1"/>
  <c r="J78" i="12"/>
  <c r="I78" i="12"/>
  <c r="K78" i="12" s="1"/>
  <c r="L78" i="12" s="1"/>
  <c r="V80" i="12" s="1"/>
  <c r="J77" i="12"/>
  <c r="I77" i="12"/>
  <c r="K77" i="12" s="1"/>
  <c r="J76" i="12"/>
  <c r="I76" i="12"/>
  <c r="K76" i="12" s="1"/>
  <c r="J75" i="12"/>
  <c r="I75" i="12"/>
  <c r="K75" i="12" s="1"/>
  <c r="J74" i="12"/>
  <c r="I74" i="12"/>
  <c r="K74" i="12" s="1"/>
  <c r="L74" i="12" s="1"/>
  <c r="J73" i="12"/>
  <c r="I73" i="12"/>
  <c r="K73" i="12" s="1"/>
  <c r="J72" i="12"/>
  <c r="I72" i="12"/>
  <c r="K72" i="12" s="1"/>
  <c r="J71" i="12"/>
  <c r="I71" i="12"/>
  <c r="K71" i="12" s="1"/>
  <c r="J70" i="12"/>
  <c r="I70" i="12"/>
  <c r="K70" i="12" s="1"/>
  <c r="L70" i="12" s="1"/>
  <c r="V72" i="12" s="1"/>
  <c r="J69" i="12"/>
  <c r="I69" i="12"/>
  <c r="K69" i="12" s="1"/>
  <c r="J68" i="12"/>
  <c r="I68" i="12"/>
  <c r="K68" i="12" s="1"/>
  <c r="J67" i="12"/>
  <c r="I67" i="12"/>
  <c r="K67" i="12" s="1"/>
  <c r="J66" i="12"/>
  <c r="I66" i="12"/>
  <c r="K66" i="12" s="1"/>
  <c r="L66" i="12" s="1"/>
  <c r="J65" i="12"/>
  <c r="I65" i="12"/>
  <c r="K65" i="12" s="1"/>
  <c r="J64" i="12"/>
  <c r="I64" i="12"/>
  <c r="K64" i="12" s="1"/>
  <c r="L64" i="12" s="1"/>
  <c r="J63" i="12"/>
  <c r="I63" i="12"/>
  <c r="K63" i="12" s="1"/>
  <c r="L63" i="12" s="1"/>
  <c r="V65" i="12" s="1"/>
  <c r="J62" i="12"/>
  <c r="I62" i="12"/>
  <c r="K62" i="12" s="1"/>
  <c r="L62" i="12" s="1"/>
  <c r="J61" i="12"/>
  <c r="I61" i="12"/>
  <c r="K61" i="12" s="1"/>
  <c r="J60" i="12"/>
  <c r="I60" i="12"/>
  <c r="K60" i="12" s="1"/>
  <c r="L60" i="12" s="1"/>
  <c r="J59" i="12"/>
  <c r="I59" i="12"/>
  <c r="K59" i="12" s="1"/>
  <c r="L59" i="12" s="1"/>
  <c r="J58" i="12"/>
  <c r="I58" i="12"/>
  <c r="K58" i="12" s="1"/>
  <c r="L58" i="12" s="1"/>
  <c r="J57" i="12"/>
  <c r="I57" i="12"/>
  <c r="K57" i="12" s="1"/>
  <c r="J56" i="12"/>
  <c r="I56" i="12"/>
  <c r="K56" i="12" s="1"/>
  <c r="L56" i="12" s="1"/>
  <c r="J55" i="12"/>
  <c r="I55" i="12"/>
  <c r="K55" i="12" s="1"/>
  <c r="L55" i="12" s="1"/>
  <c r="J54" i="12"/>
  <c r="I54" i="12"/>
  <c r="K54" i="12" s="1"/>
  <c r="L54" i="12" s="1"/>
  <c r="K53" i="12"/>
  <c r="J53" i="12"/>
  <c r="I53" i="12"/>
  <c r="J52" i="12"/>
  <c r="I52" i="12"/>
  <c r="K52" i="12" s="1"/>
  <c r="J51" i="12"/>
  <c r="I51" i="12"/>
  <c r="K51" i="12" s="1"/>
  <c r="J50" i="12"/>
  <c r="I50" i="12"/>
  <c r="K50" i="12" s="1"/>
  <c r="L50" i="12" s="1"/>
  <c r="J49" i="12"/>
  <c r="I49" i="12"/>
  <c r="K49" i="12" s="1"/>
  <c r="J48" i="12"/>
  <c r="I48" i="12"/>
  <c r="K48" i="12" s="1"/>
  <c r="L48" i="12" s="1"/>
  <c r="J47" i="12"/>
  <c r="I47" i="12"/>
  <c r="K47" i="12" s="1"/>
  <c r="L47" i="12" s="1"/>
  <c r="J46" i="12"/>
  <c r="I46" i="12"/>
  <c r="K46" i="12" s="1"/>
  <c r="L46" i="12" s="1"/>
  <c r="J45" i="12"/>
  <c r="I45" i="12"/>
  <c r="K45" i="12" s="1"/>
  <c r="J44" i="12"/>
  <c r="I44" i="12"/>
  <c r="K44" i="12" s="1"/>
  <c r="L44" i="12" s="1"/>
  <c r="J43" i="12"/>
  <c r="I43" i="12"/>
  <c r="K43" i="12" s="1"/>
  <c r="J42" i="12"/>
  <c r="I42" i="12"/>
  <c r="K42" i="12" s="1"/>
  <c r="J41" i="12"/>
  <c r="I41" i="12"/>
  <c r="K41" i="12" s="1"/>
  <c r="J40" i="12"/>
  <c r="I40" i="12"/>
  <c r="K40" i="12" s="1"/>
  <c r="L40" i="12" s="1"/>
  <c r="J39" i="12"/>
  <c r="I39" i="12"/>
  <c r="K39" i="12" s="1"/>
  <c r="L39" i="12" s="1"/>
  <c r="J38" i="12"/>
  <c r="I38" i="12"/>
  <c r="K38" i="12" s="1"/>
  <c r="J37" i="12"/>
  <c r="I37" i="12"/>
  <c r="K37" i="12" s="1"/>
  <c r="J36" i="12"/>
  <c r="I36" i="12"/>
  <c r="K36" i="12" s="1"/>
  <c r="L36" i="12" s="1"/>
  <c r="J35" i="12"/>
  <c r="I35" i="12"/>
  <c r="K35" i="12" s="1"/>
  <c r="J34" i="12"/>
  <c r="I34" i="12"/>
  <c r="K34" i="12" s="1"/>
  <c r="L34" i="12" s="1"/>
  <c r="J33" i="12"/>
  <c r="I33" i="12"/>
  <c r="K33" i="12" s="1"/>
  <c r="J32" i="12"/>
  <c r="I32" i="12"/>
  <c r="K32" i="12" s="1"/>
  <c r="L32" i="12" s="1"/>
  <c r="J31" i="12"/>
  <c r="I31" i="12"/>
  <c r="K31" i="12" s="1"/>
  <c r="J30" i="12"/>
  <c r="I30" i="12"/>
  <c r="K30" i="12" s="1"/>
  <c r="L30" i="12" s="1"/>
  <c r="J29" i="12"/>
  <c r="I29" i="12"/>
  <c r="K29" i="12" s="1"/>
  <c r="J28" i="12"/>
  <c r="I28" i="12"/>
  <c r="K28" i="12" s="1"/>
  <c r="J27" i="12"/>
  <c r="I27" i="12"/>
  <c r="K27" i="12" s="1"/>
  <c r="J26" i="12"/>
  <c r="I26" i="12"/>
  <c r="K26" i="12" s="1"/>
  <c r="J25" i="12"/>
  <c r="I25" i="12"/>
  <c r="K25" i="12" s="1"/>
  <c r="J24" i="12"/>
  <c r="I24" i="12"/>
  <c r="K24" i="12" s="1"/>
  <c r="L24" i="12" s="1"/>
  <c r="J23" i="12"/>
  <c r="I23" i="12"/>
  <c r="K23" i="12" s="1"/>
  <c r="J22" i="12"/>
  <c r="I22" i="12"/>
  <c r="K22" i="12" s="1"/>
  <c r="L22" i="12" s="1"/>
  <c r="J21" i="12"/>
  <c r="I21" i="12"/>
  <c r="K21" i="12" s="1"/>
  <c r="J20" i="12"/>
  <c r="I20" i="12"/>
  <c r="K20" i="12" s="1"/>
  <c r="J19" i="12"/>
  <c r="I19" i="12"/>
  <c r="K19" i="12" s="1"/>
  <c r="J18" i="12"/>
  <c r="I18" i="12"/>
  <c r="K18" i="12" s="1"/>
  <c r="J17" i="12"/>
  <c r="I17" i="12"/>
  <c r="K17" i="12" s="1"/>
  <c r="J16" i="12"/>
  <c r="I16" i="12"/>
  <c r="K16" i="12" s="1"/>
  <c r="L16" i="12" s="1"/>
  <c r="J15" i="12"/>
  <c r="I15" i="12"/>
  <c r="K15" i="12" s="1"/>
  <c r="J14" i="12"/>
  <c r="I14" i="12"/>
  <c r="K14" i="12" s="1"/>
  <c r="L14" i="12" s="1"/>
  <c r="J13" i="12"/>
  <c r="I13" i="12"/>
  <c r="K13" i="12" s="1"/>
  <c r="J12" i="12"/>
  <c r="I12" i="12"/>
  <c r="K12" i="12" s="1"/>
  <c r="J11" i="12"/>
  <c r="I11" i="12"/>
  <c r="K11" i="12" s="1"/>
  <c r="J10" i="12"/>
  <c r="I10" i="12"/>
  <c r="K10" i="12" s="1"/>
  <c r="J9" i="12"/>
  <c r="I9" i="12"/>
  <c r="K9" i="12" s="1"/>
  <c r="J8" i="12"/>
  <c r="I8" i="12"/>
  <c r="K8" i="12" s="1"/>
  <c r="L8" i="12" s="1"/>
  <c r="J7" i="12"/>
  <c r="I7" i="12"/>
  <c r="K7" i="12" s="1"/>
  <c r="J6" i="12"/>
  <c r="I6" i="12"/>
  <c r="K6" i="12" s="1"/>
  <c r="L6" i="12" s="1"/>
  <c r="J5" i="12"/>
  <c r="I5" i="12"/>
  <c r="K5" i="12" s="1"/>
  <c r="J4" i="12"/>
  <c r="I4" i="12"/>
  <c r="K4" i="12" s="1"/>
  <c r="L4" i="12" s="1"/>
  <c r="J3" i="12"/>
  <c r="I3" i="12"/>
  <c r="K3" i="12" s="1"/>
  <c r="L3" i="12" s="1"/>
  <c r="J2" i="12"/>
  <c r="I2" i="12"/>
  <c r="K2" i="12" s="1"/>
  <c r="L2" i="12" s="1"/>
  <c r="V98" i="11"/>
  <c r="J315" i="11"/>
  <c r="I315" i="11"/>
  <c r="K315" i="11" s="1"/>
  <c r="J314" i="11"/>
  <c r="I314" i="11"/>
  <c r="K314" i="11" s="1"/>
  <c r="J313" i="11"/>
  <c r="I313" i="11"/>
  <c r="K313" i="11" s="1"/>
  <c r="J312" i="11"/>
  <c r="I312" i="11"/>
  <c r="K312" i="11" s="1"/>
  <c r="J311" i="11"/>
  <c r="I311" i="11"/>
  <c r="K311" i="11" s="1"/>
  <c r="J310" i="11"/>
  <c r="I310" i="11"/>
  <c r="K310" i="11" s="1"/>
  <c r="J309" i="11"/>
  <c r="I309" i="11"/>
  <c r="K309" i="11" s="1"/>
  <c r="J308" i="11"/>
  <c r="I308" i="11"/>
  <c r="K308" i="11" s="1"/>
  <c r="J307" i="11"/>
  <c r="I307" i="11"/>
  <c r="K307" i="11" s="1"/>
  <c r="L307" i="11" s="1"/>
  <c r="V89" i="11" s="1"/>
  <c r="J306" i="11"/>
  <c r="I306" i="11"/>
  <c r="K306" i="11" s="1"/>
  <c r="J305" i="11"/>
  <c r="I305" i="11"/>
  <c r="K305" i="11" s="1"/>
  <c r="J304" i="11"/>
  <c r="I304" i="11"/>
  <c r="K304" i="11" s="1"/>
  <c r="J303" i="11"/>
  <c r="I303" i="11"/>
  <c r="K303" i="11" s="1"/>
  <c r="L303" i="11" s="1"/>
  <c r="J302" i="11"/>
  <c r="I302" i="11"/>
  <c r="K302" i="11" s="1"/>
  <c r="J301" i="11"/>
  <c r="I301" i="11"/>
  <c r="K301" i="11" s="1"/>
  <c r="L301" i="11" s="1"/>
  <c r="J300" i="11"/>
  <c r="I300" i="11"/>
  <c r="K300" i="11" s="1"/>
  <c r="J299" i="11"/>
  <c r="I299" i="11"/>
  <c r="K299" i="11" s="1"/>
  <c r="L299" i="11" s="1"/>
  <c r="J298" i="11"/>
  <c r="I298" i="11"/>
  <c r="K298" i="11" s="1"/>
  <c r="J297" i="11"/>
  <c r="I297" i="11"/>
  <c r="K297" i="11" s="1"/>
  <c r="L297" i="11" s="1"/>
  <c r="J296" i="11"/>
  <c r="I296" i="11"/>
  <c r="K296" i="11" s="1"/>
  <c r="J295" i="11"/>
  <c r="I295" i="11"/>
  <c r="K295" i="11" s="1"/>
  <c r="L295" i="11" s="1"/>
  <c r="J294" i="11"/>
  <c r="I294" i="11"/>
  <c r="K294" i="11" s="1"/>
  <c r="J293" i="11"/>
  <c r="I293" i="11"/>
  <c r="K293" i="11" s="1"/>
  <c r="J292" i="11"/>
  <c r="I292" i="11"/>
  <c r="K292" i="11" s="1"/>
  <c r="J291" i="11"/>
  <c r="I291" i="11"/>
  <c r="K291" i="11" s="1"/>
  <c r="L291" i="11" s="1"/>
  <c r="J290" i="11"/>
  <c r="I290" i="11"/>
  <c r="K290" i="11" s="1"/>
  <c r="J289" i="11"/>
  <c r="I289" i="11"/>
  <c r="K289" i="11" s="1"/>
  <c r="L289" i="11" s="1"/>
  <c r="J288" i="11"/>
  <c r="I288" i="11"/>
  <c r="K288" i="11" s="1"/>
  <c r="J287" i="11"/>
  <c r="I287" i="11"/>
  <c r="K287" i="11" s="1"/>
  <c r="L287" i="11" s="1"/>
  <c r="J286" i="11"/>
  <c r="I286" i="11"/>
  <c r="K286" i="11" s="1"/>
  <c r="J285" i="11"/>
  <c r="I285" i="11"/>
  <c r="K285" i="11" s="1"/>
  <c r="L285" i="11" s="1"/>
  <c r="J284" i="11"/>
  <c r="I284" i="11"/>
  <c r="K284" i="11" s="1"/>
  <c r="J283" i="11"/>
  <c r="I283" i="11"/>
  <c r="K283" i="11" s="1"/>
  <c r="L283" i="11" s="1"/>
  <c r="J282" i="11"/>
  <c r="I282" i="11"/>
  <c r="K282" i="11" s="1"/>
  <c r="J281" i="11"/>
  <c r="I281" i="11"/>
  <c r="K281" i="11" s="1"/>
  <c r="J280" i="11"/>
  <c r="I280" i="11"/>
  <c r="K280" i="11" s="1"/>
  <c r="J279" i="11"/>
  <c r="I279" i="11"/>
  <c r="K279" i="11" s="1"/>
  <c r="J278" i="11"/>
  <c r="I278" i="11"/>
  <c r="K278" i="11" s="1"/>
  <c r="J277" i="11"/>
  <c r="I277" i="11"/>
  <c r="K277" i="11" s="1"/>
  <c r="J276" i="11"/>
  <c r="I276" i="11"/>
  <c r="K276" i="11" s="1"/>
  <c r="J275" i="11"/>
  <c r="I275" i="11"/>
  <c r="K275" i="11" s="1"/>
  <c r="L275" i="11" s="1"/>
  <c r="J274" i="11"/>
  <c r="I274" i="11"/>
  <c r="K274" i="11" s="1"/>
  <c r="J273" i="11"/>
  <c r="I273" i="11"/>
  <c r="K273" i="11" s="1"/>
  <c r="J272" i="11"/>
  <c r="I272" i="11"/>
  <c r="K272" i="11" s="1"/>
  <c r="J271" i="11"/>
  <c r="I271" i="11"/>
  <c r="K271" i="11" s="1"/>
  <c r="J270" i="11"/>
  <c r="I270" i="11"/>
  <c r="K270" i="11" s="1"/>
  <c r="J269" i="11"/>
  <c r="I269" i="11"/>
  <c r="K269" i="11" s="1"/>
  <c r="J268" i="11"/>
  <c r="I268" i="11"/>
  <c r="K268" i="11" s="1"/>
  <c r="J267" i="11"/>
  <c r="I267" i="11"/>
  <c r="K267" i="11" s="1"/>
  <c r="L267" i="11" s="1"/>
  <c r="J266" i="11"/>
  <c r="I266" i="11"/>
  <c r="K266" i="11" s="1"/>
  <c r="J265" i="11"/>
  <c r="I265" i="11"/>
  <c r="K265" i="11" s="1"/>
  <c r="J264" i="11"/>
  <c r="I264" i="11"/>
  <c r="K264" i="11" s="1"/>
  <c r="J263" i="11"/>
  <c r="I263" i="11"/>
  <c r="K263" i="11" s="1"/>
  <c r="L263" i="11" s="1"/>
  <c r="J262" i="11"/>
  <c r="I262" i="11"/>
  <c r="K262" i="11" s="1"/>
  <c r="J261" i="11"/>
  <c r="I261" i="11"/>
  <c r="K261" i="11" s="1"/>
  <c r="J260" i="11"/>
  <c r="I260" i="11"/>
  <c r="K260" i="11" s="1"/>
  <c r="J259" i="11"/>
  <c r="I259" i="11"/>
  <c r="K259" i="11" s="1"/>
  <c r="L259" i="11" s="1"/>
  <c r="J258" i="11"/>
  <c r="I258" i="11"/>
  <c r="K258" i="11" s="1"/>
  <c r="J257" i="11"/>
  <c r="I257" i="11"/>
  <c r="K257" i="11" s="1"/>
  <c r="J256" i="11"/>
  <c r="I256" i="11"/>
  <c r="K256" i="11" s="1"/>
  <c r="J255" i="11"/>
  <c r="I255" i="11"/>
  <c r="K255" i="11" s="1"/>
  <c r="L255" i="11" s="1"/>
  <c r="J254" i="11"/>
  <c r="I254" i="11"/>
  <c r="K254" i="11" s="1"/>
  <c r="J253" i="11"/>
  <c r="I253" i="11"/>
  <c r="K253" i="11" s="1"/>
  <c r="J252" i="11"/>
  <c r="I252" i="11"/>
  <c r="K252" i="11" s="1"/>
  <c r="J251" i="11"/>
  <c r="I251" i="11"/>
  <c r="K251" i="11" s="1"/>
  <c r="J250" i="11"/>
  <c r="I250" i="11"/>
  <c r="K250" i="11" s="1"/>
  <c r="J249" i="11"/>
  <c r="I249" i="11"/>
  <c r="K249" i="11" s="1"/>
  <c r="J248" i="11"/>
  <c r="I248" i="11"/>
  <c r="K248" i="11" s="1"/>
  <c r="J247" i="11"/>
  <c r="I247" i="11"/>
  <c r="K247" i="11" s="1"/>
  <c r="L247" i="11" s="1"/>
  <c r="J246" i="11"/>
  <c r="I246" i="11"/>
  <c r="K246" i="11" s="1"/>
  <c r="J245" i="11"/>
  <c r="I245" i="11"/>
  <c r="K245" i="11" s="1"/>
  <c r="L245" i="11" s="1"/>
  <c r="J244" i="11"/>
  <c r="I244" i="11"/>
  <c r="K244" i="11" s="1"/>
  <c r="J243" i="11"/>
  <c r="I243" i="11"/>
  <c r="K243" i="11" s="1"/>
  <c r="L243" i="11" s="1"/>
  <c r="J242" i="11"/>
  <c r="I242" i="11"/>
  <c r="K242" i="11" s="1"/>
  <c r="J241" i="11"/>
  <c r="I241" i="11"/>
  <c r="K241" i="11" s="1"/>
  <c r="L241" i="11" s="1"/>
  <c r="J240" i="11"/>
  <c r="I240" i="11"/>
  <c r="K240" i="11" s="1"/>
  <c r="J239" i="11"/>
  <c r="I239" i="11"/>
  <c r="K239" i="11" s="1"/>
  <c r="L239" i="11" s="1"/>
  <c r="J238" i="11"/>
  <c r="I238" i="11"/>
  <c r="K238" i="11" s="1"/>
  <c r="J237" i="11"/>
  <c r="I237" i="11"/>
  <c r="K237" i="11" s="1"/>
  <c r="L237" i="11" s="1"/>
  <c r="J236" i="11"/>
  <c r="I236" i="11"/>
  <c r="K236" i="11" s="1"/>
  <c r="J235" i="11"/>
  <c r="I235" i="11"/>
  <c r="K235" i="11" s="1"/>
  <c r="L235" i="11" s="1"/>
  <c r="J234" i="11"/>
  <c r="I234" i="11"/>
  <c r="K234" i="11" s="1"/>
  <c r="L234" i="11" s="1"/>
  <c r="J233" i="11"/>
  <c r="I233" i="11"/>
  <c r="K233" i="11" s="1"/>
  <c r="J232" i="11"/>
  <c r="I232" i="11"/>
  <c r="K232" i="11" s="1"/>
  <c r="J231" i="11"/>
  <c r="I231" i="11"/>
  <c r="K231" i="11" s="1"/>
  <c r="L231" i="11" s="1"/>
  <c r="J230" i="11"/>
  <c r="I230" i="11"/>
  <c r="K230" i="11" s="1"/>
  <c r="L230" i="11" s="1"/>
  <c r="J229" i="11"/>
  <c r="I229" i="11"/>
  <c r="K229" i="11" s="1"/>
  <c r="J228" i="11"/>
  <c r="I228" i="11"/>
  <c r="K228" i="11" s="1"/>
  <c r="J227" i="11"/>
  <c r="I227" i="11"/>
  <c r="K227" i="11" s="1"/>
  <c r="L227" i="11" s="1"/>
  <c r="J226" i="11"/>
  <c r="I226" i="11"/>
  <c r="K226" i="11" s="1"/>
  <c r="J225" i="11"/>
  <c r="I225" i="11"/>
  <c r="K225" i="11" s="1"/>
  <c r="L225" i="11" s="1"/>
  <c r="J224" i="11"/>
  <c r="I224" i="11"/>
  <c r="K224" i="11" s="1"/>
  <c r="J223" i="11"/>
  <c r="I223" i="11"/>
  <c r="K223" i="11" s="1"/>
  <c r="L223" i="11" s="1"/>
  <c r="J222" i="11"/>
  <c r="I222" i="11"/>
  <c r="K222" i="11" s="1"/>
  <c r="L222" i="11" s="1"/>
  <c r="J221" i="11"/>
  <c r="I221" i="11"/>
  <c r="K221" i="11" s="1"/>
  <c r="L221" i="11" s="1"/>
  <c r="J220" i="11"/>
  <c r="I220" i="11"/>
  <c r="K220" i="11" s="1"/>
  <c r="J219" i="11"/>
  <c r="I219" i="11"/>
  <c r="K219" i="11" s="1"/>
  <c r="J218" i="11"/>
  <c r="I218" i="11"/>
  <c r="K218" i="11" s="1"/>
  <c r="J217" i="11"/>
  <c r="I217" i="11"/>
  <c r="K217" i="11" s="1"/>
  <c r="J216" i="11"/>
  <c r="I216" i="11"/>
  <c r="K216" i="11" s="1"/>
  <c r="J215" i="11"/>
  <c r="I215" i="11"/>
  <c r="K215" i="11" s="1"/>
  <c r="L215" i="11" s="1"/>
  <c r="J214" i="11"/>
  <c r="I214" i="11"/>
  <c r="K214" i="11" s="1"/>
  <c r="J213" i="11"/>
  <c r="I213" i="11"/>
  <c r="K213" i="11" s="1"/>
  <c r="J212" i="11"/>
  <c r="I212" i="11"/>
  <c r="K212" i="11" s="1"/>
  <c r="J211" i="11"/>
  <c r="I211" i="11"/>
  <c r="K211" i="11" s="1"/>
  <c r="L211" i="11" s="1"/>
  <c r="J210" i="11"/>
  <c r="I210" i="11"/>
  <c r="K210" i="11" s="1"/>
  <c r="J209" i="11"/>
  <c r="I209" i="11"/>
  <c r="K209" i="11" s="1"/>
  <c r="J208" i="11"/>
  <c r="I208" i="11"/>
  <c r="K208" i="11" s="1"/>
  <c r="J207" i="11"/>
  <c r="I207" i="11"/>
  <c r="K207" i="11" s="1"/>
  <c r="L207" i="11" s="1"/>
  <c r="J206" i="11"/>
  <c r="I206" i="11"/>
  <c r="K206" i="11" s="1"/>
  <c r="J205" i="11"/>
  <c r="I205" i="11"/>
  <c r="K205" i="11" s="1"/>
  <c r="L205" i="11" s="1"/>
  <c r="J204" i="11"/>
  <c r="I204" i="11"/>
  <c r="K204" i="11" s="1"/>
  <c r="J203" i="11"/>
  <c r="I203" i="11"/>
  <c r="K203" i="11" s="1"/>
  <c r="L203" i="11" s="1"/>
  <c r="J202" i="11"/>
  <c r="I202" i="11"/>
  <c r="K202" i="11" s="1"/>
  <c r="J201" i="11"/>
  <c r="I201" i="11"/>
  <c r="K201" i="11" s="1"/>
  <c r="J200" i="11"/>
  <c r="I200" i="11"/>
  <c r="K200" i="11" s="1"/>
  <c r="J199" i="11"/>
  <c r="I199" i="11"/>
  <c r="K199" i="11" s="1"/>
  <c r="L199" i="11" s="1"/>
  <c r="J198" i="11"/>
  <c r="I198" i="11"/>
  <c r="K198" i="11" s="1"/>
  <c r="J197" i="11"/>
  <c r="I197" i="11"/>
  <c r="K197" i="11" s="1"/>
  <c r="L197" i="11" s="1"/>
  <c r="J196" i="11"/>
  <c r="I196" i="11"/>
  <c r="K196" i="11" s="1"/>
  <c r="J195" i="11"/>
  <c r="I195" i="11"/>
  <c r="K195" i="11" s="1"/>
  <c r="L195" i="11" s="1"/>
  <c r="J194" i="11"/>
  <c r="I194" i="11"/>
  <c r="K194" i="11" s="1"/>
  <c r="J193" i="11"/>
  <c r="I193" i="11"/>
  <c r="K193" i="11" s="1"/>
  <c r="L193" i="11" s="1"/>
  <c r="J192" i="11"/>
  <c r="I192" i="11"/>
  <c r="K192" i="11" s="1"/>
  <c r="J191" i="11"/>
  <c r="I191" i="11"/>
  <c r="K191" i="11" s="1"/>
  <c r="J190" i="11"/>
  <c r="I190" i="11"/>
  <c r="K190" i="11" s="1"/>
  <c r="J189" i="11"/>
  <c r="I189" i="11"/>
  <c r="K189" i="11" s="1"/>
  <c r="J188" i="11"/>
  <c r="I188" i="11"/>
  <c r="K188" i="11" s="1"/>
  <c r="J187" i="11"/>
  <c r="I187" i="11"/>
  <c r="K187" i="11" s="1"/>
  <c r="L187" i="11" s="1"/>
  <c r="J186" i="11"/>
  <c r="I186" i="11"/>
  <c r="K186" i="11" s="1"/>
  <c r="J185" i="11"/>
  <c r="I185" i="11"/>
  <c r="K185" i="11" s="1"/>
  <c r="L185" i="11" s="1"/>
  <c r="J184" i="11"/>
  <c r="I184" i="11"/>
  <c r="K184" i="11" s="1"/>
  <c r="J183" i="11"/>
  <c r="I183" i="11"/>
  <c r="K183" i="11" s="1"/>
  <c r="L183" i="11" s="1"/>
  <c r="J182" i="11"/>
  <c r="I182" i="11"/>
  <c r="K182" i="11" s="1"/>
  <c r="J181" i="11"/>
  <c r="I181" i="11"/>
  <c r="K181" i="11" s="1"/>
  <c r="L181" i="11" s="1"/>
  <c r="J180" i="11"/>
  <c r="I180" i="11"/>
  <c r="K180" i="11" s="1"/>
  <c r="J179" i="11"/>
  <c r="I179" i="11"/>
  <c r="K179" i="11" s="1"/>
  <c r="L179" i="11" s="1"/>
  <c r="J178" i="11"/>
  <c r="I178" i="11"/>
  <c r="K178" i="11" s="1"/>
  <c r="J177" i="11"/>
  <c r="I177" i="11"/>
  <c r="K177" i="11" s="1"/>
  <c r="L177" i="11" s="1"/>
  <c r="J176" i="11"/>
  <c r="I176" i="11"/>
  <c r="K176" i="11" s="1"/>
  <c r="J175" i="11"/>
  <c r="I175" i="11"/>
  <c r="K175" i="11" s="1"/>
  <c r="L175" i="11" s="1"/>
  <c r="J174" i="11"/>
  <c r="I174" i="11"/>
  <c r="K174" i="11" s="1"/>
  <c r="J173" i="11"/>
  <c r="I173" i="11"/>
  <c r="K173" i="11" s="1"/>
  <c r="J172" i="11"/>
  <c r="I172" i="11"/>
  <c r="K172" i="11" s="1"/>
  <c r="J171" i="11"/>
  <c r="I171" i="11"/>
  <c r="K171" i="11" s="1"/>
  <c r="L171" i="11" s="1"/>
  <c r="J170" i="11"/>
  <c r="I170" i="11"/>
  <c r="K170" i="11" s="1"/>
  <c r="J169" i="11"/>
  <c r="I169" i="11"/>
  <c r="K169" i="11" s="1"/>
  <c r="L169" i="11" s="1"/>
  <c r="J168" i="11"/>
  <c r="I168" i="11"/>
  <c r="K168" i="11" s="1"/>
  <c r="J167" i="11"/>
  <c r="I167" i="11"/>
  <c r="K167" i="11" s="1"/>
  <c r="L167" i="11" s="1"/>
  <c r="J166" i="11"/>
  <c r="I166" i="11"/>
  <c r="K166" i="11" s="1"/>
  <c r="J165" i="11"/>
  <c r="I165" i="11"/>
  <c r="K165" i="11" s="1"/>
  <c r="L165" i="11" s="1"/>
  <c r="J164" i="11"/>
  <c r="I164" i="11"/>
  <c r="K164" i="11" s="1"/>
  <c r="J163" i="11"/>
  <c r="I163" i="11"/>
  <c r="K163" i="11" s="1"/>
  <c r="L163" i="11" s="1"/>
  <c r="J162" i="11"/>
  <c r="I162" i="11"/>
  <c r="K162" i="11" s="1"/>
  <c r="J161" i="11"/>
  <c r="I161" i="11"/>
  <c r="K161" i="11" s="1"/>
  <c r="L161" i="11" s="1"/>
  <c r="J160" i="11"/>
  <c r="I160" i="11"/>
  <c r="K160" i="11" s="1"/>
  <c r="J159" i="11"/>
  <c r="I159" i="11"/>
  <c r="K159" i="11" s="1"/>
  <c r="J158" i="11"/>
  <c r="I158" i="11"/>
  <c r="K158" i="11" s="1"/>
  <c r="J157" i="11"/>
  <c r="I157" i="11"/>
  <c r="K157" i="11" s="1"/>
  <c r="J156" i="11"/>
  <c r="I156" i="11"/>
  <c r="K156" i="11" s="1"/>
  <c r="J155" i="11"/>
  <c r="I155" i="11"/>
  <c r="K155" i="11" s="1"/>
  <c r="L155" i="11" s="1"/>
  <c r="J154" i="11"/>
  <c r="I154" i="11"/>
  <c r="K154" i="11" s="1"/>
  <c r="J153" i="11"/>
  <c r="I153" i="11"/>
  <c r="K153" i="11" s="1"/>
  <c r="L153" i="11" s="1"/>
  <c r="J152" i="11"/>
  <c r="I152" i="11"/>
  <c r="K152" i="11" s="1"/>
  <c r="J151" i="11"/>
  <c r="I151" i="11"/>
  <c r="K151" i="11" s="1"/>
  <c r="L151" i="11" s="1"/>
  <c r="J150" i="11"/>
  <c r="I150" i="11"/>
  <c r="K150" i="11" s="1"/>
  <c r="J149" i="11"/>
  <c r="I149" i="11"/>
  <c r="K149" i="11" s="1"/>
  <c r="J148" i="11"/>
  <c r="I148" i="11"/>
  <c r="K148" i="11" s="1"/>
  <c r="J147" i="11"/>
  <c r="I147" i="11"/>
  <c r="K147" i="11" s="1"/>
  <c r="L147" i="11" s="1"/>
  <c r="J146" i="11"/>
  <c r="I146" i="11"/>
  <c r="K146" i="11" s="1"/>
  <c r="J145" i="11"/>
  <c r="I145" i="11"/>
  <c r="K145" i="11" s="1"/>
  <c r="L145" i="11" s="1"/>
  <c r="J144" i="11"/>
  <c r="I144" i="11"/>
  <c r="K144" i="11" s="1"/>
  <c r="J143" i="11"/>
  <c r="I143" i="11"/>
  <c r="K143" i="11" s="1"/>
  <c r="J142" i="11"/>
  <c r="I142" i="11"/>
  <c r="K142" i="11" s="1"/>
  <c r="J141" i="11"/>
  <c r="I141" i="11"/>
  <c r="K141" i="11" s="1"/>
  <c r="J140" i="11"/>
  <c r="I140" i="11"/>
  <c r="K140" i="11" s="1"/>
  <c r="J139" i="11"/>
  <c r="I139" i="11"/>
  <c r="K139" i="11" s="1"/>
  <c r="J138" i="11"/>
  <c r="I138" i="11"/>
  <c r="K138" i="11" s="1"/>
  <c r="J137" i="11"/>
  <c r="I137" i="11"/>
  <c r="K137" i="11" s="1"/>
  <c r="L137" i="11" s="1"/>
  <c r="J136" i="11"/>
  <c r="I136" i="11"/>
  <c r="K136" i="11" s="1"/>
  <c r="J135" i="11"/>
  <c r="I135" i="11"/>
  <c r="K135" i="11" s="1"/>
  <c r="J134" i="11"/>
  <c r="I134" i="11"/>
  <c r="K134" i="11" s="1"/>
  <c r="L134" i="11" s="1"/>
  <c r="J133" i="11"/>
  <c r="I133" i="11"/>
  <c r="K133" i="11" s="1"/>
  <c r="L133" i="11" s="1"/>
  <c r="J132" i="11"/>
  <c r="I132" i="11"/>
  <c r="K132" i="11" s="1"/>
  <c r="J131" i="11"/>
  <c r="I131" i="11"/>
  <c r="K131" i="11" s="1"/>
  <c r="J130" i="11"/>
  <c r="I130" i="11"/>
  <c r="K130" i="11" s="1"/>
  <c r="J129" i="11"/>
  <c r="I129" i="11"/>
  <c r="K129" i="11" s="1"/>
  <c r="J128" i="11"/>
  <c r="I128" i="11"/>
  <c r="K128" i="11" s="1"/>
  <c r="J127" i="11"/>
  <c r="I127" i="11"/>
  <c r="K127" i="11" s="1"/>
  <c r="J126" i="11"/>
  <c r="I126" i="11"/>
  <c r="K126" i="11" s="1"/>
  <c r="J125" i="11"/>
  <c r="I125" i="11"/>
  <c r="K125" i="11" s="1"/>
  <c r="J124" i="11"/>
  <c r="I124" i="11"/>
  <c r="K124" i="11" s="1"/>
  <c r="J123" i="11"/>
  <c r="I123" i="11"/>
  <c r="K123" i="11" s="1"/>
  <c r="J122" i="11"/>
  <c r="I122" i="11"/>
  <c r="K122" i="11" s="1"/>
  <c r="J121" i="11"/>
  <c r="I121" i="11"/>
  <c r="K121" i="11" s="1"/>
  <c r="L121" i="11" s="1"/>
  <c r="J120" i="11"/>
  <c r="I120" i="11"/>
  <c r="K120" i="11" s="1"/>
  <c r="J119" i="11"/>
  <c r="I119" i="11"/>
  <c r="K119" i="11" s="1"/>
  <c r="J118" i="11"/>
  <c r="I118" i="11"/>
  <c r="K118" i="11" s="1"/>
  <c r="J117" i="11"/>
  <c r="I117" i="11"/>
  <c r="K117" i="11" s="1"/>
  <c r="L117" i="11" s="1"/>
  <c r="J116" i="11"/>
  <c r="I116" i="11"/>
  <c r="K116" i="11" s="1"/>
  <c r="J115" i="11"/>
  <c r="I115" i="11"/>
  <c r="K115" i="11" s="1"/>
  <c r="J114" i="11"/>
  <c r="I114" i="11"/>
  <c r="K114" i="11" s="1"/>
  <c r="J113" i="11"/>
  <c r="I113" i="11"/>
  <c r="K113" i="11" s="1"/>
  <c r="J112" i="11"/>
  <c r="I112" i="11"/>
  <c r="K112" i="11" s="1"/>
  <c r="J111" i="11"/>
  <c r="I111" i="11"/>
  <c r="K111" i="11" s="1"/>
  <c r="J110" i="11"/>
  <c r="I110" i="11"/>
  <c r="K110" i="11" s="1"/>
  <c r="J109" i="11"/>
  <c r="I109" i="11"/>
  <c r="K109" i="11" s="1"/>
  <c r="L109" i="11" s="1"/>
  <c r="J108" i="11"/>
  <c r="I108" i="11"/>
  <c r="K108" i="11" s="1"/>
  <c r="J107" i="11"/>
  <c r="I107" i="11"/>
  <c r="K107" i="11" s="1"/>
  <c r="J106" i="11"/>
  <c r="I106" i="11"/>
  <c r="K106" i="11" s="1"/>
  <c r="J105" i="11"/>
  <c r="I105" i="11"/>
  <c r="K105" i="11" s="1"/>
  <c r="L105" i="11" s="1"/>
  <c r="J104" i="11"/>
  <c r="I104" i="11"/>
  <c r="K104" i="11" s="1"/>
  <c r="J103" i="11"/>
  <c r="I103" i="11"/>
  <c r="K103" i="11" s="1"/>
  <c r="V102" i="11"/>
  <c r="J102" i="11"/>
  <c r="I102" i="11"/>
  <c r="K102" i="11" s="1"/>
  <c r="J101" i="11"/>
  <c r="I101" i="11"/>
  <c r="K101" i="11" s="1"/>
  <c r="J100" i="11"/>
  <c r="I100" i="11"/>
  <c r="K100" i="11" s="1"/>
  <c r="J99" i="11"/>
  <c r="I99" i="11"/>
  <c r="K99" i="11" s="1"/>
  <c r="J98" i="11"/>
  <c r="I98" i="11"/>
  <c r="K98" i="11" s="1"/>
  <c r="J97" i="11"/>
  <c r="I97" i="11"/>
  <c r="K97" i="11" s="1"/>
  <c r="J96" i="11"/>
  <c r="I96" i="11"/>
  <c r="K96" i="11" s="1"/>
  <c r="J95" i="11"/>
  <c r="I95" i="11"/>
  <c r="K95" i="11" s="1"/>
  <c r="J94" i="11"/>
  <c r="I94" i="11"/>
  <c r="K94" i="11" s="1"/>
  <c r="J93" i="11"/>
  <c r="I93" i="11"/>
  <c r="K93" i="11" s="1"/>
  <c r="J92" i="11"/>
  <c r="I92" i="11"/>
  <c r="K92" i="11" s="1"/>
  <c r="J91" i="11"/>
  <c r="I91" i="11"/>
  <c r="K91" i="11" s="1"/>
  <c r="J90" i="11"/>
  <c r="I90" i="11"/>
  <c r="K90" i="11" s="1"/>
  <c r="J89" i="11"/>
  <c r="I89" i="11"/>
  <c r="K89" i="11" s="1"/>
  <c r="J88" i="11"/>
  <c r="I88" i="11"/>
  <c r="K88" i="11" s="1"/>
  <c r="J87" i="11"/>
  <c r="I87" i="11"/>
  <c r="K87" i="11" s="1"/>
  <c r="J86" i="11"/>
  <c r="I86" i="11"/>
  <c r="K86" i="11" s="1"/>
  <c r="J85" i="11"/>
  <c r="I85" i="11"/>
  <c r="K85" i="11" s="1"/>
  <c r="J84" i="11"/>
  <c r="I84" i="11"/>
  <c r="K84" i="11" s="1"/>
  <c r="J83" i="11"/>
  <c r="I83" i="11"/>
  <c r="K83" i="11" s="1"/>
  <c r="J82" i="11"/>
  <c r="I82" i="11"/>
  <c r="K82" i="11" s="1"/>
  <c r="J81" i="11"/>
  <c r="I81" i="11"/>
  <c r="K81" i="11" s="1"/>
  <c r="J80" i="11"/>
  <c r="I80" i="11"/>
  <c r="K80" i="11" s="1"/>
  <c r="J79" i="11"/>
  <c r="I79" i="11"/>
  <c r="K79" i="11" s="1"/>
  <c r="J78" i="11"/>
  <c r="I78" i="11"/>
  <c r="K78" i="11" s="1"/>
  <c r="K77" i="11"/>
  <c r="J77" i="11"/>
  <c r="I77" i="11"/>
  <c r="J76" i="11"/>
  <c r="I76" i="11"/>
  <c r="K76" i="11" s="1"/>
  <c r="J75" i="11"/>
  <c r="I75" i="11"/>
  <c r="K75" i="11" s="1"/>
  <c r="J74" i="11"/>
  <c r="I74" i="11"/>
  <c r="K74" i="11" s="1"/>
  <c r="J73" i="11"/>
  <c r="I73" i="11"/>
  <c r="K73" i="11" s="1"/>
  <c r="J72" i="11"/>
  <c r="I72" i="11"/>
  <c r="K72" i="11" s="1"/>
  <c r="L72" i="11" s="1"/>
  <c r="J71" i="11"/>
  <c r="I71" i="11"/>
  <c r="K71" i="11" s="1"/>
  <c r="J70" i="11"/>
  <c r="I70" i="11"/>
  <c r="K70" i="11" s="1"/>
  <c r="L70" i="11" s="1"/>
  <c r="J69" i="11"/>
  <c r="I69" i="11"/>
  <c r="K69" i="11" s="1"/>
  <c r="J68" i="11"/>
  <c r="I68" i="11"/>
  <c r="K68" i="11" s="1"/>
  <c r="J67" i="11"/>
  <c r="I67" i="11"/>
  <c r="K67" i="11" s="1"/>
  <c r="L67" i="11" s="1"/>
  <c r="J66" i="11"/>
  <c r="I66" i="11"/>
  <c r="K66" i="11" s="1"/>
  <c r="J65" i="11"/>
  <c r="I65" i="11"/>
  <c r="K65" i="11" s="1"/>
  <c r="J64" i="11"/>
  <c r="I64" i="11"/>
  <c r="K64" i="11" s="1"/>
  <c r="L64" i="11" s="1"/>
  <c r="J63" i="11"/>
  <c r="I63" i="11"/>
  <c r="K63" i="11" s="1"/>
  <c r="L63" i="11" s="1"/>
  <c r="J62" i="11"/>
  <c r="I62" i="11"/>
  <c r="K62" i="11" s="1"/>
  <c r="J61" i="11"/>
  <c r="I61" i="11"/>
  <c r="K61" i="11" s="1"/>
  <c r="J60" i="11"/>
  <c r="I60" i="11"/>
  <c r="K60" i="11" s="1"/>
  <c r="L60" i="11" s="1"/>
  <c r="J59" i="11"/>
  <c r="I59" i="11"/>
  <c r="K59" i="11" s="1"/>
  <c r="L59" i="11" s="1"/>
  <c r="J58" i="11"/>
  <c r="I58" i="11"/>
  <c r="K58" i="11" s="1"/>
  <c r="J57" i="11"/>
  <c r="I57" i="11"/>
  <c r="K57" i="11" s="1"/>
  <c r="J56" i="11"/>
  <c r="I56" i="11"/>
  <c r="K56" i="11" s="1"/>
  <c r="L56" i="11" s="1"/>
  <c r="J55" i="11"/>
  <c r="I55" i="11"/>
  <c r="K55" i="11" s="1"/>
  <c r="J54" i="11"/>
  <c r="I54" i="11"/>
  <c r="K54" i="11" s="1"/>
  <c r="L54" i="11" s="1"/>
  <c r="J53" i="11"/>
  <c r="I53" i="11"/>
  <c r="K53" i="11" s="1"/>
  <c r="J52" i="11"/>
  <c r="I52" i="11"/>
  <c r="K52" i="11" s="1"/>
  <c r="J51" i="11"/>
  <c r="I51" i="11"/>
  <c r="K51" i="11" s="1"/>
  <c r="L51" i="11" s="1"/>
  <c r="J50" i="11"/>
  <c r="I50" i="11"/>
  <c r="K50" i="11" s="1"/>
  <c r="J49" i="11"/>
  <c r="I49" i="11"/>
  <c r="K49" i="11" s="1"/>
  <c r="J48" i="11"/>
  <c r="I48" i="11"/>
  <c r="K48" i="11" s="1"/>
  <c r="L48" i="11" s="1"/>
  <c r="J47" i="11"/>
  <c r="I47" i="11"/>
  <c r="K47" i="11" s="1"/>
  <c r="L47" i="11" s="1"/>
  <c r="J46" i="11"/>
  <c r="I46" i="11"/>
  <c r="K46" i="11" s="1"/>
  <c r="J45" i="11"/>
  <c r="I45" i="11"/>
  <c r="K45" i="11" s="1"/>
  <c r="J44" i="11"/>
  <c r="I44" i="11"/>
  <c r="K44" i="11" s="1"/>
  <c r="J43" i="11"/>
  <c r="I43" i="11"/>
  <c r="K43" i="11" s="1"/>
  <c r="J42" i="11"/>
  <c r="I42" i="11"/>
  <c r="K42" i="11" s="1"/>
  <c r="J41" i="11"/>
  <c r="I41" i="11"/>
  <c r="K41" i="11" s="1"/>
  <c r="J40" i="11"/>
  <c r="I40" i="11"/>
  <c r="K40" i="11" s="1"/>
  <c r="J39" i="11"/>
  <c r="I39" i="11"/>
  <c r="K39" i="11" s="1"/>
  <c r="L39" i="11" s="1"/>
  <c r="J38" i="11"/>
  <c r="I38" i="11"/>
  <c r="K38" i="11" s="1"/>
  <c r="L38" i="11" s="1"/>
  <c r="J37" i="11"/>
  <c r="I37" i="11"/>
  <c r="K37" i="11" s="1"/>
  <c r="J36" i="11"/>
  <c r="I36" i="11"/>
  <c r="K36" i="11" s="1"/>
  <c r="L36" i="11" s="1"/>
  <c r="J35" i="11"/>
  <c r="I35" i="11"/>
  <c r="K35" i="11" s="1"/>
  <c r="J34" i="11"/>
  <c r="I34" i="11"/>
  <c r="K34" i="11" s="1"/>
  <c r="J33" i="11"/>
  <c r="I33" i="11"/>
  <c r="K33" i="11" s="1"/>
  <c r="J32" i="11"/>
  <c r="I32" i="11"/>
  <c r="K32" i="11" s="1"/>
  <c r="J31" i="11"/>
  <c r="I31" i="11"/>
  <c r="K31" i="11" s="1"/>
  <c r="L31" i="11" s="1"/>
  <c r="J30" i="11"/>
  <c r="I30" i="11"/>
  <c r="K30" i="11" s="1"/>
  <c r="J29" i="11"/>
  <c r="I29" i="11"/>
  <c r="K29" i="11" s="1"/>
  <c r="J28" i="11"/>
  <c r="I28" i="11"/>
  <c r="K28" i="11" s="1"/>
  <c r="J27" i="11"/>
  <c r="I27" i="11"/>
  <c r="K27" i="11" s="1"/>
  <c r="J26" i="11"/>
  <c r="I26" i="11"/>
  <c r="K26" i="11" s="1"/>
  <c r="L26" i="11" s="1"/>
  <c r="J25" i="11"/>
  <c r="I25" i="11"/>
  <c r="K25" i="11" s="1"/>
  <c r="J24" i="11"/>
  <c r="I24" i="11"/>
  <c r="K24" i="11" s="1"/>
  <c r="J23" i="11"/>
  <c r="I23" i="11"/>
  <c r="K23" i="11" s="1"/>
  <c r="L23" i="11" s="1"/>
  <c r="J22" i="11"/>
  <c r="I22" i="11"/>
  <c r="K22" i="11" s="1"/>
  <c r="L22" i="11" s="1"/>
  <c r="J21" i="11"/>
  <c r="I21" i="11"/>
  <c r="K21" i="11" s="1"/>
  <c r="J20" i="11"/>
  <c r="I20" i="11"/>
  <c r="K20" i="11" s="1"/>
  <c r="J19" i="11"/>
  <c r="I19" i="11"/>
  <c r="K19" i="11" s="1"/>
  <c r="L19" i="11" s="1"/>
  <c r="J18" i="11"/>
  <c r="I18" i="11"/>
  <c r="K18" i="11" s="1"/>
  <c r="L18" i="11" s="1"/>
  <c r="J17" i="11"/>
  <c r="I17" i="11"/>
  <c r="K17" i="11" s="1"/>
  <c r="J16" i="11"/>
  <c r="I16" i="11"/>
  <c r="K16" i="11" s="1"/>
  <c r="L16" i="11" s="1"/>
  <c r="J15" i="11"/>
  <c r="I15" i="11"/>
  <c r="K15" i="11" s="1"/>
  <c r="L15" i="11" s="1"/>
  <c r="J14" i="11"/>
  <c r="I14" i="11"/>
  <c r="K14" i="11" s="1"/>
  <c r="J13" i="11"/>
  <c r="I13" i="11"/>
  <c r="K13" i="11" s="1"/>
  <c r="J12" i="11"/>
  <c r="I12" i="11"/>
  <c r="K12" i="11" s="1"/>
  <c r="J11" i="11"/>
  <c r="I11" i="11"/>
  <c r="K11" i="11" s="1"/>
  <c r="J10" i="11"/>
  <c r="I10" i="11"/>
  <c r="K10" i="11" s="1"/>
  <c r="J9" i="11"/>
  <c r="I9" i="11"/>
  <c r="K9" i="11" s="1"/>
  <c r="J8" i="11"/>
  <c r="I8" i="11"/>
  <c r="K8" i="11" s="1"/>
  <c r="J7" i="11"/>
  <c r="I7" i="11"/>
  <c r="K7" i="11" s="1"/>
  <c r="J6" i="11"/>
  <c r="I6" i="11"/>
  <c r="K6" i="11" s="1"/>
  <c r="J5" i="11"/>
  <c r="I5" i="11"/>
  <c r="K5" i="11" s="1"/>
  <c r="J4" i="11"/>
  <c r="I4" i="11"/>
  <c r="K4" i="11" s="1"/>
  <c r="J3" i="11"/>
  <c r="I3" i="11"/>
  <c r="K3" i="11" s="1"/>
  <c r="J2" i="11"/>
  <c r="I2" i="11"/>
  <c r="K2" i="11" s="1"/>
  <c r="L2" i="11" s="1"/>
  <c r="N5" i="14" l="1"/>
  <c r="N2" i="14"/>
  <c r="L52" i="12"/>
  <c r="L321" i="12"/>
  <c r="L73" i="12"/>
  <c r="L77" i="12"/>
  <c r="L85" i="12"/>
  <c r="L89" i="12"/>
  <c r="L93" i="12"/>
  <c r="L101" i="12"/>
  <c r="L109" i="12"/>
  <c r="L113" i="12"/>
  <c r="L125" i="12"/>
  <c r="L161" i="12"/>
  <c r="L165" i="12"/>
  <c r="L169" i="12"/>
  <c r="L173" i="12"/>
  <c r="L189" i="12"/>
  <c r="L197" i="12"/>
  <c r="L205" i="12"/>
  <c r="L229" i="12"/>
  <c r="L277" i="12"/>
  <c r="L281" i="12"/>
  <c r="L285" i="12"/>
  <c r="L293" i="12"/>
  <c r="L297" i="12"/>
  <c r="L301" i="12"/>
  <c r="L309" i="12"/>
  <c r="V91" i="12" s="1"/>
  <c r="L318" i="12"/>
  <c r="L314" i="12"/>
  <c r="L305" i="11"/>
  <c r="V87" i="11" s="1"/>
  <c r="L238" i="11"/>
  <c r="L242" i="11"/>
  <c r="L246" i="11"/>
  <c r="L254" i="11"/>
  <c r="L262" i="11"/>
  <c r="L266" i="11"/>
  <c r="L270" i="11"/>
  <c r="L274" i="11"/>
  <c r="L314" i="11"/>
  <c r="L320" i="12"/>
  <c r="V102" i="12" s="1"/>
  <c r="L317" i="12"/>
  <c r="V99" i="12" s="1"/>
  <c r="L142" i="12"/>
  <c r="L146" i="12"/>
  <c r="L158" i="12"/>
  <c r="L181" i="12"/>
  <c r="L185" i="12"/>
  <c r="L51" i="12"/>
  <c r="L155" i="12"/>
  <c r="L182" i="12"/>
  <c r="L92" i="12"/>
  <c r="L100" i="12"/>
  <c r="L104" i="12"/>
  <c r="L163" i="12"/>
  <c r="L167" i="12"/>
  <c r="L171" i="12"/>
  <c r="L175" i="12"/>
  <c r="L179" i="12"/>
  <c r="L194" i="12"/>
  <c r="L234" i="12"/>
  <c r="L242" i="12"/>
  <c r="L246" i="12"/>
  <c r="L258" i="12"/>
  <c r="L262" i="12"/>
  <c r="L266" i="12"/>
  <c r="L274" i="12"/>
  <c r="L278" i="12"/>
  <c r="L282" i="12"/>
  <c r="L290" i="12"/>
  <c r="L294" i="12"/>
  <c r="L298" i="12"/>
  <c r="L319" i="12"/>
  <c r="V101" i="12" s="1"/>
  <c r="L316" i="12"/>
  <c r="V98" i="12" s="1"/>
  <c r="L53" i="12"/>
  <c r="L187" i="12"/>
  <c r="L90" i="12"/>
  <c r="L221" i="12"/>
  <c r="L232" i="12"/>
  <c r="L279" i="12"/>
  <c r="L287" i="12"/>
  <c r="L315" i="12"/>
  <c r="L102" i="12"/>
  <c r="L180" i="12"/>
  <c r="L68" i="12"/>
  <c r="V70" i="12" s="1"/>
  <c r="L75" i="12"/>
  <c r="L79" i="12"/>
  <c r="V81" i="12" s="1"/>
  <c r="L83" i="12"/>
  <c r="L87" i="12"/>
  <c r="L118" i="12"/>
  <c r="L122" i="12"/>
  <c r="L126" i="12"/>
  <c r="L130" i="12"/>
  <c r="L137" i="12"/>
  <c r="L198" i="12"/>
  <c r="L210" i="12"/>
  <c r="L214" i="12"/>
  <c r="L218" i="12"/>
  <c r="L226" i="12"/>
  <c r="L233" i="12"/>
  <c r="L284" i="12"/>
  <c r="L288" i="12"/>
  <c r="L292" i="12"/>
  <c r="L296" i="12"/>
  <c r="L5" i="12"/>
  <c r="L9" i="12"/>
  <c r="L13" i="12"/>
  <c r="L17" i="12"/>
  <c r="L21" i="12"/>
  <c r="L25" i="12"/>
  <c r="L29" i="12"/>
  <c r="L33" i="12"/>
  <c r="L45" i="12"/>
  <c r="L95" i="12"/>
  <c r="L103" i="12"/>
  <c r="L134" i="12"/>
  <c r="L164" i="12"/>
  <c r="L168" i="12"/>
  <c r="L176" i="12"/>
  <c r="L230" i="12"/>
  <c r="L237" i="12"/>
  <c r="L245" i="12"/>
  <c r="L253" i="12"/>
  <c r="L269" i="12"/>
  <c r="L300" i="12"/>
  <c r="L304" i="12"/>
  <c r="V86" i="12" s="1"/>
  <c r="L308" i="12"/>
  <c r="V90" i="12" s="1"/>
  <c r="L312" i="12"/>
  <c r="V94" i="12" s="1"/>
  <c r="L7" i="11"/>
  <c r="L90" i="11"/>
  <c r="L102" i="11"/>
  <c r="L4" i="11"/>
  <c r="L79" i="11"/>
  <c r="V81" i="11" s="1"/>
  <c r="L87" i="11"/>
  <c r="L91" i="11"/>
  <c r="L95" i="11"/>
  <c r="L5" i="11"/>
  <c r="L9" i="11"/>
  <c r="L80" i="11"/>
  <c r="L88" i="11"/>
  <c r="L104" i="11"/>
  <c r="L108" i="11"/>
  <c r="L120" i="11"/>
  <c r="L136" i="11"/>
  <c r="L144" i="11"/>
  <c r="L152" i="11"/>
  <c r="L156" i="11"/>
  <c r="L160" i="11"/>
  <c r="L164" i="11"/>
  <c r="L168" i="11"/>
  <c r="L172" i="11"/>
  <c r="L176" i="11"/>
  <c r="L184" i="11"/>
  <c r="L192" i="11"/>
  <c r="L196" i="11"/>
  <c r="L200" i="11"/>
  <c r="L204" i="11"/>
  <c r="L212" i="11"/>
  <c r="L220" i="11"/>
  <c r="L224" i="11"/>
  <c r="L228" i="11"/>
  <c r="L232" i="11"/>
  <c r="L244" i="11"/>
  <c r="L252" i="11"/>
  <c r="L256" i="11"/>
  <c r="L260" i="11"/>
  <c r="L264" i="11"/>
  <c r="L272" i="11"/>
  <c r="L276" i="11"/>
  <c r="L77" i="11"/>
  <c r="L75" i="11"/>
  <c r="L32" i="11"/>
  <c r="L76" i="11"/>
  <c r="V78" i="11" s="1"/>
  <c r="L209" i="11"/>
  <c r="L213" i="11"/>
  <c r="L249" i="11"/>
  <c r="L37" i="11"/>
  <c r="L41" i="11"/>
  <c r="L45" i="11"/>
  <c r="L49" i="11"/>
  <c r="L53" i="11"/>
  <c r="L57" i="11"/>
  <c r="L65" i="11"/>
  <c r="V67" i="11" s="1"/>
  <c r="L69" i="11"/>
  <c r="V71" i="11" s="1"/>
  <c r="L73" i="11"/>
  <c r="V75" i="11" s="1"/>
  <c r="L96" i="11"/>
  <c r="L103" i="11"/>
  <c r="L162" i="11"/>
  <c r="L170" i="11"/>
  <c r="L174" i="11"/>
  <c r="L178" i="11"/>
  <c r="L182" i="11"/>
  <c r="L186" i="11"/>
  <c r="L202" i="11"/>
  <c r="L206" i="11"/>
  <c r="L210" i="11"/>
  <c r="L214" i="11"/>
  <c r="L253" i="11"/>
  <c r="L257" i="11"/>
  <c r="L261" i="11"/>
  <c r="L265" i="11"/>
  <c r="L269" i="11"/>
  <c r="L273" i="11"/>
  <c r="L280" i="11"/>
  <c r="L312" i="11"/>
  <c r="V94" i="11" s="1"/>
  <c r="L18" i="13"/>
  <c r="L22" i="13"/>
  <c r="L26" i="13"/>
  <c r="L30" i="13"/>
  <c r="L34" i="13"/>
  <c r="L38" i="13"/>
  <c r="L189" i="13"/>
  <c r="L193" i="13"/>
  <c r="L197" i="13"/>
  <c r="L205" i="13"/>
  <c r="L209" i="13"/>
  <c r="L288" i="13"/>
  <c r="L292" i="13"/>
  <c r="L296" i="13"/>
  <c r="L304" i="13"/>
  <c r="L312" i="13"/>
  <c r="V94" i="13" s="1"/>
  <c r="L316" i="13"/>
  <c r="V98" i="13" s="1"/>
  <c r="L58" i="13"/>
  <c r="L62" i="13"/>
  <c r="V64" i="13" s="1"/>
  <c r="L70" i="13"/>
  <c r="V72" i="13" s="1"/>
  <c r="L102" i="13"/>
  <c r="L106" i="13"/>
  <c r="L134" i="13"/>
  <c r="L138" i="13"/>
  <c r="L154" i="13"/>
  <c r="L158" i="13"/>
  <c r="L162" i="13"/>
  <c r="L174" i="13"/>
  <c r="L182" i="13"/>
  <c r="L237" i="13"/>
  <c r="L241" i="13"/>
  <c r="L176" i="13"/>
  <c r="L239" i="13"/>
  <c r="L243" i="13"/>
  <c r="L29" i="13"/>
  <c r="L33" i="13"/>
  <c r="L37" i="13"/>
  <c r="L192" i="13"/>
  <c r="L196" i="13"/>
  <c r="L204" i="13"/>
  <c r="L208" i="13"/>
  <c r="L212" i="13"/>
  <c r="L216" i="13"/>
  <c r="L228" i="13"/>
  <c r="L232" i="13"/>
  <c r="L255" i="13"/>
  <c r="L259" i="13"/>
  <c r="L263" i="13"/>
  <c r="L267" i="13"/>
  <c r="L271" i="13"/>
  <c r="L275" i="13"/>
  <c r="L279" i="13"/>
  <c r="L283" i="13"/>
  <c r="L287" i="13"/>
  <c r="L121" i="13"/>
  <c r="L125" i="13"/>
  <c r="L240" i="13"/>
  <c r="L244" i="13"/>
  <c r="L321" i="13"/>
  <c r="V103" i="13" s="1"/>
  <c r="L2" i="13"/>
  <c r="L6" i="13"/>
  <c r="L10" i="13"/>
  <c r="L53" i="13"/>
  <c r="L80" i="13"/>
  <c r="V82" i="13" s="1"/>
  <c r="L84" i="13"/>
  <c r="L88" i="13"/>
  <c r="L155" i="13"/>
  <c r="L159" i="13"/>
  <c r="L163" i="13"/>
  <c r="L167" i="13"/>
  <c r="L171" i="13"/>
  <c r="L175" i="13"/>
  <c r="L179" i="13"/>
  <c r="L183" i="13"/>
  <c r="L217" i="13"/>
  <c r="L221" i="13"/>
  <c r="L225" i="13"/>
  <c r="L233" i="13"/>
  <c r="L248" i="13"/>
  <c r="L252" i="13"/>
  <c r="L256" i="13"/>
  <c r="L260" i="13"/>
  <c r="L268" i="13"/>
  <c r="L272" i="13"/>
  <c r="L284" i="13"/>
  <c r="L303" i="13"/>
  <c r="V85" i="13" s="1"/>
  <c r="L307" i="13"/>
  <c r="V89" i="13" s="1"/>
  <c r="L311" i="13"/>
  <c r="V93" i="13" s="1"/>
  <c r="L315" i="13"/>
  <c r="L319" i="13"/>
  <c r="V101" i="13" s="1"/>
  <c r="L3" i="13"/>
  <c r="L46" i="13"/>
  <c r="L54" i="13"/>
  <c r="L116" i="13"/>
  <c r="L234" i="13"/>
  <c r="L74" i="13"/>
  <c r="V76" i="13" s="1"/>
  <c r="L133" i="13"/>
  <c r="L207" i="13"/>
  <c r="L242" i="13"/>
  <c r="L8" i="13"/>
  <c r="L43" i="13"/>
  <c r="L51" i="13"/>
  <c r="L55" i="13"/>
  <c r="L78" i="13"/>
  <c r="V80" i="13" s="1"/>
  <c r="L82" i="13"/>
  <c r="L90" i="13"/>
  <c r="L141" i="13"/>
  <c r="L145" i="13"/>
  <c r="L149" i="13"/>
  <c r="L153" i="13"/>
  <c r="L157" i="13"/>
  <c r="L161" i="13"/>
  <c r="L165" i="13"/>
  <c r="L169" i="13"/>
  <c r="L211" i="13"/>
  <c r="L215" i="13"/>
  <c r="L223" i="13"/>
  <c r="L227" i="13"/>
  <c r="L250" i="13"/>
  <c r="L254" i="13"/>
  <c r="L258" i="13"/>
  <c r="L262" i="13"/>
  <c r="L266" i="13"/>
  <c r="L270" i="13"/>
  <c r="L274" i="13"/>
  <c r="L278" i="13"/>
  <c r="L286" i="13"/>
  <c r="L301" i="13"/>
  <c r="L317" i="13"/>
  <c r="V99" i="13" s="1"/>
  <c r="V103" i="12"/>
  <c r="L11" i="13"/>
  <c r="L235" i="13"/>
  <c r="L137" i="13"/>
  <c r="L181" i="13"/>
  <c r="L218" i="13"/>
  <c r="L247" i="13"/>
  <c r="L251" i="13"/>
  <c r="L285" i="13"/>
  <c r="L300" i="13"/>
  <c r="L184" i="13"/>
  <c r="L210" i="13"/>
  <c r="L191" i="13"/>
  <c r="L118" i="13"/>
  <c r="L49" i="13"/>
  <c r="L56" i="13"/>
  <c r="L115" i="13"/>
  <c r="L150" i="13"/>
  <c r="L172" i="13"/>
  <c r="L313" i="13"/>
  <c r="V95" i="13" s="1"/>
  <c r="L97" i="13"/>
  <c r="L135" i="13"/>
  <c r="L166" i="13"/>
  <c r="L299" i="13"/>
  <c r="L7" i="13"/>
  <c r="L21" i="13"/>
  <c r="L36" i="13"/>
  <c r="L68" i="13"/>
  <c r="V70" i="13" s="1"/>
  <c r="L101" i="13"/>
  <c r="L104" i="13"/>
  <c r="L108" i="13"/>
  <c r="L112" i="13"/>
  <c r="L139" i="13"/>
  <c r="L143" i="13"/>
  <c r="L147" i="13"/>
  <c r="L151" i="13"/>
  <c r="L170" i="13"/>
  <c r="L173" i="13"/>
  <c r="L180" i="13"/>
  <c r="L224" i="13"/>
  <c r="L231" i="13"/>
  <c r="L257" i="13"/>
  <c r="L261" i="13"/>
  <c r="L265" i="13"/>
  <c r="L269" i="13"/>
  <c r="L276" i="13"/>
  <c r="L280" i="13"/>
  <c r="L291" i="13"/>
  <c r="L295" i="13"/>
  <c r="L310" i="13"/>
  <c r="V92" i="13" s="1"/>
  <c r="L314" i="13"/>
  <c r="V96" i="13" s="1"/>
  <c r="L39" i="13"/>
  <c r="L94" i="13"/>
  <c r="L28" i="13"/>
  <c r="L66" i="13"/>
  <c r="V68" i="13" s="1"/>
  <c r="L98" i="13"/>
  <c r="L124" i="13"/>
  <c r="L190" i="13"/>
  <c r="L282" i="13"/>
  <c r="L246" i="13"/>
  <c r="L92" i="13"/>
  <c r="L13" i="13"/>
  <c r="L72" i="13"/>
  <c r="V74" i="13" s="1"/>
  <c r="L85" i="13"/>
  <c r="L177" i="13"/>
  <c r="L200" i="13"/>
  <c r="L213" i="13"/>
  <c r="L229" i="13"/>
  <c r="L245" i="13"/>
  <c r="L305" i="13"/>
  <c r="V87" i="13" s="1"/>
  <c r="L308" i="13"/>
  <c r="V90" i="13" s="1"/>
  <c r="L17" i="13"/>
  <c r="L123" i="13"/>
  <c r="L4" i="13"/>
  <c r="L41" i="13"/>
  <c r="L219" i="13"/>
  <c r="L214" i="13"/>
  <c r="L230" i="13"/>
  <c r="L114" i="13"/>
  <c r="L14" i="13"/>
  <c r="L20" i="13"/>
  <c r="L35" i="13"/>
  <c r="L42" i="13"/>
  <c r="L45" i="13"/>
  <c r="L60" i="13"/>
  <c r="L73" i="13"/>
  <c r="V75" i="13" s="1"/>
  <c r="L76" i="13"/>
  <c r="V78" i="13" s="1"/>
  <c r="L79" i="13"/>
  <c r="V81" i="13" s="1"/>
  <c r="L91" i="13"/>
  <c r="L96" i="13"/>
  <c r="L110" i="13"/>
  <c r="L122" i="13"/>
  <c r="L129" i="13"/>
  <c r="L178" i="13"/>
  <c r="L185" i="13"/>
  <c r="L188" i="13"/>
  <c r="L198" i="13"/>
  <c r="L201" i="13"/>
  <c r="L220" i="13"/>
  <c r="L236" i="13"/>
  <c r="L264" i="13"/>
  <c r="L277" i="13"/>
  <c r="L290" i="13"/>
  <c r="L293" i="13"/>
  <c r="L306" i="13"/>
  <c r="V88" i="13" s="1"/>
  <c r="L309" i="13"/>
  <c r="V91" i="13" s="1"/>
  <c r="V65" i="13"/>
  <c r="V97" i="13"/>
  <c r="L5" i="13"/>
  <c r="L12" i="13"/>
  <c r="L47" i="13"/>
  <c r="L50" i="13"/>
  <c r="L57" i="13"/>
  <c r="L15" i="13"/>
  <c r="L25" i="13"/>
  <c r="L86" i="13"/>
  <c r="L9" i="13"/>
  <c r="V66" i="13"/>
  <c r="L69" i="13"/>
  <c r="V73" i="13"/>
  <c r="V77" i="13"/>
  <c r="L130" i="13"/>
  <c r="L146" i="13"/>
  <c r="L164" i="13"/>
  <c r="L109" i="13"/>
  <c r="L113" i="13"/>
  <c r="L117" i="13"/>
  <c r="L126" i="13"/>
  <c r="L142" i="13"/>
  <c r="V102" i="13"/>
  <c r="V100" i="13"/>
  <c r="V86" i="13"/>
  <c r="V84" i="13"/>
  <c r="L69" i="12"/>
  <c r="V71" i="12" s="1"/>
  <c r="L105" i="12"/>
  <c r="L120" i="12"/>
  <c r="L149" i="12"/>
  <c r="L201" i="12"/>
  <c r="L249" i="12"/>
  <c r="L264" i="12"/>
  <c r="L313" i="12"/>
  <c r="V95" i="12" s="1"/>
  <c r="L106" i="12"/>
  <c r="L136" i="12"/>
  <c r="L150" i="12"/>
  <c r="L49" i="12"/>
  <c r="L72" i="12"/>
  <c r="V74" i="12" s="1"/>
  <c r="L153" i="12"/>
  <c r="L224" i="12"/>
  <c r="L291" i="12"/>
  <c r="L306" i="12"/>
  <c r="V88" i="12" s="1"/>
  <c r="L7" i="12"/>
  <c r="L15" i="12"/>
  <c r="L23" i="12"/>
  <c r="L31" i="12"/>
  <c r="L38" i="12"/>
  <c r="L57" i="12"/>
  <c r="L61" i="12"/>
  <c r="L65" i="12"/>
  <c r="V67" i="12" s="1"/>
  <c r="L76" i="12"/>
  <c r="V78" i="12" s="1"/>
  <c r="L80" i="12"/>
  <c r="V82" i="12" s="1"/>
  <c r="L96" i="12"/>
  <c r="L157" i="12"/>
  <c r="L170" i="12"/>
  <c r="L177" i="12"/>
  <c r="L191" i="12"/>
  <c r="L195" i="12"/>
  <c r="L202" i="12"/>
  <c r="L213" i="12"/>
  <c r="L217" i="12"/>
  <c r="L239" i="12"/>
  <c r="L243" i="12"/>
  <c r="L250" i="12"/>
  <c r="L261" i="12"/>
  <c r="L265" i="12"/>
  <c r="L280" i="12"/>
  <c r="L295" i="12"/>
  <c r="L310" i="12"/>
  <c r="V92" i="12" s="1"/>
  <c r="V96" i="12"/>
  <c r="L20" i="12"/>
  <c r="L27" i="12"/>
  <c r="L37" i="12"/>
  <c r="L41" i="12"/>
  <c r="L116" i="12"/>
  <c r="L148" i="12"/>
  <c r="L166" i="12"/>
  <c r="L172" i="12"/>
  <c r="L184" i="12"/>
  <c r="L203" i="12"/>
  <c r="L219" i="12"/>
  <c r="L235" i="12"/>
  <c r="L251" i="12"/>
  <c r="L267" i="12"/>
  <c r="L283" i="12"/>
  <c r="L299" i="12"/>
  <c r="V97" i="12"/>
  <c r="L10" i="12"/>
  <c r="L28" i="12"/>
  <c r="L35" i="12"/>
  <c r="L42" i="12"/>
  <c r="L129" i="12"/>
  <c r="L71" i="12"/>
  <c r="V73" i="12" s="1"/>
  <c r="L141" i="12"/>
  <c r="L186" i="12"/>
  <c r="L11" i="12"/>
  <c r="L18" i="12"/>
  <c r="L43" i="12"/>
  <c r="L121" i="12"/>
  <c r="L132" i="12"/>
  <c r="L156" i="12"/>
  <c r="L159" i="12"/>
  <c r="L162" i="12"/>
  <c r="L133" i="12"/>
  <c r="L12" i="12"/>
  <c r="L19" i="12"/>
  <c r="L26" i="12"/>
  <c r="L81" i="12"/>
  <c r="V83" i="12" s="1"/>
  <c r="L97" i="12"/>
  <c r="L139" i="12"/>
  <c r="L145" i="12"/>
  <c r="L154" i="12"/>
  <c r="L190" i="12"/>
  <c r="L193" i="12"/>
  <c r="L206" i="12"/>
  <c r="L209" i="12"/>
  <c r="L222" i="12"/>
  <c r="L225" i="12"/>
  <c r="L238" i="12"/>
  <c r="L241" i="12"/>
  <c r="L254" i="12"/>
  <c r="L257" i="12"/>
  <c r="L270" i="12"/>
  <c r="L273" i="12"/>
  <c r="L286" i="12"/>
  <c r="L289" i="12"/>
  <c r="L302" i="12"/>
  <c r="V84" i="12" s="1"/>
  <c r="L305" i="12"/>
  <c r="V87" i="12" s="1"/>
  <c r="V100" i="12"/>
  <c r="V66" i="12"/>
  <c r="V64" i="12"/>
  <c r="V75" i="12"/>
  <c r="V77" i="12"/>
  <c r="V79" i="12"/>
  <c r="V76" i="12"/>
  <c r="L67" i="12"/>
  <c r="L91" i="12"/>
  <c r="V68" i="12"/>
  <c r="L99" i="12"/>
  <c r="L117" i="12"/>
  <c r="L14" i="11"/>
  <c r="L78" i="11"/>
  <c r="L82" i="11"/>
  <c r="L85" i="11"/>
  <c r="L101" i="11"/>
  <c r="L112" i="11"/>
  <c r="L123" i="11"/>
  <c r="L127" i="11"/>
  <c r="L131" i="11"/>
  <c r="L142" i="11"/>
  <c r="L149" i="11"/>
  <c r="L159" i="11"/>
  <c r="L284" i="11"/>
  <c r="L292" i="11"/>
  <c r="L296" i="11"/>
  <c r="L304" i="11"/>
  <c r="V86" i="11" s="1"/>
  <c r="L315" i="11"/>
  <c r="V97" i="11" s="1"/>
  <c r="L27" i="11"/>
  <c r="L86" i="11"/>
  <c r="L93" i="11"/>
  <c r="L124" i="11"/>
  <c r="L128" i="11"/>
  <c r="L135" i="11"/>
  <c r="L139" i="11"/>
  <c r="L143" i="11"/>
  <c r="L157" i="11"/>
  <c r="L188" i="11"/>
  <c r="L250" i="11"/>
  <c r="L277" i="11"/>
  <c r="L308" i="11"/>
  <c r="V90" i="11" s="1"/>
  <c r="L13" i="11"/>
  <c r="L43" i="11"/>
  <c r="L94" i="11"/>
  <c r="L125" i="11"/>
  <c r="L129" i="11"/>
  <c r="L140" i="11"/>
  <c r="L158" i="11"/>
  <c r="L189" i="11"/>
  <c r="L216" i="11"/>
  <c r="L278" i="11"/>
  <c r="L309" i="11"/>
  <c r="V91" i="11" s="1"/>
  <c r="L6" i="11"/>
  <c r="L17" i="11"/>
  <c r="L97" i="11"/>
  <c r="L107" i="11"/>
  <c r="L271" i="11"/>
  <c r="L290" i="11"/>
  <c r="L294" i="11"/>
  <c r="L298" i="11"/>
  <c r="L302" i="11"/>
  <c r="V84" i="11" s="1"/>
  <c r="L306" i="11"/>
  <c r="V88" i="11" s="1"/>
  <c r="L313" i="11"/>
  <c r="V95" i="11" s="1"/>
  <c r="V99" i="11"/>
  <c r="V103" i="11"/>
  <c r="L3" i="11"/>
  <c r="L10" i="11"/>
  <c r="L21" i="11"/>
  <c r="L25" i="11"/>
  <c r="L29" i="11"/>
  <c r="L40" i="11"/>
  <c r="L44" i="11"/>
  <c r="L66" i="11"/>
  <c r="V68" i="11" s="1"/>
  <c r="L81" i="11"/>
  <c r="V83" i="11" s="1"/>
  <c r="L111" i="11"/>
  <c r="L115" i="11"/>
  <c r="L126" i="11"/>
  <c r="L148" i="11"/>
  <c r="L190" i="11"/>
  <c r="L217" i="11"/>
  <c r="L248" i="11"/>
  <c r="L310" i="11"/>
  <c r="V92" i="11" s="1"/>
  <c r="L191" i="11"/>
  <c r="L35" i="11"/>
  <c r="L98" i="11"/>
  <c r="L281" i="11"/>
  <c r="L288" i="11"/>
  <c r="L116" i="11"/>
  <c r="L279" i="11"/>
  <c r="L46" i="11"/>
  <c r="L110" i="11"/>
  <c r="L219" i="11"/>
  <c r="L251" i="11"/>
  <c r="L194" i="11"/>
  <c r="L229" i="11"/>
  <c r="L236" i="11"/>
  <c r="L52" i="11"/>
  <c r="L132" i="11"/>
  <c r="L311" i="11"/>
  <c r="L11" i="11"/>
  <c r="L33" i="11"/>
  <c r="L55" i="11"/>
  <c r="L61" i="11"/>
  <c r="L71" i="11"/>
  <c r="V73" i="11" s="1"/>
  <c r="L74" i="11"/>
  <c r="V76" i="11" s="1"/>
  <c r="L89" i="11"/>
  <c r="L99" i="11"/>
  <c r="L113" i="11"/>
  <c r="L119" i="11"/>
  <c r="L141" i="11"/>
  <c r="L166" i="11"/>
  <c r="L173" i="11"/>
  <c r="L180" i="11"/>
  <c r="L198" i="11"/>
  <c r="L201" i="11"/>
  <c r="L208" i="11"/>
  <c r="L226" i="11"/>
  <c r="L233" i="11"/>
  <c r="L240" i="11"/>
  <c r="L258" i="11"/>
  <c r="L268" i="11"/>
  <c r="L286" i="11"/>
  <c r="L293" i="11"/>
  <c r="L300" i="11"/>
  <c r="V100" i="11"/>
  <c r="V79" i="11"/>
  <c r="V80" i="11"/>
  <c r="V101" i="11"/>
  <c r="V65" i="11"/>
  <c r="V72" i="11"/>
  <c r="V93" i="11"/>
  <c r="V85" i="11"/>
  <c r="V69" i="11"/>
  <c r="L28" i="11"/>
  <c r="L50" i="11"/>
  <c r="L84" i="11"/>
  <c r="L92" i="11"/>
  <c r="L100" i="11"/>
  <c r="L106" i="11"/>
  <c r="L138" i="11"/>
  <c r="L20" i="11"/>
  <c r="L30" i="11"/>
  <c r="V74" i="11"/>
  <c r="V77" i="11"/>
  <c r="L42" i="11"/>
  <c r="V66" i="11"/>
  <c r="L58" i="11"/>
  <c r="L68" i="11"/>
  <c r="L114" i="11"/>
  <c r="L146" i="11"/>
  <c r="L24" i="11"/>
  <c r="L118" i="11"/>
  <c r="L8" i="11"/>
  <c r="L130" i="11"/>
  <c r="L62" i="11"/>
  <c r="L150" i="11"/>
  <c r="L12" i="11"/>
  <c r="L34" i="11"/>
  <c r="V82" i="11"/>
  <c r="L83" i="11"/>
  <c r="V96" i="11"/>
  <c r="L122" i="11"/>
  <c r="L218" i="11"/>
  <c r="L282" i="11"/>
  <c r="L154" i="11"/>
  <c r="M313" i="14" l="1"/>
  <c r="M281" i="14"/>
  <c r="M225" i="14"/>
  <c r="M297" i="14"/>
  <c r="M241" i="14"/>
  <c r="M253" i="14"/>
  <c r="M114" i="14"/>
  <c r="M111" i="14"/>
  <c r="M249" i="14"/>
  <c r="M130" i="14"/>
  <c r="M265" i="14"/>
  <c r="M150" i="14"/>
  <c r="M123" i="14"/>
  <c r="M64" i="14"/>
  <c r="M285" i="14"/>
  <c r="M245" i="14"/>
  <c r="M139" i="14"/>
  <c r="M16" i="14"/>
  <c r="M186" i="14"/>
  <c r="M167" i="14"/>
  <c r="M88" i="14"/>
  <c r="M98" i="14"/>
  <c r="M240" i="14"/>
  <c r="M145" i="14"/>
  <c r="M56" i="14"/>
  <c r="M12" i="14"/>
  <c r="M21" i="14"/>
  <c r="M54" i="14"/>
  <c r="M72" i="14"/>
  <c r="M137" i="14"/>
  <c r="M109" i="14"/>
  <c r="M185" i="14"/>
  <c r="M138" i="14"/>
  <c r="M144" i="14"/>
  <c r="M220" i="14"/>
  <c r="M160" i="14"/>
  <c r="M46" i="14"/>
  <c r="M198" i="14"/>
  <c r="M293" i="14"/>
  <c r="M55" i="14"/>
  <c r="M127" i="14"/>
  <c r="M86" i="14"/>
  <c r="M175" i="14"/>
  <c r="M62" i="14"/>
  <c r="M122" i="14"/>
  <c r="M192" i="14"/>
  <c r="M301" i="14"/>
  <c r="M314" i="14"/>
  <c r="M254" i="14"/>
  <c r="M278" i="14"/>
  <c r="M203" i="14"/>
  <c r="M279" i="14"/>
  <c r="M283" i="14"/>
  <c r="M250" i="14"/>
  <c r="M296" i="14"/>
  <c r="M67" i="14"/>
  <c r="M129" i="14"/>
  <c r="M53" i="14"/>
  <c r="M182" i="14"/>
  <c r="M84" i="14"/>
  <c r="M50" i="14"/>
  <c r="M99" i="14"/>
  <c r="M9" i="14"/>
  <c r="M180" i="14"/>
  <c r="M124" i="14"/>
  <c r="M191" i="14"/>
  <c r="M232" i="14"/>
  <c r="M310" i="14"/>
  <c r="M79" i="14"/>
  <c r="M174" i="14"/>
  <c r="M80" i="14"/>
  <c r="M119" i="14"/>
  <c r="M206" i="14"/>
  <c r="M40" i="14"/>
  <c r="M73" i="14"/>
  <c r="M135" i="14"/>
  <c r="M110" i="14"/>
  <c r="M178" i="14"/>
  <c r="M104" i="14"/>
  <c r="M74" i="14"/>
  <c r="M2" i="14"/>
  <c r="M78" i="14"/>
  <c r="M201" i="14"/>
  <c r="M168" i="14"/>
  <c r="M320" i="14"/>
  <c r="M257" i="14"/>
  <c r="M284" i="14"/>
  <c r="M223" i="14"/>
  <c r="M282" i="14"/>
  <c r="M286" i="14"/>
  <c r="M258" i="14"/>
  <c r="M303" i="14"/>
  <c r="M141" i="14"/>
  <c r="M121" i="14"/>
  <c r="M214" i="14"/>
  <c r="M87" i="14"/>
  <c r="M37" i="14"/>
  <c r="M113" i="14"/>
  <c r="M51" i="14"/>
  <c r="M106" i="14"/>
  <c r="M195" i="14"/>
  <c r="M131" i="14"/>
  <c r="M211" i="14"/>
  <c r="M217" i="14"/>
  <c r="M166" i="14"/>
  <c r="M20" i="14"/>
  <c r="M177" i="14"/>
  <c r="M159" i="14"/>
  <c r="M27" i="14"/>
  <c r="M212" i="14"/>
  <c r="M196" i="14"/>
  <c r="M155" i="14"/>
  <c r="M120" i="14"/>
  <c r="M210" i="14"/>
  <c r="M190" i="14"/>
  <c r="M29" i="14"/>
  <c r="M13" i="14"/>
  <c r="M115" i="14"/>
  <c r="M204" i="14"/>
  <c r="M200" i="14"/>
  <c r="M273" i="14"/>
  <c r="M291" i="14"/>
  <c r="M295" i="14"/>
  <c r="M242" i="14"/>
  <c r="M184" i="14"/>
  <c r="M288" i="14"/>
  <c r="M292" i="14"/>
  <c r="M264" i="14"/>
  <c r="M306" i="14"/>
  <c r="M5" i="14"/>
  <c r="M60" i="14"/>
  <c r="M105" i="14"/>
  <c r="M4" i="14"/>
  <c r="M154" i="14"/>
  <c r="M41" i="14"/>
  <c r="M116" i="14"/>
  <c r="M34" i="14"/>
  <c r="M18" i="14"/>
  <c r="M26" i="14"/>
  <c r="M149" i="14"/>
  <c r="M227" i="14"/>
  <c r="M7" i="14"/>
  <c r="M317" i="14"/>
  <c r="M81" i="14"/>
  <c r="M209" i="14"/>
  <c r="M14" i="14"/>
  <c r="M49" i="14"/>
  <c r="M221" i="14"/>
  <c r="M71" i="14"/>
  <c r="M58" i="14"/>
  <c r="M42" i="14"/>
  <c r="M219" i="14"/>
  <c r="M238" i="14"/>
  <c r="M10" i="14"/>
  <c r="M30" i="14"/>
  <c r="M128" i="14"/>
  <c r="M207" i="14"/>
  <c r="M246" i="14"/>
  <c r="M162" i="14"/>
  <c r="M321" i="14"/>
  <c r="M298" i="14"/>
  <c r="M216" i="14"/>
  <c r="M309" i="14"/>
  <c r="M299" i="14"/>
  <c r="M271" i="14"/>
  <c r="M312" i="14"/>
  <c r="M108" i="14"/>
  <c r="M134" i="14"/>
  <c r="M25" i="14"/>
  <c r="M163" i="14"/>
  <c r="M125" i="14"/>
  <c r="M161" i="14"/>
  <c r="M52" i="14"/>
  <c r="M277" i="14"/>
  <c r="M230" i="14"/>
  <c r="M218" i="14"/>
  <c r="M274" i="14"/>
  <c r="M83" i="14"/>
  <c r="M85" i="14"/>
  <c r="M76" i="14"/>
  <c r="M170" i="14"/>
  <c r="M97" i="14"/>
  <c r="M103" i="14"/>
  <c r="M235" i="14"/>
  <c r="M188" i="14"/>
  <c r="M244" i="14"/>
  <c r="M57" i="14"/>
  <c r="M22" i="14"/>
  <c r="M256" i="14"/>
  <c r="M151" i="14"/>
  <c r="M69" i="14"/>
  <c r="M197" i="14"/>
  <c r="M136" i="14"/>
  <c r="M93" i="14"/>
  <c r="M215" i="14"/>
  <c r="M187" i="14"/>
  <c r="M82" i="14"/>
  <c r="M224" i="14"/>
  <c r="M96" i="14"/>
  <c r="M39" i="14"/>
  <c r="M59" i="14"/>
  <c r="M147" i="14"/>
  <c r="M228" i="14"/>
  <c r="M36" i="14"/>
  <c r="M222" i="14"/>
  <c r="M181" i="14"/>
  <c r="M255" i="14"/>
  <c r="M302" i="14"/>
  <c r="M319" i="14"/>
  <c r="M146" i="14"/>
  <c r="M176" i="14"/>
  <c r="M133" i="14"/>
  <c r="M28" i="14"/>
  <c r="M202" i="14"/>
  <c r="M260" i="14"/>
  <c r="M193" i="14"/>
  <c r="M143" i="14"/>
  <c r="M233" i="14"/>
  <c r="M304" i="14"/>
  <c r="M44" i="14"/>
  <c r="M316" i="14"/>
  <c r="M243" i="14"/>
  <c r="M38" i="14"/>
  <c r="M118" i="14"/>
  <c r="M179" i="14"/>
  <c r="M248" i="14"/>
  <c r="M75" i="14"/>
  <c r="M269" i="14"/>
  <c r="M164" i="14"/>
  <c r="M213" i="14"/>
  <c r="M275" i="14"/>
  <c r="M267" i="14"/>
  <c r="M290" i="14"/>
  <c r="M48" i="14"/>
  <c r="M247" i="14"/>
  <c r="M35" i="14"/>
  <c r="M65" i="14"/>
  <c r="M272" i="14"/>
  <c r="M229" i="14"/>
  <c r="M239" i="14"/>
  <c r="M305" i="14"/>
  <c r="M270" i="14"/>
  <c r="M322" i="14"/>
  <c r="M91" i="14"/>
  <c r="M19" i="14"/>
  <c r="M94" i="14"/>
  <c r="M3" i="14"/>
  <c r="M226" i="14"/>
  <c r="M77" i="14"/>
  <c r="M89" i="14"/>
  <c r="M263" i="14"/>
  <c r="M234" i="14"/>
  <c r="M276" i="14"/>
  <c r="M6" i="14"/>
  <c r="M90" i="14"/>
  <c r="M112" i="14"/>
  <c r="M101" i="14"/>
  <c r="M252" i="14"/>
  <c r="M165" i="14"/>
  <c r="M23" i="14"/>
  <c r="M266" i="14"/>
  <c r="M308" i="14"/>
  <c r="M24" i="14"/>
  <c r="M66" i="14"/>
  <c r="M102" i="14"/>
  <c r="M126" i="14"/>
  <c r="M107" i="14"/>
  <c r="M140" i="14"/>
  <c r="M43" i="14"/>
  <c r="M153" i="14"/>
  <c r="M17" i="14"/>
  <c r="M294" i="14"/>
  <c r="M261" i="14"/>
  <c r="M315" i="14"/>
  <c r="M8" i="14"/>
  <c r="M158" i="14"/>
  <c r="M183" i="14"/>
  <c r="M169" i="14"/>
  <c r="M300" i="14"/>
  <c r="M307" i="14"/>
  <c r="M237" i="14"/>
  <c r="M318" i="14"/>
  <c r="M68" i="14"/>
  <c r="M199" i="14"/>
  <c r="M100" i="14"/>
  <c r="M205" i="14"/>
  <c r="M289" i="14"/>
  <c r="M61" i="14"/>
  <c r="M172" i="14"/>
  <c r="M142" i="14"/>
  <c r="M311" i="14"/>
  <c r="M262" i="14"/>
  <c r="M280" i="14"/>
  <c r="M32" i="14"/>
  <c r="M92" i="14"/>
  <c r="M173" i="14"/>
  <c r="M208" i="14"/>
  <c r="M45" i="14"/>
  <c r="M236" i="14"/>
  <c r="M117" i="14"/>
  <c r="M259" i="14"/>
  <c r="M70" i="14"/>
  <c r="M171" i="14"/>
  <c r="M268" i="14"/>
  <c r="M287" i="14"/>
  <c r="M194" i="14"/>
  <c r="M156" i="14"/>
  <c r="M231" i="14"/>
  <c r="M31" i="14"/>
  <c r="M11" i="14"/>
  <c r="M15" i="14"/>
  <c r="M95" i="14"/>
  <c r="M63" i="14"/>
  <c r="M132" i="14"/>
  <c r="M33" i="14"/>
  <c r="M152" i="14"/>
  <c r="M47" i="14"/>
  <c r="M251" i="14"/>
  <c r="M157" i="14"/>
  <c r="M189" i="14"/>
  <c r="M148" i="14"/>
  <c r="V71" i="13"/>
  <c r="N5" i="13" s="1"/>
  <c r="V69" i="12"/>
  <c r="N2" i="12" s="1"/>
  <c r="V70" i="11"/>
  <c r="V64" i="11"/>
  <c r="P288" i="14" l="1"/>
  <c r="P115" i="14"/>
  <c r="P302" i="14"/>
  <c r="P219" i="14"/>
  <c r="P71" i="14"/>
  <c r="P4" i="14"/>
  <c r="P141" i="14"/>
  <c r="P123" i="14"/>
  <c r="P223" i="14"/>
  <c r="P55" i="14"/>
  <c r="P276" i="14"/>
  <c r="P303" i="14"/>
  <c r="P135" i="14"/>
  <c r="O2" i="14"/>
  <c r="P189" i="14" s="1"/>
  <c r="P167" i="14"/>
  <c r="P116" i="14"/>
  <c r="P87" i="14"/>
  <c r="P157" i="14"/>
  <c r="P251" i="14"/>
  <c r="P6" i="14"/>
  <c r="P181" i="14"/>
  <c r="P100" i="14"/>
  <c r="P35" i="14"/>
  <c r="P236" i="14"/>
  <c r="P175" i="14"/>
  <c r="P225" i="14"/>
  <c r="P173" i="14"/>
  <c r="P66" i="14"/>
  <c r="P267" i="14"/>
  <c r="P145" i="14"/>
  <c r="P171" i="14"/>
  <c r="P300" i="14"/>
  <c r="P317" i="14"/>
  <c r="P211" i="14"/>
  <c r="P9" i="14"/>
  <c r="P259" i="14"/>
  <c r="P266" i="14"/>
  <c r="P164" i="14"/>
  <c r="P82" i="14"/>
  <c r="P271" i="14"/>
  <c r="P91" i="14"/>
  <c r="P161" i="14"/>
  <c r="P128" i="14"/>
  <c r="P311" i="14"/>
  <c r="P8" i="14"/>
  <c r="P165" i="14"/>
  <c r="P247" i="14"/>
  <c r="P295" i="14"/>
  <c r="P51" i="14"/>
  <c r="P201" i="14"/>
  <c r="P232" i="14"/>
  <c r="P252" i="14"/>
  <c r="P233" i="14"/>
  <c r="P210" i="14"/>
  <c r="P12" i="14"/>
  <c r="P16" i="14"/>
  <c r="P130" i="14"/>
  <c r="P281" i="14"/>
  <c r="P268" i="14"/>
  <c r="P218" i="14"/>
  <c r="P155" i="14"/>
  <c r="P180" i="14"/>
  <c r="P245" i="14"/>
  <c r="P260" i="14"/>
  <c r="P230" i="14"/>
  <c r="P42" i="14"/>
  <c r="P214" i="14"/>
  <c r="P47" i="14"/>
  <c r="P280" i="14"/>
  <c r="P43" i="14"/>
  <c r="P65" i="14"/>
  <c r="P28" i="14"/>
  <c r="P199" i="14"/>
  <c r="P234" i="14"/>
  <c r="P36" i="14"/>
  <c r="P22" i="14"/>
  <c r="P168" i="14"/>
  <c r="P156" i="14"/>
  <c r="P68" i="14"/>
  <c r="P107" i="14"/>
  <c r="P263" i="14"/>
  <c r="P30" i="14"/>
  <c r="P26" i="14"/>
  <c r="P60" i="14"/>
  <c r="P177" i="14"/>
  <c r="P220" i="14"/>
  <c r="P21" i="14"/>
  <c r="P265" i="14"/>
  <c r="P194" i="14"/>
  <c r="P126" i="14"/>
  <c r="P89" i="14"/>
  <c r="P270" i="14"/>
  <c r="P48" i="14"/>
  <c r="P248" i="14"/>
  <c r="P244" i="14"/>
  <c r="P216" i="14"/>
  <c r="P10" i="14"/>
  <c r="P18" i="14"/>
  <c r="P113" i="14"/>
  <c r="P286" i="14"/>
  <c r="P40" i="14"/>
  <c r="P191" i="14"/>
  <c r="P287" i="14"/>
  <c r="P208" i="14"/>
  <c r="P172" i="14"/>
  <c r="P237" i="14"/>
  <c r="P261" i="14"/>
  <c r="P305" i="14"/>
  <c r="P290" i="14"/>
  <c r="P143" i="14"/>
  <c r="P319" i="14"/>
  <c r="P274" i="14"/>
  <c r="P25" i="14"/>
  <c r="P298" i="14"/>
  <c r="P238" i="14"/>
  <c r="P209" i="14"/>
  <c r="P120" i="14"/>
  <c r="P166" i="14"/>
  <c r="P37" i="14"/>
  <c r="P282" i="14"/>
  <c r="P2" i="14"/>
  <c r="P254" i="14"/>
  <c r="P127" i="14"/>
  <c r="P138" i="14"/>
  <c r="P56" i="14"/>
  <c r="P139" i="14"/>
  <c r="M318" i="12"/>
  <c r="M322" i="12"/>
  <c r="M315" i="12"/>
  <c r="M316" i="12"/>
  <c r="M314" i="12"/>
  <c r="M319" i="12"/>
  <c r="M321" i="12"/>
  <c r="M320" i="12"/>
  <c r="M317" i="12"/>
  <c r="N2" i="13"/>
  <c r="M180" i="13" s="1"/>
  <c r="M268" i="12"/>
  <c r="M187" i="12"/>
  <c r="M288" i="12"/>
  <c r="M256" i="12"/>
  <c r="M224" i="12"/>
  <c r="M192" i="12"/>
  <c r="M176" i="12"/>
  <c r="M296" i="12"/>
  <c r="M264" i="12"/>
  <c r="M232" i="12"/>
  <c r="M200" i="12"/>
  <c r="M184" i="12"/>
  <c r="M164" i="12"/>
  <c r="M312" i="12"/>
  <c r="M280" i="12"/>
  <c r="M248" i="12"/>
  <c r="M216" i="12"/>
  <c r="M168" i="12"/>
  <c r="M70" i="12"/>
  <c r="M51" i="12"/>
  <c r="M47" i="12"/>
  <c r="M93" i="12"/>
  <c r="M59" i="12"/>
  <c r="M78" i="12"/>
  <c r="M55" i="12"/>
  <c r="M63" i="12"/>
  <c r="M107" i="12"/>
  <c r="M23" i="12"/>
  <c r="M31" i="12"/>
  <c r="M40" i="12"/>
  <c r="M54" i="12"/>
  <c r="M17" i="12"/>
  <c r="M106" i="12"/>
  <c r="M58" i="12"/>
  <c r="M101" i="12"/>
  <c r="M92" i="12"/>
  <c r="M62" i="12"/>
  <c r="M170" i="12"/>
  <c r="M75" i="12"/>
  <c r="M76" i="12"/>
  <c r="M135" i="12"/>
  <c r="M188" i="12"/>
  <c r="M159" i="12"/>
  <c r="M144" i="12"/>
  <c r="M151" i="12"/>
  <c r="M139" i="12"/>
  <c r="M205" i="12"/>
  <c r="M295" i="12"/>
  <c r="M226" i="12"/>
  <c r="M313" i="12"/>
  <c r="M255" i="12"/>
  <c r="M203" i="12"/>
  <c r="M282" i="12"/>
  <c r="M215" i="12"/>
  <c r="M294" i="12"/>
  <c r="M242" i="12"/>
  <c r="M190" i="12"/>
  <c r="M277" i="12"/>
  <c r="M193" i="12"/>
  <c r="M283" i="12"/>
  <c r="M13" i="12"/>
  <c r="M252" i="12"/>
  <c r="M208" i="12"/>
  <c r="M173" i="12"/>
  <c r="M293" i="12"/>
  <c r="M161" i="12"/>
  <c r="M291" i="12"/>
  <c r="M234" i="12"/>
  <c r="M28" i="12"/>
  <c r="M302" i="12"/>
  <c r="M245" i="12"/>
  <c r="M35" i="12"/>
  <c r="M290" i="12"/>
  <c r="M254" i="12"/>
  <c r="M16" i="12"/>
  <c r="M198" i="12"/>
  <c r="M53" i="12"/>
  <c r="M38" i="12"/>
  <c r="M2" i="12"/>
  <c r="M102" i="12"/>
  <c r="M32" i="12"/>
  <c r="M20" i="12"/>
  <c r="M8" i="12"/>
  <c r="M50" i="12"/>
  <c r="M77" i="12"/>
  <c r="M73" i="12"/>
  <c r="M182" i="12"/>
  <c r="M71" i="12"/>
  <c r="M141" i="12"/>
  <c r="M204" i="12"/>
  <c r="M136" i="12"/>
  <c r="M96" i="12"/>
  <c r="M82" i="12"/>
  <c r="M79" i="12"/>
  <c r="M157" i="12"/>
  <c r="M196" i="12"/>
  <c r="M72" i="12"/>
  <c r="M145" i="12"/>
  <c r="M214" i="12"/>
  <c r="M301" i="12"/>
  <c r="M243" i="12"/>
  <c r="M169" i="12"/>
  <c r="M261" i="12"/>
  <c r="M209" i="12"/>
  <c r="M299" i="12"/>
  <c r="M221" i="12"/>
  <c r="M311" i="12"/>
  <c r="M259" i="12"/>
  <c r="M207" i="12"/>
  <c r="M286" i="12"/>
  <c r="M202" i="12"/>
  <c r="M289" i="12"/>
  <c r="M34" i="12"/>
  <c r="M100" i="12"/>
  <c r="M201" i="12"/>
  <c r="M3" i="12"/>
  <c r="M178" i="12"/>
  <c r="M7" i="12"/>
  <c r="M267" i="12"/>
  <c r="M257" i="12"/>
  <c r="M42" i="12"/>
  <c r="M273" i="12"/>
  <c r="M266" i="12"/>
  <c r="M86" i="12"/>
  <c r="M48" i="12"/>
  <c r="M37" i="12"/>
  <c r="M111" i="12"/>
  <c r="M39" i="12"/>
  <c r="M4" i="12"/>
  <c r="M68" i="12"/>
  <c r="M15" i="12"/>
  <c r="M12" i="12"/>
  <c r="M90" i="12"/>
  <c r="M98" i="12"/>
  <c r="M84" i="12"/>
  <c r="M88" i="12"/>
  <c r="M103" i="12"/>
  <c r="M80" i="12"/>
  <c r="M146" i="12"/>
  <c r="M220" i="12"/>
  <c r="M160" i="12"/>
  <c r="M109" i="12"/>
  <c r="M125" i="12"/>
  <c r="M171" i="12"/>
  <c r="M228" i="12"/>
  <c r="M95" i="12"/>
  <c r="M150" i="12"/>
  <c r="M231" i="12"/>
  <c r="M310" i="12"/>
  <c r="M249" i="12"/>
  <c r="M191" i="12"/>
  <c r="M270" i="12"/>
  <c r="M218" i="12"/>
  <c r="M305" i="12"/>
  <c r="M230" i="12"/>
  <c r="M265" i="12"/>
  <c r="M213" i="12"/>
  <c r="M303" i="12"/>
  <c r="M219" i="12"/>
  <c r="M298" i="12"/>
  <c r="M137" i="12"/>
  <c r="M180" i="12"/>
  <c r="M206" i="12"/>
  <c r="M253" i="12"/>
  <c r="M64" i="12"/>
  <c r="M281" i="12"/>
  <c r="M110" i="12"/>
  <c r="M166" i="12"/>
  <c r="M14" i="12"/>
  <c r="M217" i="12"/>
  <c r="M185" i="12"/>
  <c r="M5" i="12"/>
  <c r="M57" i="12"/>
  <c r="M10" i="12"/>
  <c r="M60" i="12"/>
  <c r="M45" i="12"/>
  <c r="M11" i="12"/>
  <c r="M94" i="12"/>
  <c r="M22" i="12"/>
  <c r="M19" i="12"/>
  <c r="M175" i="12"/>
  <c r="M113" i="12"/>
  <c r="M105" i="12"/>
  <c r="M120" i="12"/>
  <c r="M142" i="12"/>
  <c r="M83" i="12"/>
  <c r="M152" i="12"/>
  <c r="M236" i="12"/>
  <c r="M244" i="12"/>
  <c r="M126" i="12"/>
  <c r="M260" i="12"/>
  <c r="M81" i="12"/>
  <c r="M183" i="12"/>
  <c r="M112" i="12"/>
  <c r="M97" i="12"/>
  <c r="M154" i="12"/>
  <c r="M237" i="12"/>
  <c r="M158" i="12"/>
  <c r="M258" i="12"/>
  <c r="M197" i="12"/>
  <c r="M287" i="12"/>
  <c r="M235" i="12"/>
  <c r="M247" i="12"/>
  <c r="M195" i="12"/>
  <c r="M274" i="12"/>
  <c r="M222" i="12"/>
  <c r="M309" i="12"/>
  <c r="M225" i="12"/>
  <c r="M41" i="12"/>
  <c r="M52" i="12"/>
  <c r="M18" i="12"/>
  <c r="M115" i="12"/>
  <c r="M25" i="12"/>
  <c r="M26" i="12"/>
  <c r="M276" i="12"/>
  <c r="M123" i="12"/>
  <c r="M130" i="12"/>
  <c r="M129" i="12"/>
  <c r="M44" i="12"/>
  <c r="M167" i="12"/>
  <c r="M132" i="12"/>
  <c r="M116" i="12"/>
  <c r="M131" i="12"/>
  <c r="M246" i="12"/>
  <c r="M275" i="12"/>
  <c r="M241" i="12"/>
  <c r="M239" i="12"/>
  <c r="M6" i="12"/>
  <c r="M61" i="12"/>
  <c r="M21" i="12"/>
  <c r="M33" i="12"/>
  <c r="M49" i="12"/>
  <c r="M29" i="12"/>
  <c r="M308" i="12"/>
  <c r="M128" i="12"/>
  <c r="M212" i="12"/>
  <c r="M134" i="12"/>
  <c r="M108" i="12"/>
  <c r="M174" i="12"/>
  <c r="M284" i="12"/>
  <c r="M147" i="12"/>
  <c r="M66" i="12"/>
  <c r="M127" i="12"/>
  <c r="M240" i="12"/>
  <c r="M163" i="12"/>
  <c r="M104" i="12"/>
  <c r="M162" i="12"/>
  <c r="M263" i="12"/>
  <c r="M194" i="12"/>
  <c r="M223" i="12"/>
  <c r="M250" i="12"/>
  <c r="M262" i="12"/>
  <c r="M210" i="12"/>
  <c r="M297" i="12"/>
  <c r="M251" i="12"/>
  <c r="M9" i="12"/>
  <c r="M114" i="12"/>
  <c r="M36" i="12"/>
  <c r="M119" i="12"/>
  <c r="M56" i="12"/>
  <c r="M46" i="12"/>
  <c r="M155" i="12"/>
  <c r="M143" i="12"/>
  <c r="M292" i="12"/>
  <c r="M140" i="12"/>
  <c r="M74" i="12"/>
  <c r="M118" i="12"/>
  <c r="M179" i="12"/>
  <c r="M300" i="12"/>
  <c r="M87" i="12"/>
  <c r="M153" i="12"/>
  <c r="M148" i="12"/>
  <c r="M133" i="12"/>
  <c r="M272" i="12"/>
  <c r="M177" i="12"/>
  <c r="M269" i="12"/>
  <c r="M211" i="12"/>
  <c r="M229" i="12"/>
  <c r="M189" i="12"/>
  <c r="M279" i="12"/>
  <c r="M227" i="12"/>
  <c r="M306" i="12"/>
  <c r="M24" i="12"/>
  <c r="M30" i="12"/>
  <c r="M43" i="12"/>
  <c r="M27" i="12"/>
  <c r="M85" i="12"/>
  <c r="M172" i="12"/>
  <c r="M149" i="12"/>
  <c r="M122" i="12"/>
  <c r="M121" i="12"/>
  <c r="M186" i="12"/>
  <c r="M89" i="12"/>
  <c r="M156" i="12"/>
  <c r="M69" i="12"/>
  <c r="M138" i="12"/>
  <c r="M304" i="12"/>
  <c r="M65" i="12"/>
  <c r="M124" i="12"/>
  <c r="M199" i="12"/>
  <c r="M278" i="12"/>
  <c r="M307" i="12"/>
  <c r="M238" i="12"/>
  <c r="M165" i="12"/>
  <c r="M285" i="12"/>
  <c r="M233" i="12"/>
  <c r="M271" i="12"/>
  <c r="M181" i="12"/>
  <c r="M117" i="12"/>
  <c r="M67" i="12"/>
  <c r="M99" i="12"/>
  <c r="M91" i="12"/>
  <c r="N5" i="12"/>
  <c r="N5" i="11"/>
  <c r="N2" i="11"/>
  <c r="P150" i="14" l="1"/>
  <c r="P159" i="14"/>
  <c r="P241" i="14"/>
  <c r="P227" i="14"/>
  <c r="P307" i="14"/>
  <c r="P277" i="14"/>
  <c r="P192" i="14"/>
  <c r="P97" i="14"/>
  <c r="P179" i="14"/>
  <c r="P278" i="14"/>
  <c r="P163" i="14"/>
  <c r="P132" i="14"/>
  <c r="P125" i="14"/>
  <c r="P269" i="14"/>
  <c r="P114" i="14"/>
  <c r="P81" i="14"/>
  <c r="P14" i="14"/>
  <c r="P49" i="14"/>
  <c r="P187" i="14"/>
  <c r="P70" i="14"/>
  <c r="P67" i="14"/>
  <c r="P29" i="14"/>
  <c r="P301" i="14"/>
  <c r="P54" i="14"/>
  <c r="P31" i="14"/>
  <c r="P88" i="14"/>
  <c r="P11" i="14"/>
  <c r="P250" i="14"/>
  <c r="P243" i="14"/>
  <c r="P83" i="14"/>
  <c r="P304" i="14"/>
  <c r="P44" i="14"/>
  <c r="P240" i="14"/>
  <c r="P217" i="14"/>
  <c r="P76" i="14"/>
  <c r="P90" i="14"/>
  <c r="P160" i="14"/>
  <c r="P213" i="14"/>
  <c r="P79" i="14"/>
  <c r="P293" i="14"/>
  <c r="P99" i="14"/>
  <c r="P169" i="14"/>
  <c r="P3" i="14"/>
  <c r="P110" i="14"/>
  <c r="P284" i="14"/>
  <c r="P174" i="14"/>
  <c r="P38" i="14"/>
  <c r="P140" i="14"/>
  <c r="P314" i="14"/>
  <c r="P310" i="14"/>
  <c r="P15" i="14"/>
  <c r="P320" i="14"/>
  <c r="P292" i="14"/>
  <c r="P212" i="14"/>
  <c r="P289" i="14"/>
  <c r="P185" i="14"/>
  <c r="P153" i="14"/>
  <c r="P72" i="14"/>
  <c r="P170" i="14"/>
  <c r="P253" i="14"/>
  <c r="P154" i="14"/>
  <c r="P74" i="14"/>
  <c r="P221" i="14"/>
  <c r="P285" i="14"/>
  <c r="P264" i="14"/>
  <c r="P46" i="14"/>
  <c r="P195" i="14"/>
  <c r="P316" i="14"/>
  <c r="P96" i="14"/>
  <c r="P64" i="14"/>
  <c r="P178" i="14"/>
  <c r="P7" i="14"/>
  <c r="P109" i="14"/>
  <c r="P134" i="14"/>
  <c r="P63" i="14"/>
  <c r="P142" i="14"/>
  <c r="P133" i="14"/>
  <c r="P193" i="14"/>
  <c r="P129" i="14"/>
  <c r="P273" i="14"/>
  <c r="P188" i="14"/>
  <c r="P77" i="14"/>
  <c r="P20" i="14"/>
  <c r="P93" i="14"/>
  <c r="P315" i="14"/>
  <c r="P182" i="14"/>
  <c r="P215" i="14"/>
  <c r="P242" i="14"/>
  <c r="P117" i="14"/>
  <c r="P224" i="14"/>
  <c r="P275" i="14"/>
  <c r="P118" i="14"/>
  <c r="P86" i="14"/>
  <c r="P309" i="14"/>
  <c r="P33" i="14"/>
  <c r="P23" i="14"/>
  <c r="P151" i="14"/>
  <c r="P162" i="14"/>
  <c r="P200" i="14"/>
  <c r="P190" i="14"/>
  <c r="P231" i="14"/>
  <c r="P104" i="14"/>
  <c r="P39" i="14"/>
  <c r="P62" i="14"/>
  <c r="P80" i="14"/>
  <c r="P197" i="14"/>
  <c r="P122" i="14"/>
  <c r="P27" i="14"/>
  <c r="P183" i="14"/>
  <c r="P24" i="14"/>
  <c r="P98" i="14"/>
  <c r="P257" i="14"/>
  <c r="P58" i="14"/>
  <c r="P296" i="14"/>
  <c r="P313" i="14"/>
  <c r="P124" i="14"/>
  <c r="P306" i="14"/>
  <c r="P136" i="14"/>
  <c r="P101" i="14"/>
  <c r="P148" i="14"/>
  <c r="P291" i="14"/>
  <c r="P147" i="14"/>
  <c r="P318" i="14"/>
  <c r="P73" i="14"/>
  <c r="P176" i="14"/>
  <c r="P149" i="14"/>
  <c r="P207" i="14"/>
  <c r="P94" i="14"/>
  <c r="P17" i="14"/>
  <c r="P239" i="14"/>
  <c r="P53" i="14"/>
  <c r="P186" i="14"/>
  <c r="P57" i="14"/>
  <c r="P106" i="14"/>
  <c r="P262" i="14"/>
  <c r="P272" i="14"/>
  <c r="P255" i="14"/>
  <c r="P321" i="14"/>
  <c r="P85" i="14"/>
  <c r="P52" i="14"/>
  <c r="P204" i="14"/>
  <c r="P294" i="14"/>
  <c r="P279" i="14"/>
  <c r="P158" i="14"/>
  <c r="P41" i="14"/>
  <c r="P226" i="14"/>
  <c r="P283" i="14"/>
  <c r="P13" i="14"/>
  <c r="P202" i="14"/>
  <c r="P111" i="14"/>
  <c r="P137" i="14"/>
  <c r="P121" i="14"/>
  <c r="P246" i="14"/>
  <c r="P196" i="14"/>
  <c r="P112" i="14"/>
  <c r="P249" i="14"/>
  <c r="P206" i="14"/>
  <c r="P34" i="14"/>
  <c r="P59" i="14"/>
  <c r="P102" i="14"/>
  <c r="P144" i="14"/>
  <c r="P5" i="14"/>
  <c r="P146" i="14"/>
  <c r="P45" i="14"/>
  <c r="P258" i="14"/>
  <c r="P75" i="14"/>
  <c r="P299" i="14"/>
  <c r="P256" i="14"/>
  <c r="P32" i="14"/>
  <c r="P92" i="14"/>
  <c r="P61" i="14"/>
  <c r="P78" i="14"/>
  <c r="P203" i="14"/>
  <c r="P228" i="14"/>
  <c r="P105" i="14"/>
  <c r="P152" i="14"/>
  <c r="P205" i="14"/>
  <c r="P229" i="14"/>
  <c r="P235" i="14"/>
  <c r="P322" i="14"/>
  <c r="P19" i="14"/>
  <c r="P103" i="14"/>
  <c r="P297" i="14"/>
  <c r="P84" i="14"/>
  <c r="P222" i="14"/>
  <c r="P69" i="14"/>
  <c r="P95" i="14"/>
  <c r="P50" i="14"/>
  <c r="P184" i="14"/>
  <c r="P308" i="14"/>
  <c r="P119" i="14"/>
  <c r="P198" i="14"/>
  <c r="P131" i="14"/>
  <c r="P312" i="14"/>
  <c r="P108" i="14"/>
  <c r="M320" i="11"/>
  <c r="M321" i="11"/>
  <c r="M318" i="11"/>
  <c r="M317" i="11"/>
  <c r="M316" i="11"/>
  <c r="M319" i="11"/>
  <c r="M146" i="13"/>
  <c r="M229" i="13"/>
  <c r="M266" i="13"/>
  <c r="M221" i="13"/>
  <c r="M78" i="13"/>
  <c r="M142" i="13"/>
  <c r="M238" i="13"/>
  <c r="M183" i="13"/>
  <c r="M100" i="13"/>
  <c r="M47" i="13"/>
  <c r="M137" i="13"/>
  <c r="M268" i="13"/>
  <c r="M110" i="13"/>
  <c r="M282" i="13"/>
  <c r="M272" i="13"/>
  <c r="M135" i="13"/>
  <c r="M263" i="13"/>
  <c r="M230" i="13"/>
  <c r="M107" i="13"/>
  <c r="M200" i="13"/>
  <c r="M320" i="13"/>
  <c r="M321" i="13"/>
  <c r="M322" i="13"/>
  <c r="M218" i="13"/>
  <c r="M236" i="13"/>
  <c r="M21" i="13"/>
  <c r="M66" i="13"/>
  <c r="M68" i="13"/>
  <c r="M209" i="13"/>
  <c r="M295" i="13"/>
  <c r="M259" i="13"/>
  <c r="M19" i="13"/>
  <c r="M284" i="13"/>
  <c r="M121" i="13"/>
  <c r="M303" i="13"/>
  <c r="M99" i="13"/>
  <c r="M287" i="13"/>
  <c r="M34" i="13"/>
  <c r="M134" i="13"/>
  <c r="M242" i="13"/>
  <c r="M215" i="13"/>
  <c r="M203" i="13"/>
  <c r="M136" i="13"/>
  <c r="M158" i="13"/>
  <c r="M77" i="13"/>
  <c r="M155" i="13"/>
  <c r="M167" i="13"/>
  <c r="M20" i="13"/>
  <c r="M58" i="13"/>
  <c r="M17" i="13"/>
  <c r="M177" i="13"/>
  <c r="M75" i="13"/>
  <c r="M22" i="13"/>
  <c r="M62" i="13"/>
  <c r="M106" i="13"/>
  <c r="M211" i="13"/>
  <c r="M195" i="13"/>
  <c r="M226" i="13"/>
  <c r="M7" i="13"/>
  <c r="M32" i="13"/>
  <c r="M84" i="13"/>
  <c r="M151" i="13"/>
  <c r="M280" i="13"/>
  <c r="M13" i="13"/>
  <c r="M228" i="13"/>
  <c r="M102" i="13"/>
  <c r="M5" i="13"/>
  <c r="M25" i="13"/>
  <c r="M149" i="13"/>
  <c r="M63" i="13"/>
  <c r="M85" i="13"/>
  <c r="M122" i="13"/>
  <c r="M172" i="13"/>
  <c r="M43" i="13"/>
  <c r="M174" i="13"/>
  <c r="M306" i="13"/>
  <c r="M297" i="13"/>
  <c r="M257" i="13"/>
  <c r="M288" i="13"/>
  <c r="M194" i="13"/>
  <c r="M283" i="13"/>
  <c r="M175" i="13"/>
  <c r="M55" i="13"/>
  <c r="M262" i="13"/>
  <c r="M274" i="13"/>
  <c r="M292" i="13"/>
  <c r="M3" i="13"/>
  <c r="M273" i="13"/>
  <c r="M291" i="13"/>
  <c r="M275" i="13"/>
  <c r="M207" i="13"/>
  <c r="M315" i="13"/>
  <c r="M214" i="13"/>
  <c r="M193" i="13"/>
  <c r="M256" i="13"/>
  <c r="M198" i="13"/>
  <c r="M132" i="13"/>
  <c r="M70" i="13"/>
  <c r="M239" i="13"/>
  <c r="M15" i="13"/>
  <c r="M300" i="13"/>
  <c r="M129" i="13"/>
  <c r="M59" i="13"/>
  <c r="M281" i="13"/>
  <c r="M299" i="13"/>
  <c r="M76" i="13"/>
  <c r="M105" i="13"/>
  <c r="M61" i="13"/>
  <c r="M197" i="13"/>
  <c r="M244" i="13"/>
  <c r="M254" i="13"/>
  <c r="M83" i="13"/>
  <c r="M150" i="13"/>
  <c r="M310" i="13"/>
  <c r="M141" i="13"/>
  <c r="M144" i="13"/>
  <c r="M60" i="13"/>
  <c r="M289" i="13"/>
  <c r="M298" i="13"/>
  <c r="M45" i="13"/>
  <c r="M233" i="13"/>
  <c r="M108" i="13"/>
  <c r="M10" i="13"/>
  <c r="M205" i="13"/>
  <c r="M305" i="13"/>
  <c r="M269" i="13"/>
  <c r="M103" i="13"/>
  <c r="M31" i="13"/>
  <c r="M87" i="13"/>
  <c r="M264" i="13"/>
  <c r="M86" i="13"/>
  <c r="M286" i="13"/>
  <c r="M294" i="13"/>
  <c r="M52" i="13"/>
  <c r="M185" i="13"/>
  <c r="M79" i="13"/>
  <c r="M14" i="13"/>
  <c r="M243" i="13"/>
  <c r="M161" i="13"/>
  <c r="M82" i="13"/>
  <c r="M179" i="13"/>
  <c r="M41" i="13"/>
  <c r="M115" i="13"/>
  <c r="M112" i="13"/>
  <c r="M97" i="13"/>
  <c r="M245" i="13"/>
  <c r="M237" i="13"/>
  <c r="M71" i="13"/>
  <c r="M72" i="13"/>
  <c r="M277" i="13"/>
  <c r="M249" i="13"/>
  <c r="M313" i="13"/>
  <c r="M276" i="13"/>
  <c r="M39" i="13"/>
  <c r="M36" i="13"/>
  <c r="M293" i="13"/>
  <c r="M208" i="13"/>
  <c r="M27" i="13"/>
  <c r="M29" i="13"/>
  <c r="M26" i="13"/>
  <c r="M159" i="13"/>
  <c r="M12" i="13"/>
  <c r="M64" i="13"/>
  <c r="M56" i="13"/>
  <c r="M138" i="13"/>
  <c r="M192" i="13"/>
  <c r="M33" i="13"/>
  <c r="M181" i="13"/>
  <c r="M42" i="13"/>
  <c r="M30" i="13"/>
  <c r="M44" i="13"/>
  <c r="M46" i="13"/>
  <c r="M48" i="13"/>
  <c r="M311" i="13"/>
  <c r="M251" i="13"/>
  <c r="M319" i="13"/>
  <c r="M190" i="13"/>
  <c r="M163" i="13"/>
  <c r="M89" i="13"/>
  <c r="M24" i="13"/>
  <c r="M301" i="13"/>
  <c r="M169" i="13"/>
  <c r="M309" i="13"/>
  <c r="M227" i="13"/>
  <c r="M53" i="13"/>
  <c r="M145" i="13"/>
  <c r="M92" i="13"/>
  <c r="M240" i="13"/>
  <c r="M316" i="13"/>
  <c r="M235" i="13"/>
  <c r="M67" i="13"/>
  <c r="M232" i="13"/>
  <c r="M248" i="13"/>
  <c r="M9" i="13"/>
  <c r="M124" i="13"/>
  <c r="M290" i="13"/>
  <c r="M279" i="13"/>
  <c r="M222" i="13"/>
  <c r="M148" i="13"/>
  <c r="M152" i="13"/>
  <c r="M2" i="13"/>
  <c r="M128" i="13"/>
  <c r="M120" i="13"/>
  <c r="M162" i="13"/>
  <c r="M225" i="13"/>
  <c r="M189" i="13"/>
  <c r="M96" i="13"/>
  <c r="M139" i="13"/>
  <c r="M153" i="13"/>
  <c r="M111" i="13"/>
  <c r="M88" i="13"/>
  <c r="M307" i="13"/>
  <c r="M217" i="13"/>
  <c r="M16" i="13"/>
  <c r="M302" i="13"/>
  <c r="M246" i="13"/>
  <c r="M49" i="13"/>
  <c r="M199" i="13"/>
  <c r="M304" i="13"/>
  <c r="M318" i="13"/>
  <c r="M224" i="13"/>
  <c r="M165" i="13"/>
  <c r="M104" i="13"/>
  <c r="M184" i="13"/>
  <c r="M312" i="13"/>
  <c r="M164" i="13"/>
  <c r="M109" i="13"/>
  <c r="M219" i="13"/>
  <c r="M18" i="13"/>
  <c r="M241" i="13"/>
  <c r="M253" i="13"/>
  <c r="M267" i="13"/>
  <c r="M73" i="13"/>
  <c r="M231" i="13"/>
  <c r="M65" i="13"/>
  <c r="M91" i="13"/>
  <c r="M188" i="13"/>
  <c r="M213" i="13"/>
  <c r="M250" i="13"/>
  <c r="M8" i="13"/>
  <c r="M11" i="13"/>
  <c r="M37" i="13"/>
  <c r="M317" i="13"/>
  <c r="M258" i="13"/>
  <c r="M116" i="13"/>
  <c r="M94" i="13"/>
  <c r="M265" i="13"/>
  <c r="M204" i="13"/>
  <c r="M176" i="13"/>
  <c r="M271" i="13"/>
  <c r="M191" i="13"/>
  <c r="M125" i="13"/>
  <c r="M220" i="13"/>
  <c r="M118" i="13"/>
  <c r="M4" i="13"/>
  <c r="M196" i="13"/>
  <c r="M216" i="13"/>
  <c r="M126" i="13"/>
  <c r="M74" i="13"/>
  <c r="M171" i="13"/>
  <c r="M90" i="13"/>
  <c r="M247" i="13"/>
  <c r="M160" i="13"/>
  <c r="M157" i="13"/>
  <c r="M234" i="13"/>
  <c r="M127" i="13"/>
  <c r="M168" i="13"/>
  <c r="M51" i="13"/>
  <c r="M261" i="13"/>
  <c r="M133" i="13"/>
  <c r="M285" i="13"/>
  <c r="M314" i="13"/>
  <c r="M143" i="13"/>
  <c r="M98" i="13"/>
  <c r="M23" i="13"/>
  <c r="M101" i="13"/>
  <c r="M260" i="13"/>
  <c r="M130" i="13"/>
  <c r="M117" i="13"/>
  <c r="M113" i="13"/>
  <c r="M93" i="13"/>
  <c r="M186" i="13"/>
  <c r="M270" i="13"/>
  <c r="M119" i="13"/>
  <c r="M154" i="13"/>
  <c r="M140" i="13"/>
  <c r="M6" i="13"/>
  <c r="M182" i="13"/>
  <c r="M80" i="13"/>
  <c r="M210" i="13"/>
  <c r="M28" i="13"/>
  <c r="M187" i="13"/>
  <c r="M173" i="13"/>
  <c r="M147" i="13"/>
  <c r="M308" i="13"/>
  <c r="M35" i="13"/>
  <c r="M255" i="13"/>
  <c r="M278" i="13"/>
  <c r="M223" i="13"/>
  <c r="M123" i="13"/>
  <c r="M95" i="13"/>
  <c r="M202" i="13"/>
  <c r="M170" i="13"/>
  <c r="M131" i="13"/>
  <c r="M156" i="13"/>
  <c r="M212" i="13"/>
  <c r="M114" i="13"/>
  <c r="M38" i="13"/>
  <c r="M166" i="13"/>
  <c r="M252" i="13"/>
  <c r="M201" i="13"/>
  <c r="M206" i="13"/>
  <c r="M81" i="13"/>
  <c r="M40" i="13"/>
  <c r="M54" i="13"/>
  <c r="M178" i="13"/>
  <c r="M296" i="13"/>
  <c r="M50" i="13"/>
  <c r="M57" i="13"/>
  <c r="M69" i="13"/>
  <c r="O2" i="12"/>
  <c r="P140" i="12" s="1"/>
  <c r="P66" i="12"/>
  <c r="M296" i="11"/>
  <c r="M288" i="11"/>
  <c r="M280" i="11"/>
  <c r="M272" i="11"/>
  <c r="M264" i="11"/>
  <c r="M256" i="11"/>
  <c r="M248" i="11"/>
  <c r="M240" i="11"/>
  <c r="M232" i="11"/>
  <c r="M224" i="11"/>
  <c r="M216" i="11"/>
  <c r="M208" i="11"/>
  <c r="M200" i="11"/>
  <c r="M192" i="11"/>
  <c r="M184" i="11"/>
  <c r="M176" i="11"/>
  <c r="M168" i="11"/>
  <c r="M160" i="11"/>
  <c r="M260" i="11"/>
  <c r="M196" i="11"/>
  <c r="M188" i="11"/>
  <c r="M276" i="11"/>
  <c r="M212" i="11"/>
  <c r="M236" i="11"/>
  <c r="M172" i="11"/>
  <c r="M284" i="11"/>
  <c r="M220" i="11"/>
  <c r="M252" i="11"/>
  <c r="M3" i="11"/>
  <c r="M300" i="11"/>
  <c r="M308" i="11"/>
  <c r="M244" i="11"/>
  <c r="M180" i="11"/>
  <c r="M268" i="11"/>
  <c r="M204" i="11"/>
  <c r="M103" i="11"/>
  <c r="M292" i="11"/>
  <c r="M228" i="11"/>
  <c r="M164" i="11"/>
  <c r="M95" i="11"/>
  <c r="M87" i="11"/>
  <c r="M71" i="11"/>
  <c r="M5" i="11"/>
  <c r="M111" i="11"/>
  <c r="M19" i="11"/>
  <c r="M231" i="11"/>
  <c r="M51" i="11"/>
  <c r="M15" i="11"/>
  <c r="M239" i="11"/>
  <c r="M255" i="11"/>
  <c r="M183" i="11"/>
  <c r="M227" i="11"/>
  <c r="M33" i="11"/>
  <c r="M283" i="11"/>
  <c r="M145" i="11"/>
  <c r="M179" i="11"/>
  <c r="M195" i="11"/>
  <c r="M194" i="11"/>
  <c r="M274" i="11"/>
  <c r="M96" i="11"/>
  <c r="M202" i="11"/>
  <c r="M263" i="11"/>
  <c r="M117" i="11"/>
  <c r="M275" i="11"/>
  <c r="M66" i="11"/>
  <c r="M105" i="11"/>
  <c r="M205" i="11"/>
  <c r="M269" i="11"/>
  <c r="M166" i="11"/>
  <c r="M230" i="11"/>
  <c r="M294" i="11"/>
  <c r="M185" i="11"/>
  <c r="M249" i="11"/>
  <c r="M313" i="11"/>
  <c r="M207" i="11"/>
  <c r="M72" i="11"/>
  <c r="M242" i="11"/>
  <c r="M261" i="11"/>
  <c r="M305" i="11"/>
  <c r="M6" i="11"/>
  <c r="M2" i="11"/>
  <c r="M35" i="11"/>
  <c r="M27" i="11"/>
  <c r="M123" i="11"/>
  <c r="M14" i="11"/>
  <c r="M7" i="11"/>
  <c r="M271" i="11"/>
  <c r="M40" i="11"/>
  <c r="M314" i="11"/>
  <c r="M170" i="11"/>
  <c r="M38" i="11"/>
  <c r="M75" i="11"/>
  <c r="M226" i="11"/>
  <c r="M304" i="11"/>
  <c r="M104" i="11"/>
  <c r="M235" i="11"/>
  <c r="M291" i="11"/>
  <c r="M210" i="11"/>
  <c r="M124" i="11"/>
  <c r="M306" i="11"/>
  <c r="M112" i="11"/>
  <c r="M312" i="11"/>
  <c r="M213" i="11"/>
  <c r="M277" i="11"/>
  <c r="M174" i="11"/>
  <c r="M238" i="11"/>
  <c r="M302" i="11"/>
  <c r="M193" i="11"/>
  <c r="M257" i="11"/>
  <c r="M43" i="11"/>
  <c r="M52" i="11"/>
  <c r="M177" i="11"/>
  <c r="M77" i="11"/>
  <c r="M25" i="11"/>
  <c r="M94" i="11"/>
  <c r="M47" i="11"/>
  <c r="M215" i="11"/>
  <c r="M70" i="11"/>
  <c r="M139" i="11"/>
  <c r="M147" i="11"/>
  <c r="M10" i="11"/>
  <c r="M303" i="11"/>
  <c r="M67" i="11"/>
  <c r="M121" i="11"/>
  <c r="M16" i="11"/>
  <c r="M53" i="11"/>
  <c r="M109" i="11"/>
  <c r="M259" i="11"/>
  <c r="M41" i="11"/>
  <c r="M266" i="11"/>
  <c r="M120" i="11"/>
  <c r="M134" i="11"/>
  <c r="M243" i="11"/>
  <c r="M73" i="11"/>
  <c r="M315" i="11"/>
  <c r="M221" i="11"/>
  <c r="M285" i="11"/>
  <c r="M182" i="11"/>
  <c r="M246" i="11"/>
  <c r="M310" i="11"/>
  <c r="M201" i="11"/>
  <c r="M265" i="11"/>
  <c r="M279" i="11"/>
  <c r="M99" i="11"/>
  <c r="M222" i="11"/>
  <c r="M107" i="11"/>
  <c r="M59" i="11"/>
  <c r="M159" i="11"/>
  <c r="M135" i="11"/>
  <c r="M131" i="11"/>
  <c r="M17" i="11"/>
  <c r="M247" i="11"/>
  <c r="M23" i="11"/>
  <c r="M234" i="11"/>
  <c r="M79" i="11"/>
  <c r="M128" i="11"/>
  <c r="M93" i="11"/>
  <c r="M60" i="11"/>
  <c r="M116" i="11"/>
  <c r="M290" i="11"/>
  <c r="M64" i="11"/>
  <c r="M48" i="11"/>
  <c r="M129" i="11"/>
  <c r="M299" i="11"/>
  <c r="M152" i="11"/>
  <c r="M36" i="11"/>
  <c r="M149" i="11"/>
  <c r="M76" i="11"/>
  <c r="M137" i="11"/>
  <c r="M165" i="11"/>
  <c r="M229" i="11"/>
  <c r="M293" i="11"/>
  <c r="M190" i="11"/>
  <c r="M254" i="11"/>
  <c r="M209" i="11"/>
  <c r="M273" i="11"/>
  <c r="M29" i="11"/>
  <c r="M171" i="11"/>
  <c r="M251" i="11"/>
  <c r="M241" i="11"/>
  <c r="M21" i="11"/>
  <c r="M127" i="11"/>
  <c r="M31" i="11"/>
  <c r="M63" i="11"/>
  <c r="M191" i="11"/>
  <c r="M155" i="11"/>
  <c r="M39" i="11"/>
  <c r="M151" i="11"/>
  <c r="M11" i="11"/>
  <c r="M18" i="11"/>
  <c r="M45" i="11"/>
  <c r="M199" i="11"/>
  <c r="M81" i="11"/>
  <c r="M126" i="11"/>
  <c r="M113" i="11"/>
  <c r="M136" i="11"/>
  <c r="M54" i="11"/>
  <c r="M267" i="11"/>
  <c r="M46" i="11"/>
  <c r="M157" i="11"/>
  <c r="M97" i="11"/>
  <c r="M80" i="11"/>
  <c r="M144" i="11"/>
  <c r="M173" i="11"/>
  <c r="M237" i="11"/>
  <c r="M301" i="11"/>
  <c r="M198" i="11"/>
  <c r="M262" i="11"/>
  <c r="M217" i="11"/>
  <c r="M281" i="11"/>
  <c r="M13" i="11"/>
  <c r="M119" i="11"/>
  <c r="M57" i="11"/>
  <c r="M162" i="11"/>
  <c r="M142" i="11"/>
  <c r="M286" i="11"/>
  <c r="M167" i="11"/>
  <c r="M223" i="11"/>
  <c r="M102" i="11"/>
  <c r="M175" i="11"/>
  <c r="M86" i="11"/>
  <c r="M311" i="11"/>
  <c r="M26" i="11"/>
  <c r="M44" i="11"/>
  <c r="M153" i="11"/>
  <c r="M90" i="11"/>
  <c r="M186" i="11"/>
  <c r="M258" i="11"/>
  <c r="M108" i="11"/>
  <c r="M65" i="11"/>
  <c r="M141" i="11"/>
  <c r="M37" i="11"/>
  <c r="M203" i="11"/>
  <c r="M85" i="11"/>
  <c r="M61" i="11"/>
  <c r="M178" i="11"/>
  <c r="M163" i="11"/>
  <c r="M49" i="11"/>
  <c r="M187" i="11"/>
  <c r="M181" i="11"/>
  <c r="M245" i="11"/>
  <c r="M309" i="11"/>
  <c r="M206" i="11"/>
  <c r="M270" i="11"/>
  <c r="M161" i="11"/>
  <c r="M225" i="11"/>
  <c r="M289" i="11"/>
  <c r="M143" i="11"/>
  <c r="M88" i="11"/>
  <c r="M197" i="11"/>
  <c r="M78" i="11"/>
  <c r="M287" i="11"/>
  <c r="M4" i="11"/>
  <c r="M69" i="11"/>
  <c r="M22" i="11"/>
  <c r="M295" i="11"/>
  <c r="M115" i="11"/>
  <c r="M55" i="11"/>
  <c r="M125" i="11"/>
  <c r="M307" i="11"/>
  <c r="M219" i="11"/>
  <c r="M133" i="11"/>
  <c r="M148" i="11"/>
  <c r="M89" i="11"/>
  <c r="M298" i="11"/>
  <c r="M82" i="11"/>
  <c r="M156" i="11"/>
  <c r="M110" i="11"/>
  <c r="M91" i="11"/>
  <c r="M211" i="11"/>
  <c r="M32" i="11"/>
  <c r="M56" i="11"/>
  <c r="M189" i="11"/>
  <c r="M253" i="11"/>
  <c r="M214" i="11"/>
  <c r="M278" i="11"/>
  <c r="M169" i="11"/>
  <c r="M233" i="11"/>
  <c r="M297" i="11"/>
  <c r="M9" i="11"/>
  <c r="M132" i="11"/>
  <c r="M98" i="11"/>
  <c r="M250" i="11"/>
  <c r="M140" i="11"/>
  <c r="M101" i="11"/>
  <c r="M74" i="11"/>
  <c r="M158" i="11"/>
  <c r="M218" i="11"/>
  <c r="M130" i="11"/>
  <c r="M122" i="11"/>
  <c r="M282" i="11"/>
  <c r="M58" i="11"/>
  <c r="M20" i="11"/>
  <c r="M28" i="11"/>
  <c r="M8" i="11"/>
  <c r="M62" i="11"/>
  <c r="M50" i="11"/>
  <c r="M92" i="11"/>
  <c r="M154" i="11"/>
  <c r="M114" i="11"/>
  <c r="M100" i="11"/>
  <c r="M138" i="11"/>
  <c r="M83" i="11"/>
  <c r="M34" i="11"/>
  <c r="M30" i="11"/>
  <c r="M118" i="11"/>
  <c r="M150" i="11"/>
  <c r="M84" i="11"/>
  <c r="M42" i="11"/>
  <c r="M68" i="11"/>
  <c r="M12" i="11"/>
  <c r="M106" i="11"/>
  <c r="M24" i="11"/>
  <c r="M146" i="11"/>
  <c r="P277" i="12" l="1"/>
  <c r="P121" i="12"/>
  <c r="P281" i="12"/>
  <c r="P98" i="12"/>
  <c r="P232" i="12"/>
  <c r="P317" i="12"/>
  <c r="P119" i="12"/>
  <c r="P319" i="12"/>
  <c r="P65" i="12"/>
  <c r="P19" i="12"/>
  <c r="P291" i="12"/>
  <c r="P36" i="12"/>
  <c r="P16" i="12"/>
  <c r="P141" i="12"/>
  <c r="P300" i="12"/>
  <c r="P322" i="12"/>
  <c r="P315" i="12"/>
  <c r="P267" i="12"/>
  <c r="P101" i="12"/>
  <c r="P164" i="12"/>
  <c r="P316" i="12"/>
  <c r="P321" i="12"/>
  <c r="P295" i="12"/>
  <c r="P290" i="12"/>
  <c r="P113" i="12"/>
  <c r="P97" i="12"/>
  <c r="P320" i="12"/>
  <c r="P219" i="12"/>
  <c r="P32" i="12"/>
  <c r="P56" i="12"/>
  <c r="P318" i="12"/>
  <c r="P314" i="12"/>
  <c r="P47" i="12"/>
  <c r="P31" i="12"/>
  <c r="P71" i="12"/>
  <c r="P74" i="12"/>
  <c r="P72" i="12"/>
  <c r="P68" i="12"/>
  <c r="P8" i="12"/>
  <c r="P104" i="12"/>
  <c r="P196" i="12"/>
  <c r="P272" i="12"/>
  <c r="P175" i="12"/>
  <c r="P137" i="12"/>
  <c r="P136" i="12"/>
  <c r="P207" i="12"/>
  <c r="P209" i="12"/>
  <c r="P304" i="12"/>
  <c r="P127" i="12"/>
  <c r="P10" i="12"/>
  <c r="P222" i="12"/>
  <c r="P265" i="12"/>
  <c r="P59" i="12"/>
  <c r="P216" i="12"/>
  <c r="P5" i="12"/>
  <c r="P172" i="12"/>
  <c r="P298" i="12"/>
  <c r="P107" i="12"/>
  <c r="P262" i="12"/>
  <c r="P258" i="12"/>
  <c r="P309" i="12"/>
  <c r="P54" i="12"/>
  <c r="P242" i="12"/>
  <c r="P154" i="12"/>
  <c r="P149" i="12"/>
  <c r="P57" i="12"/>
  <c r="P313" i="12"/>
  <c r="P179" i="12"/>
  <c r="P46" i="12"/>
  <c r="P297" i="12"/>
  <c r="P310" i="12"/>
  <c r="O2" i="13"/>
  <c r="P77" i="13" s="1"/>
  <c r="P155" i="12"/>
  <c r="P253" i="12"/>
  <c r="P75" i="12"/>
  <c r="P168" i="12"/>
  <c r="P299" i="12"/>
  <c r="P18" i="12"/>
  <c r="P233" i="12"/>
  <c r="P204" i="12"/>
  <c r="P126" i="12"/>
  <c r="P263" i="12"/>
  <c r="P266" i="12"/>
  <c r="P211" i="12"/>
  <c r="P50" i="12"/>
  <c r="P152" i="12"/>
  <c r="P33" i="12"/>
  <c r="P235" i="12"/>
  <c r="P55" i="12"/>
  <c r="P289" i="12"/>
  <c r="P247" i="12"/>
  <c r="P285" i="12"/>
  <c r="P63" i="12"/>
  <c r="P34" i="12"/>
  <c r="P44" i="12"/>
  <c r="P249" i="12"/>
  <c r="P145" i="12"/>
  <c r="P158" i="12"/>
  <c r="P227" i="12"/>
  <c r="P230" i="12"/>
  <c r="P181" i="12"/>
  <c r="P86" i="12"/>
  <c r="P93" i="12"/>
  <c r="P153" i="12"/>
  <c r="P284" i="12"/>
  <c r="P106" i="12"/>
  <c r="P257" i="12"/>
  <c r="P241" i="12"/>
  <c r="P109" i="12"/>
  <c r="P58" i="12"/>
  <c r="P228" i="12"/>
  <c r="P239" i="12"/>
  <c r="P125" i="12"/>
  <c r="P100" i="12"/>
  <c r="P212" i="12"/>
  <c r="P256" i="12"/>
  <c r="P105" i="12"/>
  <c r="P117" i="12"/>
  <c r="P12" i="12"/>
  <c r="P40" i="12"/>
  <c r="P189" i="12"/>
  <c r="P296" i="12"/>
  <c r="P135" i="12"/>
  <c r="P88" i="12"/>
  <c r="P308" i="12"/>
  <c r="P49" i="12"/>
  <c r="P188" i="12"/>
  <c r="P218" i="12"/>
  <c r="P128" i="12"/>
  <c r="P70" i="12"/>
  <c r="P273" i="12"/>
  <c r="P240" i="12"/>
  <c r="P184" i="12"/>
  <c r="P260" i="12"/>
  <c r="P224" i="12"/>
  <c r="P220" i="12"/>
  <c r="P170" i="12"/>
  <c r="P85" i="12"/>
  <c r="P248" i="12"/>
  <c r="P231" i="12"/>
  <c r="P87" i="12"/>
  <c r="P151" i="12"/>
  <c r="P14" i="12"/>
  <c r="P156" i="12"/>
  <c r="P73" i="12"/>
  <c r="P78" i="12"/>
  <c r="P194" i="12"/>
  <c r="P161" i="12"/>
  <c r="P80" i="12"/>
  <c r="P274" i="12"/>
  <c r="P124" i="12"/>
  <c r="P51" i="12"/>
  <c r="P15" i="12"/>
  <c r="P25" i="12"/>
  <c r="P213" i="12"/>
  <c r="P283" i="12"/>
  <c r="P120" i="12"/>
  <c r="P246" i="12"/>
  <c r="P77" i="12"/>
  <c r="P225" i="12"/>
  <c r="P9" i="12"/>
  <c r="P79" i="12"/>
  <c r="P245" i="12"/>
  <c r="P35" i="12"/>
  <c r="P171" i="12"/>
  <c r="P52" i="12"/>
  <c r="P306" i="12"/>
  <c r="P185" i="12"/>
  <c r="P226" i="12"/>
  <c r="P42" i="12"/>
  <c r="P237" i="12"/>
  <c r="P118" i="12"/>
  <c r="P288" i="12"/>
  <c r="P254" i="12"/>
  <c r="P95" i="12"/>
  <c r="P115" i="12"/>
  <c r="P271" i="12"/>
  <c r="P23" i="12"/>
  <c r="P146" i="12"/>
  <c r="P163" i="12"/>
  <c r="P234" i="12"/>
  <c r="P81" i="12"/>
  <c r="P292" i="12"/>
  <c r="P82" i="12"/>
  <c r="P276" i="12"/>
  <c r="P99" i="12"/>
  <c r="P169" i="12"/>
  <c r="P2" i="12"/>
  <c r="P264" i="12"/>
  <c r="P102" i="12"/>
  <c r="P270" i="12"/>
  <c r="P129" i="12"/>
  <c r="P122" i="12"/>
  <c r="P29" i="12"/>
  <c r="P190" i="12"/>
  <c r="P103" i="12"/>
  <c r="P195" i="12"/>
  <c r="P177" i="12"/>
  <c r="P200" i="12"/>
  <c r="P20" i="12"/>
  <c r="P305" i="12"/>
  <c r="P167" i="12"/>
  <c r="P278" i="12"/>
  <c r="P193" i="12"/>
  <c r="P150" i="12"/>
  <c r="P210" i="12"/>
  <c r="P148" i="12"/>
  <c r="P198" i="12"/>
  <c r="P197" i="12"/>
  <c r="P111" i="12"/>
  <c r="P243" i="12"/>
  <c r="P131" i="12"/>
  <c r="P261" i="12"/>
  <c r="P112" i="12"/>
  <c r="P202" i="12"/>
  <c r="P139" i="12"/>
  <c r="P286" i="12"/>
  <c r="P279" i="12"/>
  <c r="P17" i="12"/>
  <c r="P191" i="12"/>
  <c r="P96" i="12"/>
  <c r="P26" i="12"/>
  <c r="P229" i="12"/>
  <c r="P147" i="12"/>
  <c r="P282" i="12"/>
  <c r="P178" i="12"/>
  <c r="P11" i="12"/>
  <c r="P174" i="12"/>
  <c r="P307" i="12"/>
  <c r="P114" i="12"/>
  <c r="P215" i="12"/>
  <c r="P7" i="12"/>
  <c r="P84" i="12"/>
  <c r="P76" i="12"/>
  <c r="P303" i="12"/>
  <c r="P269" i="12"/>
  <c r="P238" i="12"/>
  <c r="P92" i="12"/>
  <c r="P214" i="12"/>
  <c r="P180" i="12"/>
  <c r="P132" i="12"/>
  <c r="P43" i="12"/>
  <c r="P182" i="12"/>
  <c r="P62" i="12"/>
  <c r="P301" i="12"/>
  <c r="P206" i="12"/>
  <c r="P116" i="12"/>
  <c r="P27" i="12"/>
  <c r="P165" i="12"/>
  <c r="P13" i="12"/>
  <c r="P48" i="12"/>
  <c r="P142" i="12"/>
  <c r="P162" i="12"/>
  <c r="P67" i="12"/>
  <c r="P91" i="12"/>
  <c r="P252" i="12"/>
  <c r="P37" i="12"/>
  <c r="P22" i="12"/>
  <c r="P205" i="12"/>
  <c r="P64" i="12"/>
  <c r="P30" i="12"/>
  <c r="P157" i="12"/>
  <c r="P159" i="12"/>
  <c r="P311" i="12"/>
  <c r="P61" i="12"/>
  <c r="P41" i="12"/>
  <c r="P144" i="12"/>
  <c r="P259" i="12"/>
  <c r="P166" i="12"/>
  <c r="P21" i="12"/>
  <c r="P89" i="12"/>
  <c r="P192" i="12"/>
  <c r="P28" i="12"/>
  <c r="P90" i="12"/>
  <c r="P183" i="12"/>
  <c r="P251" i="12"/>
  <c r="P217" i="12"/>
  <c r="P176" i="12"/>
  <c r="P302" i="12"/>
  <c r="P275" i="12"/>
  <c r="P294" i="12"/>
  <c r="P268" i="12"/>
  <c r="P173" i="12"/>
  <c r="P39" i="12"/>
  <c r="P236" i="12"/>
  <c r="P223" i="12"/>
  <c r="P24" i="12"/>
  <c r="P187" i="12"/>
  <c r="P293" i="12"/>
  <c r="P4" i="12"/>
  <c r="P244" i="12"/>
  <c r="P250" i="12"/>
  <c r="P69" i="12"/>
  <c r="P221" i="12"/>
  <c r="P110" i="12"/>
  <c r="P6" i="12"/>
  <c r="P186" i="12"/>
  <c r="P130" i="12"/>
  <c r="P255" i="12"/>
  <c r="P201" i="12"/>
  <c r="P60" i="12"/>
  <c r="P134" i="12"/>
  <c r="P199" i="12"/>
  <c r="P133" i="12"/>
  <c r="P203" i="12"/>
  <c r="P3" i="12"/>
  <c r="P45" i="12"/>
  <c r="P108" i="12"/>
  <c r="P94" i="12"/>
  <c r="P312" i="12"/>
  <c r="P53" i="12"/>
  <c r="P160" i="12"/>
  <c r="P287" i="12"/>
  <c r="P143" i="12"/>
  <c r="P123" i="12"/>
  <c r="P280" i="12"/>
  <c r="P38" i="12"/>
  <c r="P83" i="12"/>
  <c r="P138" i="12"/>
  <c r="P208" i="12"/>
  <c r="O2" i="11"/>
  <c r="P118" i="11" s="1"/>
  <c r="P307" i="13" l="1"/>
  <c r="P275" i="13"/>
  <c r="P198" i="13"/>
  <c r="P267" i="13"/>
  <c r="P165" i="13"/>
  <c r="P305" i="13"/>
  <c r="P239" i="13"/>
  <c r="P91" i="13"/>
  <c r="P21" i="13"/>
  <c r="P246" i="13"/>
  <c r="P30" i="13"/>
  <c r="P277" i="13"/>
  <c r="P214" i="13"/>
  <c r="P82" i="13"/>
  <c r="P102" i="13"/>
  <c r="P185" i="13"/>
  <c r="P59" i="13"/>
  <c r="P210" i="13"/>
  <c r="P311" i="13"/>
  <c r="P172" i="13"/>
  <c r="P243" i="13"/>
  <c r="P176" i="13"/>
  <c r="P226" i="13"/>
  <c r="P284" i="13"/>
  <c r="P121" i="13"/>
  <c r="P282" i="13"/>
  <c r="P41" i="13"/>
  <c r="P183" i="13"/>
  <c r="P278" i="13"/>
  <c r="P3" i="13"/>
  <c r="P125" i="13"/>
  <c r="P205" i="13"/>
  <c r="P236" i="13"/>
  <c r="P228" i="13"/>
  <c r="P180" i="13"/>
  <c r="P115" i="13"/>
  <c r="P32" i="13"/>
  <c r="P12" i="13"/>
  <c r="P186" i="13"/>
  <c r="P301" i="13"/>
  <c r="P317" i="13"/>
  <c r="P230" i="13"/>
  <c r="P196" i="13"/>
  <c r="P235" i="13"/>
  <c r="P208" i="13"/>
  <c r="P22" i="11"/>
  <c r="P131" i="13"/>
  <c r="P124" i="13"/>
  <c r="P302" i="13"/>
  <c r="P67" i="13"/>
  <c r="P177" i="13"/>
  <c r="P266" i="13"/>
  <c r="P96" i="13"/>
  <c r="P169" i="13"/>
  <c r="P308" i="13"/>
  <c r="P254" i="13"/>
  <c r="P92" i="13"/>
  <c r="P313" i="13"/>
  <c r="P223" i="13"/>
  <c r="P167" i="13"/>
  <c r="P191" i="13"/>
  <c r="P240" i="13"/>
  <c r="P189" i="13"/>
  <c r="P174" i="13"/>
  <c r="P260" i="13"/>
  <c r="P56" i="13"/>
  <c r="P225" i="13"/>
  <c r="P114" i="13"/>
  <c r="P279" i="13"/>
  <c r="P94" i="13"/>
  <c r="P288" i="13"/>
  <c r="P85" i="13"/>
  <c r="P320" i="11"/>
  <c r="P316" i="11"/>
  <c r="P321" i="11"/>
  <c r="P319" i="11"/>
  <c r="P318" i="11"/>
  <c r="P279" i="11"/>
  <c r="P317" i="11"/>
  <c r="P131" i="11"/>
  <c r="P302" i="11"/>
  <c r="P195" i="11"/>
  <c r="P191" i="11"/>
  <c r="P69" i="11"/>
  <c r="P75" i="11"/>
  <c r="P140" i="11"/>
  <c r="P120" i="11"/>
  <c r="P244" i="11"/>
  <c r="P58" i="11"/>
  <c r="P246" i="11"/>
  <c r="P277" i="11"/>
  <c r="P222" i="11"/>
  <c r="P257" i="11"/>
  <c r="P315" i="11"/>
  <c r="P289" i="11"/>
  <c r="P85" i="11"/>
  <c r="P119" i="11"/>
  <c r="P124" i="11"/>
  <c r="P253" i="11"/>
  <c r="P122" i="13"/>
  <c r="P101" i="13"/>
  <c r="P209" i="13"/>
  <c r="P274" i="13"/>
  <c r="P259" i="13"/>
  <c r="P93" i="13"/>
  <c r="P4" i="13"/>
  <c r="P262" i="13"/>
  <c r="P141" i="13"/>
  <c r="P212" i="13"/>
  <c r="P72" i="13"/>
  <c r="P245" i="13"/>
  <c r="P136" i="13"/>
  <c r="P48" i="13"/>
  <c r="P26" i="13"/>
  <c r="P281" i="13"/>
  <c r="P298" i="13"/>
  <c r="P195" i="13"/>
  <c r="P15" i="13"/>
  <c r="P280" i="13"/>
  <c r="P173" i="13"/>
  <c r="P64" i="13"/>
  <c r="P312" i="13"/>
  <c r="P147" i="13"/>
  <c r="P73" i="13"/>
  <c r="P201" i="13"/>
  <c r="P25" i="13"/>
  <c r="P148" i="13"/>
  <c r="P161" i="13"/>
  <c r="P58" i="13"/>
  <c r="P304" i="13"/>
  <c r="P129" i="13"/>
  <c r="P109" i="13"/>
  <c r="P159" i="13"/>
  <c r="P107" i="13"/>
  <c r="P211" i="13"/>
  <c r="P100" i="13"/>
  <c r="P80" i="13"/>
  <c r="P134" i="13"/>
  <c r="P233" i="13"/>
  <c r="P204" i="13"/>
  <c r="P216" i="13"/>
  <c r="P49" i="13"/>
  <c r="P116" i="13"/>
  <c r="P286" i="13"/>
  <c r="P60" i="13"/>
  <c r="P27" i="13"/>
  <c r="P315" i="13"/>
  <c r="P119" i="13"/>
  <c r="P200" i="13"/>
  <c r="P24" i="13"/>
  <c r="P7" i="13"/>
  <c r="P95" i="13"/>
  <c r="P150" i="13"/>
  <c r="P272" i="13"/>
  <c r="P202" i="13"/>
  <c r="P55" i="13"/>
  <c r="P264" i="13"/>
  <c r="P164" i="13"/>
  <c r="P146" i="13"/>
  <c r="P227" i="13"/>
  <c r="P9" i="13"/>
  <c r="P126" i="13"/>
  <c r="P19" i="13"/>
  <c r="P291" i="13"/>
  <c r="P110" i="13"/>
  <c r="P310" i="13"/>
  <c r="P257" i="13"/>
  <c r="P255" i="13"/>
  <c r="P188" i="13"/>
  <c r="P103" i="13"/>
  <c r="P43" i="13"/>
  <c r="P268" i="13"/>
  <c r="P104" i="13"/>
  <c r="P52" i="13"/>
  <c r="P190" i="13"/>
  <c r="P47" i="13"/>
  <c r="P70" i="13"/>
  <c r="P187" i="13"/>
  <c r="P224" i="13"/>
  <c r="P145" i="13"/>
  <c r="P219" i="13"/>
  <c r="P166" i="13"/>
  <c r="P69" i="13"/>
  <c r="P290" i="13"/>
  <c r="P252" i="13"/>
  <c r="P16" i="13"/>
  <c r="P142" i="13"/>
  <c r="P170" i="13"/>
  <c r="P97" i="13"/>
  <c r="P322" i="13"/>
  <c r="P39" i="13"/>
  <c r="P13" i="13"/>
  <c r="P154" i="13"/>
  <c r="P140" i="13"/>
  <c r="P135" i="13"/>
  <c r="P57" i="13"/>
  <c r="P113" i="13"/>
  <c r="P10" i="13"/>
  <c r="P256" i="13"/>
  <c r="P182" i="13"/>
  <c r="P250" i="13"/>
  <c r="P309" i="13"/>
  <c r="P66" i="13"/>
  <c r="P156" i="13"/>
  <c r="P88" i="13"/>
  <c r="P75" i="13"/>
  <c r="P283" i="13"/>
  <c r="P89" i="13"/>
  <c r="P193" i="13"/>
  <c r="P276" i="13"/>
  <c r="P270" i="13"/>
  <c r="P87" i="13"/>
  <c r="P258" i="13"/>
  <c r="P207" i="13"/>
  <c r="P123" i="13"/>
  <c r="P112" i="13"/>
  <c r="P232" i="13"/>
  <c r="P65" i="13"/>
  <c r="P192" i="13"/>
  <c r="P120" i="13"/>
  <c r="P79" i="13"/>
  <c r="P318" i="13"/>
  <c r="P78" i="13"/>
  <c r="P237" i="13"/>
  <c r="P238" i="13"/>
  <c r="P321" i="13"/>
  <c r="P137" i="13"/>
  <c r="P35" i="13"/>
  <c r="P287" i="13"/>
  <c r="P316" i="13"/>
  <c r="P299" i="13"/>
  <c r="P68" i="13"/>
  <c r="P84" i="13"/>
  <c r="P139" i="13"/>
  <c r="P130" i="13"/>
  <c r="P53" i="13"/>
  <c r="P31" i="13"/>
  <c r="P29" i="13"/>
  <c r="P28" i="13"/>
  <c r="P151" i="13"/>
  <c r="P271" i="13"/>
  <c r="P118" i="13"/>
  <c r="P38" i="13"/>
  <c r="P62" i="13"/>
  <c r="P242" i="13"/>
  <c r="P37" i="13"/>
  <c r="P83" i="13"/>
  <c r="P50" i="13"/>
  <c r="P111" i="13"/>
  <c r="P175" i="13"/>
  <c r="P152" i="13"/>
  <c r="P6" i="13"/>
  <c r="P293" i="13"/>
  <c r="P106" i="13"/>
  <c r="P320" i="13"/>
  <c r="P46" i="13"/>
  <c r="P269" i="13"/>
  <c r="P289" i="13"/>
  <c r="P221" i="13"/>
  <c r="P295" i="13"/>
  <c r="P220" i="13"/>
  <c r="P138" i="13"/>
  <c r="P265" i="13"/>
  <c r="P99" i="13"/>
  <c r="P215" i="13"/>
  <c r="P74" i="13"/>
  <c r="P231" i="13"/>
  <c r="P171" i="13"/>
  <c r="P206" i="13"/>
  <c r="P144" i="13"/>
  <c r="P300" i="13"/>
  <c r="P128" i="13"/>
  <c r="P90" i="13"/>
  <c r="P81" i="13"/>
  <c r="P108" i="13"/>
  <c r="P63" i="13"/>
  <c r="P44" i="13"/>
  <c r="P247" i="13"/>
  <c r="P248" i="13"/>
  <c r="P17" i="13"/>
  <c r="P179" i="13"/>
  <c r="P160" i="13"/>
  <c r="P54" i="13"/>
  <c r="P117" i="13"/>
  <c r="P229" i="13"/>
  <c r="P244" i="13"/>
  <c r="P157" i="13"/>
  <c r="P178" i="13"/>
  <c r="P18" i="13"/>
  <c r="P253" i="13"/>
  <c r="P194" i="13"/>
  <c r="P234" i="13"/>
  <c r="P296" i="13"/>
  <c r="P162" i="13"/>
  <c r="P263" i="13"/>
  <c r="P127" i="13"/>
  <c r="P5" i="13"/>
  <c r="P149" i="13"/>
  <c r="P181" i="13"/>
  <c r="P86" i="13"/>
  <c r="P303" i="13"/>
  <c r="P218" i="13"/>
  <c r="P8" i="13"/>
  <c r="P34" i="13"/>
  <c r="P40" i="13"/>
  <c r="P11" i="13"/>
  <c r="P51" i="13"/>
  <c r="P197" i="13"/>
  <c r="P158" i="13"/>
  <c r="P61" i="13"/>
  <c r="P153" i="13"/>
  <c r="P261" i="13"/>
  <c r="P319" i="13"/>
  <c r="P241" i="13"/>
  <c r="P297" i="13"/>
  <c r="P163" i="13"/>
  <c r="P133" i="13"/>
  <c r="P273" i="13"/>
  <c r="P222" i="13"/>
  <c r="P203" i="13"/>
  <c r="P71" i="13"/>
  <c r="P285" i="13"/>
  <c r="P36" i="13"/>
  <c r="P33" i="13"/>
  <c r="P155" i="13"/>
  <c r="P292" i="13"/>
  <c r="P314" i="13"/>
  <c r="P184" i="13"/>
  <c r="P14" i="13"/>
  <c r="P213" i="13"/>
  <c r="P20" i="13"/>
  <c r="P143" i="13"/>
  <c r="P294" i="13"/>
  <c r="P105" i="13"/>
  <c r="P217" i="13"/>
  <c r="P98" i="13"/>
  <c r="P2" i="13"/>
  <c r="P306" i="13"/>
  <c r="P251" i="13"/>
  <c r="P45" i="13"/>
  <c r="P22" i="13"/>
  <c r="P76" i="13"/>
  <c r="P249" i="13"/>
  <c r="P42" i="13"/>
  <c r="P199" i="13"/>
  <c r="P23" i="13"/>
  <c r="P168" i="13"/>
  <c r="P132" i="13"/>
  <c r="P66" i="11"/>
  <c r="P216" i="11"/>
  <c r="P148" i="11"/>
  <c r="P44" i="11"/>
  <c r="P298" i="11"/>
  <c r="P9" i="11"/>
  <c r="P291" i="11"/>
  <c r="P260" i="11"/>
  <c r="P86" i="11"/>
  <c r="P76" i="11"/>
  <c r="P220" i="11"/>
  <c r="P175" i="11"/>
  <c r="P236" i="11"/>
  <c r="P164" i="11"/>
  <c r="P57" i="11"/>
  <c r="P117" i="11"/>
  <c r="P168" i="11"/>
  <c r="P108" i="11"/>
  <c r="P209" i="11"/>
  <c r="P41" i="11"/>
  <c r="P178" i="11"/>
  <c r="P264" i="11"/>
  <c r="P14" i="11"/>
  <c r="P215" i="11"/>
  <c r="P37" i="11"/>
  <c r="P172" i="11"/>
  <c r="P305" i="11"/>
  <c r="P31" i="11"/>
  <c r="P285" i="11"/>
  <c r="P274" i="11"/>
  <c r="P200" i="11"/>
  <c r="P226" i="11"/>
  <c r="P190" i="11"/>
  <c r="P95" i="11"/>
  <c r="P91" i="11"/>
  <c r="P177" i="11"/>
  <c r="P311" i="11"/>
  <c r="P84" i="11"/>
  <c r="P105" i="11"/>
  <c r="P233" i="11"/>
  <c r="P92" i="11"/>
  <c r="P303" i="11"/>
  <c r="P295" i="11"/>
  <c r="P252" i="11"/>
  <c r="P126" i="11"/>
  <c r="P173" i="11"/>
  <c r="P128" i="11"/>
  <c r="P53" i="11"/>
  <c r="P61" i="11"/>
  <c r="P219" i="11"/>
  <c r="P114" i="11"/>
  <c r="P159" i="11"/>
  <c r="P6" i="11"/>
  <c r="P149" i="11"/>
  <c r="P278" i="11"/>
  <c r="P180" i="11"/>
  <c r="P147" i="11"/>
  <c r="P65" i="11"/>
  <c r="P176" i="11"/>
  <c r="P313" i="11"/>
  <c r="P46" i="11"/>
  <c r="P42" i="11"/>
  <c r="P204" i="11"/>
  <c r="P48" i="11"/>
  <c r="P28" i="11"/>
  <c r="P269" i="11"/>
  <c r="P97" i="11"/>
  <c r="P276" i="11"/>
  <c r="P293" i="11"/>
  <c r="P21" i="11"/>
  <c r="P206" i="11"/>
  <c r="P54" i="11"/>
  <c r="P250" i="11"/>
  <c r="P87" i="11"/>
  <c r="P259" i="11"/>
  <c r="P49" i="11"/>
  <c r="P35" i="11"/>
  <c r="P198" i="11"/>
  <c r="P143" i="11"/>
  <c r="P5" i="11"/>
  <c r="P165" i="11"/>
  <c r="P138" i="11"/>
  <c r="P72" i="11"/>
  <c r="P167" i="11"/>
  <c r="P3" i="11"/>
  <c r="P281" i="11"/>
  <c r="P231" i="11"/>
  <c r="P50" i="11"/>
  <c r="P17" i="11"/>
  <c r="P214" i="11"/>
  <c r="P174" i="11"/>
  <c r="P45" i="11"/>
  <c r="P194" i="11"/>
  <c r="P63" i="11"/>
  <c r="P32" i="11"/>
  <c r="P98" i="11"/>
  <c r="P25" i="11"/>
  <c r="P181" i="11"/>
  <c r="P188" i="11"/>
  <c r="P79" i="11"/>
  <c r="P294" i="11"/>
  <c r="P241" i="11"/>
  <c r="P185" i="11"/>
  <c r="P116" i="11"/>
  <c r="P288" i="11"/>
  <c r="P199" i="11"/>
  <c r="P40" i="11"/>
  <c r="P122" i="11"/>
  <c r="P232" i="11"/>
  <c r="P235" i="11"/>
  <c r="P237" i="11"/>
  <c r="P282" i="11"/>
  <c r="P239" i="11"/>
  <c r="P290" i="11"/>
  <c r="P225" i="11"/>
  <c r="P280" i="11"/>
  <c r="P10" i="11"/>
  <c r="P142" i="11"/>
  <c r="P308" i="11"/>
  <c r="P183" i="11"/>
  <c r="P29" i="11"/>
  <c r="P68" i="11"/>
  <c r="P123" i="11"/>
  <c r="P115" i="11"/>
  <c r="P19" i="11"/>
  <c r="P223" i="11"/>
  <c r="P283" i="11"/>
  <c r="P30" i="11"/>
  <c r="P59" i="11"/>
  <c r="P217" i="11"/>
  <c r="P189" i="11"/>
  <c r="P73" i="11"/>
  <c r="P292" i="11"/>
  <c r="P112" i="11"/>
  <c r="P299" i="11"/>
  <c r="P90" i="11"/>
  <c r="P218" i="11"/>
  <c r="P287" i="11"/>
  <c r="P263" i="11"/>
  <c r="P16" i="11"/>
  <c r="P151" i="11"/>
  <c r="P78" i="11"/>
  <c r="P24" i="11"/>
  <c r="P248" i="11"/>
  <c r="P230" i="11"/>
  <c r="P243" i="11"/>
  <c r="P113" i="11"/>
  <c r="P125" i="11"/>
  <c r="P51" i="11"/>
  <c r="P213" i="11"/>
  <c r="P205" i="11"/>
  <c r="P266" i="11"/>
  <c r="P89" i="11"/>
  <c r="P271" i="11"/>
  <c r="P103" i="11"/>
  <c r="P306" i="11"/>
  <c r="P129" i="11"/>
  <c r="P153" i="11"/>
  <c r="P158" i="11"/>
  <c r="P307" i="11"/>
  <c r="P33" i="11"/>
  <c r="P47" i="11"/>
  <c r="P251" i="11"/>
  <c r="P62" i="11"/>
  <c r="P184" i="11"/>
  <c r="P261" i="11"/>
  <c r="P201" i="11"/>
  <c r="P144" i="11"/>
  <c r="P156" i="11"/>
  <c r="P70" i="11"/>
  <c r="P15" i="11"/>
  <c r="P52" i="11"/>
  <c r="P163" i="11"/>
  <c r="P154" i="11"/>
  <c r="P224" i="11"/>
  <c r="P249" i="11"/>
  <c r="P221" i="11"/>
  <c r="P267" i="11"/>
  <c r="P133" i="11"/>
  <c r="P104" i="11"/>
  <c r="P268" i="11"/>
  <c r="P210" i="11"/>
  <c r="P64" i="11"/>
  <c r="P26" i="11"/>
  <c r="P101" i="11"/>
  <c r="P43" i="11"/>
  <c r="P208" i="11"/>
  <c r="P207" i="11"/>
  <c r="P182" i="11"/>
  <c r="P157" i="11"/>
  <c r="P56" i="11"/>
  <c r="P265" i="11"/>
  <c r="P111" i="11"/>
  <c r="P193" i="11"/>
  <c r="P229" i="11"/>
  <c r="P203" i="11"/>
  <c r="P8" i="11"/>
  <c r="P146" i="11"/>
  <c r="P202" i="11"/>
  <c r="P121" i="11"/>
  <c r="P39" i="11"/>
  <c r="P197" i="11"/>
  <c r="P34" i="11"/>
  <c r="P212" i="11"/>
  <c r="P7" i="11"/>
  <c r="P135" i="11"/>
  <c r="P13" i="11"/>
  <c r="P11" i="11"/>
  <c r="P161" i="11"/>
  <c r="P211" i="11"/>
  <c r="P137" i="11"/>
  <c r="P20" i="11"/>
  <c r="P60" i="11"/>
  <c r="P196" i="11"/>
  <c r="P27" i="11"/>
  <c r="P107" i="11"/>
  <c r="P262" i="11"/>
  <c r="P297" i="11"/>
  <c r="P136" i="11"/>
  <c r="P227" i="11"/>
  <c r="P171" i="11"/>
  <c r="P245" i="11"/>
  <c r="P83" i="11"/>
  <c r="P256" i="11"/>
  <c r="P166" i="11"/>
  <c r="P134" i="11"/>
  <c r="P55" i="11"/>
  <c r="P106" i="11"/>
  <c r="P300" i="11"/>
  <c r="P304" i="11"/>
  <c r="P93" i="11"/>
  <c r="P102" i="11"/>
  <c r="P132" i="11"/>
  <c r="P270" i="11"/>
  <c r="P170" i="11"/>
  <c r="P23" i="11"/>
  <c r="P272" i="11"/>
  <c r="P81" i="11"/>
  <c r="P309" i="11"/>
  <c r="P179" i="11"/>
  <c r="P139" i="11"/>
  <c r="P127" i="11"/>
  <c r="P150" i="11"/>
  <c r="P160" i="11"/>
  <c r="P2" i="11"/>
  <c r="P99" i="11"/>
  <c r="P301" i="11"/>
  <c r="P36" i="11"/>
  <c r="P71" i="11"/>
  <c r="P238" i="11"/>
  <c r="P141" i="11"/>
  <c r="P94" i="11"/>
  <c r="P296" i="11"/>
  <c r="P275" i="11"/>
  <c r="P109" i="11"/>
  <c r="P18" i="11"/>
  <c r="P4" i="11"/>
  <c r="P240" i="11"/>
  <c r="P284" i="11"/>
  <c r="P314" i="11"/>
  <c r="P247" i="11"/>
  <c r="P162" i="11"/>
  <c r="P169" i="11"/>
  <c r="P258" i="11"/>
  <c r="P255" i="11"/>
  <c r="P77" i="11"/>
  <c r="P273" i="11"/>
  <c r="P187" i="11"/>
  <c r="P100" i="11"/>
  <c r="P254" i="11"/>
  <c r="P38" i="11"/>
  <c r="P234" i="11"/>
  <c r="P286" i="11"/>
  <c r="P74" i="11"/>
  <c r="P110" i="11"/>
  <c r="P96" i="11"/>
  <c r="P67" i="11"/>
  <c r="P155" i="11"/>
  <c r="P88" i="11"/>
  <c r="P12" i="11"/>
  <c r="P192" i="11"/>
  <c r="P242" i="11"/>
  <c r="P310" i="11"/>
  <c r="P80" i="11"/>
  <c r="P82" i="11"/>
  <c r="P145" i="11"/>
  <c r="P228" i="11"/>
  <c r="P312" i="11"/>
  <c r="P152" i="11"/>
  <c r="P186" i="11"/>
  <c r="P130" i="11"/>
  <c r="J321" i="9"/>
  <c r="I321" i="9"/>
  <c r="K321" i="9" s="1"/>
  <c r="J320" i="9"/>
  <c r="I320" i="9"/>
  <c r="K320" i="9" s="1"/>
  <c r="J319" i="9"/>
  <c r="I319" i="9"/>
  <c r="K319" i="9" s="1"/>
  <c r="L319" i="9" s="1"/>
  <c r="V101" i="9" s="1"/>
  <c r="J318" i="9"/>
  <c r="I318" i="9"/>
  <c r="K318" i="9" s="1"/>
  <c r="J317" i="9"/>
  <c r="I317" i="9"/>
  <c r="K317" i="9" s="1"/>
  <c r="J316" i="9"/>
  <c r="I316" i="9"/>
  <c r="K316" i="9" s="1"/>
  <c r="L316" i="9" s="1"/>
  <c r="V98" i="9" s="1"/>
  <c r="J315" i="9"/>
  <c r="I315" i="9"/>
  <c r="K315" i="9" s="1"/>
  <c r="L315" i="9" s="1"/>
  <c r="V97" i="9" s="1"/>
  <c r="J314" i="9"/>
  <c r="I314" i="9"/>
  <c r="K314" i="9" s="1"/>
  <c r="J313" i="9"/>
  <c r="I313" i="9"/>
  <c r="K313" i="9" s="1"/>
  <c r="J312" i="9"/>
  <c r="I312" i="9"/>
  <c r="K312" i="9" s="1"/>
  <c r="J311" i="9"/>
  <c r="I311" i="9"/>
  <c r="K311" i="9" s="1"/>
  <c r="J310" i="9"/>
  <c r="I310" i="9"/>
  <c r="K310" i="9" s="1"/>
  <c r="J309" i="9"/>
  <c r="I309" i="9"/>
  <c r="K309" i="9" s="1"/>
  <c r="J308" i="9"/>
  <c r="I308" i="9"/>
  <c r="K308" i="9" s="1"/>
  <c r="L308" i="9" s="1"/>
  <c r="J307" i="9"/>
  <c r="I307" i="9"/>
  <c r="K307" i="9" s="1"/>
  <c r="L307" i="9" s="1"/>
  <c r="V89" i="9" s="1"/>
  <c r="J306" i="9"/>
  <c r="I306" i="9"/>
  <c r="K306" i="9" s="1"/>
  <c r="J305" i="9"/>
  <c r="I305" i="9"/>
  <c r="K305" i="9" s="1"/>
  <c r="J304" i="9"/>
  <c r="I304" i="9"/>
  <c r="K304" i="9" s="1"/>
  <c r="L304" i="9" s="1"/>
  <c r="V86" i="9" s="1"/>
  <c r="J303" i="9"/>
  <c r="I303" i="9"/>
  <c r="K303" i="9" s="1"/>
  <c r="L303" i="9" s="1"/>
  <c r="V85" i="9" s="1"/>
  <c r="J302" i="9"/>
  <c r="I302" i="9"/>
  <c r="K302" i="9" s="1"/>
  <c r="L302" i="9" s="1"/>
  <c r="V84" i="9" s="1"/>
  <c r="J301" i="9"/>
  <c r="I301" i="9"/>
  <c r="K301" i="9" s="1"/>
  <c r="J300" i="9"/>
  <c r="I300" i="9"/>
  <c r="K300" i="9" s="1"/>
  <c r="J299" i="9"/>
  <c r="I299" i="9"/>
  <c r="K299" i="9" s="1"/>
  <c r="L299" i="9" s="1"/>
  <c r="J298" i="9"/>
  <c r="I298" i="9"/>
  <c r="K298" i="9" s="1"/>
  <c r="J297" i="9"/>
  <c r="I297" i="9"/>
  <c r="K297" i="9" s="1"/>
  <c r="J296" i="9"/>
  <c r="I296" i="9"/>
  <c r="K296" i="9" s="1"/>
  <c r="L296" i="9" s="1"/>
  <c r="J295" i="9"/>
  <c r="I295" i="9"/>
  <c r="K295" i="9" s="1"/>
  <c r="L295" i="9" s="1"/>
  <c r="J294" i="9"/>
  <c r="I294" i="9"/>
  <c r="K294" i="9" s="1"/>
  <c r="L294" i="9" s="1"/>
  <c r="J293" i="9"/>
  <c r="I293" i="9"/>
  <c r="K293" i="9" s="1"/>
  <c r="J292" i="9"/>
  <c r="I292" i="9"/>
  <c r="K292" i="9" s="1"/>
  <c r="L292" i="9" s="1"/>
  <c r="J291" i="9"/>
  <c r="I291" i="9"/>
  <c r="K291" i="9" s="1"/>
  <c r="L291" i="9" s="1"/>
  <c r="J290" i="9"/>
  <c r="I290" i="9"/>
  <c r="K290" i="9" s="1"/>
  <c r="L290" i="9" s="1"/>
  <c r="J289" i="9"/>
  <c r="I289" i="9"/>
  <c r="K289" i="9" s="1"/>
  <c r="J288" i="9"/>
  <c r="I288" i="9"/>
  <c r="K288" i="9" s="1"/>
  <c r="J287" i="9"/>
  <c r="I287" i="9"/>
  <c r="K287" i="9" s="1"/>
  <c r="L287" i="9" s="1"/>
  <c r="J286" i="9"/>
  <c r="I286" i="9"/>
  <c r="K286" i="9" s="1"/>
  <c r="J285" i="9"/>
  <c r="I285" i="9"/>
  <c r="K285" i="9" s="1"/>
  <c r="J284" i="9"/>
  <c r="I284" i="9"/>
  <c r="K284" i="9" s="1"/>
  <c r="L284" i="9" s="1"/>
  <c r="J283" i="9"/>
  <c r="I283" i="9"/>
  <c r="K283" i="9" s="1"/>
  <c r="L283" i="9" s="1"/>
  <c r="J282" i="9"/>
  <c r="I282" i="9"/>
  <c r="K282" i="9" s="1"/>
  <c r="L282" i="9" s="1"/>
  <c r="J281" i="9"/>
  <c r="I281" i="9"/>
  <c r="K281" i="9" s="1"/>
  <c r="J280" i="9"/>
  <c r="I280" i="9"/>
  <c r="K280" i="9" s="1"/>
  <c r="J279" i="9"/>
  <c r="I279" i="9"/>
  <c r="K279" i="9" s="1"/>
  <c r="J278" i="9"/>
  <c r="I278" i="9"/>
  <c r="K278" i="9" s="1"/>
  <c r="L278" i="9" s="1"/>
  <c r="J277" i="9"/>
  <c r="I277" i="9"/>
  <c r="K277" i="9" s="1"/>
  <c r="J276" i="9"/>
  <c r="I276" i="9"/>
  <c r="K276" i="9" s="1"/>
  <c r="J275" i="9"/>
  <c r="I275" i="9"/>
  <c r="K275" i="9" s="1"/>
  <c r="L275" i="9" s="1"/>
  <c r="J274" i="9"/>
  <c r="I274" i="9"/>
  <c r="K274" i="9" s="1"/>
  <c r="J273" i="9"/>
  <c r="I273" i="9"/>
  <c r="K273" i="9" s="1"/>
  <c r="J272" i="9"/>
  <c r="I272" i="9"/>
  <c r="K272" i="9" s="1"/>
  <c r="L272" i="9" s="1"/>
  <c r="J271" i="9"/>
  <c r="I271" i="9"/>
  <c r="K271" i="9" s="1"/>
  <c r="L271" i="9" s="1"/>
  <c r="J270" i="9"/>
  <c r="I270" i="9"/>
  <c r="K270" i="9" s="1"/>
  <c r="J269" i="9"/>
  <c r="I269" i="9"/>
  <c r="K269" i="9" s="1"/>
  <c r="J268" i="9"/>
  <c r="I268" i="9"/>
  <c r="K268" i="9" s="1"/>
  <c r="J267" i="9"/>
  <c r="I267" i="9"/>
  <c r="K267" i="9" s="1"/>
  <c r="L267" i="9" s="1"/>
  <c r="J266" i="9"/>
  <c r="I266" i="9"/>
  <c r="K266" i="9" s="1"/>
  <c r="J265" i="9"/>
  <c r="I265" i="9"/>
  <c r="K265" i="9" s="1"/>
  <c r="J264" i="9"/>
  <c r="I264" i="9"/>
  <c r="K264" i="9" s="1"/>
  <c r="L264" i="9" s="1"/>
  <c r="J263" i="9"/>
  <c r="I263" i="9"/>
  <c r="K263" i="9" s="1"/>
  <c r="L263" i="9" s="1"/>
  <c r="J262" i="9"/>
  <c r="I262" i="9"/>
  <c r="K262" i="9" s="1"/>
  <c r="J261" i="9"/>
  <c r="I261" i="9"/>
  <c r="K261" i="9" s="1"/>
  <c r="J260" i="9"/>
  <c r="I260" i="9"/>
  <c r="K260" i="9" s="1"/>
  <c r="L260" i="9" s="1"/>
  <c r="J259" i="9"/>
  <c r="I259" i="9"/>
  <c r="K259" i="9" s="1"/>
  <c r="L259" i="9" s="1"/>
  <c r="J258" i="9"/>
  <c r="I258" i="9"/>
  <c r="K258" i="9" s="1"/>
  <c r="J257" i="9"/>
  <c r="I257" i="9"/>
  <c r="K257" i="9" s="1"/>
  <c r="J256" i="9"/>
  <c r="I256" i="9"/>
  <c r="K256" i="9" s="1"/>
  <c r="L256" i="9" s="1"/>
  <c r="J255" i="9"/>
  <c r="I255" i="9"/>
  <c r="K255" i="9" s="1"/>
  <c r="L255" i="9" s="1"/>
  <c r="J254" i="9"/>
  <c r="I254" i="9"/>
  <c r="K254" i="9" s="1"/>
  <c r="J253" i="9"/>
  <c r="I253" i="9"/>
  <c r="K253" i="9" s="1"/>
  <c r="J252" i="9"/>
  <c r="I252" i="9"/>
  <c r="K252" i="9" s="1"/>
  <c r="L252" i="9" s="1"/>
  <c r="J251" i="9"/>
  <c r="I251" i="9"/>
  <c r="K251" i="9" s="1"/>
  <c r="L251" i="9" s="1"/>
  <c r="J250" i="9"/>
  <c r="I250" i="9"/>
  <c r="K250" i="9" s="1"/>
  <c r="J249" i="9"/>
  <c r="I249" i="9"/>
  <c r="K249" i="9" s="1"/>
  <c r="J248" i="9"/>
  <c r="I248" i="9"/>
  <c r="K248" i="9" s="1"/>
  <c r="J247" i="9"/>
  <c r="I247" i="9"/>
  <c r="K247" i="9" s="1"/>
  <c r="J246" i="9"/>
  <c r="I246" i="9"/>
  <c r="K246" i="9" s="1"/>
  <c r="J245" i="9"/>
  <c r="I245" i="9"/>
  <c r="K245" i="9" s="1"/>
  <c r="J244" i="9"/>
  <c r="I244" i="9"/>
  <c r="K244" i="9" s="1"/>
  <c r="J243" i="9"/>
  <c r="I243" i="9"/>
  <c r="K243" i="9" s="1"/>
  <c r="L243" i="9" s="1"/>
  <c r="J242" i="9"/>
  <c r="I242" i="9"/>
  <c r="K242" i="9" s="1"/>
  <c r="J241" i="9"/>
  <c r="I241" i="9"/>
  <c r="K241" i="9" s="1"/>
  <c r="J240" i="9"/>
  <c r="I240" i="9"/>
  <c r="K240" i="9" s="1"/>
  <c r="L240" i="9" s="1"/>
  <c r="J239" i="9"/>
  <c r="I239" i="9"/>
  <c r="K239" i="9" s="1"/>
  <c r="L239" i="9" s="1"/>
  <c r="J238" i="9"/>
  <c r="I238" i="9"/>
  <c r="K238" i="9" s="1"/>
  <c r="J237" i="9"/>
  <c r="I237" i="9"/>
  <c r="K237" i="9" s="1"/>
  <c r="J236" i="9"/>
  <c r="I236" i="9"/>
  <c r="K236" i="9" s="1"/>
  <c r="J235" i="9"/>
  <c r="I235" i="9"/>
  <c r="K235" i="9" s="1"/>
  <c r="L235" i="9" s="1"/>
  <c r="J234" i="9"/>
  <c r="I234" i="9"/>
  <c r="K234" i="9" s="1"/>
  <c r="J233" i="9"/>
  <c r="I233" i="9"/>
  <c r="K233" i="9" s="1"/>
  <c r="J232" i="9"/>
  <c r="I232" i="9"/>
  <c r="K232" i="9" s="1"/>
  <c r="L232" i="9" s="1"/>
  <c r="J231" i="9"/>
  <c r="I231" i="9"/>
  <c r="K231" i="9" s="1"/>
  <c r="L231" i="9" s="1"/>
  <c r="J230" i="9"/>
  <c r="I230" i="9"/>
  <c r="K230" i="9" s="1"/>
  <c r="J229" i="9"/>
  <c r="I229" i="9"/>
  <c r="K229" i="9" s="1"/>
  <c r="J228" i="9"/>
  <c r="I228" i="9"/>
  <c r="K228" i="9" s="1"/>
  <c r="J227" i="9"/>
  <c r="I227" i="9"/>
  <c r="K227" i="9" s="1"/>
  <c r="L227" i="9" s="1"/>
  <c r="J226" i="9"/>
  <c r="I226" i="9"/>
  <c r="K226" i="9" s="1"/>
  <c r="J225" i="9"/>
  <c r="I225" i="9"/>
  <c r="K225" i="9" s="1"/>
  <c r="J224" i="9"/>
  <c r="I224" i="9"/>
  <c r="K224" i="9" s="1"/>
  <c r="J223" i="9"/>
  <c r="I223" i="9"/>
  <c r="K223" i="9" s="1"/>
  <c r="L223" i="9" s="1"/>
  <c r="J222" i="9"/>
  <c r="I222" i="9"/>
  <c r="K222" i="9" s="1"/>
  <c r="J221" i="9"/>
  <c r="I221" i="9"/>
  <c r="K221" i="9" s="1"/>
  <c r="J220" i="9"/>
  <c r="I220" i="9"/>
  <c r="K220" i="9" s="1"/>
  <c r="L220" i="9" s="1"/>
  <c r="J219" i="9"/>
  <c r="I219" i="9"/>
  <c r="K219" i="9" s="1"/>
  <c r="L219" i="9" s="1"/>
  <c r="J218" i="9"/>
  <c r="I218" i="9"/>
  <c r="K218" i="9" s="1"/>
  <c r="J217" i="9"/>
  <c r="I217" i="9"/>
  <c r="K217" i="9" s="1"/>
  <c r="J216" i="9"/>
  <c r="I216" i="9"/>
  <c r="K216" i="9" s="1"/>
  <c r="J215" i="9"/>
  <c r="I215" i="9"/>
  <c r="K215" i="9" s="1"/>
  <c r="J214" i="9"/>
  <c r="I214" i="9"/>
  <c r="K214" i="9" s="1"/>
  <c r="J213" i="9"/>
  <c r="I213" i="9"/>
  <c r="K213" i="9" s="1"/>
  <c r="J212" i="9"/>
  <c r="I212" i="9"/>
  <c r="K212" i="9" s="1"/>
  <c r="J211" i="9"/>
  <c r="I211" i="9"/>
  <c r="K211" i="9" s="1"/>
  <c r="L211" i="9" s="1"/>
  <c r="J210" i="9"/>
  <c r="I210" i="9"/>
  <c r="K210" i="9" s="1"/>
  <c r="J209" i="9"/>
  <c r="I209" i="9"/>
  <c r="K209" i="9" s="1"/>
  <c r="J208" i="9"/>
  <c r="I208" i="9"/>
  <c r="K208" i="9" s="1"/>
  <c r="L208" i="9" s="1"/>
  <c r="J207" i="9"/>
  <c r="I207" i="9"/>
  <c r="K207" i="9" s="1"/>
  <c r="L207" i="9" s="1"/>
  <c r="J206" i="9"/>
  <c r="I206" i="9"/>
  <c r="K206" i="9" s="1"/>
  <c r="J205" i="9"/>
  <c r="I205" i="9"/>
  <c r="K205" i="9" s="1"/>
  <c r="J204" i="9"/>
  <c r="I204" i="9"/>
  <c r="K204" i="9" s="1"/>
  <c r="J203" i="9"/>
  <c r="I203" i="9"/>
  <c r="K203" i="9" s="1"/>
  <c r="L203" i="9" s="1"/>
  <c r="J202" i="9"/>
  <c r="I202" i="9"/>
  <c r="K202" i="9" s="1"/>
  <c r="J201" i="9"/>
  <c r="I201" i="9"/>
  <c r="K201" i="9" s="1"/>
  <c r="J200" i="9"/>
  <c r="I200" i="9"/>
  <c r="K200" i="9" s="1"/>
  <c r="L200" i="9" s="1"/>
  <c r="J199" i="9"/>
  <c r="I199" i="9"/>
  <c r="K199" i="9" s="1"/>
  <c r="L199" i="9" s="1"/>
  <c r="J198" i="9"/>
  <c r="I198" i="9"/>
  <c r="K198" i="9" s="1"/>
  <c r="J197" i="9"/>
  <c r="I197" i="9"/>
  <c r="K197" i="9" s="1"/>
  <c r="J196" i="9"/>
  <c r="I196" i="9"/>
  <c r="K196" i="9" s="1"/>
  <c r="L196" i="9" s="1"/>
  <c r="J195" i="9"/>
  <c r="I195" i="9"/>
  <c r="K195" i="9" s="1"/>
  <c r="L195" i="9" s="1"/>
  <c r="J194" i="9"/>
  <c r="I194" i="9"/>
  <c r="K194" i="9" s="1"/>
  <c r="J193" i="9"/>
  <c r="I193" i="9"/>
  <c r="K193" i="9" s="1"/>
  <c r="J192" i="9"/>
  <c r="I192" i="9"/>
  <c r="K192" i="9" s="1"/>
  <c r="L192" i="9" s="1"/>
  <c r="J191" i="9"/>
  <c r="I191" i="9"/>
  <c r="K191" i="9" s="1"/>
  <c r="L191" i="9" s="1"/>
  <c r="J190" i="9"/>
  <c r="I190" i="9"/>
  <c r="K190" i="9" s="1"/>
  <c r="J189" i="9"/>
  <c r="I189" i="9"/>
  <c r="K189" i="9" s="1"/>
  <c r="J188" i="9"/>
  <c r="I188" i="9"/>
  <c r="K188" i="9" s="1"/>
  <c r="L188" i="9" s="1"/>
  <c r="J187" i="9"/>
  <c r="I187" i="9"/>
  <c r="K187" i="9" s="1"/>
  <c r="L187" i="9" s="1"/>
  <c r="J186" i="9"/>
  <c r="I186" i="9"/>
  <c r="K186" i="9" s="1"/>
  <c r="J185" i="9"/>
  <c r="I185" i="9"/>
  <c r="K185" i="9" s="1"/>
  <c r="J184" i="9"/>
  <c r="I184" i="9"/>
  <c r="K184" i="9" s="1"/>
  <c r="J183" i="9"/>
  <c r="I183" i="9"/>
  <c r="K183" i="9" s="1"/>
  <c r="L183" i="9" s="1"/>
  <c r="J182" i="9"/>
  <c r="I182" i="9"/>
  <c r="K182" i="9" s="1"/>
  <c r="J181" i="9"/>
  <c r="I181" i="9"/>
  <c r="K181" i="9" s="1"/>
  <c r="J180" i="9"/>
  <c r="I180" i="9"/>
  <c r="K180" i="9" s="1"/>
  <c r="L180" i="9" s="1"/>
  <c r="J179" i="9"/>
  <c r="I179" i="9"/>
  <c r="K179" i="9" s="1"/>
  <c r="L179" i="9" s="1"/>
  <c r="J178" i="9"/>
  <c r="I178" i="9"/>
  <c r="K178" i="9" s="1"/>
  <c r="J177" i="9"/>
  <c r="I177" i="9"/>
  <c r="K177" i="9" s="1"/>
  <c r="J176" i="9"/>
  <c r="I176" i="9"/>
  <c r="K176" i="9" s="1"/>
  <c r="J175" i="9"/>
  <c r="I175" i="9"/>
  <c r="K175" i="9" s="1"/>
  <c r="J174" i="9"/>
  <c r="I174" i="9"/>
  <c r="K174" i="9" s="1"/>
  <c r="J173" i="9"/>
  <c r="I173" i="9"/>
  <c r="K173" i="9" s="1"/>
  <c r="J172" i="9"/>
  <c r="I172" i="9"/>
  <c r="K172" i="9" s="1"/>
  <c r="L172" i="9" s="1"/>
  <c r="J171" i="9"/>
  <c r="I171" i="9"/>
  <c r="K171" i="9" s="1"/>
  <c r="J170" i="9"/>
  <c r="I170" i="9"/>
  <c r="K170" i="9" s="1"/>
  <c r="J169" i="9"/>
  <c r="I169" i="9"/>
  <c r="K169" i="9" s="1"/>
  <c r="J168" i="9"/>
  <c r="I168" i="9"/>
  <c r="K168" i="9" s="1"/>
  <c r="L168" i="9" s="1"/>
  <c r="J167" i="9"/>
  <c r="I167" i="9"/>
  <c r="K167" i="9" s="1"/>
  <c r="J166" i="9"/>
  <c r="I166" i="9"/>
  <c r="K166" i="9" s="1"/>
  <c r="J165" i="9"/>
  <c r="I165" i="9"/>
  <c r="K165" i="9" s="1"/>
  <c r="J164" i="9"/>
  <c r="I164" i="9"/>
  <c r="K164" i="9" s="1"/>
  <c r="L164" i="9" s="1"/>
  <c r="J163" i="9"/>
  <c r="I163" i="9"/>
  <c r="K163" i="9" s="1"/>
  <c r="J162" i="9"/>
  <c r="I162" i="9"/>
  <c r="K162" i="9" s="1"/>
  <c r="J161" i="9"/>
  <c r="I161" i="9"/>
  <c r="K161" i="9" s="1"/>
  <c r="J160" i="9"/>
  <c r="I160" i="9"/>
  <c r="K160" i="9" s="1"/>
  <c r="J159" i="9"/>
  <c r="I159" i="9"/>
  <c r="K159" i="9" s="1"/>
  <c r="J158" i="9"/>
  <c r="I158" i="9"/>
  <c r="K158" i="9" s="1"/>
  <c r="J157" i="9"/>
  <c r="I157" i="9"/>
  <c r="K157" i="9" s="1"/>
  <c r="J156" i="9"/>
  <c r="I156" i="9"/>
  <c r="K156" i="9" s="1"/>
  <c r="J155" i="9"/>
  <c r="I155" i="9"/>
  <c r="K155" i="9" s="1"/>
  <c r="J154" i="9"/>
  <c r="I154" i="9"/>
  <c r="K154" i="9" s="1"/>
  <c r="J153" i="9"/>
  <c r="I153" i="9"/>
  <c r="K153" i="9" s="1"/>
  <c r="J152" i="9"/>
  <c r="I152" i="9"/>
  <c r="K152" i="9" s="1"/>
  <c r="J151" i="9"/>
  <c r="I151" i="9"/>
  <c r="K151" i="9" s="1"/>
  <c r="J150" i="9"/>
  <c r="I150" i="9"/>
  <c r="K150" i="9" s="1"/>
  <c r="J149" i="9"/>
  <c r="I149" i="9"/>
  <c r="K149" i="9" s="1"/>
  <c r="J148" i="9"/>
  <c r="I148" i="9"/>
  <c r="K148" i="9" s="1"/>
  <c r="J147" i="9"/>
  <c r="I147" i="9"/>
  <c r="K147" i="9" s="1"/>
  <c r="J146" i="9"/>
  <c r="I146" i="9"/>
  <c r="K146" i="9" s="1"/>
  <c r="J145" i="9"/>
  <c r="I145" i="9"/>
  <c r="K145" i="9" s="1"/>
  <c r="J144" i="9"/>
  <c r="I144" i="9"/>
  <c r="K144" i="9" s="1"/>
  <c r="L144" i="9" s="1"/>
  <c r="J143" i="9"/>
  <c r="I143" i="9"/>
  <c r="K143" i="9" s="1"/>
  <c r="J142" i="9"/>
  <c r="I142" i="9"/>
  <c r="K142" i="9" s="1"/>
  <c r="J141" i="9"/>
  <c r="I141" i="9"/>
  <c r="K141" i="9" s="1"/>
  <c r="J140" i="9"/>
  <c r="I140" i="9"/>
  <c r="K140" i="9" s="1"/>
  <c r="J139" i="9"/>
  <c r="I139" i="9"/>
  <c r="K139" i="9" s="1"/>
  <c r="J138" i="9"/>
  <c r="I138" i="9"/>
  <c r="K138" i="9" s="1"/>
  <c r="J137" i="9"/>
  <c r="I137" i="9"/>
  <c r="K137" i="9" s="1"/>
  <c r="J136" i="9"/>
  <c r="I136" i="9"/>
  <c r="K136" i="9" s="1"/>
  <c r="L136" i="9" s="1"/>
  <c r="J135" i="9"/>
  <c r="I135" i="9"/>
  <c r="K135" i="9" s="1"/>
  <c r="J134" i="9"/>
  <c r="I134" i="9"/>
  <c r="K134" i="9" s="1"/>
  <c r="J133" i="9"/>
  <c r="I133" i="9"/>
  <c r="K133" i="9" s="1"/>
  <c r="J132" i="9"/>
  <c r="I132" i="9"/>
  <c r="K132" i="9" s="1"/>
  <c r="L132" i="9" s="1"/>
  <c r="J131" i="9"/>
  <c r="I131" i="9"/>
  <c r="K131" i="9" s="1"/>
  <c r="J130" i="9"/>
  <c r="I130" i="9"/>
  <c r="K130" i="9" s="1"/>
  <c r="J129" i="9"/>
  <c r="I129" i="9"/>
  <c r="K129" i="9" s="1"/>
  <c r="J128" i="9"/>
  <c r="I128" i="9"/>
  <c r="K128" i="9" s="1"/>
  <c r="L128" i="9" s="1"/>
  <c r="J127" i="9"/>
  <c r="I127" i="9"/>
  <c r="K127" i="9" s="1"/>
  <c r="J126" i="9"/>
  <c r="I126" i="9"/>
  <c r="K126" i="9" s="1"/>
  <c r="J125" i="9"/>
  <c r="I125" i="9"/>
  <c r="K125" i="9" s="1"/>
  <c r="J124" i="9"/>
  <c r="I124" i="9"/>
  <c r="K124" i="9" s="1"/>
  <c r="J123" i="9"/>
  <c r="I123" i="9"/>
  <c r="K123" i="9" s="1"/>
  <c r="J122" i="9"/>
  <c r="I122" i="9"/>
  <c r="K122" i="9" s="1"/>
  <c r="J121" i="9"/>
  <c r="I121" i="9"/>
  <c r="K121" i="9" s="1"/>
  <c r="J120" i="9"/>
  <c r="I120" i="9"/>
  <c r="K120" i="9" s="1"/>
  <c r="L120" i="9" s="1"/>
  <c r="J119" i="9"/>
  <c r="I119" i="9"/>
  <c r="K119" i="9" s="1"/>
  <c r="J118" i="9"/>
  <c r="I118" i="9"/>
  <c r="K118" i="9" s="1"/>
  <c r="J117" i="9"/>
  <c r="I117" i="9"/>
  <c r="K117" i="9" s="1"/>
  <c r="J116" i="9"/>
  <c r="I116" i="9"/>
  <c r="K116" i="9" s="1"/>
  <c r="L116" i="9" s="1"/>
  <c r="J115" i="9"/>
  <c r="I115" i="9"/>
  <c r="K115" i="9" s="1"/>
  <c r="J114" i="9"/>
  <c r="I114" i="9"/>
  <c r="K114" i="9" s="1"/>
  <c r="J113" i="9"/>
  <c r="I113" i="9"/>
  <c r="K113" i="9" s="1"/>
  <c r="J112" i="9"/>
  <c r="I112" i="9"/>
  <c r="K112" i="9" s="1"/>
  <c r="J111" i="9"/>
  <c r="I111" i="9"/>
  <c r="K111" i="9" s="1"/>
  <c r="J110" i="9"/>
  <c r="I110" i="9"/>
  <c r="K110" i="9" s="1"/>
  <c r="J109" i="9"/>
  <c r="I109" i="9"/>
  <c r="K109" i="9" s="1"/>
  <c r="J108" i="9"/>
  <c r="I108" i="9"/>
  <c r="K108" i="9" s="1"/>
  <c r="L108" i="9" s="1"/>
  <c r="J107" i="9"/>
  <c r="I107" i="9"/>
  <c r="K107" i="9" s="1"/>
  <c r="J106" i="9"/>
  <c r="I106" i="9"/>
  <c r="K106" i="9" s="1"/>
  <c r="J105" i="9"/>
  <c r="I105" i="9"/>
  <c r="K105" i="9" s="1"/>
  <c r="J104" i="9"/>
  <c r="I104" i="9"/>
  <c r="K104" i="9" s="1"/>
  <c r="J103" i="9"/>
  <c r="I103" i="9"/>
  <c r="K103" i="9" s="1"/>
  <c r="J102" i="9"/>
  <c r="I102" i="9"/>
  <c r="K102" i="9" s="1"/>
  <c r="J101" i="9"/>
  <c r="I101" i="9"/>
  <c r="K101" i="9" s="1"/>
  <c r="J100" i="9"/>
  <c r="I100" i="9"/>
  <c r="K100" i="9" s="1"/>
  <c r="J99" i="9"/>
  <c r="I99" i="9"/>
  <c r="K99" i="9" s="1"/>
  <c r="J98" i="9"/>
  <c r="I98" i="9"/>
  <c r="K98" i="9" s="1"/>
  <c r="J97" i="9"/>
  <c r="I97" i="9"/>
  <c r="K97" i="9" s="1"/>
  <c r="J96" i="9"/>
  <c r="I96" i="9"/>
  <c r="K96" i="9" s="1"/>
  <c r="J95" i="9"/>
  <c r="I95" i="9"/>
  <c r="K95" i="9" s="1"/>
  <c r="J94" i="9"/>
  <c r="I94" i="9"/>
  <c r="K94" i="9" s="1"/>
  <c r="J93" i="9"/>
  <c r="I93" i="9"/>
  <c r="K93" i="9" s="1"/>
  <c r="J92" i="9"/>
  <c r="I92" i="9"/>
  <c r="K92" i="9" s="1"/>
  <c r="J91" i="9"/>
  <c r="I91" i="9"/>
  <c r="K91" i="9" s="1"/>
  <c r="J90" i="9"/>
  <c r="I90" i="9"/>
  <c r="K90" i="9" s="1"/>
  <c r="J89" i="9"/>
  <c r="I89" i="9"/>
  <c r="K89" i="9" s="1"/>
  <c r="J88" i="9"/>
  <c r="I88" i="9"/>
  <c r="K88" i="9" s="1"/>
  <c r="L88" i="9" s="1"/>
  <c r="J87" i="9"/>
  <c r="I87" i="9"/>
  <c r="K87" i="9" s="1"/>
  <c r="J86" i="9"/>
  <c r="I86" i="9"/>
  <c r="K86" i="9" s="1"/>
  <c r="J85" i="9"/>
  <c r="I85" i="9"/>
  <c r="K85" i="9" s="1"/>
  <c r="J84" i="9"/>
  <c r="I84" i="9"/>
  <c r="K84" i="9" s="1"/>
  <c r="J83" i="9"/>
  <c r="I83" i="9"/>
  <c r="K83" i="9" s="1"/>
  <c r="L83" i="9" s="1"/>
  <c r="J82" i="9"/>
  <c r="I82" i="9"/>
  <c r="K82" i="9" s="1"/>
  <c r="J81" i="9"/>
  <c r="I81" i="9"/>
  <c r="K81" i="9" s="1"/>
  <c r="J80" i="9"/>
  <c r="I80" i="9"/>
  <c r="K80" i="9" s="1"/>
  <c r="J79" i="9"/>
  <c r="I79" i="9"/>
  <c r="K79" i="9" s="1"/>
  <c r="J78" i="9"/>
  <c r="I78" i="9"/>
  <c r="K78" i="9" s="1"/>
  <c r="J77" i="9"/>
  <c r="I77" i="9"/>
  <c r="K77" i="9" s="1"/>
  <c r="J76" i="9"/>
  <c r="I76" i="9"/>
  <c r="K76" i="9" s="1"/>
  <c r="J75" i="9"/>
  <c r="I75" i="9"/>
  <c r="K75" i="9" s="1"/>
  <c r="J74" i="9"/>
  <c r="I74" i="9"/>
  <c r="K74" i="9" s="1"/>
  <c r="J73" i="9"/>
  <c r="I73" i="9"/>
  <c r="K73" i="9" s="1"/>
  <c r="J72" i="9"/>
  <c r="I72" i="9"/>
  <c r="K72" i="9" s="1"/>
  <c r="J71" i="9"/>
  <c r="I71" i="9"/>
  <c r="K71" i="9" s="1"/>
  <c r="J70" i="9"/>
  <c r="I70" i="9"/>
  <c r="K70" i="9" s="1"/>
  <c r="J69" i="9"/>
  <c r="I69" i="9"/>
  <c r="K69" i="9" s="1"/>
  <c r="J68" i="9"/>
  <c r="I68" i="9"/>
  <c r="K68" i="9" s="1"/>
  <c r="J67" i="9"/>
  <c r="I67" i="9"/>
  <c r="K67" i="9" s="1"/>
  <c r="J66" i="9"/>
  <c r="I66" i="9"/>
  <c r="K66" i="9" s="1"/>
  <c r="J65" i="9"/>
  <c r="I65" i="9"/>
  <c r="K65" i="9" s="1"/>
  <c r="J64" i="9"/>
  <c r="I64" i="9"/>
  <c r="K64" i="9" s="1"/>
  <c r="J63" i="9"/>
  <c r="I63" i="9"/>
  <c r="K63" i="9" s="1"/>
  <c r="J62" i="9"/>
  <c r="I62" i="9"/>
  <c r="K62" i="9" s="1"/>
  <c r="J61" i="9"/>
  <c r="I61" i="9"/>
  <c r="K61" i="9" s="1"/>
  <c r="J60" i="9"/>
  <c r="I60" i="9"/>
  <c r="K60" i="9" s="1"/>
  <c r="J59" i="9"/>
  <c r="I59" i="9"/>
  <c r="K59" i="9" s="1"/>
  <c r="J58" i="9"/>
  <c r="I58" i="9"/>
  <c r="K58" i="9" s="1"/>
  <c r="J57" i="9"/>
  <c r="I57" i="9"/>
  <c r="K57" i="9" s="1"/>
  <c r="J56" i="9"/>
  <c r="I56" i="9"/>
  <c r="K56" i="9" s="1"/>
  <c r="J55" i="9"/>
  <c r="I55" i="9"/>
  <c r="K55" i="9" s="1"/>
  <c r="J54" i="9"/>
  <c r="I54" i="9"/>
  <c r="K54" i="9" s="1"/>
  <c r="J53" i="9"/>
  <c r="I53" i="9"/>
  <c r="K53" i="9" s="1"/>
  <c r="J52" i="9"/>
  <c r="I52" i="9"/>
  <c r="K52" i="9" s="1"/>
  <c r="L52" i="9" s="1"/>
  <c r="J51" i="9"/>
  <c r="I51" i="9"/>
  <c r="K51" i="9" s="1"/>
  <c r="J50" i="9"/>
  <c r="I50" i="9"/>
  <c r="K50" i="9" s="1"/>
  <c r="J49" i="9"/>
  <c r="I49" i="9"/>
  <c r="K49" i="9" s="1"/>
  <c r="J48" i="9"/>
  <c r="I48" i="9"/>
  <c r="K48" i="9" s="1"/>
  <c r="J47" i="9"/>
  <c r="I47" i="9"/>
  <c r="K47" i="9" s="1"/>
  <c r="J46" i="9"/>
  <c r="I46" i="9"/>
  <c r="K46" i="9" s="1"/>
  <c r="J45" i="9"/>
  <c r="I45" i="9"/>
  <c r="K45" i="9" s="1"/>
  <c r="J44" i="9"/>
  <c r="I44" i="9"/>
  <c r="K44" i="9" s="1"/>
  <c r="L44" i="9" s="1"/>
  <c r="J43" i="9"/>
  <c r="I43" i="9"/>
  <c r="K43" i="9" s="1"/>
  <c r="J42" i="9"/>
  <c r="I42" i="9"/>
  <c r="K42" i="9" s="1"/>
  <c r="J41" i="9"/>
  <c r="I41" i="9"/>
  <c r="K41" i="9" s="1"/>
  <c r="J40" i="9"/>
  <c r="I40" i="9"/>
  <c r="K40" i="9" s="1"/>
  <c r="L40" i="9" s="1"/>
  <c r="J39" i="9"/>
  <c r="I39" i="9"/>
  <c r="K39" i="9" s="1"/>
  <c r="J38" i="9"/>
  <c r="I38" i="9"/>
  <c r="K38" i="9" s="1"/>
  <c r="J37" i="9"/>
  <c r="I37" i="9"/>
  <c r="K37" i="9" s="1"/>
  <c r="J36" i="9"/>
  <c r="I36" i="9"/>
  <c r="K36" i="9" s="1"/>
  <c r="J35" i="9"/>
  <c r="I35" i="9"/>
  <c r="K35" i="9" s="1"/>
  <c r="J34" i="9"/>
  <c r="I34" i="9"/>
  <c r="K34" i="9" s="1"/>
  <c r="L34" i="9" s="1"/>
  <c r="J33" i="9"/>
  <c r="I33" i="9"/>
  <c r="K33" i="9" s="1"/>
  <c r="J32" i="9"/>
  <c r="I32" i="9"/>
  <c r="K32" i="9" s="1"/>
  <c r="L32" i="9" s="1"/>
  <c r="J31" i="9"/>
  <c r="I31" i="9"/>
  <c r="K31" i="9" s="1"/>
  <c r="J30" i="9"/>
  <c r="I30" i="9"/>
  <c r="K30" i="9" s="1"/>
  <c r="J29" i="9"/>
  <c r="I29" i="9"/>
  <c r="K29" i="9" s="1"/>
  <c r="J28" i="9"/>
  <c r="I28" i="9"/>
  <c r="K28" i="9" s="1"/>
  <c r="J27" i="9"/>
  <c r="I27" i="9"/>
  <c r="K27" i="9" s="1"/>
  <c r="J26" i="9"/>
  <c r="I26" i="9"/>
  <c r="K26" i="9" s="1"/>
  <c r="L26" i="9" s="1"/>
  <c r="J25" i="9"/>
  <c r="I25" i="9"/>
  <c r="K25" i="9" s="1"/>
  <c r="J24" i="9"/>
  <c r="I24" i="9"/>
  <c r="K24" i="9" s="1"/>
  <c r="J23" i="9"/>
  <c r="I23" i="9"/>
  <c r="K23" i="9" s="1"/>
  <c r="J22" i="9"/>
  <c r="I22" i="9"/>
  <c r="K22" i="9" s="1"/>
  <c r="L22" i="9" s="1"/>
  <c r="J21" i="9"/>
  <c r="I21" i="9"/>
  <c r="K21" i="9" s="1"/>
  <c r="J20" i="9"/>
  <c r="I20" i="9"/>
  <c r="K20" i="9" s="1"/>
  <c r="J19" i="9"/>
  <c r="I19" i="9"/>
  <c r="K19" i="9" s="1"/>
  <c r="J18" i="9"/>
  <c r="I18" i="9"/>
  <c r="K18" i="9" s="1"/>
  <c r="J17" i="9"/>
  <c r="I17" i="9"/>
  <c r="K17" i="9" s="1"/>
  <c r="J16" i="9"/>
  <c r="I16" i="9"/>
  <c r="K16" i="9" s="1"/>
  <c r="L16" i="9" s="1"/>
  <c r="J15" i="9"/>
  <c r="I15" i="9"/>
  <c r="K15" i="9" s="1"/>
  <c r="J14" i="9"/>
  <c r="I14" i="9"/>
  <c r="K14" i="9" s="1"/>
  <c r="L14" i="9" s="1"/>
  <c r="J13" i="9"/>
  <c r="I13" i="9"/>
  <c r="K13" i="9" s="1"/>
  <c r="J12" i="9"/>
  <c r="I12" i="9"/>
  <c r="K12" i="9" s="1"/>
  <c r="J11" i="9"/>
  <c r="I11" i="9"/>
  <c r="K11" i="9" s="1"/>
  <c r="J10" i="9"/>
  <c r="I10" i="9"/>
  <c r="K10" i="9" s="1"/>
  <c r="L10" i="9" s="1"/>
  <c r="J9" i="9"/>
  <c r="I9" i="9"/>
  <c r="K9" i="9" s="1"/>
  <c r="J8" i="9"/>
  <c r="I8" i="9"/>
  <c r="K8" i="9" s="1"/>
  <c r="L8" i="9" s="1"/>
  <c r="J7" i="9"/>
  <c r="I7" i="9"/>
  <c r="K7" i="9" s="1"/>
  <c r="J6" i="9"/>
  <c r="I6" i="9"/>
  <c r="K6" i="9" s="1"/>
  <c r="J5" i="9"/>
  <c r="I5" i="9"/>
  <c r="K5" i="9" s="1"/>
  <c r="J4" i="9"/>
  <c r="I4" i="9"/>
  <c r="K4" i="9" s="1"/>
  <c r="J3" i="9"/>
  <c r="I3" i="9"/>
  <c r="K3" i="9" s="1"/>
  <c r="J2" i="9"/>
  <c r="I2" i="9"/>
  <c r="K2" i="9" s="1"/>
  <c r="L5" i="9" l="1"/>
  <c r="L9" i="9"/>
  <c r="L13" i="9"/>
  <c r="L17" i="9"/>
  <c r="L21" i="9"/>
  <c r="L25" i="9"/>
  <c r="L53" i="9"/>
  <c r="L57" i="9"/>
  <c r="L61" i="9"/>
  <c r="L97" i="9"/>
  <c r="L101" i="9"/>
  <c r="L157" i="9"/>
  <c r="L165" i="9"/>
  <c r="L169" i="9"/>
  <c r="L173" i="9"/>
  <c r="L51" i="9"/>
  <c r="L63" i="9"/>
  <c r="L67" i="9"/>
  <c r="V69" i="9" s="1"/>
  <c r="L75" i="9"/>
  <c r="V77" i="9" s="1"/>
  <c r="L79" i="9"/>
  <c r="L56" i="9"/>
  <c r="L60" i="9"/>
  <c r="L64" i="9"/>
  <c r="V66" i="9" s="1"/>
  <c r="L72" i="9"/>
  <c r="L76" i="9"/>
  <c r="V78" i="9" s="1"/>
  <c r="L80" i="9"/>
  <c r="V82" i="9" s="1"/>
  <c r="L73" i="9"/>
  <c r="L77" i="9"/>
  <c r="V79" i="9" s="1"/>
  <c r="L81" i="9"/>
  <c r="L176" i="9"/>
  <c r="L47" i="9"/>
  <c r="L86" i="9"/>
  <c r="L90" i="9"/>
  <c r="L94" i="9"/>
  <c r="L134" i="9"/>
  <c r="L138" i="9"/>
  <c r="L146" i="9"/>
  <c r="L162" i="9"/>
  <c r="L166" i="9"/>
  <c r="L170" i="9"/>
  <c r="L174" i="9"/>
  <c r="L181" i="9"/>
  <c r="L189" i="9"/>
  <c r="L193" i="9"/>
  <c r="L201" i="9"/>
  <c r="L205" i="9"/>
  <c r="L209" i="9"/>
  <c r="L221" i="9"/>
  <c r="L225" i="9"/>
  <c r="L233" i="9"/>
  <c r="L237" i="9"/>
  <c r="L245" i="9"/>
  <c r="L249" i="9"/>
  <c r="L253" i="9"/>
  <c r="L257" i="9"/>
  <c r="L265" i="9"/>
  <c r="L269" i="9"/>
  <c r="L82" i="9"/>
  <c r="L37" i="9"/>
  <c r="L41" i="9"/>
  <c r="L45" i="9"/>
  <c r="L84" i="9"/>
  <c r="L95" i="9"/>
  <c r="L99" i="9"/>
  <c r="L106" i="9"/>
  <c r="L110" i="9"/>
  <c r="L114" i="9"/>
  <c r="L276" i="9"/>
  <c r="L38" i="9"/>
  <c r="L49" i="9"/>
  <c r="L96" i="9"/>
  <c r="L115" i="9"/>
  <c r="L19" i="9"/>
  <c r="L23" i="9"/>
  <c r="L31" i="9"/>
  <c r="L50" i="9"/>
  <c r="L54" i="9"/>
  <c r="L66" i="9"/>
  <c r="L74" i="9"/>
  <c r="V76" i="9" s="1"/>
  <c r="L85" i="9"/>
  <c r="L89" i="9"/>
  <c r="L100" i="9"/>
  <c r="L131" i="9"/>
  <c r="L135" i="9"/>
  <c r="L143" i="9"/>
  <c r="L163" i="9"/>
  <c r="L167" i="9"/>
  <c r="L171" i="9"/>
  <c r="L194" i="9"/>
  <c r="L198" i="9"/>
  <c r="L202" i="9"/>
  <c r="L206" i="9"/>
  <c r="L214" i="9"/>
  <c r="L218" i="9"/>
  <c r="L226" i="9"/>
  <c r="L230" i="9"/>
  <c r="L238" i="9"/>
  <c r="L242" i="9"/>
  <c r="L250" i="9"/>
  <c r="L258" i="9"/>
  <c r="L262" i="9"/>
  <c r="L270" i="9"/>
  <c r="L285" i="9"/>
  <c r="L289" i="9"/>
  <c r="L297" i="9"/>
  <c r="L301" i="9"/>
  <c r="L309" i="9"/>
  <c r="V91" i="9" s="1"/>
  <c r="L317" i="9"/>
  <c r="V99" i="9" s="1"/>
  <c r="L321" i="9"/>
  <c r="V103" i="9" s="1"/>
  <c r="L139" i="9"/>
  <c r="L154" i="9"/>
  <c r="L158" i="9"/>
  <c r="L184" i="9"/>
  <c r="L246" i="9"/>
  <c r="L277" i="9"/>
  <c r="L36" i="9"/>
  <c r="L3" i="9"/>
  <c r="L28" i="9"/>
  <c r="L42" i="9"/>
  <c r="L58" i="9"/>
  <c r="L68" i="9"/>
  <c r="V70" i="9" s="1"/>
  <c r="L98" i="9"/>
  <c r="L104" i="9"/>
  <c r="L111" i="9"/>
  <c r="L118" i="9"/>
  <c r="L122" i="9"/>
  <c r="L151" i="9"/>
  <c r="L155" i="9"/>
  <c r="L159" i="9"/>
  <c r="L185" i="9"/>
  <c r="L212" i="9"/>
  <c r="L4" i="9"/>
  <c r="L7" i="9"/>
  <c r="L29" i="9"/>
  <c r="L46" i="9"/>
  <c r="L69" i="9"/>
  <c r="V71" i="9" s="1"/>
  <c r="L112" i="9"/>
  <c r="L119" i="9"/>
  <c r="L123" i="9"/>
  <c r="L130" i="9"/>
  <c r="L148" i="9"/>
  <c r="L152" i="9"/>
  <c r="L160" i="9"/>
  <c r="L178" i="9"/>
  <c r="L182" i="9"/>
  <c r="L186" i="9"/>
  <c r="L213" i="9"/>
  <c r="L244" i="9"/>
  <c r="L310" i="9"/>
  <c r="V92" i="9" s="1"/>
  <c r="L140" i="9"/>
  <c r="L215" i="9"/>
  <c r="L43" i="9"/>
  <c r="L103" i="9"/>
  <c r="L216" i="9"/>
  <c r="L234" i="9"/>
  <c r="L241" i="9"/>
  <c r="L248" i="9"/>
  <c r="L266" i="9"/>
  <c r="L273" i="9"/>
  <c r="L280" i="9"/>
  <c r="L298" i="9"/>
  <c r="L305" i="9"/>
  <c r="V87" i="9" s="1"/>
  <c r="L312" i="9"/>
  <c r="V94" i="9" s="1"/>
  <c r="L33" i="9"/>
  <c r="L2" i="9"/>
  <c r="L55" i="9"/>
  <c r="L78" i="9"/>
  <c r="V80" i="9" s="1"/>
  <c r="L35" i="9"/>
  <c r="L91" i="9"/>
  <c r="L107" i="9"/>
  <c r="L142" i="9"/>
  <c r="L177" i="9"/>
  <c r="L210" i="9"/>
  <c r="L217" i="9"/>
  <c r="L224" i="9"/>
  <c r="L274" i="9"/>
  <c r="L281" i="9"/>
  <c r="L288" i="9"/>
  <c r="L306" i="9"/>
  <c r="V88" i="9" s="1"/>
  <c r="L313" i="9"/>
  <c r="V95" i="9" s="1"/>
  <c r="L320" i="9"/>
  <c r="V102" i="9" s="1"/>
  <c r="L124" i="9"/>
  <c r="L147" i="9"/>
  <c r="L175" i="9"/>
  <c r="L311" i="9"/>
  <c r="V93" i="9" s="1"/>
  <c r="L20" i="9"/>
  <c r="L149" i="9"/>
  <c r="L228" i="9"/>
  <c r="L48" i="9"/>
  <c r="L247" i="9"/>
  <c r="L279" i="9"/>
  <c r="L15" i="9"/>
  <c r="L59" i="9"/>
  <c r="L70" i="9"/>
  <c r="L314" i="9"/>
  <c r="V96" i="9" s="1"/>
  <c r="L6" i="9"/>
  <c r="L12" i="9"/>
  <c r="L18" i="9"/>
  <c r="L24" i="9"/>
  <c r="L30" i="9"/>
  <c r="L39" i="9"/>
  <c r="L62" i="9"/>
  <c r="V64" i="9" s="1"/>
  <c r="L65" i="9"/>
  <c r="V67" i="9" s="1"/>
  <c r="L71" i="9"/>
  <c r="V73" i="9" s="1"/>
  <c r="L87" i="9"/>
  <c r="L92" i="9"/>
  <c r="L102" i="9"/>
  <c r="L127" i="9"/>
  <c r="L150" i="9"/>
  <c r="L190" i="9"/>
  <c r="L197" i="9"/>
  <c r="L204" i="9"/>
  <c r="L222" i="9"/>
  <c r="L229" i="9"/>
  <c r="L236" i="9"/>
  <c r="L254" i="9"/>
  <c r="L261" i="9"/>
  <c r="L268" i="9"/>
  <c r="L286" i="9"/>
  <c r="L293" i="9"/>
  <c r="L300" i="9"/>
  <c r="L318" i="9"/>
  <c r="V100" i="9" s="1"/>
  <c r="V65" i="9"/>
  <c r="V74" i="9"/>
  <c r="V68" i="9"/>
  <c r="V75" i="9"/>
  <c r="L126" i="9"/>
  <c r="L27" i="9"/>
  <c r="V90" i="9"/>
  <c r="L93" i="9"/>
  <c r="L161" i="9"/>
  <c r="L11" i="9"/>
  <c r="V72" i="9"/>
  <c r="L117" i="9"/>
  <c r="L156" i="9"/>
  <c r="V81" i="9"/>
  <c r="V83" i="9"/>
  <c r="L133" i="9"/>
  <c r="L105" i="9"/>
  <c r="L121" i="9"/>
  <c r="L137" i="9"/>
  <c r="L153" i="9"/>
  <c r="L109" i="9"/>
  <c r="L125" i="9"/>
  <c r="L141" i="9"/>
  <c r="L113" i="9"/>
  <c r="L129" i="9"/>
  <c r="L145" i="9"/>
  <c r="J321" i="1"/>
  <c r="I321" i="1"/>
  <c r="K321" i="1" s="1"/>
  <c r="J320" i="1"/>
  <c r="I320" i="1"/>
  <c r="K320" i="1" s="1"/>
  <c r="J319" i="1"/>
  <c r="I319" i="1"/>
  <c r="K319" i="1" s="1"/>
  <c r="J318" i="1"/>
  <c r="I318" i="1"/>
  <c r="K318" i="1" s="1"/>
  <c r="J317" i="1"/>
  <c r="I317" i="1"/>
  <c r="K317" i="1" s="1"/>
  <c r="J316" i="1"/>
  <c r="I316" i="1"/>
  <c r="K316" i="1" s="1"/>
  <c r="J315" i="1"/>
  <c r="I315" i="1"/>
  <c r="K315" i="1" s="1"/>
  <c r="J314" i="1"/>
  <c r="I314" i="1"/>
  <c r="K314" i="1" s="1"/>
  <c r="J313" i="1"/>
  <c r="I313" i="1"/>
  <c r="J312" i="1"/>
  <c r="I312" i="1"/>
  <c r="K312" i="1" s="1"/>
  <c r="J311" i="1"/>
  <c r="I311" i="1"/>
  <c r="K311" i="1" s="1"/>
  <c r="J310" i="1"/>
  <c r="I310" i="1"/>
  <c r="K310" i="1" s="1"/>
  <c r="J309" i="1"/>
  <c r="I309" i="1"/>
  <c r="K309" i="1" s="1"/>
  <c r="J308" i="1"/>
  <c r="I308" i="1"/>
  <c r="K308" i="1" s="1"/>
  <c r="J307" i="1"/>
  <c r="I307" i="1"/>
  <c r="K307" i="1" s="1"/>
  <c r="J306" i="1"/>
  <c r="I306" i="1"/>
  <c r="K306" i="1" s="1"/>
  <c r="J305" i="1"/>
  <c r="I305" i="1"/>
  <c r="K305" i="1" s="1"/>
  <c r="J304" i="1"/>
  <c r="I304" i="1"/>
  <c r="K304" i="1" s="1"/>
  <c r="J303" i="1"/>
  <c r="I303" i="1"/>
  <c r="K303" i="1" s="1"/>
  <c r="J302" i="1"/>
  <c r="I302" i="1"/>
  <c r="K302" i="1" s="1"/>
  <c r="J301" i="1"/>
  <c r="I301" i="1"/>
  <c r="K301" i="1" s="1"/>
  <c r="J300" i="1"/>
  <c r="I300" i="1"/>
  <c r="K300" i="1" s="1"/>
  <c r="J299" i="1"/>
  <c r="I299" i="1"/>
  <c r="K299" i="1" s="1"/>
  <c r="J298" i="1"/>
  <c r="I298" i="1"/>
  <c r="K298" i="1" s="1"/>
  <c r="J297" i="1"/>
  <c r="I297" i="1"/>
  <c r="K297" i="1" s="1"/>
  <c r="J296" i="1"/>
  <c r="I296" i="1"/>
  <c r="K296" i="1" s="1"/>
  <c r="J295" i="1"/>
  <c r="I295" i="1"/>
  <c r="K295" i="1" s="1"/>
  <c r="J294" i="1"/>
  <c r="I294" i="1"/>
  <c r="K294" i="1" s="1"/>
  <c r="J293" i="1"/>
  <c r="I293" i="1"/>
  <c r="K293" i="1" s="1"/>
  <c r="J292" i="1"/>
  <c r="I292" i="1"/>
  <c r="K292" i="1" s="1"/>
  <c r="J291" i="1"/>
  <c r="I291" i="1"/>
  <c r="K291" i="1" s="1"/>
  <c r="J290" i="1"/>
  <c r="I290" i="1"/>
  <c r="K290" i="1" s="1"/>
  <c r="J289" i="1"/>
  <c r="I289" i="1"/>
  <c r="K289" i="1" s="1"/>
  <c r="J288" i="1"/>
  <c r="I288" i="1"/>
  <c r="K288" i="1" s="1"/>
  <c r="J287" i="1"/>
  <c r="I287" i="1"/>
  <c r="K287" i="1" s="1"/>
  <c r="J286" i="1"/>
  <c r="I286" i="1"/>
  <c r="K286" i="1" s="1"/>
  <c r="J285" i="1"/>
  <c r="I285" i="1"/>
  <c r="K285" i="1" s="1"/>
  <c r="J284" i="1"/>
  <c r="I284" i="1"/>
  <c r="K284" i="1" s="1"/>
  <c r="J283" i="1"/>
  <c r="I283" i="1"/>
  <c r="J282" i="1"/>
  <c r="I282" i="1"/>
  <c r="K282" i="1" s="1"/>
  <c r="J281" i="1"/>
  <c r="I281" i="1"/>
  <c r="K281" i="1" s="1"/>
  <c r="J280" i="1"/>
  <c r="I280" i="1"/>
  <c r="K280" i="1" s="1"/>
  <c r="J279" i="1"/>
  <c r="I279" i="1"/>
  <c r="K279" i="1" s="1"/>
  <c r="J278" i="1"/>
  <c r="I278" i="1"/>
  <c r="K278" i="1" s="1"/>
  <c r="J277" i="1"/>
  <c r="I277" i="1"/>
  <c r="K277" i="1" s="1"/>
  <c r="J276" i="1"/>
  <c r="I276" i="1"/>
  <c r="K276" i="1" s="1"/>
  <c r="J275" i="1"/>
  <c r="I275" i="1"/>
  <c r="K275" i="1" s="1"/>
  <c r="J274" i="1"/>
  <c r="I274" i="1"/>
  <c r="K274" i="1" s="1"/>
  <c r="J273" i="1"/>
  <c r="I273" i="1"/>
  <c r="K273" i="1" s="1"/>
  <c r="J272" i="1"/>
  <c r="I272" i="1"/>
  <c r="K272" i="1" s="1"/>
  <c r="L272" i="1" s="1"/>
  <c r="J271" i="1"/>
  <c r="I271" i="1"/>
  <c r="K271" i="1" s="1"/>
  <c r="J270" i="1"/>
  <c r="I270" i="1"/>
  <c r="K270" i="1" s="1"/>
  <c r="J269" i="1"/>
  <c r="I269" i="1"/>
  <c r="J268" i="1"/>
  <c r="I268" i="1"/>
  <c r="K268" i="1" s="1"/>
  <c r="J267" i="1"/>
  <c r="I267" i="1"/>
  <c r="K267" i="1" s="1"/>
  <c r="J266" i="1"/>
  <c r="I266" i="1"/>
  <c r="K266" i="1" s="1"/>
  <c r="J265" i="1"/>
  <c r="I265" i="1"/>
  <c r="J264" i="1"/>
  <c r="I264" i="1"/>
  <c r="K264" i="1" s="1"/>
  <c r="J263" i="1"/>
  <c r="I263" i="1"/>
  <c r="J262" i="1"/>
  <c r="I262" i="1"/>
  <c r="K262" i="1" s="1"/>
  <c r="J261" i="1"/>
  <c r="I261" i="1"/>
  <c r="K261" i="1" s="1"/>
  <c r="J260" i="1"/>
  <c r="I260" i="1"/>
  <c r="K260" i="1" s="1"/>
  <c r="J259" i="1"/>
  <c r="I259" i="1"/>
  <c r="K259" i="1" s="1"/>
  <c r="J258" i="1"/>
  <c r="I258" i="1"/>
  <c r="K258" i="1" s="1"/>
  <c r="J257" i="1"/>
  <c r="I257" i="1"/>
  <c r="J256" i="1"/>
  <c r="I256" i="1"/>
  <c r="K256" i="1" s="1"/>
  <c r="J255" i="1"/>
  <c r="I255" i="1"/>
  <c r="K255" i="1" s="1"/>
  <c r="J254" i="1"/>
  <c r="I254" i="1"/>
  <c r="K254" i="1" s="1"/>
  <c r="J253" i="1"/>
  <c r="I253" i="1"/>
  <c r="K253" i="1" s="1"/>
  <c r="J252" i="1"/>
  <c r="I252" i="1"/>
  <c r="K252" i="1" s="1"/>
  <c r="L252" i="1" s="1"/>
  <c r="J251" i="1"/>
  <c r="I251" i="1"/>
  <c r="K251" i="1" s="1"/>
  <c r="J250" i="1"/>
  <c r="I250" i="1"/>
  <c r="J249" i="1"/>
  <c r="I249" i="1"/>
  <c r="J248" i="1"/>
  <c r="I248" i="1"/>
  <c r="K248" i="1" s="1"/>
  <c r="J247" i="1"/>
  <c r="I247" i="1"/>
  <c r="K247" i="1" s="1"/>
  <c r="J246" i="1"/>
  <c r="I246" i="1"/>
  <c r="K246" i="1" s="1"/>
  <c r="J245" i="1"/>
  <c r="I245" i="1"/>
  <c r="J244" i="1"/>
  <c r="I244" i="1"/>
  <c r="K244" i="1" s="1"/>
  <c r="J243" i="1"/>
  <c r="I243" i="1"/>
  <c r="K243" i="1" s="1"/>
  <c r="J242" i="1"/>
  <c r="I242" i="1"/>
  <c r="K242" i="1" s="1"/>
  <c r="J241" i="1"/>
  <c r="I241" i="1"/>
  <c r="K241" i="1" s="1"/>
  <c r="J240" i="1"/>
  <c r="I240" i="1"/>
  <c r="K240" i="1" s="1"/>
  <c r="J239" i="1"/>
  <c r="I239" i="1"/>
  <c r="K239" i="1" s="1"/>
  <c r="J238" i="1"/>
  <c r="I238" i="1"/>
  <c r="K238" i="1" s="1"/>
  <c r="J237" i="1"/>
  <c r="I237" i="1"/>
  <c r="K237" i="1" s="1"/>
  <c r="J236" i="1"/>
  <c r="I236" i="1"/>
  <c r="K236" i="1" s="1"/>
  <c r="J235" i="1"/>
  <c r="I235" i="1"/>
  <c r="K235" i="1" s="1"/>
  <c r="J234" i="1"/>
  <c r="I234" i="1"/>
  <c r="K234" i="1" s="1"/>
  <c r="J233" i="1"/>
  <c r="I233" i="1"/>
  <c r="J232" i="1"/>
  <c r="I232" i="1"/>
  <c r="K232" i="1" s="1"/>
  <c r="L232" i="1" s="1"/>
  <c r="J231" i="1"/>
  <c r="I231" i="1"/>
  <c r="J230" i="1"/>
  <c r="I230" i="1"/>
  <c r="J229" i="1"/>
  <c r="I229" i="1"/>
  <c r="J228" i="1"/>
  <c r="I228" i="1"/>
  <c r="K228" i="1" s="1"/>
  <c r="J227" i="1"/>
  <c r="I227" i="1"/>
  <c r="K227" i="1" s="1"/>
  <c r="J226" i="1"/>
  <c r="I226" i="1"/>
  <c r="K226" i="1" s="1"/>
  <c r="J225" i="1"/>
  <c r="I225" i="1"/>
  <c r="K225" i="1" s="1"/>
  <c r="J224" i="1"/>
  <c r="I224" i="1"/>
  <c r="K224" i="1" s="1"/>
  <c r="J223" i="1"/>
  <c r="I223" i="1"/>
  <c r="K223" i="1" s="1"/>
  <c r="J222" i="1"/>
  <c r="I222" i="1"/>
  <c r="K222" i="1" s="1"/>
  <c r="J221" i="1"/>
  <c r="I221" i="1"/>
  <c r="K221" i="1" s="1"/>
  <c r="J220" i="1"/>
  <c r="I220" i="1"/>
  <c r="J219" i="1"/>
  <c r="I219" i="1"/>
  <c r="K219" i="1" s="1"/>
  <c r="J218" i="1"/>
  <c r="I218" i="1"/>
  <c r="K218" i="1" s="1"/>
  <c r="J217" i="1"/>
  <c r="I217" i="1"/>
  <c r="K217" i="1" s="1"/>
  <c r="J216" i="1"/>
  <c r="I216" i="1"/>
  <c r="K216" i="1" s="1"/>
  <c r="J215" i="1"/>
  <c r="I215" i="1"/>
  <c r="K215" i="1" s="1"/>
  <c r="J214" i="1"/>
  <c r="I214" i="1"/>
  <c r="K214" i="1" s="1"/>
  <c r="J213" i="1"/>
  <c r="I213" i="1"/>
  <c r="K213" i="1" s="1"/>
  <c r="J212" i="1"/>
  <c r="I212" i="1"/>
  <c r="K212" i="1" s="1"/>
  <c r="J211" i="1"/>
  <c r="I211" i="1"/>
  <c r="J210" i="1"/>
  <c r="I210" i="1"/>
  <c r="K210" i="1" s="1"/>
  <c r="J209" i="1"/>
  <c r="I209" i="1"/>
  <c r="K209" i="1" s="1"/>
  <c r="J208" i="1"/>
  <c r="I208" i="1"/>
  <c r="K208" i="1" s="1"/>
  <c r="L208" i="1" s="1"/>
  <c r="J207" i="1"/>
  <c r="I207" i="1"/>
  <c r="K207" i="1" s="1"/>
  <c r="J206" i="1"/>
  <c r="I206" i="1"/>
  <c r="K206" i="1" s="1"/>
  <c r="J205" i="1"/>
  <c r="I205" i="1"/>
  <c r="J204" i="1"/>
  <c r="I204" i="1"/>
  <c r="K204" i="1" s="1"/>
  <c r="J203" i="1"/>
  <c r="I203" i="1"/>
  <c r="K203" i="1" s="1"/>
  <c r="J202" i="1"/>
  <c r="I202" i="1"/>
  <c r="K202" i="1" s="1"/>
  <c r="J201" i="1"/>
  <c r="I201" i="1"/>
  <c r="K201" i="1" s="1"/>
  <c r="J200" i="1"/>
  <c r="I200" i="1"/>
  <c r="K200" i="1" s="1"/>
  <c r="J199" i="1"/>
  <c r="I199" i="1"/>
  <c r="K199" i="1" s="1"/>
  <c r="J198" i="1"/>
  <c r="I198" i="1"/>
  <c r="K198" i="1" s="1"/>
  <c r="J197" i="1"/>
  <c r="I197" i="1"/>
  <c r="K197" i="1" s="1"/>
  <c r="J196" i="1"/>
  <c r="I196" i="1"/>
  <c r="K196" i="1" s="1"/>
  <c r="J195" i="1"/>
  <c r="I195" i="1"/>
  <c r="J194" i="1"/>
  <c r="I194" i="1"/>
  <c r="K194" i="1" s="1"/>
  <c r="J193" i="1"/>
  <c r="I193" i="1"/>
  <c r="K193" i="1" s="1"/>
  <c r="J192" i="1"/>
  <c r="I192" i="1"/>
  <c r="J191" i="1"/>
  <c r="I191" i="1"/>
  <c r="K191" i="1" s="1"/>
  <c r="J190" i="1"/>
  <c r="I190" i="1"/>
  <c r="K190" i="1" s="1"/>
  <c r="J189" i="1"/>
  <c r="I189" i="1"/>
  <c r="K189" i="1" s="1"/>
  <c r="J188" i="1"/>
  <c r="I188" i="1"/>
  <c r="K188" i="1" s="1"/>
  <c r="L188" i="1" s="1"/>
  <c r="J187" i="1"/>
  <c r="I187" i="1"/>
  <c r="K187" i="1" s="1"/>
  <c r="J186" i="1"/>
  <c r="I186" i="1"/>
  <c r="K186" i="1" s="1"/>
  <c r="J185" i="1"/>
  <c r="I185" i="1"/>
  <c r="K185" i="1" s="1"/>
  <c r="J184" i="1"/>
  <c r="I184" i="1"/>
  <c r="J183" i="1"/>
  <c r="I183" i="1"/>
  <c r="K183" i="1" s="1"/>
  <c r="J182" i="1"/>
  <c r="I182" i="1"/>
  <c r="K182" i="1" s="1"/>
  <c r="J181" i="1"/>
  <c r="I181" i="1"/>
  <c r="K181" i="1" s="1"/>
  <c r="J180" i="1"/>
  <c r="I180" i="1"/>
  <c r="K180" i="1" s="1"/>
  <c r="J179" i="1"/>
  <c r="I179" i="1"/>
  <c r="K179" i="1" s="1"/>
  <c r="J178" i="1"/>
  <c r="I178" i="1"/>
  <c r="K178" i="1" s="1"/>
  <c r="J177" i="1"/>
  <c r="I177" i="1"/>
  <c r="K177" i="1" s="1"/>
  <c r="J176" i="1"/>
  <c r="I176" i="1"/>
  <c r="K176" i="1" s="1"/>
  <c r="J175" i="1"/>
  <c r="I175" i="1"/>
  <c r="J174" i="1"/>
  <c r="I174" i="1"/>
  <c r="K174" i="1" s="1"/>
  <c r="J173" i="1"/>
  <c r="I173" i="1"/>
  <c r="K173" i="1" s="1"/>
  <c r="J172" i="1"/>
  <c r="I172" i="1"/>
  <c r="K172" i="1" s="1"/>
  <c r="J171" i="1"/>
  <c r="I171" i="1"/>
  <c r="K171" i="1" s="1"/>
  <c r="J170" i="1"/>
  <c r="I170" i="1"/>
  <c r="K170" i="1" s="1"/>
  <c r="J169" i="1"/>
  <c r="I169" i="1"/>
  <c r="K169" i="1" s="1"/>
  <c r="J168" i="1"/>
  <c r="I168" i="1"/>
  <c r="J167" i="1"/>
  <c r="I167" i="1"/>
  <c r="K167" i="1" s="1"/>
  <c r="J166" i="1"/>
  <c r="I166" i="1"/>
  <c r="K166" i="1" s="1"/>
  <c r="J165" i="1"/>
  <c r="I165" i="1"/>
  <c r="K165" i="1" s="1"/>
  <c r="J164" i="1"/>
  <c r="I164" i="1"/>
  <c r="K164" i="1" s="1"/>
  <c r="J163" i="1"/>
  <c r="I163" i="1"/>
  <c r="K163" i="1" s="1"/>
  <c r="J162" i="1"/>
  <c r="I162" i="1"/>
  <c r="K162" i="1" s="1"/>
  <c r="J161" i="1"/>
  <c r="I161" i="1"/>
  <c r="K161" i="1" s="1"/>
  <c r="J160" i="1"/>
  <c r="I160" i="1"/>
  <c r="K160" i="1" s="1"/>
  <c r="J159" i="1"/>
  <c r="I159" i="1"/>
  <c r="K159" i="1" s="1"/>
  <c r="J158" i="1"/>
  <c r="I158" i="1"/>
  <c r="K158" i="1" s="1"/>
  <c r="J157" i="1"/>
  <c r="I157" i="1"/>
  <c r="K157" i="1" s="1"/>
  <c r="J156" i="1"/>
  <c r="I156" i="1"/>
  <c r="K156" i="1" s="1"/>
  <c r="J155" i="1"/>
  <c r="I155" i="1"/>
  <c r="J154" i="1"/>
  <c r="I154" i="1"/>
  <c r="K154" i="1" s="1"/>
  <c r="J153" i="1"/>
  <c r="I153" i="1"/>
  <c r="K153" i="1" s="1"/>
  <c r="J152" i="1"/>
  <c r="I152" i="1"/>
  <c r="K152" i="1" s="1"/>
  <c r="J151" i="1"/>
  <c r="I151" i="1"/>
  <c r="K151" i="1" s="1"/>
  <c r="J150" i="1"/>
  <c r="I150" i="1"/>
  <c r="J149" i="1"/>
  <c r="I149" i="1"/>
  <c r="J148" i="1"/>
  <c r="I148" i="1"/>
  <c r="K148" i="1" s="1"/>
  <c r="J147" i="1"/>
  <c r="I147" i="1"/>
  <c r="J146" i="1"/>
  <c r="I146" i="1"/>
  <c r="K146" i="1" s="1"/>
  <c r="J145" i="1"/>
  <c r="I145" i="1"/>
  <c r="J144" i="1"/>
  <c r="I144" i="1"/>
  <c r="K144" i="1" s="1"/>
  <c r="L144" i="1" s="1"/>
  <c r="J143" i="1"/>
  <c r="I143" i="1"/>
  <c r="J142" i="1"/>
  <c r="I142" i="1"/>
  <c r="K142" i="1" s="1"/>
  <c r="J141" i="1"/>
  <c r="I141" i="1"/>
  <c r="K141" i="1" s="1"/>
  <c r="J140" i="1"/>
  <c r="I140" i="1"/>
  <c r="K140" i="1" s="1"/>
  <c r="J139" i="1"/>
  <c r="I139" i="1"/>
  <c r="K139" i="1" s="1"/>
  <c r="J138" i="1"/>
  <c r="I138" i="1"/>
  <c r="K138" i="1" s="1"/>
  <c r="J137" i="1"/>
  <c r="I137" i="1"/>
  <c r="K137" i="1" s="1"/>
  <c r="J136" i="1"/>
  <c r="I136" i="1"/>
  <c r="K136" i="1" s="1"/>
  <c r="J135" i="1"/>
  <c r="I135" i="1"/>
  <c r="K135" i="1" s="1"/>
  <c r="J134" i="1"/>
  <c r="I134" i="1"/>
  <c r="K134" i="1" s="1"/>
  <c r="J133" i="1"/>
  <c r="I133" i="1"/>
  <c r="K133" i="1" s="1"/>
  <c r="J132" i="1"/>
  <c r="I132" i="1"/>
  <c r="K132" i="1" s="1"/>
  <c r="J131" i="1"/>
  <c r="I131" i="1"/>
  <c r="K131" i="1" s="1"/>
  <c r="J130" i="1"/>
  <c r="I130" i="1"/>
  <c r="J129" i="1"/>
  <c r="I129" i="1"/>
  <c r="J128" i="1"/>
  <c r="I128" i="1"/>
  <c r="K128" i="1" s="1"/>
  <c r="J127" i="1"/>
  <c r="I127" i="1"/>
  <c r="K127" i="1" s="1"/>
  <c r="J126" i="1"/>
  <c r="I126" i="1"/>
  <c r="K126" i="1" s="1"/>
  <c r="J125" i="1"/>
  <c r="I125" i="1"/>
  <c r="K125" i="1" s="1"/>
  <c r="J124" i="1"/>
  <c r="I124" i="1"/>
  <c r="J123" i="1"/>
  <c r="I123" i="1"/>
  <c r="K123" i="1" s="1"/>
  <c r="J122" i="1"/>
  <c r="I122" i="1"/>
  <c r="K122" i="1" s="1"/>
  <c r="J121" i="1"/>
  <c r="I121" i="1"/>
  <c r="K121" i="1" s="1"/>
  <c r="J120" i="1"/>
  <c r="I120" i="1"/>
  <c r="K120" i="1" s="1"/>
  <c r="J119" i="1"/>
  <c r="I119" i="1"/>
  <c r="K119" i="1" s="1"/>
  <c r="J118" i="1"/>
  <c r="I118" i="1"/>
  <c r="K118" i="1" s="1"/>
  <c r="J117" i="1"/>
  <c r="I117" i="1"/>
  <c r="K117" i="1" s="1"/>
  <c r="J116" i="1"/>
  <c r="I116" i="1"/>
  <c r="K116" i="1" s="1"/>
  <c r="J115" i="1"/>
  <c r="I115" i="1"/>
  <c r="K115" i="1" s="1"/>
  <c r="J114" i="1"/>
  <c r="I114" i="1"/>
  <c r="K114" i="1" s="1"/>
  <c r="J113" i="1"/>
  <c r="I113" i="1"/>
  <c r="K113" i="1" s="1"/>
  <c r="J112" i="1"/>
  <c r="I112" i="1"/>
  <c r="K112" i="1" s="1"/>
  <c r="J111" i="1"/>
  <c r="I111" i="1"/>
  <c r="J110" i="1"/>
  <c r="I110" i="1"/>
  <c r="J109" i="1"/>
  <c r="I109" i="1"/>
  <c r="J108" i="1"/>
  <c r="I108" i="1"/>
  <c r="K108" i="1" s="1"/>
  <c r="J107" i="1"/>
  <c r="I107" i="1"/>
  <c r="K107" i="1" s="1"/>
  <c r="J106" i="1"/>
  <c r="I106" i="1"/>
  <c r="K106" i="1" s="1"/>
  <c r="J105" i="1"/>
  <c r="I105" i="1"/>
  <c r="J104" i="1"/>
  <c r="I104" i="1"/>
  <c r="K104" i="1" s="1"/>
  <c r="J103" i="1"/>
  <c r="I103" i="1"/>
  <c r="J102" i="1"/>
  <c r="I102" i="1"/>
  <c r="K102" i="1" s="1"/>
  <c r="J101" i="1"/>
  <c r="I101" i="1"/>
  <c r="K101" i="1" s="1"/>
  <c r="J100" i="1"/>
  <c r="I100" i="1"/>
  <c r="K100" i="1" s="1"/>
  <c r="L100" i="1" s="1"/>
  <c r="J99" i="1"/>
  <c r="I99" i="1"/>
  <c r="K99" i="1" s="1"/>
  <c r="J98" i="1"/>
  <c r="I98" i="1"/>
  <c r="K98" i="1" s="1"/>
  <c r="J97" i="1"/>
  <c r="I97" i="1"/>
  <c r="K97" i="1" s="1"/>
  <c r="J96" i="1"/>
  <c r="I96" i="1"/>
  <c r="K96" i="1" s="1"/>
  <c r="J95" i="1"/>
  <c r="I95" i="1"/>
  <c r="K95" i="1" s="1"/>
  <c r="L95" i="1" s="1"/>
  <c r="J94" i="1"/>
  <c r="I94" i="1"/>
  <c r="K94" i="1" s="1"/>
  <c r="J93" i="1"/>
  <c r="I93" i="1"/>
  <c r="K93" i="1" s="1"/>
  <c r="J92" i="1"/>
  <c r="I92" i="1"/>
  <c r="K92" i="1" s="1"/>
  <c r="J91" i="1"/>
  <c r="I91" i="1"/>
  <c r="K91" i="1" s="1"/>
  <c r="J90" i="1"/>
  <c r="I90" i="1"/>
  <c r="K90" i="1" s="1"/>
  <c r="J89" i="1"/>
  <c r="I89" i="1"/>
  <c r="K89" i="1" s="1"/>
  <c r="J88" i="1"/>
  <c r="I88" i="1"/>
  <c r="K88" i="1" s="1"/>
  <c r="J87" i="1"/>
  <c r="I87" i="1"/>
  <c r="K87" i="1" s="1"/>
  <c r="J86" i="1"/>
  <c r="I86" i="1"/>
  <c r="K86" i="1" s="1"/>
  <c r="J85" i="1"/>
  <c r="I85" i="1"/>
  <c r="K85" i="1" s="1"/>
  <c r="J84" i="1"/>
  <c r="I84" i="1"/>
  <c r="K84" i="1" s="1"/>
  <c r="J83" i="1"/>
  <c r="I83" i="1"/>
  <c r="K83" i="1" s="1"/>
  <c r="J82" i="1"/>
  <c r="I82" i="1"/>
  <c r="K82" i="1" s="1"/>
  <c r="J81" i="1"/>
  <c r="I81" i="1"/>
  <c r="K81" i="1" s="1"/>
  <c r="J80" i="1"/>
  <c r="I80" i="1"/>
  <c r="K80" i="1" s="1"/>
  <c r="L80" i="1" s="1"/>
  <c r="J79" i="1"/>
  <c r="I79" i="1"/>
  <c r="K79" i="1" s="1"/>
  <c r="J78" i="1"/>
  <c r="I78" i="1"/>
  <c r="K78" i="1" s="1"/>
  <c r="J77" i="1"/>
  <c r="I77" i="1"/>
  <c r="K77" i="1" s="1"/>
  <c r="L77" i="1" s="1"/>
  <c r="J76" i="1"/>
  <c r="I76" i="1"/>
  <c r="K76" i="1" s="1"/>
  <c r="J75" i="1"/>
  <c r="I75" i="1"/>
  <c r="K75" i="1" s="1"/>
  <c r="J74" i="1"/>
  <c r="I74" i="1"/>
  <c r="K74" i="1" s="1"/>
  <c r="J73" i="1"/>
  <c r="I73" i="1"/>
  <c r="K73" i="1" s="1"/>
  <c r="J72" i="1"/>
  <c r="I72" i="1"/>
  <c r="J71" i="1"/>
  <c r="I71" i="1"/>
  <c r="K71" i="1" s="1"/>
  <c r="J70" i="1"/>
  <c r="I70" i="1"/>
  <c r="K70" i="1" s="1"/>
  <c r="J69" i="1"/>
  <c r="I69" i="1"/>
  <c r="K69" i="1" s="1"/>
  <c r="J68" i="1"/>
  <c r="I68" i="1"/>
  <c r="K68" i="1" s="1"/>
  <c r="J67" i="1"/>
  <c r="I67" i="1"/>
  <c r="K67" i="1" s="1"/>
  <c r="J66" i="1"/>
  <c r="I66" i="1"/>
  <c r="K66" i="1" s="1"/>
  <c r="J65" i="1"/>
  <c r="I65" i="1"/>
  <c r="K65" i="1" s="1"/>
  <c r="J64" i="1"/>
  <c r="I64" i="1"/>
  <c r="K64" i="1" s="1"/>
  <c r="J63" i="1"/>
  <c r="I63" i="1"/>
  <c r="J62" i="1"/>
  <c r="I62" i="1"/>
  <c r="K62" i="1" s="1"/>
  <c r="J61" i="1"/>
  <c r="I61" i="1"/>
  <c r="K61" i="1" s="1"/>
  <c r="J60" i="1"/>
  <c r="I60" i="1"/>
  <c r="J59" i="1"/>
  <c r="I59" i="1"/>
  <c r="K59" i="1" s="1"/>
  <c r="J58" i="1"/>
  <c r="I58" i="1"/>
  <c r="K58" i="1" s="1"/>
  <c r="J57" i="1"/>
  <c r="I57" i="1"/>
  <c r="K57" i="1" s="1"/>
  <c r="J56" i="1"/>
  <c r="I56" i="1"/>
  <c r="K56" i="1" s="1"/>
  <c r="J55" i="1"/>
  <c r="I55" i="1"/>
  <c r="K55" i="1" s="1"/>
  <c r="J54" i="1"/>
  <c r="I54" i="1"/>
  <c r="K54" i="1" s="1"/>
  <c r="J53" i="1"/>
  <c r="I53" i="1"/>
  <c r="K53" i="1" s="1"/>
  <c r="J52" i="1"/>
  <c r="I52" i="1"/>
  <c r="J51" i="1"/>
  <c r="I51" i="1"/>
  <c r="K51" i="1" s="1"/>
  <c r="J50" i="1"/>
  <c r="I50" i="1"/>
  <c r="K50" i="1" s="1"/>
  <c r="J49" i="1"/>
  <c r="I49" i="1"/>
  <c r="K49" i="1" s="1"/>
  <c r="J48" i="1"/>
  <c r="I48" i="1"/>
  <c r="K48" i="1" s="1"/>
  <c r="J47" i="1"/>
  <c r="I47" i="1"/>
  <c r="K47" i="1" s="1"/>
  <c r="J46" i="1"/>
  <c r="I46" i="1"/>
  <c r="K46" i="1" s="1"/>
  <c r="J45" i="1"/>
  <c r="I45" i="1"/>
  <c r="K45" i="1" s="1"/>
  <c r="J44" i="1"/>
  <c r="I44" i="1"/>
  <c r="K44" i="1" s="1"/>
  <c r="L44" i="1" s="1"/>
  <c r="J43" i="1"/>
  <c r="I43" i="1"/>
  <c r="J42" i="1"/>
  <c r="I42" i="1"/>
  <c r="K42" i="1" s="1"/>
  <c r="J41" i="1"/>
  <c r="I41" i="1"/>
  <c r="K41" i="1" s="1"/>
  <c r="J40" i="1"/>
  <c r="I40" i="1"/>
  <c r="K40" i="1" s="1"/>
  <c r="J39" i="1"/>
  <c r="I39" i="1"/>
  <c r="K39" i="1" s="1"/>
  <c r="J38" i="1"/>
  <c r="I38" i="1"/>
  <c r="K38" i="1" s="1"/>
  <c r="J37" i="1"/>
  <c r="I37" i="1"/>
  <c r="K37" i="1" s="1"/>
  <c r="J36" i="1"/>
  <c r="I36" i="1"/>
  <c r="K36" i="1" s="1"/>
  <c r="J35" i="1"/>
  <c r="I35" i="1"/>
  <c r="K35" i="1" s="1"/>
  <c r="J34" i="1"/>
  <c r="I34" i="1"/>
  <c r="K34" i="1" s="1"/>
  <c r="J33" i="1"/>
  <c r="I33" i="1"/>
  <c r="K33" i="1" s="1"/>
  <c r="J32" i="1"/>
  <c r="I32" i="1"/>
  <c r="K32" i="1" s="1"/>
  <c r="J31" i="1"/>
  <c r="I31" i="1"/>
  <c r="K31" i="1" s="1"/>
  <c r="J30" i="1"/>
  <c r="I30" i="1"/>
  <c r="J29" i="1"/>
  <c r="I29" i="1"/>
  <c r="K29" i="1" s="1"/>
  <c r="J28" i="1"/>
  <c r="I28" i="1"/>
  <c r="K28" i="1" s="1"/>
  <c r="J27" i="1"/>
  <c r="I27" i="1"/>
  <c r="K27" i="1" s="1"/>
  <c r="J26" i="1"/>
  <c r="I26" i="1"/>
  <c r="K26" i="1" s="1"/>
  <c r="J25" i="1"/>
  <c r="I25" i="1"/>
  <c r="K25" i="1" s="1"/>
  <c r="J24" i="1"/>
  <c r="I24" i="1"/>
  <c r="K24" i="1" s="1"/>
  <c r="J23" i="1"/>
  <c r="I23" i="1"/>
  <c r="J22" i="1"/>
  <c r="I22" i="1"/>
  <c r="K22" i="1" s="1"/>
  <c r="J21" i="1"/>
  <c r="I21" i="1"/>
  <c r="K21" i="1" s="1"/>
  <c r="J20" i="1"/>
  <c r="I20" i="1"/>
  <c r="K20" i="1" s="1"/>
  <c r="J19" i="1"/>
  <c r="I19" i="1"/>
  <c r="K19" i="1" s="1"/>
  <c r="J18" i="1"/>
  <c r="I18" i="1"/>
  <c r="K18" i="1" s="1"/>
  <c r="J17" i="1"/>
  <c r="I17" i="1"/>
  <c r="K17" i="1" s="1"/>
  <c r="J16" i="1"/>
  <c r="I16" i="1"/>
  <c r="K16" i="1" s="1"/>
  <c r="J15" i="1"/>
  <c r="I15" i="1"/>
  <c r="K15" i="1" s="1"/>
  <c r="J14" i="1"/>
  <c r="I14" i="1"/>
  <c r="K14" i="1" s="1"/>
  <c r="J13" i="1"/>
  <c r="I13" i="1"/>
  <c r="K13" i="1" s="1"/>
  <c r="J12" i="1"/>
  <c r="I12" i="1"/>
  <c r="K12" i="1" s="1"/>
  <c r="J11" i="1"/>
  <c r="I11" i="1"/>
  <c r="J10" i="1"/>
  <c r="I10" i="1"/>
  <c r="K10" i="1" s="1"/>
  <c r="J9" i="1"/>
  <c r="I9" i="1"/>
  <c r="K9" i="1" s="1"/>
  <c r="J8" i="1"/>
  <c r="I8" i="1"/>
  <c r="K8" i="1" s="1"/>
  <c r="J7" i="1"/>
  <c r="I7" i="1"/>
  <c r="K7" i="1" s="1"/>
  <c r="J6" i="1"/>
  <c r="I6" i="1"/>
  <c r="K6" i="1" s="1"/>
  <c r="J5" i="1"/>
  <c r="I5" i="1"/>
  <c r="K5" i="1" s="1"/>
  <c r="J4" i="1"/>
  <c r="I4" i="1"/>
  <c r="J3" i="1"/>
  <c r="I3" i="1"/>
  <c r="J2" i="1"/>
  <c r="I2" i="1"/>
  <c r="K2" i="1" s="1"/>
  <c r="L292" i="1" l="1"/>
  <c r="L97" i="1"/>
  <c r="N2" i="9"/>
  <c r="M154" i="9" s="1"/>
  <c r="N5" i="9"/>
  <c r="L14" i="1"/>
  <c r="L70" i="1"/>
  <c r="V72" i="1" s="1"/>
  <c r="L82" i="1"/>
  <c r="L154" i="1"/>
  <c r="L178" i="1"/>
  <c r="L198" i="1"/>
  <c r="L238" i="1"/>
  <c r="L242" i="1"/>
  <c r="L262" i="1"/>
  <c r="L282" i="1"/>
  <c r="L302" i="1"/>
  <c r="V84" i="1" s="1"/>
  <c r="L42" i="1"/>
  <c r="L73" i="1"/>
  <c r="V75" i="1" s="1"/>
  <c r="L93" i="1"/>
  <c r="L46" i="1"/>
  <c r="L56" i="1"/>
  <c r="L106" i="1"/>
  <c r="L116" i="1"/>
  <c r="L126" i="1"/>
  <c r="L136" i="1"/>
  <c r="L216" i="1"/>
  <c r="L236" i="1"/>
  <c r="L246" i="1"/>
  <c r="L256" i="1"/>
  <c r="L276" i="1"/>
  <c r="L286" i="1"/>
  <c r="L296" i="1"/>
  <c r="L316" i="1"/>
  <c r="V98" i="1" s="1"/>
  <c r="L176" i="1"/>
  <c r="L258" i="1"/>
  <c r="L319" i="1"/>
  <c r="V101" i="1" s="1"/>
  <c r="L161" i="1"/>
  <c r="L212" i="1"/>
  <c r="L222" i="1"/>
  <c r="L318" i="1"/>
  <c r="V100" i="1" s="1"/>
  <c r="L6" i="1"/>
  <c r="L16" i="1"/>
  <c r="L26" i="1"/>
  <c r="L36" i="1"/>
  <c r="L85" i="1"/>
  <c r="L206" i="1"/>
  <c r="L76" i="1"/>
  <c r="V78" i="1" s="1"/>
  <c r="L166" i="1"/>
  <c r="L186" i="1"/>
  <c r="L196" i="1"/>
  <c r="L156" i="1"/>
  <c r="L306" i="1"/>
  <c r="V88" i="1" s="1"/>
  <c r="L218" i="1"/>
  <c r="L228" i="1"/>
  <c r="L248" i="1"/>
  <c r="L268" i="1"/>
  <c r="L278" i="1"/>
  <c r="L288" i="1"/>
  <c r="L298" i="1"/>
  <c r="L308" i="1"/>
  <c r="V90" i="1" s="1"/>
  <c r="L201" i="1"/>
  <c r="L12" i="1"/>
  <c r="L79" i="1"/>
  <c r="V81" i="1" s="1"/>
  <c r="L202" i="1"/>
  <c r="L267" i="1"/>
  <c r="L285" i="1"/>
  <c r="L41" i="1"/>
  <c r="L22" i="1"/>
  <c r="L32" i="1"/>
  <c r="L61" i="1"/>
  <c r="L89" i="1"/>
  <c r="L98" i="1"/>
  <c r="L165" i="1"/>
  <c r="L193" i="1"/>
  <c r="L239" i="1"/>
  <c r="L295" i="1"/>
  <c r="K220" i="1"/>
  <c r="L220" i="1" s="1"/>
  <c r="K60" i="1"/>
  <c r="L60" i="1" s="1"/>
  <c r="L221" i="1"/>
  <c r="L305" i="1"/>
  <c r="V87" i="1" s="1"/>
  <c r="L20" i="1"/>
  <c r="L62" i="1"/>
  <c r="V64" i="1" s="1"/>
  <c r="L240" i="1"/>
  <c r="L315" i="1"/>
  <c r="V97" i="1" s="1"/>
  <c r="L58" i="1"/>
  <c r="L59" i="1"/>
  <c r="L99" i="1"/>
  <c r="L5" i="1"/>
  <c r="L81" i="1"/>
  <c r="V83" i="1" s="1"/>
  <c r="L118" i="1"/>
  <c r="L185" i="1"/>
  <c r="L259" i="1"/>
  <c r="K257" i="1"/>
  <c r="L257" i="1" s="1"/>
  <c r="L138" i="1"/>
  <c r="L241" i="1"/>
  <c r="L15" i="1"/>
  <c r="L119" i="1"/>
  <c r="L158" i="1"/>
  <c r="L260" i="1"/>
  <c r="K195" i="1"/>
  <c r="L195" i="1" s="1"/>
  <c r="K175" i="1"/>
  <c r="L175" i="1" s="1"/>
  <c r="K155" i="1"/>
  <c r="L155" i="1" s="1"/>
  <c r="L35" i="1"/>
  <c r="L317" i="1"/>
  <c r="V99" i="1" s="1"/>
  <c r="L34" i="1"/>
  <c r="L215" i="1"/>
  <c r="L279" i="1"/>
  <c r="K313" i="1"/>
  <c r="L313" i="1" s="1"/>
  <c r="V95" i="1" s="1"/>
  <c r="K233" i="1"/>
  <c r="L233" i="1" s="1"/>
  <c r="L139" i="1"/>
  <c r="L45" i="1"/>
  <c r="L65" i="1"/>
  <c r="V67" i="1" s="1"/>
  <c r="L140" i="1"/>
  <c r="L197" i="1"/>
  <c r="L224" i="1"/>
  <c r="L261" i="1"/>
  <c r="L289" i="1"/>
  <c r="L299" i="1"/>
  <c r="K192" i="1"/>
  <c r="L192" i="1" s="1"/>
  <c r="K72" i="1"/>
  <c r="L72" i="1" s="1"/>
  <c r="V74" i="1" s="1"/>
  <c r="K52" i="1"/>
  <c r="L52" i="1" s="1"/>
  <c r="L92" i="1"/>
  <c r="L101" i="1"/>
  <c r="L83" i="1"/>
  <c r="L102" i="1"/>
  <c r="L121" i="1"/>
  <c r="L169" i="1"/>
  <c r="L234" i="1"/>
  <c r="L243" i="1"/>
  <c r="K231" i="1"/>
  <c r="L231" i="1" s="1"/>
  <c r="K211" i="1"/>
  <c r="L211" i="1" s="1"/>
  <c r="K111" i="1"/>
  <c r="L111" i="1" s="1"/>
  <c r="K11" i="1"/>
  <c r="L11" i="1" s="1"/>
  <c r="L25" i="1"/>
  <c r="L55" i="1"/>
  <c r="L159" i="1"/>
  <c r="L27" i="1"/>
  <c r="L66" i="1"/>
  <c r="V68" i="1" s="1"/>
  <c r="L75" i="1"/>
  <c r="V77" i="1" s="1"/>
  <c r="L112" i="1"/>
  <c r="L141" i="1"/>
  <c r="L225" i="1"/>
  <c r="L309" i="1"/>
  <c r="V91" i="1" s="1"/>
  <c r="K250" i="1"/>
  <c r="L250" i="1" s="1"/>
  <c r="K230" i="1"/>
  <c r="L230" i="1" s="1"/>
  <c r="K150" i="1"/>
  <c r="L150" i="1" s="1"/>
  <c r="K130" i="1"/>
  <c r="L130" i="1" s="1"/>
  <c r="K110" i="1"/>
  <c r="L110" i="1" s="1"/>
  <c r="K30" i="1"/>
  <c r="L30" i="1" s="1"/>
  <c r="L37" i="1"/>
  <c r="L122" i="1"/>
  <c r="L179" i="1"/>
  <c r="K269" i="1"/>
  <c r="L269" i="1" s="1"/>
  <c r="K249" i="1"/>
  <c r="L249" i="1" s="1"/>
  <c r="K229" i="1"/>
  <c r="L229" i="1" s="1"/>
  <c r="K149" i="1"/>
  <c r="L149" i="1" s="1"/>
  <c r="K129" i="1"/>
  <c r="L129" i="1" s="1"/>
  <c r="K109" i="1"/>
  <c r="L109" i="1" s="1"/>
  <c r="L18" i="1"/>
  <c r="L132" i="1"/>
  <c r="L170" i="1"/>
  <c r="L235" i="1"/>
  <c r="L9" i="1"/>
  <c r="L38" i="1"/>
  <c r="L113" i="1"/>
  <c r="L152" i="1"/>
  <c r="L189" i="1"/>
  <c r="K168" i="1"/>
  <c r="L168" i="1" s="1"/>
  <c r="L19" i="1"/>
  <c r="L29" i="1"/>
  <c r="L48" i="1"/>
  <c r="L133" i="1"/>
  <c r="L199" i="1"/>
  <c r="L273" i="1"/>
  <c r="K147" i="1"/>
  <c r="L147" i="1" s="1"/>
  <c r="L114" i="1"/>
  <c r="L162" i="1"/>
  <c r="L190" i="1"/>
  <c r="L209" i="1"/>
  <c r="L255" i="1"/>
  <c r="L320" i="1"/>
  <c r="V102" i="1" s="1"/>
  <c r="L266" i="1"/>
  <c r="L226" i="1"/>
  <c r="L146" i="1"/>
  <c r="L49" i="1"/>
  <c r="L172" i="1"/>
  <c r="L181" i="1"/>
  <c r="L237" i="1"/>
  <c r="K265" i="1"/>
  <c r="L265" i="1" s="1"/>
  <c r="K245" i="1"/>
  <c r="L245" i="1" s="1"/>
  <c r="K205" i="1"/>
  <c r="L205" i="1" s="1"/>
  <c r="K145" i="1"/>
  <c r="L145" i="1" s="1"/>
  <c r="K105" i="1"/>
  <c r="L105" i="1" s="1"/>
  <c r="L39" i="1"/>
  <c r="L293" i="1"/>
  <c r="K184" i="1"/>
  <c r="L184" i="1" s="1"/>
  <c r="K124" i="1"/>
  <c r="L124" i="1" s="1"/>
  <c r="L24" i="1"/>
  <c r="K4" i="1"/>
  <c r="L4" i="1" s="1"/>
  <c r="L69" i="1"/>
  <c r="V71" i="1" s="1"/>
  <c r="L87" i="1"/>
  <c r="L115" i="1"/>
  <c r="L21" i="1"/>
  <c r="L50" i="1"/>
  <c r="L78" i="1"/>
  <c r="V80" i="1" s="1"/>
  <c r="L96" i="1"/>
  <c r="L125" i="1"/>
  <c r="L135" i="1"/>
  <c r="L219" i="1"/>
  <c r="L247" i="1"/>
  <c r="L275" i="1"/>
  <c r="L321" i="1"/>
  <c r="V103" i="1" s="1"/>
  <c r="K283" i="1"/>
  <c r="L283" i="1" s="1"/>
  <c r="K263" i="1"/>
  <c r="L263" i="1" s="1"/>
  <c r="K143" i="1"/>
  <c r="L143" i="1" s="1"/>
  <c r="K103" i="1"/>
  <c r="L103" i="1" s="1"/>
  <c r="K63" i="1"/>
  <c r="L63" i="1" s="1"/>
  <c r="V65" i="1" s="1"/>
  <c r="K43" i="1"/>
  <c r="L43" i="1" s="1"/>
  <c r="K23" i="1"/>
  <c r="L23" i="1" s="1"/>
  <c r="K3" i="1"/>
  <c r="L3" i="1" s="1"/>
  <c r="L71" i="1"/>
  <c r="V73" i="1" s="1"/>
  <c r="L107" i="1"/>
  <c r="L163" i="1"/>
  <c r="L287" i="1"/>
  <c r="L53" i="1"/>
  <c r="L90" i="1"/>
  <c r="L117" i="1"/>
  <c r="L173" i="1"/>
  <c r="L182" i="1"/>
  <c r="L191" i="1"/>
  <c r="L200" i="1"/>
  <c r="L244" i="1"/>
  <c r="L270" i="1"/>
  <c r="L314" i="1"/>
  <c r="V96" i="1" s="1"/>
  <c r="L164" i="1"/>
  <c r="L8" i="1"/>
  <c r="L54" i="1"/>
  <c r="L91" i="1"/>
  <c r="L137" i="1"/>
  <c r="L174" i="1"/>
  <c r="L183" i="1"/>
  <c r="L210" i="1"/>
  <c r="L297" i="1"/>
  <c r="L217" i="1"/>
  <c r="L7" i="1"/>
  <c r="L108" i="1"/>
  <c r="L127" i="1"/>
  <c r="L227" i="1"/>
  <c r="L253" i="1"/>
  <c r="L17" i="1"/>
  <c r="L64" i="1"/>
  <c r="V66" i="1" s="1"/>
  <c r="L128" i="1"/>
  <c r="L254" i="1"/>
  <c r="L271" i="1"/>
  <c r="L280" i="1"/>
  <c r="L74" i="1"/>
  <c r="V76" i="1" s="1"/>
  <c r="L307" i="1"/>
  <c r="V89" i="1" s="1"/>
  <c r="L10" i="1"/>
  <c r="L28" i="1"/>
  <c r="L120" i="1"/>
  <c r="L148" i="1"/>
  <c r="L157" i="1"/>
  <c r="L194" i="1"/>
  <c r="L203" i="1"/>
  <c r="L264" i="1"/>
  <c r="L281" i="1"/>
  <c r="L290" i="1"/>
  <c r="L84" i="1"/>
  <c r="L167" i="1"/>
  <c r="L204" i="1"/>
  <c r="L47" i="1"/>
  <c r="L57" i="1"/>
  <c r="L67" i="1"/>
  <c r="V69" i="1" s="1"/>
  <c r="L94" i="1"/>
  <c r="L131" i="1"/>
  <c r="L177" i="1"/>
  <c r="L213" i="1"/>
  <c r="L274" i="1"/>
  <c r="L291" i="1"/>
  <c r="L300" i="1"/>
  <c r="L68" i="1"/>
  <c r="V70" i="1" s="1"/>
  <c r="L187" i="1"/>
  <c r="L214" i="1"/>
  <c r="L13" i="1"/>
  <c r="L31" i="1"/>
  <c r="L40" i="1"/>
  <c r="L86" i="1"/>
  <c r="L104" i="1"/>
  <c r="L123" i="1"/>
  <c r="L142" i="1"/>
  <c r="L151" i="1"/>
  <c r="L160" i="1"/>
  <c r="L223" i="1"/>
  <c r="L284" i="1"/>
  <c r="L301" i="1"/>
  <c r="L310" i="1"/>
  <c r="V92" i="1" s="1"/>
  <c r="L134" i="1"/>
  <c r="L207" i="1"/>
  <c r="L294" i="1"/>
  <c r="L311" i="1"/>
  <c r="V93" i="1" s="1"/>
  <c r="L33" i="1"/>
  <c r="L51" i="1"/>
  <c r="L88" i="1"/>
  <c r="L153" i="1"/>
  <c r="L171" i="1"/>
  <c r="L180" i="1"/>
  <c r="L251" i="1"/>
  <c r="L277" i="1"/>
  <c r="L303" i="1"/>
  <c r="V85" i="1" s="1"/>
  <c r="L312" i="1"/>
  <c r="V94" i="1" s="1"/>
  <c r="L304" i="1"/>
  <c r="V86" i="1" s="1"/>
  <c r="L2" i="1"/>
  <c r="V82" i="1"/>
  <c r="V79" i="1"/>
  <c r="M153" i="9" l="1"/>
  <c r="M48" i="9"/>
  <c r="M216" i="9"/>
  <c r="M197" i="9"/>
  <c r="M93" i="9"/>
  <c r="M109" i="9"/>
  <c r="M185" i="9"/>
  <c r="M187" i="9"/>
  <c r="M68" i="9"/>
  <c r="M207" i="9"/>
  <c r="M253" i="9"/>
  <c r="M33" i="9"/>
  <c r="M133" i="9"/>
  <c r="M6" i="9"/>
  <c r="M50" i="9"/>
  <c r="M218" i="9"/>
  <c r="M191" i="9"/>
  <c r="M300" i="9"/>
  <c r="M40" i="9"/>
  <c r="M104" i="9"/>
  <c r="M280" i="9"/>
  <c r="M124" i="9"/>
  <c r="M38" i="9"/>
  <c r="M145" i="9"/>
  <c r="M65" i="9"/>
  <c r="M117" i="9"/>
  <c r="M299" i="9"/>
  <c r="M92" i="9"/>
  <c r="M320" i="9"/>
  <c r="M95" i="9"/>
  <c r="M265" i="9"/>
  <c r="M167" i="9"/>
  <c r="M210" i="9"/>
  <c r="M35" i="9"/>
  <c r="M4" i="9"/>
  <c r="M297" i="9"/>
  <c r="M149" i="9"/>
  <c r="M279" i="9"/>
  <c r="M220" i="9"/>
  <c r="M190" i="9"/>
  <c r="M163" i="9"/>
  <c r="M287" i="9"/>
  <c r="M90" i="9"/>
  <c r="M47" i="9"/>
  <c r="M204" i="9"/>
  <c r="M55" i="9"/>
  <c r="M9" i="9"/>
  <c r="M302" i="9"/>
  <c r="M230" i="9"/>
  <c r="M41" i="9"/>
  <c r="M59" i="9"/>
  <c r="M318" i="9"/>
  <c r="M97" i="9"/>
  <c r="M86" i="9"/>
  <c r="M289" i="9"/>
  <c r="M274" i="9"/>
  <c r="M235" i="9"/>
  <c r="M268" i="9"/>
  <c r="M71" i="9"/>
  <c r="M244" i="9"/>
  <c r="M166" i="9"/>
  <c r="M175" i="9"/>
  <c r="M310" i="9"/>
  <c r="M2" i="9"/>
  <c r="M202" i="9"/>
  <c r="M186" i="9"/>
  <c r="M58" i="9"/>
  <c r="M54" i="9"/>
  <c r="M45" i="9"/>
  <c r="M168" i="9"/>
  <c r="M243" i="9"/>
  <c r="M307" i="9"/>
  <c r="M26" i="9"/>
  <c r="M284" i="9"/>
  <c r="M170" i="9"/>
  <c r="M217" i="9"/>
  <c r="M51" i="9"/>
  <c r="M128" i="9"/>
  <c r="M232" i="9"/>
  <c r="M142" i="9"/>
  <c r="M157" i="9"/>
  <c r="M306" i="9"/>
  <c r="M121" i="9"/>
  <c r="M200" i="9"/>
  <c r="M272" i="9"/>
  <c r="M213" i="9"/>
  <c r="M15" i="9"/>
  <c r="M295" i="9"/>
  <c r="M44" i="9"/>
  <c r="M164" i="9"/>
  <c r="M43" i="9"/>
  <c r="M252" i="9"/>
  <c r="M7" i="9"/>
  <c r="M205" i="9"/>
  <c r="M129" i="9"/>
  <c r="M242" i="9"/>
  <c r="M96" i="9"/>
  <c r="M31" i="9"/>
  <c r="M67" i="9"/>
  <c r="M172" i="9"/>
  <c r="M221" i="9"/>
  <c r="M180" i="9"/>
  <c r="M286" i="9"/>
  <c r="M136" i="9"/>
  <c r="M27" i="9"/>
  <c r="M263" i="9"/>
  <c r="M62" i="9"/>
  <c r="M158" i="9"/>
  <c r="M49" i="9"/>
  <c r="M155" i="9"/>
  <c r="M251" i="9"/>
  <c r="M315" i="9"/>
  <c r="M24" i="9"/>
  <c r="M308" i="9"/>
  <c r="M254" i="9"/>
  <c r="M249" i="9"/>
  <c r="M17" i="9"/>
  <c r="M77" i="9"/>
  <c r="M285" i="9"/>
  <c r="M294" i="9"/>
  <c r="M209" i="9"/>
  <c r="M262" i="9"/>
  <c r="M110" i="9"/>
  <c r="M214" i="9"/>
  <c r="M138" i="9"/>
  <c r="M226" i="9"/>
  <c r="M281" i="9"/>
  <c r="M152" i="9"/>
  <c r="M174" i="9"/>
  <c r="M140" i="9"/>
  <c r="M256" i="9"/>
  <c r="M260" i="9"/>
  <c r="M273" i="9"/>
  <c r="M206" i="9"/>
  <c r="M29" i="9"/>
  <c r="M304" i="9"/>
  <c r="M247" i="9"/>
  <c r="M63" i="9"/>
  <c r="M61" i="9"/>
  <c r="M116" i="9"/>
  <c r="M222" i="9"/>
  <c r="M269" i="9"/>
  <c r="M198" i="9"/>
  <c r="M282" i="9"/>
  <c r="M194" i="9"/>
  <c r="M28" i="9"/>
  <c r="M179" i="9"/>
  <c r="M236" i="9"/>
  <c r="M82" i="9"/>
  <c r="M19" i="9"/>
  <c r="M229" i="9"/>
  <c r="M20" i="9"/>
  <c r="M270" i="9"/>
  <c r="M156" i="9"/>
  <c r="M34" i="9"/>
  <c r="M46" i="9"/>
  <c r="M14" i="9"/>
  <c r="M203" i="9"/>
  <c r="M267" i="9"/>
  <c r="M60" i="9"/>
  <c r="M144" i="9"/>
  <c r="M88" i="9"/>
  <c r="M159" i="9"/>
  <c r="M313" i="9"/>
  <c r="M94" i="9"/>
  <c r="M292" i="9"/>
  <c r="M75" i="9"/>
  <c r="M139" i="9"/>
  <c r="M245" i="9"/>
  <c r="M261" i="9"/>
  <c r="M277" i="9"/>
  <c r="M85" i="9"/>
  <c r="M257" i="9"/>
  <c r="M188" i="9"/>
  <c r="M53" i="9"/>
  <c r="M176" i="9"/>
  <c r="M161" i="9"/>
  <c r="M189" i="9"/>
  <c r="M73" i="9"/>
  <c r="M101" i="9"/>
  <c r="M123" i="9"/>
  <c r="M231" i="9"/>
  <c r="M169" i="9"/>
  <c r="M148" i="9"/>
  <c r="M305" i="9"/>
  <c r="M178" i="9"/>
  <c r="M127" i="9"/>
  <c r="M225" i="9"/>
  <c r="M316" i="9"/>
  <c r="M119" i="9"/>
  <c r="M181" i="9"/>
  <c r="M162" i="9"/>
  <c r="M303" i="9"/>
  <c r="M301" i="9"/>
  <c r="M311" i="9"/>
  <c r="M271" i="9"/>
  <c r="M228" i="9"/>
  <c r="M111" i="9"/>
  <c r="M258" i="9"/>
  <c r="M208" i="9"/>
  <c r="M56" i="9"/>
  <c r="M118" i="9"/>
  <c r="M72" i="9"/>
  <c r="M12" i="9"/>
  <c r="M212" i="9"/>
  <c r="M16" i="9"/>
  <c r="M42" i="9"/>
  <c r="M74" i="9"/>
  <c r="M21" i="9"/>
  <c r="M211" i="9"/>
  <c r="M275" i="9"/>
  <c r="M64" i="9"/>
  <c r="M99" i="9"/>
  <c r="M196" i="9"/>
  <c r="M224" i="9"/>
  <c r="M147" i="9"/>
  <c r="M160" i="9"/>
  <c r="M173" i="9"/>
  <c r="M314" i="9"/>
  <c r="M66" i="9"/>
  <c r="M131" i="9"/>
  <c r="M319" i="9"/>
  <c r="M112" i="9"/>
  <c r="M83" i="9"/>
  <c r="M248" i="9"/>
  <c r="M32" i="9"/>
  <c r="M259" i="9"/>
  <c r="M199" i="9"/>
  <c r="M10" i="9"/>
  <c r="M276" i="9"/>
  <c r="M107" i="9"/>
  <c r="M201" i="9"/>
  <c r="M23" i="9"/>
  <c r="M239" i="9"/>
  <c r="M296" i="9"/>
  <c r="M150" i="9"/>
  <c r="M321" i="9"/>
  <c r="M132" i="9"/>
  <c r="M36" i="9"/>
  <c r="M76" i="9"/>
  <c r="M146" i="9"/>
  <c r="M137" i="9"/>
  <c r="M290" i="9"/>
  <c r="M141" i="9"/>
  <c r="M240" i="9"/>
  <c r="M81" i="9"/>
  <c r="M103" i="9"/>
  <c r="M114" i="9"/>
  <c r="M113" i="9"/>
  <c r="M298" i="9"/>
  <c r="M165" i="9"/>
  <c r="M135" i="9"/>
  <c r="M87" i="9"/>
  <c r="M130" i="9"/>
  <c r="M184" i="9"/>
  <c r="M171" i="9"/>
  <c r="M5" i="9"/>
  <c r="M30" i="9"/>
  <c r="M219" i="9"/>
  <c r="M283" i="9"/>
  <c r="M57" i="9"/>
  <c r="M234" i="9"/>
  <c r="M278" i="9"/>
  <c r="M288" i="9"/>
  <c r="M106" i="9"/>
  <c r="M108" i="9"/>
  <c r="M250" i="9"/>
  <c r="M312" i="9"/>
  <c r="M192" i="9"/>
  <c r="M78" i="9"/>
  <c r="M52" i="9"/>
  <c r="M237" i="9"/>
  <c r="M91" i="9"/>
  <c r="M317" i="9"/>
  <c r="M115" i="9"/>
  <c r="M98" i="9"/>
  <c r="M195" i="9"/>
  <c r="M89" i="9"/>
  <c r="M39" i="9"/>
  <c r="M25" i="9"/>
  <c r="M238" i="9"/>
  <c r="M100" i="9"/>
  <c r="M233" i="9"/>
  <c r="M122" i="9"/>
  <c r="M182" i="9"/>
  <c r="M183" i="9"/>
  <c r="M215" i="9"/>
  <c r="M80" i="9"/>
  <c r="M70" i="9"/>
  <c r="M8" i="9"/>
  <c r="M177" i="9"/>
  <c r="M246" i="9"/>
  <c r="M264" i="9"/>
  <c r="M241" i="9"/>
  <c r="M151" i="9"/>
  <c r="M193" i="9"/>
  <c r="M105" i="9"/>
  <c r="M3" i="9"/>
  <c r="M255" i="9"/>
  <c r="M309" i="9"/>
  <c r="M102" i="9"/>
  <c r="M223" i="9"/>
  <c r="M22" i="9"/>
  <c r="M126" i="9"/>
  <c r="M69" i="9"/>
  <c r="M18" i="9"/>
  <c r="M120" i="9"/>
  <c r="M37" i="9"/>
  <c r="M84" i="9"/>
  <c r="M227" i="9"/>
  <c r="M291" i="9"/>
  <c r="M143" i="9"/>
  <c r="M134" i="9"/>
  <c r="M11" i="9"/>
  <c r="M125" i="9"/>
  <c r="M13" i="9"/>
  <c r="M266" i="9"/>
  <c r="M79" i="9"/>
  <c r="M293" i="9"/>
  <c r="N2" i="1"/>
  <c r="M322" i="1" s="1"/>
  <c r="N5" i="1"/>
  <c r="O2" i="9" l="1"/>
  <c r="P211" i="9" s="1"/>
  <c r="P45" i="9"/>
  <c r="P217" i="9"/>
  <c r="P285" i="9"/>
  <c r="M107" i="1"/>
  <c r="M305" i="1"/>
  <c r="M65" i="1"/>
  <c r="M165" i="1"/>
  <c r="M193" i="1"/>
  <c r="M156" i="1"/>
  <c r="M290" i="1"/>
  <c r="M208" i="1"/>
  <c r="M41" i="1"/>
  <c r="M49" i="1"/>
  <c r="M95" i="1"/>
  <c r="M215" i="1"/>
  <c r="M258" i="1"/>
  <c r="M276" i="1"/>
  <c r="M161" i="1"/>
  <c r="M135" i="1"/>
  <c r="M64" i="1"/>
  <c r="M314" i="1"/>
  <c r="M73" i="1"/>
  <c r="M201" i="1"/>
  <c r="M202" i="1"/>
  <c r="M220" i="1"/>
  <c r="M298" i="1"/>
  <c r="M58" i="1"/>
  <c r="M11" i="1"/>
  <c r="M59" i="1"/>
  <c r="M14" i="1"/>
  <c r="M104" i="1"/>
  <c r="M241" i="1"/>
  <c r="M285" i="1"/>
  <c r="M294" i="1"/>
  <c r="M171" i="1"/>
  <c r="M162" i="1"/>
  <c r="M97" i="1"/>
  <c r="M219" i="1"/>
  <c r="M211" i="1"/>
  <c r="M228" i="1"/>
  <c r="M68" i="1"/>
  <c r="M4" i="1"/>
  <c r="M69" i="1"/>
  <c r="M33" i="1"/>
  <c r="M123" i="1"/>
  <c r="M267" i="1"/>
  <c r="M180" i="1"/>
  <c r="M198" i="1"/>
  <c r="M106" i="1"/>
  <c r="M89" i="1"/>
  <c r="M81" i="1"/>
  <c r="M28" i="1"/>
  <c r="M118" i="1"/>
  <c r="M236" i="1"/>
  <c r="M237" i="1"/>
  <c r="M255" i="1"/>
  <c r="M316" i="1"/>
  <c r="M112" i="1"/>
  <c r="M50" i="1"/>
  <c r="M142" i="1"/>
  <c r="M293" i="1"/>
  <c r="M319" i="1"/>
  <c r="M302" i="1"/>
  <c r="M189" i="1"/>
  <c r="M216" i="1"/>
  <c r="M144" i="1"/>
  <c r="M72" i="1"/>
  <c r="M36" i="1"/>
  <c r="M137" i="1"/>
  <c r="M254" i="1"/>
  <c r="M263" i="1"/>
  <c r="M307" i="1"/>
  <c r="M10" i="1"/>
  <c r="M131" i="1"/>
  <c r="M85" i="1"/>
  <c r="M86" i="1"/>
  <c r="M151" i="1"/>
  <c r="M57" i="1"/>
  <c r="M235" i="1"/>
  <c r="M311" i="1"/>
  <c r="M225" i="1"/>
  <c r="M234" i="1"/>
  <c r="M172" i="1"/>
  <c r="M259" i="1"/>
  <c r="M117" i="1"/>
  <c r="M45" i="1"/>
  <c r="M174" i="1"/>
  <c r="M262" i="1"/>
  <c r="M289" i="1"/>
  <c r="M22" i="1"/>
  <c r="M76" i="1"/>
  <c r="M177" i="1"/>
  <c r="M103" i="1"/>
  <c r="M113" i="1"/>
  <c r="M160" i="1"/>
  <c r="M51" i="1"/>
  <c r="M13" i="1"/>
  <c r="M251" i="1"/>
  <c r="M242" i="1"/>
  <c r="M181" i="1"/>
  <c r="M114" i="1"/>
  <c r="M126" i="1"/>
  <c r="M55" i="1"/>
  <c r="M183" i="1"/>
  <c r="M271" i="1"/>
  <c r="M306" i="1"/>
  <c r="M98" i="1"/>
  <c r="M31" i="1"/>
  <c r="M94" i="1"/>
  <c r="M213" i="1"/>
  <c r="M122" i="1"/>
  <c r="M132" i="1"/>
  <c r="M169" i="1"/>
  <c r="M133" i="1"/>
  <c r="M87" i="1"/>
  <c r="M320" i="1"/>
  <c r="M277" i="1"/>
  <c r="M260" i="1"/>
  <c r="M190" i="1"/>
  <c r="M265" i="1"/>
  <c r="M154" i="1"/>
  <c r="M91" i="1"/>
  <c r="M192" i="1"/>
  <c r="M280" i="1"/>
  <c r="M47" i="1"/>
  <c r="M48" i="1"/>
  <c r="M102" i="1"/>
  <c r="M239" i="1"/>
  <c r="M141" i="1"/>
  <c r="M187" i="1"/>
  <c r="M196" i="1"/>
  <c r="M43" i="1"/>
  <c r="M178" i="1"/>
  <c r="M303" i="1"/>
  <c r="M268" i="1"/>
  <c r="M199" i="1"/>
  <c r="M153" i="1"/>
  <c r="M173" i="1"/>
  <c r="M99" i="1"/>
  <c r="M210" i="1"/>
  <c r="M288" i="1"/>
  <c r="M44" i="1"/>
  <c r="M120" i="1"/>
  <c r="M84" i="1"/>
  <c r="M121" i="1"/>
  <c r="M256" i="1"/>
  <c r="M150" i="1"/>
  <c r="M214" i="1"/>
  <c r="M223" i="1"/>
  <c r="M61" i="1"/>
  <c r="M25" i="1"/>
  <c r="M287" i="1"/>
  <c r="M295" i="1"/>
  <c r="M217" i="1"/>
  <c r="M250" i="1"/>
  <c r="M182" i="1"/>
  <c r="M108" i="1"/>
  <c r="M218" i="1"/>
  <c r="M163" i="1"/>
  <c r="M29" i="1"/>
  <c r="M139" i="1"/>
  <c r="M93" i="1"/>
  <c r="M140" i="1"/>
  <c r="M274" i="1"/>
  <c r="M159" i="1"/>
  <c r="M222" i="1"/>
  <c r="M249" i="1"/>
  <c r="M96" i="1"/>
  <c r="M52" i="1"/>
  <c r="M21" i="1"/>
  <c r="M145" i="1"/>
  <c r="M243" i="1"/>
  <c r="M129" i="1"/>
  <c r="M191" i="1"/>
  <c r="M127" i="1"/>
  <c r="M245" i="1"/>
  <c r="M19" i="1"/>
  <c r="M46" i="1"/>
  <c r="M148" i="1"/>
  <c r="M111" i="1"/>
  <c r="M149" i="1"/>
  <c r="M282" i="1"/>
  <c r="M168" i="1"/>
  <c r="M240" i="1"/>
  <c r="M266" i="1"/>
  <c r="M105" i="1"/>
  <c r="M70" i="1"/>
  <c r="M40" i="1"/>
  <c r="M312" i="1"/>
  <c r="M20" i="1"/>
  <c r="M269" i="1"/>
  <c r="M77" i="1"/>
  <c r="M200" i="1"/>
  <c r="M136" i="1"/>
  <c r="M297" i="1"/>
  <c r="M38" i="1"/>
  <c r="M3" i="1"/>
  <c r="M157" i="1"/>
  <c r="M130" i="1"/>
  <c r="M158" i="1"/>
  <c r="M291" i="1"/>
  <c r="M186" i="1"/>
  <c r="M248" i="1"/>
  <c r="M284" i="1"/>
  <c r="M124" i="1"/>
  <c r="M197" i="1"/>
  <c r="M39" i="1"/>
  <c r="M101" i="1"/>
  <c r="M286" i="1"/>
  <c r="M209" i="1"/>
  <c r="M155" i="1"/>
  <c r="M66" i="1"/>
  <c r="M12" i="1"/>
  <c r="M185" i="1"/>
  <c r="M166" i="1"/>
  <c r="M167" i="1"/>
  <c r="M300" i="1"/>
  <c r="M205" i="1"/>
  <c r="M275" i="1"/>
  <c r="M292" i="1"/>
  <c r="M143" i="1"/>
  <c r="M79" i="1"/>
  <c r="M8" i="1"/>
  <c r="M6" i="1"/>
  <c r="M42" i="1"/>
  <c r="M304" i="1"/>
  <c r="M67" i="1"/>
  <c r="M226" i="1"/>
  <c r="M164" i="1"/>
  <c r="M315" i="1"/>
  <c r="M30" i="1"/>
  <c r="M194" i="1"/>
  <c r="M221" i="1"/>
  <c r="M176" i="1"/>
  <c r="M308" i="1"/>
  <c r="M231" i="1"/>
  <c r="M301" i="1"/>
  <c r="M152" i="1"/>
  <c r="M88" i="1"/>
  <c r="M34" i="1"/>
  <c r="M78" i="1"/>
  <c r="M9" i="1"/>
  <c r="M32" i="1"/>
  <c r="M244" i="1"/>
  <c r="M227" i="1"/>
  <c r="M80" i="1"/>
  <c r="M82" i="1"/>
  <c r="M56" i="1"/>
  <c r="M203" i="1"/>
  <c r="M247" i="1"/>
  <c r="M195" i="1"/>
  <c r="M257" i="1"/>
  <c r="M318" i="1"/>
  <c r="M170" i="1"/>
  <c r="M115" i="1"/>
  <c r="M18" i="1"/>
  <c r="M281" i="1"/>
  <c r="M252" i="1"/>
  <c r="M253" i="1"/>
  <c r="M119" i="1"/>
  <c r="M75" i="1"/>
  <c r="M229" i="1"/>
  <c r="M273" i="1"/>
  <c r="M204" i="1"/>
  <c r="M90" i="1"/>
  <c r="M283" i="1"/>
  <c r="M27" i="1"/>
  <c r="M310" i="1"/>
  <c r="M179" i="1"/>
  <c r="M134" i="1"/>
  <c r="M62" i="1"/>
  <c r="M7" i="1"/>
  <c r="M26" i="1"/>
  <c r="M313" i="1"/>
  <c r="M261" i="1"/>
  <c r="M279" i="1"/>
  <c r="M92" i="1"/>
  <c r="M138" i="1"/>
  <c r="M246" i="1"/>
  <c r="M299" i="1"/>
  <c r="M212" i="1"/>
  <c r="M37" i="1"/>
  <c r="M83" i="1"/>
  <c r="M54" i="1"/>
  <c r="M206" i="1"/>
  <c r="M188" i="1"/>
  <c r="M71" i="1"/>
  <c r="M16" i="1"/>
  <c r="M35" i="1"/>
  <c r="M321" i="1"/>
  <c r="M184" i="1"/>
  <c r="M270" i="1"/>
  <c r="M296" i="1"/>
  <c r="M109" i="1"/>
  <c r="M147" i="1"/>
  <c r="M100" i="1"/>
  <c r="M264" i="1"/>
  <c r="M317" i="1"/>
  <c r="M230" i="1"/>
  <c r="M23" i="1"/>
  <c r="M309" i="1"/>
  <c r="M15" i="1"/>
  <c r="M2" i="1"/>
  <c r="M224" i="1"/>
  <c r="M207" i="1"/>
  <c r="M17" i="1"/>
  <c r="M63" i="1"/>
  <c r="M146" i="1"/>
  <c r="M278" i="1"/>
  <c r="M116" i="1"/>
  <c r="M128" i="1"/>
  <c r="M175" i="1"/>
  <c r="M110" i="1"/>
  <c r="M272" i="1"/>
  <c r="M238" i="1"/>
  <c r="M5" i="1"/>
  <c r="M74" i="1"/>
  <c r="M60" i="1"/>
  <c r="M24" i="1"/>
  <c r="M232" i="1"/>
  <c r="M233" i="1"/>
  <c r="M125" i="1"/>
  <c r="M53" i="1"/>
  <c r="P304" i="9" l="1"/>
  <c r="P155" i="9"/>
  <c r="P33" i="9"/>
  <c r="P209" i="9"/>
  <c r="P225" i="9"/>
  <c r="P142" i="9"/>
  <c r="P276" i="9"/>
  <c r="P9" i="9"/>
  <c r="P227" i="9"/>
  <c r="P288" i="9"/>
  <c r="P289" i="9"/>
  <c r="P237" i="9"/>
  <c r="P189" i="9"/>
  <c r="P36" i="9"/>
  <c r="P174" i="9"/>
  <c r="P30" i="9"/>
  <c r="P37" i="9"/>
  <c r="P97" i="9"/>
  <c r="P275" i="9"/>
  <c r="P40" i="9"/>
  <c r="P32" i="9"/>
  <c r="P27" i="9"/>
  <c r="P139" i="9"/>
  <c r="P91" i="9"/>
  <c r="P164" i="9"/>
  <c r="P226" i="9"/>
  <c r="P214" i="9"/>
  <c r="P89" i="9"/>
  <c r="P282" i="9"/>
  <c r="P161" i="9"/>
  <c r="P80" i="9"/>
  <c r="P48" i="9"/>
  <c r="P238" i="9"/>
  <c r="P188" i="9"/>
  <c r="P16" i="9"/>
  <c r="P118" i="9"/>
  <c r="P29" i="9"/>
  <c r="P103" i="9"/>
  <c r="P302" i="9"/>
  <c r="P149" i="9"/>
  <c r="P208" i="9"/>
  <c r="P260" i="9"/>
  <c r="P181" i="9"/>
  <c r="P75" i="9"/>
  <c r="P50" i="9"/>
  <c r="P117" i="9"/>
  <c r="P206" i="9"/>
  <c r="P187" i="9"/>
  <c r="P70" i="9"/>
  <c r="P230" i="9"/>
  <c r="P256" i="9"/>
  <c r="P264" i="9"/>
  <c r="P241" i="9"/>
  <c r="P66" i="9"/>
  <c r="P76" i="9"/>
  <c r="P244" i="9"/>
  <c r="P305" i="9"/>
  <c r="P144" i="9"/>
  <c r="P157" i="9"/>
  <c r="P105" i="9"/>
  <c r="P184" i="9"/>
  <c r="P203" i="9"/>
  <c r="P177" i="9"/>
  <c r="P47" i="9"/>
  <c r="P74" i="9"/>
  <c r="P102" i="9"/>
  <c r="P223" i="9"/>
  <c r="P291" i="9"/>
  <c r="P266" i="9"/>
  <c r="P44" i="9"/>
  <c r="P21" i="9"/>
  <c r="P314" i="9"/>
  <c r="P252" i="9"/>
  <c r="P69" i="9"/>
  <c r="P19" i="9"/>
  <c r="P286" i="9"/>
  <c r="P292" i="9"/>
  <c r="P309" i="9"/>
  <c r="P299" i="9"/>
  <c r="P160" i="9"/>
  <c r="P127" i="9"/>
  <c r="P79" i="9"/>
  <c r="P293" i="9"/>
  <c r="P100" i="9"/>
  <c r="P96" i="9"/>
  <c r="P173" i="9"/>
  <c r="P239" i="9"/>
  <c r="P172" i="9"/>
  <c r="P88" i="9"/>
  <c r="P77" i="9"/>
  <c r="P198" i="9"/>
  <c r="P13" i="9"/>
  <c r="P245" i="9"/>
  <c r="P101" i="9"/>
  <c r="P59" i="9"/>
  <c r="P68" i="9"/>
  <c r="P233" i="9"/>
  <c r="P270" i="9"/>
  <c r="P83" i="9"/>
  <c r="P106" i="9"/>
  <c r="P24" i="9"/>
  <c r="P152" i="9"/>
  <c r="P154" i="9"/>
  <c r="P205" i="9"/>
  <c r="P254" i="9"/>
  <c r="P112" i="9"/>
  <c r="P53" i="9"/>
  <c r="P34" i="9"/>
  <c r="P58" i="9"/>
  <c r="P99" i="9"/>
  <c r="P150" i="9"/>
  <c r="P135" i="9"/>
  <c r="P312" i="9"/>
  <c r="P215" i="9"/>
  <c r="P153" i="9"/>
  <c r="P183" i="9"/>
  <c r="P86" i="9"/>
  <c r="P41" i="9"/>
  <c r="P14" i="9"/>
  <c r="P132" i="9"/>
  <c r="P128" i="9"/>
  <c r="P104" i="9"/>
  <c r="P133" i="9"/>
  <c r="P228" i="9"/>
  <c r="P290" i="9"/>
  <c r="P265" i="9"/>
  <c r="P258" i="9"/>
  <c r="P51" i="9"/>
  <c r="P94" i="9"/>
  <c r="P303" i="9"/>
  <c r="P308" i="9"/>
  <c r="P64" i="9"/>
  <c r="P300" i="9"/>
  <c r="P221" i="9"/>
  <c r="P249" i="9"/>
  <c r="P46" i="9"/>
  <c r="P170" i="9"/>
  <c r="P196" i="9"/>
  <c r="P273" i="9"/>
  <c r="P321" i="9"/>
  <c r="P87" i="9"/>
  <c r="P185" i="9"/>
  <c r="P123" i="9"/>
  <c r="P320" i="9"/>
  <c r="P163" i="9"/>
  <c r="P259" i="9"/>
  <c r="P224" i="9"/>
  <c r="P130" i="9"/>
  <c r="P120" i="9"/>
  <c r="P231" i="9"/>
  <c r="P235" i="9"/>
  <c r="P162" i="9"/>
  <c r="P124" i="9"/>
  <c r="P199" i="9"/>
  <c r="P240" i="9"/>
  <c r="P12" i="9"/>
  <c r="P131" i="9"/>
  <c r="P7" i="9"/>
  <c r="P78" i="9"/>
  <c r="P116" i="9"/>
  <c r="P180" i="9"/>
  <c r="P17" i="9"/>
  <c r="P277" i="9"/>
  <c r="P121" i="9"/>
  <c r="P246" i="9"/>
  <c r="P219" i="9"/>
  <c r="P111" i="9"/>
  <c r="P236" i="9"/>
  <c r="P190" i="9"/>
  <c r="P49" i="9"/>
  <c r="P82" i="9"/>
  <c r="P81" i="9"/>
  <c r="P253" i="9"/>
  <c r="P156" i="9"/>
  <c r="P122" i="9"/>
  <c r="P280" i="9"/>
  <c r="P138" i="9"/>
  <c r="P281" i="9"/>
  <c r="P93" i="9"/>
  <c r="P269" i="9"/>
  <c r="P200" i="9"/>
  <c r="P145" i="9"/>
  <c r="P272" i="9"/>
  <c r="P158" i="9"/>
  <c r="P257" i="9"/>
  <c r="P220" i="9"/>
  <c r="P316" i="9"/>
  <c r="P216" i="9"/>
  <c r="P213" i="9"/>
  <c r="P175" i="9"/>
  <c r="P10" i="9"/>
  <c r="P166" i="9"/>
  <c r="P126" i="9"/>
  <c r="P62" i="9"/>
  <c r="P39" i="9"/>
  <c r="P179" i="9"/>
  <c r="P159" i="9"/>
  <c r="P90" i="9"/>
  <c r="P311" i="9"/>
  <c r="P141" i="9"/>
  <c r="P283" i="9"/>
  <c r="P169" i="9"/>
  <c r="P318" i="9"/>
  <c r="P210" i="9"/>
  <c r="P35" i="9"/>
  <c r="P243" i="9"/>
  <c r="P313" i="9"/>
  <c r="P57" i="9"/>
  <c r="P192" i="9"/>
  <c r="P287" i="9"/>
  <c r="P248" i="9"/>
  <c r="P42" i="9"/>
  <c r="P255" i="9"/>
  <c r="P274" i="9"/>
  <c r="P202" i="9"/>
  <c r="P250" i="9"/>
  <c r="P38" i="9"/>
  <c r="P72" i="9"/>
  <c r="P234" i="9"/>
  <c r="P268" i="9"/>
  <c r="P98" i="9"/>
  <c r="P165" i="9"/>
  <c r="P182" i="9"/>
  <c r="P73" i="9"/>
  <c r="P125" i="9"/>
  <c r="P110" i="9"/>
  <c r="P296" i="9"/>
  <c r="P167" i="9"/>
  <c r="P193" i="9"/>
  <c r="P134" i="9"/>
  <c r="P317" i="9"/>
  <c r="P108" i="9"/>
  <c r="P222" i="9"/>
  <c r="P148" i="9"/>
  <c r="P204" i="9"/>
  <c r="P151" i="9"/>
  <c r="P25" i="9"/>
  <c r="P195" i="9"/>
  <c r="P143" i="9"/>
  <c r="P186" i="9"/>
  <c r="P3" i="9"/>
  <c r="P297" i="9"/>
  <c r="P262" i="9"/>
  <c r="P84" i="9"/>
  <c r="P218" i="9"/>
  <c r="P23" i="9"/>
  <c r="P11" i="9"/>
  <c r="P115" i="9"/>
  <c r="P212" i="9"/>
  <c r="P278" i="9"/>
  <c r="P295" i="9"/>
  <c r="P61" i="9"/>
  <c r="P201" i="9"/>
  <c r="P95" i="9"/>
  <c r="P119" i="9"/>
  <c r="P137" i="9"/>
  <c r="P191" i="9"/>
  <c r="P22" i="9"/>
  <c r="P315" i="9"/>
  <c r="P20" i="9"/>
  <c r="P31" i="9"/>
  <c r="P301" i="9"/>
  <c r="P284" i="9"/>
  <c r="P2" i="9"/>
  <c r="P26" i="9"/>
  <c r="P306" i="9"/>
  <c r="P15" i="9"/>
  <c r="P176" i="9"/>
  <c r="P147" i="9"/>
  <c r="P319" i="9"/>
  <c r="P178" i="9"/>
  <c r="P242" i="9"/>
  <c r="P229" i="9"/>
  <c r="P114" i="9"/>
  <c r="P310" i="9"/>
  <c r="P55" i="9"/>
  <c r="P92" i="9"/>
  <c r="P298" i="9"/>
  <c r="P279" i="9"/>
  <c r="P263" i="9"/>
  <c r="P232" i="9"/>
  <c r="P4" i="9"/>
  <c r="P60" i="9"/>
  <c r="P146" i="9"/>
  <c r="P85" i="9"/>
  <c r="P6" i="9"/>
  <c r="P43" i="9"/>
  <c r="P307" i="9"/>
  <c r="P194" i="9"/>
  <c r="P63" i="9"/>
  <c r="P18" i="9"/>
  <c r="P129" i="9"/>
  <c r="P65" i="9"/>
  <c r="P168" i="9"/>
  <c r="P271" i="9"/>
  <c r="P107" i="9"/>
  <c r="P251" i="9"/>
  <c r="P267" i="9"/>
  <c r="P171" i="9"/>
  <c r="P140" i="9"/>
  <c r="P5" i="9"/>
  <c r="P197" i="9"/>
  <c r="P247" i="9"/>
  <c r="P136" i="9"/>
  <c r="P52" i="9"/>
  <c r="P207" i="9"/>
  <c r="P261" i="9"/>
  <c r="P109" i="9"/>
  <c r="P113" i="9"/>
  <c r="P71" i="9"/>
  <c r="P54" i="9"/>
  <c r="P67" i="9"/>
  <c r="P294" i="9"/>
  <c r="P56" i="9"/>
  <c r="P28" i="9"/>
  <c r="P8" i="9"/>
  <c r="O2" i="1"/>
  <c r="P55" i="1" l="1"/>
  <c r="P322" i="1"/>
  <c r="P216" i="1"/>
  <c r="P259" i="1"/>
  <c r="P117" i="1"/>
  <c r="P121" i="1"/>
  <c r="P159" i="1"/>
  <c r="P48" i="1"/>
  <c r="P256" i="1"/>
  <c r="P105" i="1"/>
  <c r="P304" i="1"/>
  <c r="P273" i="1"/>
  <c r="P146" i="1"/>
  <c r="P156" i="1"/>
  <c r="P22" i="1"/>
  <c r="P155" i="1"/>
  <c r="P243" i="1"/>
  <c r="P221" i="1"/>
  <c r="P201" i="1"/>
  <c r="P202" i="1"/>
  <c r="P97" i="1"/>
  <c r="P33" i="1"/>
  <c r="P75" i="1"/>
  <c r="P189" i="1"/>
  <c r="P116" i="1"/>
  <c r="P183" i="1"/>
  <c r="P137" i="1"/>
  <c r="P280" i="1"/>
  <c r="P254" i="1"/>
  <c r="P213" i="1"/>
  <c r="P271" i="1"/>
  <c r="P21" i="1"/>
  <c r="P47" i="1"/>
  <c r="P145" i="1"/>
  <c r="P222" i="1"/>
  <c r="P109" i="1"/>
  <c r="P27" i="1"/>
  <c r="P112" i="1"/>
  <c r="P71" i="1"/>
  <c r="P99" i="1"/>
  <c r="P63" i="1"/>
  <c r="P292" i="1"/>
  <c r="P269" i="1"/>
  <c r="P77" i="1"/>
  <c r="P318" i="1"/>
  <c r="P272" i="1"/>
  <c r="P258" i="1"/>
  <c r="P316" i="1"/>
  <c r="P57" i="1"/>
  <c r="P163" i="1"/>
  <c r="P34" i="1"/>
  <c r="P212" i="1"/>
  <c r="P66" i="1"/>
  <c r="P26" i="1"/>
  <c r="P238" i="1"/>
  <c r="P162" i="1"/>
  <c r="P151" i="1"/>
  <c r="P251" i="1"/>
  <c r="P148" i="1"/>
  <c r="P119" i="1"/>
  <c r="P309" i="1"/>
  <c r="P16" i="1"/>
  <c r="P59" i="1"/>
  <c r="P187" i="1"/>
  <c r="P30" i="1"/>
  <c r="P194" i="1"/>
  <c r="P296" i="1"/>
  <c r="P125" i="1"/>
  <c r="P255" i="1"/>
  <c r="P13" i="1"/>
  <c r="P260" i="1"/>
  <c r="P130" i="1"/>
  <c r="P299" i="1"/>
  <c r="P168" i="1"/>
  <c r="P197" i="1"/>
  <c r="P35" i="1"/>
  <c r="P106" i="1"/>
  <c r="P61" i="1"/>
  <c r="P195" i="1"/>
  <c r="P257" i="1"/>
  <c r="P110" i="1"/>
  <c r="P302" i="1"/>
  <c r="P86" i="1"/>
  <c r="P277" i="1"/>
  <c r="P173" i="1"/>
  <c r="P275" i="1"/>
  <c r="P23" i="1"/>
  <c r="P73" i="1"/>
  <c r="P7" i="1"/>
  <c r="P32" i="1"/>
  <c r="P215" i="1"/>
  <c r="P51" i="1"/>
  <c r="P153" i="1"/>
  <c r="P218" i="1"/>
  <c r="P88" i="1"/>
  <c r="P232" i="1"/>
  <c r="P4" i="1"/>
  <c r="P84" i="1"/>
  <c r="P266" i="1"/>
  <c r="P283" i="1"/>
  <c r="P193" i="1"/>
  <c r="P289" i="1"/>
  <c r="P20" i="1"/>
  <c r="P62" i="1"/>
  <c r="P270" i="1"/>
  <c r="P95" i="1"/>
  <c r="P171" i="1"/>
  <c r="P320" i="1"/>
  <c r="P108" i="1"/>
  <c r="P46" i="1"/>
  <c r="P253" i="1"/>
  <c r="P233" i="1"/>
  <c r="P319" i="1"/>
  <c r="P274" i="1"/>
  <c r="P124" i="1"/>
  <c r="P165" i="1"/>
  <c r="P11" i="1"/>
  <c r="P94" i="1"/>
  <c r="P209" i="1"/>
  <c r="P184" i="1"/>
  <c r="P140" i="1"/>
  <c r="P294" i="1"/>
  <c r="P237" i="1"/>
  <c r="P199" i="1"/>
  <c r="P19" i="1"/>
  <c r="P157" i="1"/>
  <c r="P246" i="1"/>
  <c r="P69" i="1"/>
  <c r="P234" i="1"/>
  <c r="P240" i="1"/>
  <c r="P42" i="1"/>
  <c r="P58" i="1"/>
  <c r="P198" i="1"/>
  <c r="P141" i="1"/>
  <c r="P315" i="1"/>
  <c r="P128" i="1"/>
  <c r="P83" i="1"/>
  <c r="P236" i="1"/>
  <c r="P85" i="1"/>
  <c r="P182" i="1"/>
  <c r="P3" i="1"/>
  <c r="P205" i="1"/>
  <c r="P230" i="1"/>
  <c r="P314" i="1"/>
  <c r="P126" i="1"/>
  <c r="P284" i="1"/>
  <c r="P227" i="1"/>
  <c r="P180" i="1"/>
  <c r="P36" i="1"/>
  <c r="P223" i="1"/>
  <c r="P247" i="1"/>
  <c r="P175" i="1"/>
  <c r="P49" i="1"/>
  <c r="P131" i="1"/>
  <c r="P160" i="1"/>
  <c r="P245" i="1"/>
  <c r="P300" i="1"/>
  <c r="P152" i="1"/>
  <c r="P172" i="1"/>
  <c r="P68" i="1"/>
  <c r="P91" i="1"/>
  <c r="P6" i="1"/>
  <c r="P90" i="1"/>
  <c r="P72" i="1"/>
  <c r="P262" i="1"/>
  <c r="P52" i="1"/>
  <c r="P134" i="1"/>
  <c r="P248" i="1"/>
  <c r="P285" i="1"/>
  <c r="P113" i="1"/>
  <c r="P87" i="1"/>
  <c r="P38" i="1"/>
  <c r="P301" i="1"/>
  <c r="P252" i="1"/>
  <c r="P64" i="1"/>
  <c r="P293" i="1"/>
  <c r="P44" i="1"/>
  <c r="P244" i="1"/>
  <c r="P206" i="1"/>
  <c r="P174" i="1"/>
  <c r="P31" i="1"/>
  <c r="P312" i="1"/>
  <c r="P321" i="1"/>
  <c r="P2" i="1"/>
  <c r="P118" i="1"/>
  <c r="P133" i="1"/>
  <c r="P268" i="1"/>
  <c r="P167" i="1"/>
  <c r="P281" i="1"/>
  <c r="P138" i="1"/>
  <c r="P228" i="1"/>
  <c r="P225" i="1"/>
  <c r="P93" i="1"/>
  <c r="P204" i="1"/>
  <c r="P188" i="1"/>
  <c r="P98" i="1"/>
  <c r="P239" i="1"/>
  <c r="P286" i="1"/>
  <c r="P208" i="1"/>
  <c r="P41" i="1"/>
  <c r="P10" i="1"/>
  <c r="P303" i="1"/>
  <c r="P250" i="1"/>
  <c r="P231" i="1"/>
  <c r="P92" i="1"/>
  <c r="P317" i="1"/>
  <c r="P142" i="1"/>
  <c r="P114" i="1"/>
  <c r="P282" i="1"/>
  <c r="P54" i="1"/>
  <c r="P17" i="1"/>
  <c r="P102" i="1"/>
  <c r="P214" i="1"/>
  <c r="P164" i="1"/>
  <c r="P104" i="1"/>
  <c r="P241" i="1"/>
  <c r="P103" i="1"/>
  <c r="P217" i="1"/>
  <c r="P127" i="1"/>
  <c r="P18" i="1"/>
  <c r="P264" i="1"/>
  <c r="P120" i="1"/>
  <c r="P311" i="1"/>
  <c r="P154" i="1"/>
  <c r="P186" i="1"/>
  <c r="P224" i="1"/>
  <c r="P65" i="1"/>
  <c r="P150" i="1"/>
  <c r="P96" i="1"/>
  <c r="P203" i="1"/>
  <c r="P81" i="1"/>
  <c r="P28" i="1"/>
  <c r="P169" i="1"/>
  <c r="P191" i="1"/>
  <c r="P297" i="1"/>
  <c r="P279" i="1"/>
  <c r="P74" i="1"/>
  <c r="P135" i="1"/>
  <c r="P181" i="1"/>
  <c r="P288" i="1"/>
  <c r="P79" i="1"/>
  <c r="P207" i="1"/>
  <c r="P298" i="1"/>
  <c r="P249" i="1"/>
  <c r="P40" i="1"/>
  <c r="P179" i="1"/>
  <c r="P263" i="1"/>
  <c r="P307" i="1"/>
  <c r="P178" i="1"/>
  <c r="P136" i="1"/>
  <c r="P166" i="1"/>
  <c r="P100" i="1"/>
  <c r="P60" i="1"/>
  <c r="P211" i="1"/>
  <c r="P265" i="1"/>
  <c r="P139" i="1"/>
  <c r="P9" i="1"/>
  <c r="P80" i="1"/>
  <c r="P267" i="1"/>
  <c r="P70" i="1"/>
  <c r="P101" i="1"/>
  <c r="P278" i="1"/>
  <c r="P76" i="1"/>
  <c r="P177" i="1"/>
  <c r="P295" i="1"/>
  <c r="P185" i="1"/>
  <c r="P308" i="1"/>
  <c r="P5" i="1"/>
  <c r="P24" i="1"/>
  <c r="P50" i="1"/>
  <c r="P210" i="1"/>
  <c r="P149" i="1"/>
  <c r="P229" i="1"/>
  <c r="P305" i="1"/>
  <c r="P144" i="1"/>
  <c r="P39" i="1"/>
  <c r="P226" i="1"/>
  <c r="P290" i="1"/>
  <c r="P122" i="1"/>
  <c r="P132" i="1"/>
  <c r="P129" i="1"/>
  <c r="P176" i="1"/>
  <c r="P115" i="1"/>
  <c r="P8" i="1"/>
  <c r="P192" i="1"/>
  <c r="P235" i="1"/>
  <c r="P29" i="1"/>
  <c r="P291" i="1"/>
  <c r="P37" i="1"/>
  <c r="P220" i="1"/>
  <c r="P45" i="1"/>
  <c r="P67" i="1"/>
  <c r="P56" i="1"/>
  <c r="P14" i="1"/>
  <c r="P196" i="1"/>
  <c r="P43" i="1"/>
  <c r="P200" i="1"/>
  <c r="P170" i="1"/>
  <c r="P261" i="1"/>
  <c r="P53" i="1"/>
  <c r="P161" i="1"/>
  <c r="P242" i="1"/>
  <c r="P111" i="1"/>
  <c r="P143" i="1"/>
  <c r="P15" i="1"/>
  <c r="P107" i="1"/>
  <c r="P123" i="1"/>
  <c r="P306" i="1"/>
  <c r="P82" i="1"/>
  <c r="P310" i="1"/>
  <c r="P89" i="1"/>
  <c r="P25" i="1"/>
  <c r="P287" i="1"/>
  <c r="P12" i="1"/>
  <c r="P313" i="1"/>
  <c r="P147" i="1"/>
  <c r="P276" i="1"/>
  <c r="P219" i="1"/>
  <c r="P190" i="1"/>
  <c r="P158" i="1"/>
  <c r="P78" i="1"/>
</calcChain>
</file>

<file path=xl/sharedStrings.xml><?xml version="1.0" encoding="utf-8"?>
<sst xmlns="http://schemas.openxmlformats.org/spreadsheetml/2006/main" count="126" uniqueCount="19">
  <si>
    <t>Time (s)</t>
  </si>
  <si>
    <t>Image #</t>
  </si>
  <si>
    <t>Markers</t>
  </si>
  <si>
    <t>Slope of linear trendline</t>
  </si>
  <si>
    <r>
      <t>R</t>
    </r>
    <r>
      <rPr>
        <b/>
        <vertAlign val="subscript"/>
        <sz val="10"/>
        <rFont val="Arial"/>
        <family val="2"/>
      </rPr>
      <t>0</t>
    </r>
  </si>
  <si>
    <r>
      <rPr>
        <b/>
        <sz val="10"/>
        <rFont val="Symbol"/>
        <family val="1"/>
      </rPr>
      <t>D</t>
    </r>
    <r>
      <rPr>
        <b/>
        <sz val="10"/>
        <rFont val="Arial"/>
        <family val="2"/>
      </rPr>
      <t>R/R</t>
    </r>
    <r>
      <rPr>
        <b/>
        <vertAlign val="subscript"/>
        <sz val="10"/>
        <rFont val="Arial"/>
        <family val="2"/>
      </rPr>
      <t>0</t>
    </r>
  </si>
  <si>
    <t>21% O2</t>
  </si>
  <si>
    <r>
      <t>R</t>
    </r>
    <r>
      <rPr>
        <b/>
        <vertAlign val="superscript"/>
        <sz val="10"/>
        <rFont val="Arial"/>
        <family val="2"/>
      </rPr>
      <t>2</t>
    </r>
  </si>
  <si>
    <t>For baseline correction:</t>
  </si>
  <si>
    <t>For O2 pulse line:</t>
  </si>
  <si>
    <t>R1_DensMeanChannel0::R1_mScarlet</t>
  </si>
  <si>
    <t>R1_DensMeanChannel1::R1_eGFP</t>
  </si>
  <si>
    <t>R2_DensMeanChannel0::R2_mScarlet</t>
  </si>
  <si>
    <t>R2_DensMeanChannel1::R2_eGFP</t>
  </si>
  <si>
    <t>GFP</t>
  </si>
  <si>
    <t>mScarlet</t>
  </si>
  <si>
    <t>GFP/mScarlet ratio</t>
  </si>
  <si>
    <t>GFP/mScarlet, baseline-adjusted</t>
  </si>
  <si>
    <t>GFP 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</si>
</sst>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</font>
    <font>
      <b/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/>
    <xf numFmtId="0" fontId="1" fillId="0" borderId="0" xfId="0" applyFont="1"/>
    <xf numFmtId="0" fontId="2" fillId="0" borderId="0" xfId="1" applyFont="1" applyAlignment="1">
      <alignment wrapText="1"/>
    </xf>
    <xf numFmtId="0" fontId="1" fillId="2" borderId="0" xfId="1" applyFill="1"/>
    <xf numFmtId="164" fontId="1" fillId="2" borderId="0" xfId="1" applyNumberFormat="1" applyFill="1"/>
    <xf numFmtId="2" fontId="1" fillId="2" borderId="0" xfId="1" applyNumberFormat="1" applyFill="1"/>
    <xf numFmtId="165" fontId="1" fillId="2" borderId="0" xfId="1" applyNumberFormat="1" applyFill="1"/>
    <xf numFmtId="0" fontId="1" fillId="0" borderId="0" xfId="1"/>
    <xf numFmtId="164" fontId="1" fillId="0" borderId="0" xfId="1" applyNumberFormat="1"/>
    <xf numFmtId="2" fontId="1" fillId="0" borderId="0" xfId="1" applyNumberFormat="1"/>
    <xf numFmtId="165" fontId="1" fillId="0" borderId="0" xfId="1" applyNumberFormat="1"/>
    <xf numFmtId="0" fontId="1" fillId="0" borderId="0" xfId="1" quotePrefix="1"/>
    <xf numFmtId="0" fontId="1" fillId="3" borderId="0" xfId="1" applyFill="1"/>
    <xf numFmtId="164" fontId="1" fillId="3" borderId="0" xfId="1" applyNumberFormat="1" applyFill="1"/>
    <xf numFmtId="2" fontId="1" fillId="3" borderId="0" xfId="1" applyNumberFormat="1" applyFill="1"/>
  </cellXfs>
  <cellStyles count="2">
    <cellStyle name="Normal" xfId="0" builtinId="0"/>
    <cellStyle name="Normal 2" xfId="1" xr:uid="{1D49C091-8A5D-49A2-90C3-7E5CC801D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'240807A001'!$A$2:$A$321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'240807A001'!$J$2:$J$321</c:f>
              <c:numCache>
                <c:formatCode>0.0</c:formatCode>
                <c:ptCount val="320"/>
                <c:pt idx="0">
                  <c:v>1998.2927624491701</c:v>
                </c:pt>
                <c:pt idx="1">
                  <c:v>2159.6169755596902</c:v>
                </c:pt>
                <c:pt idx="2">
                  <c:v>2150.3371697629</c:v>
                </c:pt>
                <c:pt idx="3">
                  <c:v>2033.50883661284</c:v>
                </c:pt>
                <c:pt idx="4">
                  <c:v>1690.55309296104</c:v>
                </c:pt>
                <c:pt idx="5">
                  <c:v>2090.2232040428898</c:v>
                </c:pt>
                <c:pt idx="6">
                  <c:v>2138.87416514507</c:v>
                </c:pt>
                <c:pt idx="7">
                  <c:v>2596.8584466699999</c:v>
                </c:pt>
                <c:pt idx="8">
                  <c:v>2508.26873169387</c:v>
                </c:pt>
                <c:pt idx="9">
                  <c:v>2810.93086691083</c:v>
                </c:pt>
                <c:pt idx="10">
                  <c:v>2898.8218712807898</c:v>
                </c:pt>
                <c:pt idx="11">
                  <c:v>2863.1687302022997</c:v>
                </c:pt>
                <c:pt idx="12">
                  <c:v>2756.9730385825201</c:v>
                </c:pt>
                <c:pt idx="13">
                  <c:v>2877.71124456916</c:v>
                </c:pt>
                <c:pt idx="14">
                  <c:v>2870.45225100374</c:v>
                </c:pt>
                <c:pt idx="15">
                  <c:v>2894.9050178738098</c:v>
                </c:pt>
                <c:pt idx="16">
                  <c:v>2654.3729263598202</c:v>
                </c:pt>
                <c:pt idx="17">
                  <c:v>2857.6822283813399</c:v>
                </c:pt>
                <c:pt idx="18">
                  <c:v>2851.1593569844499</c:v>
                </c:pt>
                <c:pt idx="19">
                  <c:v>2938.3137928495398</c:v>
                </c:pt>
                <c:pt idx="20">
                  <c:v>3010.24077282898</c:v>
                </c:pt>
                <c:pt idx="21">
                  <c:v>2991.9533170632203</c:v>
                </c:pt>
                <c:pt idx="22">
                  <c:v>2977.1211149159103</c:v>
                </c:pt>
                <c:pt idx="23">
                  <c:v>3032.4395441658799</c:v>
                </c:pt>
                <c:pt idx="24">
                  <c:v>2894.4328274237096</c:v>
                </c:pt>
                <c:pt idx="25">
                  <c:v>2935.6619247419103</c:v>
                </c:pt>
                <c:pt idx="26">
                  <c:v>2951.29534243539</c:v>
                </c:pt>
                <c:pt idx="27">
                  <c:v>2939.5517760385401</c:v>
                </c:pt>
                <c:pt idx="28">
                  <c:v>2980.07887617902</c:v>
                </c:pt>
                <c:pt idx="29">
                  <c:v>3009.2845635159701</c:v>
                </c:pt>
                <c:pt idx="30">
                  <c:v>2859.1100903070301</c:v>
                </c:pt>
                <c:pt idx="31">
                  <c:v>2823.1564729260299</c:v>
                </c:pt>
                <c:pt idx="32">
                  <c:v>2796.7685157586502</c:v>
                </c:pt>
                <c:pt idx="33">
                  <c:v>2794.9424231384601</c:v>
                </c:pt>
                <c:pt idx="34">
                  <c:v>2884.3194977093199</c:v>
                </c:pt>
                <c:pt idx="35">
                  <c:v>3094.4273835919898</c:v>
                </c:pt>
                <c:pt idx="36">
                  <c:v>3145.6031166722</c:v>
                </c:pt>
                <c:pt idx="37">
                  <c:v>2892.9032849813598</c:v>
                </c:pt>
                <c:pt idx="38">
                  <c:v>3033.6396938607204</c:v>
                </c:pt>
                <c:pt idx="39">
                  <c:v>3096.5228837829</c:v>
                </c:pt>
                <c:pt idx="40">
                  <c:v>2992.9080497280397</c:v>
                </c:pt>
                <c:pt idx="41">
                  <c:v>2984.2342546342402</c:v>
                </c:pt>
                <c:pt idx="42">
                  <c:v>2985.30132978138</c:v>
                </c:pt>
                <c:pt idx="43">
                  <c:v>2964.8135908536101</c:v>
                </c:pt>
                <c:pt idx="44">
                  <c:v>2982.4267221667601</c:v>
                </c:pt>
                <c:pt idx="45">
                  <c:v>3029.42127206123</c:v>
                </c:pt>
                <c:pt idx="46">
                  <c:v>3074.9213830614099</c:v>
                </c:pt>
                <c:pt idx="47">
                  <c:v>3027.47189329818</c:v>
                </c:pt>
                <c:pt idx="48">
                  <c:v>3009.2928005569302</c:v>
                </c:pt>
                <c:pt idx="49">
                  <c:v>2969.3189418747497</c:v>
                </c:pt>
                <c:pt idx="50">
                  <c:v>2982.6068498087598</c:v>
                </c:pt>
                <c:pt idx="51">
                  <c:v>2987.86922908213</c:v>
                </c:pt>
                <c:pt idx="52">
                  <c:v>2959.0654201849302</c:v>
                </c:pt>
                <c:pt idx="53">
                  <c:v>3002.7846299782</c:v>
                </c:pt>
                <c:pt idx="54">
                  <c:v>3068.0107791680798</c:v>
                </c:pt>
                <c:pt idx="55">
                  <c:v>2930.6617052375</c:v>
                </c:pt>
                <c:pt idx="56">
                  <c:v>2998.8716930573</c:v>
                </c:pt>
                <c:pt idx="57">
                  <c:v>3027.4469096800699</c:v>
                </c:pt>
                <c:pt idx="58">
                  <c:v>3032.5997445651096</c:v>
                </c:pt>
                <c:pt idx="59">
                  <c:v>2835.4727614532599</c:v>
                </c:pt>
                <c:pt idx="60">
                  <c:v>2942.28121212117</c:v>
                </c:pt>
                <c:pt idx="61">
                  <c:v>2911.6290909091099</c:v>
                </c:pt>
                <c:pt idx="62">
                  <c:v>2926.5485771232397</c:v>
                </c:pt>
                <c:pt idx="63">
                  <c:v>2886.5591695271501</c:v>
                </c:pt>
                <c:pt idx="64">
                  <c:v>2977.5969815081398</c:v>
                </c:pt>
                <c:pt idx="65">
                  <c:v>3094.2648078839802</c:v>
                </c:pt>
                <c:pt idx="66">
                  <c:v>2971.3197306397801</c:v>
                </c:pt>
                <c:pt idx="67">
                  <c:v>2917.17875656259</c:v>
                </c:pt>
                <c:pt idx="68">
                  <c:v>2931.6717288385098</c:v>
                </c:pt>
                <c:pt idx="69">
                  <c:v>2853.66950070753</c:v>
                </c:pt>
                <c:pt idx="70">
                  <c:v>2979.4837039895201</c:v>
                </c:pt>
                <c:pt idx="71">
                  <c:v>2971.7860753073201</c:v>
                </c:pt>
                <c:pt idx="72">
                  <c:v>3030.9373611188098</c:v>
                </c:pt>
                <c:pt idx="73">
                  <c:v>3074.8571383334797</c:v>
                </c:pt>
                <c:pt idx="74">
                  <c:v>2910.1888526037501</c:v>
                </c:pt>
                <c:pt idx="75">
                  <c:v>2744.3070586937401</c:v>
                </c:pt>
                <c:pt idx="76">
                  <c:v>2769.8232170649499</c:v>
                </c:pt>
                <c:pt idx="77">
                  <c:v>2783.66287731689</c:v>
                </c:pt>
                <c:pt idx="78">
                  <c:v>2714.4063018534698</c:v>
                </c:pt>
                <c:pt idx="79">
                  <c:v>2799.7127877688299</c:v>
                </c:pt>
                <c:pt idx="80">
                  <c:v>2807.0863707858698</c:v>
                </c:pt>
                <c:pt idx="81">
                  <c:v>2761.4951515151297</c:v>
                </c:pt>
                <c:pt idx="82">
                  <c:v>2735.84189338641</c:v>
                </c:pt>
                <c:pt idx="83">
                  <c:v>2968.1042180190898</c:v>
                </c:pt>
                <c:pt idx="84">
                  <c:v>2939.3990359975601</c:v>
                </c:pt>
                <c:pt idx="85">
                  <c:v>3014.3972747610401</c:v>
                </c:pt>
                <c:pt idx="86">
                  <c:v>3047.2365548098101</c:v>
                </c:pt>
                <c:pt idx="87">
                  <c:v>3013.2832784217599</c:v>
                </c:pt>
                <c:pt idx="88">
                  <c:v>2889.8423917022201</c:v>
                </c:pt>
                <c:pt idx="89">
                  <c:v>2918.5904190844199</c:v>
                </c:pt>
                <c:pt idx="90">
                  <c:v>2926.3343151884001</c:v>
                </c:pt>
                <c:pt idx="91">
                  <c:v>2927.1583476098399</c:v>
                </c:pt>
                <c:pt idx="92">
                  <c:v>2894.5750291909799</c:v>
                </c:pt>
                <c:pt idx="93">
                  <c:v>2891.8580594939804</c:v>
                </c:pt>
                <c:pt idx="94">
                  <c:v>2914.7434917987598</c:v>
                </c:pt>
                <c:pt idx="95">
                  <c:v>2811.7442615127602</c:v>
                </c:pt>
                <c:pt idx="96">
                  <c:v>2789.1281548739098</c:v>
                </c:pt>
                <c:pt idx="97">
                  <c:v>2907.04234820803</c:v>
                </c:pt>
                <c:pt idx="98">
                  <c:v>2865.6773188647003</c:v>
                </c:pt>
                <c:pt idx="99">
                  <c:v>2958.30310010524</c:v>
                </c:pt>
                <c:pt idx="100">
                  <c:v>3030.2974860119102</c:v>
                </c:pt>
                <c:pt idx="101">
                  <c:v>2989.0967004598601</c:v>
                </c:pt>
                <c:pt idx="102">
                  <c:v>2884.8483899100697</c:v>
                </c:pt>
                <c:pt idx="103">
                  <c:v>2854.9729237732099</c:v>
                </c:pt>
                <c:pt idx="104">
                  <c:v>2874.2920439366098</c:v>
                </c:pt>
                <c:pt idx="105">
                  <c:v>2958.5906794723701</c:v>
                </c:pt>
                <c:pt idx="106">
                  <c:v>3032.9687858450402</c:v>
                </c:pt>
                <c:pt idx="107">
                  <c:v>3107.4545617246099</c:v>
                </c:pt>
                <c:pt idx="108">
                  <c:v>3045.0728359305199</c:v>
                </c:pt>
                <c:pt idx="109">
                  <c:v>2924.8159301066103</c:v>
                </c:pt>
                <c:pt idx="110">
                  <c:v>2881.9414316392404</c:v>
                </c:pt>
                <c:pt idx="111">
                  <c:v>3070.9921751739103</c:v>
                </c:pt>
                <c:pt idx="112">
                  <c:v>2968.2697615769603</c:v>
                </c:pt>
                <c:pt idx="113">
                  <c:v>2866.8978055540697</c:v>
                </c:pt>
                <c:pt idx="114">
                  <c:v>2795.6009764514201</c:v>
                </c:pt>
                <c:pt idx="115">
                  <c:v>2868.73390121691</c:v>
                </c:pt>
                <c:pt idx="116">
                  <c:v>2949.8477567622704</c:v>
                </c:pt>
                <c:pt idx="117">
                  <c:v>2895.8201993085099</c:v>
                </c:pt>
                <c:pt idx="118">
                  <c:v>2926.6960911125002</c:v>
                </c:pt>
                <c:pt idx="119">
                  <c:v>2983.3634370551199</c:v>
                </c:pt>
                <c:pt idx="120">
                  <c:v>2938.0628798047901</c:v>
                </c:pt>
                <c:pt idx="121">
                  <c:v>2766.0355430897098</c:v>
                </c:pt>
                <c:pt idx="122">
                  <c:v>2793.4762899411598</c:v>
                </c:pt>
                <c:pt idx="123">
                  <c:v>2744.1632667876702</c:v>
                </c:pt>
                <c:pt idx="124">
                  <c:v>2830.4673026425498</c:v>
                </c:pt>
                <c:pt idx="125">
                  <c:v>2822.8527660517802</c:v>
                </c:pt>
                <c:pt idx="126">
                  <c:v>2826.1153686776297</c:v>
                </c:pt>
                <c:pt idx="127">
                  <c:v>2777.0143059777301</c:v>
                </c:pt>
                <c:pt idx="128">
                  <c:v>2743.27636732065</c:v>
                </c:pt>
                <c:pt idx="129">
                  <c:v>2716.9208122537598</c:v>
                </c:pt>
                <c:pt idx="130">
                  <c:v>2744.2964546564699</c:v>
                </c:pt>
                <c:pt idx="131">
                  <c:v>2765.44095689911</c:v>
                </c:pt>
                <c:pt idx="132">
                  <c:v>2819.1579369711399</c:v>
                </c:pt>
                <c:pt idx="133">
                  <c:v>2798.4246300681402</c:v>
                </c:pt>
                <c:pt idx="134">
                  <c:v>2801.2005612759704</c:v>
                </c:pt>
                <c:pt idx="135">
                  <c:v>2769.7003648844197</c:v>
                </c:pt>
                <c:pt idx="136">
                  <c:v>2765.1478589651501</c:v>
                </c:pt>
                <c:pt idx="137">
                  <c:v>2752.1445951948699</c:v>
                </c:pt>
                <c:pt idx="138">
                  <c:v>2761.4158522842199</c:v>
                </c:pt>
                <c:pt idx="139">
                  <c:v>2745.7336159902998</c:v>
                </c:pt>
                <c:pt idx="140">
                  <c:v>2718.31450177122</c:v>
                </c:pt>
                <c:pt idx="141">
                  <c:v>2770.98146768894</c:v>
                </c:pt>
                <c:pt idx="142">
                  <c:v>2798.0079700620299</c:v>
                </c:pt>
                <c:pt idx="143">
                  <c:v>2801.4067287330699</c:v>
                </c:pt>
                <c:pt idx="144">
                  <c:v>2807.45049653162</c:v>
                </c:pt>
                <c:pt idx="145">
                  <c:v>2763.1141365285503</c:v>
                </c:pt>
                <c:pt idx="146">
                  <c:v>2698.1890058993404</c:v>
                </c:pt>
                <c:pt idx="147">
                  <c:v>2742.3813227803698</c:v>
                </c:pt>
                <c:pt idx="148">
                  <c:v>2731.6473584698301</c:v>
                </c:pt>
                <c:pt idx="149">
                  <c:v>2769.5071173647298</c:v>
                </c:pt>
                <c:pt idx="150">
                  <c:v>2787.1559810926801</c:v>
                </c:pt>
                <c:pt idx="151">
                  <c:v>2784.3277989080498</c:v>
                </c:pt>
                <c:pt idx="152">
                  <c:v>2757.1312439998896</c:v>
                </c:pt>
                <c:pt idx="153">
                  <c:v>2759.3221347697299</c:v>
                </c:pt>
                <c:pt idx="154">
                  <c:v>2762.8833124472999</c:v>
                </c:pt>
                <c:pt idx="155">
                  <c:v>2735.7033410282097</c:v>
                </c:pt>
                <c:pt idx="156">
                  <c:v>2762.5083426771002</c:v>
                </c:pt>
                <c:pt idx="157">
                  <c:v>2761.9358990143401</c:v>
                </c:pt>
                <c:pt idx="158">
                  <c:v>2756.6431072514497</c:v>
                </c:pt>
                <c:pt idx="159">
                  <c:v>2770.6088388113499</c:v>
                </c:pt>
                <c:pt idx="160">
                  <c:v>2756.4335040856399</c:v>
                </c:pt>
                <c:pt idx="161">
                  <c:v>2759.5698603935703</c:v>
                </c:pt>
                <c:pt idx="162">
                  <c:v>2771.3485126965002</c:v>
                </c:pt>
                <c:pt idx="163">
                  <c:v>2737.6154124070299</c:v>
                </c:pt>
                <c:pt idx="164">
                  <c:v>2756.7602154556903</c:v>
                </c:pt>
                <c:pt idx="165">
                  <c:v>2766.8186457073998</c:v>
                </c:pt>
                <c:pt idx="166">
                  <c:v>2748.4023919973902</c:v>
                </c:pt>
                <c:pt idx="167">
                  <c:v>2787.38704334762</c:v>
                </c:pt>
                <c:pt idx="168">
                  <c:v>2814.0717394012399</c:v>
                </c:pt>
                <c:pt idx="169">
                  <c:v>2819.58901322777</c:v>
                </c:pt>
                <c:pt idx="170">
                  <c:v>2783.7772606353697</c:v>
                </c:pt>
                <c:pt idx="171">
                  <c:v>2778.9896749844102</c:v>
                </c:pt>
                <c:pt idx="172">
                  <c:v>2785.9698655233897</c:v>
                </c:pt>
                <c:pt idx="173">
                  <c:v>2849.7115759774697</c:v>
                </c:pt>
                <c:pt idx="174">
                  <c:v>2811.8902957018699</c:v>
                </c:pt>
                <c:pt idx="175">
                  <c:v>2784.3868352203599</c:v>
                </c:pt>
                <c:pt idx="176">
                  <c:v>2799.1195756843399</c:v>
                </c:pt>
                <c:pt idx="177">
                  <c:v>2716.4882987065102</c:v>
                </c:pt>
                <c:pt idx="178">
                  <c:v>2806.6084474735298</c:v>
                </c:pt>
                <c:pt idx="179">
                  <c:v>2847.3503235498897</c:v>
                </c:pt>
                <c:pt idx="180">
                  <c:v>2743.3877314175597</c:v>
                </c:pt>
                <c:pt idx="181">
                  <c:v>2677.2535304411799</c:v>
                </c:pt>
                <c:pt idx="182">
                  <c:v>2740.4666707341798</c:v>
                </c:pt>
                <c:pt idx="183">
                  <c:v>2947.4365364813402</c:v>
                </c:pt>
                <c:pt idx="184">
                  <c:v>2968.86807884673</c:v>
                </c:pt>
                <c:pt idx="185">
                  <c:v>2941.1522594880798</c:v>
                </c:pt>
                <c:pt idx="186">
                  <c:v>2999.76423359811</c:v>
                </c:pt>
                <c:pt idx="187">
                  <c:v>2756.1172662797899</c:v>
                </c:pt>
                <c:pt idx="188">
                  <c:v>2760.2440361057197</c:v>
                </c:pt>
                <c:pt idx="189">
                  <c:v>2944.5379041938204</c:v>
                </c:pt>
                <c:pt idx="190">
                  <c:v>2904.6856629477998</c:v>
                </c:pt>
                <c:pt idx="191">
                  <c:v>2856.0839552266198</c:v>
                </c:pt>
                <c:pt idx="192">
                  <c:v>2771.5157156007299</c:v>
                </c:pt>
                <c:pt idx="193">
                  <c:v>2888.1416005560004</c:v>
                </c:pt>
                <c:pt idx="194">
                  <c:v>2905.7679673012399</c:v>
                </c:pt>
                <c:pt idx="195">
                  <c:v>2976.24169755811</c:v>
                </c:pt>
                <c:pt idx="196">
                  <c:v>3051.2435598705702</c:v>
                </c:pt>
                <c:pt idx="197">
                  <c:v>3039.0225889967701</c:v>
                </c:pt>
                <c:pt idx="198">
                  <c:v>2934.46727272727</c:v>
                </c:pt>
                <c:pt idx="199">
                  <c:v>2843.1629643871097</c:v>
                </c:pt>
                <c:pt idx="200">
                  <c:v>3040.2489554151402</c:v>
                </c:pt>
                <c:pt idx="201">
                  <c:v>3081.1471628673103</c:v>
                </c:pt>
                <c:pt idx="202">
                  <c:v>3017.9792401354803</c:v>
                </c:pt>
                <c:pt idx="203">
                  <c:v>2932.4824901583397</c:v>
                </c:pt>
                <c:pt idx="204">
                  <c:v>2844.07765265953</c:v>
                </c:pt>
                <c:pt idx="205">
                  <c:v>2732.57372065142</c:v>
                </c:pt>
                <c:pt idx="206">
                  <c:v>2932.4982458464301</c:v>
                </c:pt>
                <c:pt idx="207">
                  <c:v>2985.6763183750099</c:v>
                </c:pt>
                <c:pt idx="208">
                  <c:v>2978.01706905119</c:v>
                </c:pt>
                <c:pt idx="209">
                  <c:v>3066.1336468510799</c:v>
                </c:pt>
                <c:pt idx="210">
                  <c:v>2939.6539393939702</c:v>
                </c:pt>
                <c:pt idx="211">
                  <c:v>2902.1625293565899</c:v>
                </c:pt>
                <c:pt idx="212">
                  <c:v>2829.9060606060402</c:v>
                </c:pt>
                <c:pt idx="213">
                  <c:v>2940.8389921190101</c:v>
                </c:pt>
                <c:pt idx="214">
                  <c:v>2911.4738328338499</c:v>
                </c:pt>
                <c:pt idx="215">
                  <c:v>2866.8394576966602</c:v>
                </c:pt>
                <c:pt idx="216">
                  <c:v>2752.16896486017</c:v>
                </c:pt>
                <c:pt idx="217">
                  <c:v>2797.4286841816102</c:v>
                </c:pt>
                <c:pt idx="218">
                  <c:v>2841.9404822102902</c:v>
                </c:pt>
                <c:pt idx="219">
                  <c:v>2832.2294492689698</c:v>
                </c:pt>
                <c:pt idx="220">
                  <c:v>2899.2998307133998</c:v>
                </c:pt>
                <c:pt idx="221">
                  <c:v>2880.97951046138</c:v>
                </c:pt>
                <c:pt idx="222">
                  <c:v>2788.7256413095201</c:v>
                </c:pt>
                <c:pt idx="223">
                  <c:v>2695.1125323624301</c:v>
                </c:pt>
                <c:pt idx="224">
                  <c:v>2738.2399039172601</c:v>
                </c:pt>
                <c:pt idx="225">
                  <c:v>2675.9637583148397</c:v>
                </c:pt>
                <c:pt idx="226">
                  <c:v>2712.2564101711801</c:v>
                </c:pt>
                <c:pt idx="227">
                  <c:v>2698.3057082709702</c:v>
                </c:pt>
                <c:pt idx="228">
                  <c:v>2820.3758185142201</c:v>
                </c:pt>
                <c:pt idx="229">
                  <c:v>2893.8324791539899</c:v>
                </c:pt>
                <c:pt idx="230">
                  <c:v>2918.0056538539402</c:v>
                </c:pt>
                <c:pt idx="231">
                  <c:v>2860.45768151314</c:v>
                </c:pt>
                <c:pt idx="232">
                  <c:v>2796.7628904428898</c:v>
                </c:pt>
                <c:pt idx="233">
                  <c:v>2729.0510422910902</c:v>
                </c:pt>
                <c:pt idx="234">
                  <c:v>2778.9591142190798</c:v>
                </c:pt>
                <c:pt idx="235">
                  <c:v>2794.9239094239301</c:v>
                </c:pt>
                <c:pt idx="236">
                  <c:v>2750.2938234807098</c:v>
                </c:pt>
                <c:pt idx="237">
                  <c:v>2752.6984571660701</c:v>
                </c:pt>
                <c:pt idx="238">
                  <c:v>2753.9649082788801</c:v>
                </c:pt>
                <c:pt idx="239">
                  <c:v>2834.32257778761</c:v>
                </c:pt>
                <c:pt idx="240">
                  <c:v>2778.66808524813</c:v>
                </c:pt>
                <c:pt idx="241">
                  <c:v>2637.4014296814798</c:v>
                </c:pt>
                <c:pt idx="242">
                  <c:v>2783.8982563368099</c:v>
                </c:pt>
                <c:pt idx="243">
                  <c:v>2810.0134207000801</c:v>
                </c:pt>
                <c:pt idx="244">
                  <c:v>2737.3814158638902</c:v>
                </c:pt>
                <c:pt idx="245">
                  <c:v>2770.77434097371</c:v>
                </c:pt>
                <c:pt idx="246">
                  <c:v>2808.2932942088601</c:v>
                </c:pt>
                <c:pt idx="247">
                  <c:v>2687.2920444394799</c:v>
                </c:pt>
                <c:pt idx="248">
                  <c:v>2638.8943056943399</c:v>
                </c:pt>
                <c:pt idx="249">
                  <c:v>2856.0106160506398</c:v>
                </c:pt>
                <c:pt idx="250">
                  <c:v>2903.31985569983</c:v>
                </c:pt>
                <c:pt idx="251">
                  <c:v>2861.3328353016805</c:v>
                </c:pt>
                <c:pt idx="252">
                  <c:v>2880.4123354390299</c:v>
                </c:pt>
                <c:pt idx="253">
                  <c:v>2700.77195825328</c:v>
                </c:pt>
                <c:pt idx="254">
                  <c:v>2700.5881863956997</c:v>
                </c:pt>
                <c:pt idx="255">
                  <c:v>2641.2610493317497</c:v>
                </c:pt>
                <c:pt idx="256">
                  <c:v>2644.4251960622601</c:v>
                </c:pt>
                <c:pt idx="257">
                  <c:v>2825.7520570279603</c:v>
                </c:pt>
                <c:pt idx="258">
                  <c:v>2899.9252881830898</c:v>
                </c:pt>
                <c:pt idx="259">
                  <c:v>2937.8793223777297</c:v>
                </c:pt>
                <c:pt idx="260">
                  <c:v>2659.4131156974699</c:v>
                </c:pt>
                <c:pt idx="261">
                  <c:v>2791.1295132816799</c:v>
                </c:pt>
                <c:pt idx="262">
                  <c:v>2544.7107221031097</c:v>
                </c:pt>
                <c:pt idx="263">
                  <c:v>2700.1401971078503</c:v>
                </c:pt>
                <c:pt idx="264">
                  <c:v>2644.0796278898197</c:v>
                </c:pt>
                <c:pt idx="265">
                  <c:v>2645.49594363084</c:v>
                </c:pt>
                <c:pt idx="266">
                  <c:v>2639.79440913699</c:v>
                </c:pt>
                <c:pt idx="267">
                  <c:v>2622.54251082254</c:v>
                </c:pt>
                <c:pt idx="268">
                  <c:v>2608.2039753154204</c:v>
                </c:pt>
                <c:pt idx="269">
                  <c:v>2605.4648834853297</c:v>
                </c:pt>
                <c:pt idx="270">
                  <c:v>2605.2506990881998</c:v>
                </c:pt>
                <c:pt idx="271">
                  <c:v>2608.4328672745696</c:v>
                </c:pt>
                <c:pt idx="272">
                  <c:v>2586.0831463571499</c:v>
                </c:pt>
                <c:pt idx="273">
                  <c:v>2591.1100985539802</c:v>
                </c:pt>
                <c:pt idx="274">
                  <c:v>2584.0859537625097</c:v>
                </c:pt>
                <c:pt idx="275">
                  <c:v>2576.9557428387102</c:v>
                </c:pt>
                <c:pt idx="276">
                  <c:v>2598.0104338214701</c:v>
                </c:pt>
                <c:pt idx="277">
                  <c:v>2576.5470406189397</c:v>
                </c:pt>
                <c:pt idx="278">
                  <c:v>2580.14376531271</c:v>
                </c:pt>
                <c:pt idx="279">
                  <c:v>2568.90825089805</c:v>
                </c:pt>
                <c:pt idx="280">
                  <c:v>2574.9664161370902</c:v>
                </c:pt>
                <c:pt idx="281">
                  <c:v>2580.37176015471</c:v>
                </c:pt>
                <c:pt idx="282">
                  <c:v>2559.7577765497099</c:v>
                </c:pt>
                <c:pt idx="283">
                  <c:v>2606.9524877959102</c:v>
                </c:pt>
                <c:pt idx="284">
                  <c:v>2612.76262871885</c:v>
                </c:pt>
                <c:pt idx="285">
                  <c:v>2619.9114525191203</c:v>
                </c:pt>
                <c:pt idx="286">
                  <c:v>2623.5913217279499</c:v>
                </c:pt>
                <c:pt idx="287">
                  <c:v>2608.6668306162301</c:v>
                </c:pt>
                <c:pt idx="288">
                  <c:v>2636.8735488625198</c:v>
                </c:pt>
                <c:pt idx="289">
                  <c:v>2630.4463203463097</c:v>
                </c:pt>
                <c:pt idx="290">
                  <c:v>2615.2219397624203</c:v>
                </c:pt>
                <c:pt idx="291">
                  <c:v>2690.8049534862002</c:v>
                </c:pt>
                <c:pt idx="292">
                  <c:v>2672.2580424685298</c:v>
                </c:pt>
                <c:pt idx="293">
                  <c:v>2615.5077792524198</c:v>
                </c:pt>
                <c:pt idx="294">
                  <c:v>2603.9494182702601</c:v>
                </c:pt>
                <c:pt idx="295">
                  <c:v>2608.4064786551503</c:v>
                </c:pt>
                <c:pt idx="296">
                  <c:v>2626.7893452775597</c:v>
                </c:pt>
                <c:pt idx="297">
                  <c:v>2530.1355385976199</c:v>
                </c:pt>
                <c:pt idx="298">
                  <c:v>2560.3409643884597</c:v>
                </c:pt>
                <c:pt idx="299">
                  <c:v>2621.2098473788801</c:v>
                </c:pt>
                <c:pt idx="300">
                  <c:v>2633.87416500772</c:v>
                </c:pt>
                <c:pt idx="301">
                  <c:v>2663.4157420925003</c:v>
                </c:pt>
                <c:pt idx="302">
                  <c:v>2536.2170957753201</c:v>
                </c:pt>
                <c:pt idx="303">
                  <c:v>2532.2605286441203</c:v>
                </c:pt>
                <c:pt idx="304">
                  <c:v>2555.0025348374502</c:v>
                </c:pt>
                <c:pt idx="305">
                  <c:v>2544.1062508294699</c:v>
                </c:pt>
                <c:pt idx="306">
                  <c:v>2559.1904335324398</c:v>
                </c:pt>
                <c:pt idx="307">
                  <c:v>2582.2317164344299</c:v>
                </c:pt>
                <c:pt idx="308">
                  <c:v>2575.7072063702899</c:v>
                </c:pt>
                <c:pt idx="309">
                  <c:v>2561.2407454102899</c:v>
                </c:pt>
                <c:pt idx="310">
                  <c:v>2514.2821389073702</c:v>
                </c:pt>
                <c:pt idx="311">
                  <c:v>2541.3101658925102</c:v>
                </c:pt>
                <c:pt idx="312">
                  <c:v>2550.0941583720701</c:v>
                </c:pt>
                <c:pt idx="313">
                  <c:v>2633.3494005750799</c:v>
                </c:pt>
                <c:pt idx="314">
                  <c:v>2547.43227410892</c:v>
                </c:pt>
                <c:pt idx="315">
                  <c:v>2392.8501869761799</c:v>
                </c:pt>
                <c:pt idx="316">
                  <c:v>2536.7974191765898</c:v>
                </c:pt>
                <c:pt idx="317">
                  <c:v>2567.61994473608</c:v>
                </c:pt>
                <c:pt idx="318">
                  <c:v>2612.1271769365899</c:v>
                </c:pt>
                <c:pt idx="319">
                  <c:v>2622.8074164134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D-4FB3-8BB3-55D8E273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6-4070-A8B2-8F61A25880E1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'240807A001'!$A$2:$A$321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'240807A001'!$P$2:$P$321</c:f>
              <c:numCache>
                <c:formatCode>General</c:formatCode>
                <c:ptCount val="320"/>
                <c:pt idx="0">
                  <c:v>6.3729815374399754</c:v>
                </c:pt>
                <c:pt idx="1">
                  <c:v>3.7927732839206807</c:v>
                </c:pt>
                <c:pt idx="2">
                  <c:v>4.1838571127859536</c:v>
                </c:pt>
                <c:pt idx="3">
                  <c:v>5.5571346374924735</c:v>
                </c:pt>
                <c:pt idx="4">
                  <c:v>12.633012170899196</c:v>
                </c:pt>
                <c:pt idx="5">
                  <c:v>9.1225134672631683</c:v>
                </c:pt>
                <c:pt idx="6">
                  <c:v>9.6116078044934863</c:v>
                </c:pt>
                <c:pt idx="7">
                  <c:v>6.1922101754703354</c:v>
                </c:pt>
                <c:pt idx="8">
                  <c:v>5.4713677625716368</c:v>
                </c:pt>
                <c:pt idx="9">
                  <c:v>2.9486413184809068</c:v>
                </c:pt>
                <c:pt idx="10">
                  <c:v>2.6403682201043699</c:v>
                </c:pt>
                <c:pt idx="11">
                  <c:v>1.5574901469540556</c:v>
                </c:pt>
                <c:pt idx="12">
                  <c:v>1.9474669514086347</c:v>
                </c:pt>
                <c:pt idx="13">
                  <c:v>-3.7522376049344712E-2</c:v>
                </c:pt>
                <c:pt idx="14">
                  <c:v>-0.16368144539036922</c:v>
                </c:pt>
                <c:pt idx="15">
                  <c:v>-1.7501487092791768</c:v>
                </c:pt>
                <c:pt idx="16">
                  <c:v>1.3870872192794543</c:v>
                </c:pt>
                <c:pt idx="17">
                  <c:v>-0.20085882467314817</c:v>
                </c:pt>
                <c:pt idx="18">
                  <c:v>-0.31594224648879632</c:v>
                </c:pt>
                <c:pt idx="19">
                  <c:v>-3.0610374821699331</c:v>
                </c:pt>
                <c:pt idx="20">
                  <c:v>-4.4937306615033608</c:v>
                </c:pt>
                <c:pt idx="21">
                  <c:v>-4.9516074767363838</c:v>
                </c:pt>
                <c:pt idx="22">
                  <c:v>-3.4729788384028062</c:v>
                </c:pt>
                <c:pt idx="23">
                  <c:v>-3.6210112631540254</c:v>
                </c:pt>
                <c:pt idx="24">
                  <c:v>-3.2372842476915373</c:v>
                </c:pt>
                <c:pt idx="25">
                  <c:v>-4.7606235461830417</c:v>
                </c:pt>
                <c:pt idx="26">
                  <c:v>-4.9247761661270504</c:v>
                </c:pt>
                <c:pt idx="27">
                  <c:v>-6.000374026098072</c:v>
                </c:pt>
                <c:pt idx="28">
                  <c:v>-6.6737011873214609</c:v>
                </c:pt>
                <c:pt idx="29">
                  <c:v>-6.9597474439653917</c:v>
                </c:pt>
                <c:pt idx="30">
                  <c:v>-6.322329971975293</c:v>
                </c:pt>
                <c:pt idx="31">
                  <c:v>-4.592564048577394</c:v>
                </c:pt>
                <c:pt idx="32">
                  <c:v>-2.9062489154118252</c:v>
                </c:pt>
                <c:pt idx="33">
                  <c:v>-3.2190867462662478</c:v>
                </c:pt>
                <c:pt idx="34">
                  <c:v>-5.6218097728850545</c:v>
                </c:pt>
                <c:pt idx="35">
                  <c:v>-7.974856484706323</c:v>
                </c:pt>
                <c:pt idx="36">
                  <c:v>-9.4102427244864906</c:v>
                </c:pt>
                <c:pt idx="37">
                  <c:v>-7.5328122493522347</c:v>
                </c:pt>
                <c:pt idx="38">
                  <c:v>-9.4586123853251145</c:v>
                </c:pt>
                <c:pt idx="39">
                  <c:v>-8.4484212485517194</c:v>
                </c:pt>
                <c:pt idx="40">
                  <c:v>-7.4346668040622728</c:v>
                </c:pt>
                <c:pt idx="41">
                  <c:v>-7.9429863783219767</c:v>
                </c:pt>
                <c:pt idx="42">
                  <c:v>-8.5161770340337366</c:v>
                </c:pt>
                <c:pt idx="43">
                  <c:v>-8.131604402795265</c:v>
                </c:pt>
                <c:pt idx="44">
                  <c:v>-8.6082220361997326</c:v>
                </c:pt>
                <c:pt idx="45">
                  <c:v>-8.930243858565607</c:v>
                </c:pt>
                <c:pt idx="46">
                  <c:v>-9.3024995724732022</c:v>
                </c:pt>
                <c:pt idx="47">
                  <c:v>-10.315303066737442</c:v>
                </c:pt>
                <c:pt idx="48">
                  <c:v>-10.003391196570623</c:v>
                </c:pt>
                <c:pt idx="49">
                  <c:v>-9.226780178081933</c:v>
                </c:pt>
                <c:pt idx="50">
                  <c:v>-8.6107046387312565</c:v>
                </c:pt>
                <c:pt idx="51">
                  <c:v>-7.7886283467563491</c:v>
                </c:pt>
                <c:pt idx="52">
                  <c:v>-7.740713374266571</c:v>
                </c:pt>
                <c:pt idx="53">
                  <c:v>-6.5269200483785568</c:v>
                </c:pt>
                <c:pt idx="54">
                  <c:v>-6.9351386954433449</c:v>
                </c:pt>
                <c:pt idx="55">
                  <c:v>-4.3967272760476428</c:v>
                </c:pt>
                <c:pt idx="56">
                  <c:v>-5.348077897574866</c:v>
                </c:pt>
                <c:pt idx="57">
                  <c:v>-6.6347265707068033</c:v>
                </c:pt>
                <c:pt idx="58">
                  <c:v>-7.4122081689817101</c:v>
                </c:pt>
                <c:pt idx="59">
                  <c:v>-5.812414597329389</c:v>
                </c:pt>
                <c:pt idx="60">
                  <c:v>-2.0342769743935816</c:v>
                </c:pt>
                <c:pt idx="61">
                  <c:v>-1.401397020888755</c:v>
                </c:pt>
                <c:pt idx="62">
                  <c:v>-3.9734488198274409</c:v>
                </c:pt>
                <c:pt idx="63">
                  <c:v>-0.83650292117338432</c:v>
                </c:pt>
                <c:pt idx="64">
                  <c:v>-0.2267121842014044</c:v>
                </c:pt>
                <c:pt idx="65">
                  <c:v>-0.74692278313576466</c:v>
                </c:pt>
                <c:pt idx="66">
                  <c:v>-2.7570186247123658</c:v>
                </c:pt>
                <c:pt idx="67">
                  <c:v>-7.0618765461796407E-2</c:v>
                </c:pt>
                <c:pt idx="68">
                  <c:v>1.9936733955126552E-2</c:v>
                </c:pt>
                <c:pt idx="69">
                  <c:v>-1.7052273887082996</c:v>
                </c:pt>
                <c:pt idx="70">
                  <c:v>-1.4944938654737883</c:v>
                </c:pt>
                <c:pt idx="71">
                  <c:v>-1.001197757818675</c:v>
                </c:pt>
                <c:pt idx="72">
                  <c:v>-1.2720676044680355</c:v>
                </c:pt>
                <c:pt idx="73">
                  <c:v>-2.3525446489769064</c:v>
                </c:pt>
                <c:pt idx="74">
                  <c:v>0.27294872222779515</c:v>
                </c:pt>
                <c:pt idx="75">
                  <c:v>1.5580562406981306</c:v>
                </c:pt>
                <c:pt idx="76">
                  <c:v>3.3350639812508449</c:v>
                </c:pt>
                <c:pt idx="77">
                  <c:v>3.854654562617279</c:v>
                </c:pt>
                <c:pt idx="78">
                  <c:v>4.6254794153039089</c:v>
                </c:pt>
                <c:pt idx="79">
                  <c:v>6.2062897031873181</c:v>
                </c:pt>
                <c:pt idx="80">
                  <c:v>6.368132332554052</c:v>
                </c:pt>
                <c:pt idx="81">
                  <c:v>7.2798762523345895</c:v>
                </c:pt>
                <c:pt idx="82">
                  <c:v>5.6218982689438848</c:v>
                </c:pt>
                <c:pt idx="83">
                  <c:v>4.5044461697676983</c:v>
                </c:pt>
                <c:pt idx="84">
                  <c:v>4.7353211751588322</c:v>
                </c:pt>
                <c:pt idx="85">
                  <c:v>4.0027804867883976</c:v>
                </c:pt>
                <c:pt idx="86">
                  <c:v>3.4396630109956021</c:v>
                </c:pt>
                <c:pt idx="87">
                  <c:v>4.914612363024264</c:v>
                </c:pt>
                <c:pt idx="88">
                  <c:v>5.3420221931625145</c:v>
                </c:pt>
                <c:pt idx="89">
                  <c:v>7.3322472363148332</c:v>
                </c:pt>
                <c:pt idx="90">
                  <c:v>8.6674614170103741</c:v>
                </c:pt>
                <c:pt idx="91">
                  <c:v>9.9426970899347609</c:v>
                </c:pt>
                <c:pt idx="92">
                  <c:v>10.938482565334184</c:v>
                </c:pt>
                <c:pt idx="93">
                  <c:v>10.952531973664644</c:v>
                </c:pt>
                <c:pt idx="94">
                  <c:v>12.371987357798968</c:v>
                </c:pt>
                <c:pt idx="95">
                  <c:v>12.523985866633467</c:v>
                </c:pt>
                <c:pt idx="96">
                  <c:v>13.877704691723572</c:v>
                </c:pt>
                <c:pt idx="97">
                  <c:v>13.875292554069443</c:v>
                </c:pt>
                <c:pt idx="98">
                  <c:v>13.441727907168605</c:v>
                </c:pt>
                <c:pt idx="99">
                  <c:v>14.428985292145443</c:v>
                </c:pt>
                <c:pt idx="100">
                  <c:v>15.678017037928241</c:v>
                </c:pt>
                <c:pt idx="101">
                  <c:v>16.514796808560625</c:v>
                </c:pt>
                <c:pt idx="102">
                  <c:v>15.636464327181912</c:v>
                </c:pt>
                <c:pt idx="103">
                  <c:v>15.958316898507608</c:v>
                </c:pt>
                <c:pt idx="104">
                  <c:v>16.867676934750008</c:v>
                </c:pt>
                <c:pt idx="105">
                  <c:v>15.326063482163885</c:v>
                </c:pt>
                <c:pt idx="106">
                  <c:v>15.176169277420378</c:v>
                </c:pt>
                <c:pt idx="107">
                  <c:v>15.268210369276566</c:v>
                </c:pt>
                <c:pt idx="108">
                  <c:v>13.836188862020446</c:v>
                </c:pt>
                <c:pt idx="109">
                  <c:v>13.8540745055454</c:v>
                </c:pt>
                <c:pt idx="110">
                  <c:v>14.01022823022649</c:v>
                </c:pt>
                <c:pt idx="111">
                  <c:v>13.530021343666457</c:v>
                </c:pt>
                <c:pt idx="112">
                  <c:v>13.449332730887873</c:v>
                </c:pt>
                <c:pt idx="113">
                  <c:v>14.123678982324931</c:v>
                </c:pt>
                <c:pt idx="114">
                  <c:v>14.657665621662233</c:v>
                </c:pt>
                <c:pt idx="115">
                  <c:v>14.694608690546913</c:v>
                </c:pt>
                <c:pt idx="116">
                  <c:v>15.274638166717269</c:v>
                </c:pt>
                <c:pt idx="117">
                  <c:v>14.265376106120897</c:v>
                </c:pt>
                <c:pt idx="118">
                  <c:v>14.446210013514115</c:v>
                </c:pt>
                <c:pt idx="119">
                  <c:v>13.120248868591394</c:v>
                </c:pt>
                <c:pt idx="120">
                  <c:v>12.411472239461155</c:v>
                </c:pt>
                <c:pt idx="121">
                  <c:v>12.340289430855304</c:v>
                </c:pt>
                <c:pt idx="122">
                  <c:v>11.963422377155993</c:v>
                </c:pt>
                <c:pt idx="123">
                  <c:v>12.034635231404632</c:v>
                </c:pt>
                <c:pt idx="124">
                  <c:v>13.153799402835539</c:v>
                </c:pt>
                <c:pt idx="125">
                  <c:v>12.936706093647373</c:v>
                </c:pt>
                <c:pt idx="126">
                  <c:v>11.901542939450231</c:v>
                </c:pt>
                <c:pt idx="127">
                  <c:v>10.250737022471116</c:v>
                </c:pt>
                <c:pt idx="128">
                  <c:v>9.815938243448981</c:v>
                </c:pt>
                <c:pt idx="129">
                  <c:v>11.270686729869942</c:v>
                </c:pt>
                <c:pt idx="130">
                  <c:v>14.356706494146565</c:v>
                </c:pt>
                <c:pt idx="131">
                  <c:v>14.442671452123415</c:v>
                </c:pt>
                <c:pt idx="132">
                  <c:v>14.361319541985972</c:v>
                </c:pt>
                <c:pt idx="133">
                  <c:v>14.227351133963722</c:v>
                </c:pt>
                <c:pt idx="134">
                  <c:v>13.373108108098517</c:v>
                </c:pt>
                <c:pt idx="135">
                  <c:v>14.010124358829213</c:v>
                </c:pt>
                <c:pt idx="136">
                  <c:v>14.276153200518213</c:v>
                </c:pt>
                <c:pt idx="137">
                  <c:v>15.37025685387766</c:v>
                </c:pt>
                <c:pt idx="138">
                  <c:v>15.279741579530533</c:v>
                </c:pt>
                <c:pt idx="139">
                  <c:v>16.374876408546623</c:v>
                </c:pt>
                <c:pt idx="140">
                  <c:v>16.325777379802531</c:v>
                </c:pt>
                <c:pt idx="141">
                  <c:v>17.146114687534599</c:v>
                </c:pt>
                <c:pt idx="142">
                  <c:v>17.66768010565033</c:v>
                </c:pt>
                <c:pt idx="143">
                  <c:v>18.385569897320035</c:v>
                </c:pt>
                <c:pt idx="144">
                  <c:v>19.549753109663968</c:v>
                </c:pt>
                <c:pt idx="145">
                  <c:v>19.22718344844181</c:v>
                </c:pt>
                <c:pt idx="146">
                  <c:v>19.714650324265079</c:v>
                </c:pt>
                <c:pt idx="147">
                  <c:v>20.499437952407305</c:v>
                </c:pt>
                <c:pt idx="148">
                  <c:v>20.957653802148187</c:v>
                </c:pt>
                <c:pt idx="149">
                  <c:v>21.627332274879283</c:v>
                </c:pt>
                <c:pt idx="150">
                  <c:v>23.094012843380945</c:v>
                </c:pt>
                <c:pt idx="151">
                  <c:v>24.656718394311465</c:v>
                </c:pt>
                <c:pt idx="152">
                  <c:v>25.781251419984869</c:v>
                </c:pt>
                <c:pt idx="153">
                  <c:v>28.010057729122572</c:v>
                </c:pt>
                <c:pt idx="154">
                  <c:v>29.671019362253116</c:v>
                </c:pt>
                <c:pt idx="155">
                  <c:v>30.610706841557722</c:v>
                </c:pt>
                <c:pt idx="156">
                  <c:v>32.270712792357095</c:v>
                </c:pt>
                <c:pt idx="157">
                  <c:v>33.494850355824681</c:v>
                </c:pt>
                <c:pt idx="158">
                  <c:v>33.992419197403642</c:v>
                </c:pt>
                <c:pt idx="159">
                  <c:v>34.123077345034972</c:v>
                </c:pt>
                <c:pt idx="160">
                  <c:v>34.3580304542945</c:v>
                </c:pt>
                <c:pt idx="161">
                  <c:v>34.553221700753781</c:v>
                </c:pt>
                <c:pt idx="162">
                  <c:v>35.32513726431327</c:v>
                </c:pt>
                <c:pt idx="163">
                  <c:v>35.068308165222582</c:v>
                </c:pt>
                <c:pt idx="164">
                  <c:v>36.318773266434626</c:v>
                </c:pt>
                <c:pt idx="165">
                  <c:v>36.418308526260098</c:v>
                </c:pt>
                <c:pt idx="166">
                  <c:v>37.037776669365826</c:v>
                </c:pt>
                <c:pt idx="167">
                  <c:v>37.727614484735852</c:v>
                </c:pt>
                <c:pt idx="168">
                  <c:v>38.950424769419101</c:v>
                </c:pt>
                <c:pt idx="169">
                  <c:v>38.825853749994536</c:v>
                </c:pt>
                <c:pt idx="170">
                  <c:v>39.356158032520376</c:v>
                </c:pt>
                <c:pt idx="171">
                  <c:v>40.221061562709941</c:v>
                </c:pt>
                <c:pt idx="172">
                  <c:v>39.93135500308864</c:v>
                </c:pt>
                <c:pt idx="173">
                  <c:v>41.753348741228315</c:v>
                </c:pt>
                <c:pt idx="174">
                  <c:v>40.623282220894041</c:v>
                </c:pt>
                <c:pt idx="175">
                  <c:v>41.247785360799355</c:v>
                </c:pt>
                <c:pt idx="176">
                  <c:v>42.454850126295199</c:v>
                </c:pt>
                <c:pt idx="177">
                  <c:v>41.901393184636532</c:v>
                </c:pt>
                <c:pt idx="178">
                  <c:v>41.726640284813548</c:v>
                </c:pt>
                <c:pt idx="179">
                  <c:v>44.823149322685993</c:v>
                </c:pt>
                <c:pt idx="180">
                  <c:v>42.245703036389877</c:v>
                </c:pt>
                <c:pt idx="181">
                  <c:v>41.659775402987975</c:v>
                </c:pt>
                <c:pt idx="182">
                  <c:v>40.883122805652263</c:v>
                </c:pt>
                <c:pt idx="183">
                  <c:v>37.000825724960286</c:v>
                </c:pt>
                <c:pt idx="184">
                  <c:v>34.83396651285436</c:v>
                </c:pt>
                <c:pt idx="185">
                  <c:v>35.047944852329103</c:v>
                </c:pt>
                <c:pt idx="186">
                  <c:v>32.85958813385399</c:v>
                </c:pt>
                <c:pt idx="187">
                  <c:v>32.978758671635241</c:v>
                </c:pt>
                <c:pt idx="188">
                  <c:v>32.613301904020787</c:v>
                </c:pt>
                <c:pt idx="189">
                  <c:v>29.930574232880659</c:v>
                </c:pt>
                <c:pt idx="190">
                  <c:v>29.634865886707619</c:v>
                </c:pt>
                <c:pt idx="191">
                  <c:v>28.372294570700436</c:v>
                </c:pt>
                <c:pt idx="192">
                  <c:v>27.708247934550123</c:v>
                </c:pt>
                <c:pt idx="193">
                  <c:v>25.938908065803183</c:v>
                </c:pt>
                <c:pt idx="194">
                  <c:v>25.085382114788711</c:v>
                </c:pt>
                <c:pt idx="195">
                  <c:v>22.665181162023337</c:v>
                </c:pt>
                <c:pt idx="196">
                  <c:v>21.869415784383271</c:v>
                </c:pt>
                <c:pt idx="197">
                  <c:v>21.057631961001892</c:v>
                </c:pt>
                <c:pt idx="198">
                  <c:v>21.106595377370361</c:v>
                </c:pt>
                <c:pt idx="199">
                  <c:v>21.773159160521654</c:v>
                </c:pt>
                <c:pt idx="200">
                  <c:v>20.133460325156772</c:v>
                </c:pt>
                <c:pt idx="201">
                  <c:v>19.162248461447149</c:v>
                </c:pt>
                <c:pt idx="202">
                  <c:v>18.658189969109941</c:v>
                </c:pt>
                <c:pt idx="203">
                  <c:v>17.78006480420294</c:v>
                </c:pt>
                <c:pt idx="204">
                  <c:v>19.532380659886623</c:v>
                </c:pt>
                <c:pt idx="205">
                  <c:v>22.018622331559126</c:v>
                </c:pt>
                <c:pt idx="206">
                  <c:v>19.992704825116039</c:v>
                </c:pt>
                <c:pt idx="207">
                  <c:v>19.201866307433395</c:v>
                </c:pt>
                <c:pt idx="208">
                  <c:v>19.018071821435754</c:v>
                </c:pt>
                <c:pt idx="209">
                  <c:v>17.585631411714566</c:v>
                </c:pt>
                <c:pt idx="210">
                  <c:v>16.711863751822357</c:v>
                </c:pt>
                <c:pt idx="211">
                  <c:v>17.985509261906145</c:v>
                </c:pt>
                <c:pt idx="212">
                  <c:v>16.064923659520844</c:v>
                </c:pt>
                <c:pt idx="213">
                  <c:v>17.31508631158146</c:v>
                </c:pt>
                <c:pt idx="214">
                  <c:v>16.977474472728755</c:v>
                </c:pt>
                <c:pt idx="215">
                  <c:v>15.169473923718177</c:v>
                </c:pt>
                <c:pt idx="216">
                  <c:v>14.833047517155043</c:v>
                </c:pt>
                <c:pt idx="217">
                  <c:v>14.514633416060772</c:v>
                </c:pt>
                <c:pt idx="218">
                  <c:v>13.739224877296952</c:v>
                </c:pt>
                <c:pt idx="219">
                  <c:v>14.197487437675077</c:v>
                </c:pt>
                <c:pt idx="220">
                  <c:v>13.825689462067842</c:v>
                </c:pt>
                <c:pt idx="221">
                  <c:v>13.203563260700459</c:v>
                </c:pt>
                <c:pt idx="222">
                  <c:v>15.877778676351365</c:v>
                </c:pt>
                <c:pt idx="223">
                  <c:v>17.480332707471899</c:v>
                </c:pt>
                <c:pt idx="224">
                  <c:v>17.096303674650336</c:v>
                </c:pt>
                <c:pt idx="225">
                  <c:v>16.075648329668642</c:v>
                </c:pt>
                <c:pt idx="226">
                  <c:v>15.055775332311411</c:v>
                </c:pt>
                <c:pt idx="227">
                  <c:v>14.028188533320348</c:v>
                </c:pt>
                <c:pt idx="228">
                  <c:v>13.116664101235045</c:v>
                </c:pt>
                <c:pt idx="229">
                  <c:v>11.314502060608818</c:v>
                </c:pt>
                <c:pt idx="230">
                  <c:v>11.674771644543428</c:v>
                </c:pt>
                <c:pt idx="231">
                  <c:v>10.783604716470514</c:v>
                </c:pt>
                <c:pt idx="232">
                  <c:v>10.542152749680124</c:v>
                </c:pt>
                <c:pt idx="233">
                  <c:v>10.690937494004348</c:v>
                </c:pt>
                <c:pt idx="234">
                  <c:v>11.217109646446023</c:v>
                </c:pt>
                <c:pt idx="235">
                  <c:v>11.480467384065591</c:v>
                </c:pt>
                <c:pt idx="236">
                  <c:v>10.381852614832791</c:v>
                </c:pt>
                <c:pt idx="237">
                  <c:v>10.117570453384847</c:v>
                </c:pt>
                <c:pt idx="238">
                  <c:v>10.188436100819082</c:v>
                </c:pt>
                <c:pt idx="239">
                  <c:v>9.3596157314595967</c:v>
                </c:pt>
                <c:pt idx="240">
                  <c:v>7.3771281514516733</c:v>
                </c:pt>
                <c:pt idx="241">
                  <c:v>7.2804615401125305</c:v>
                </c:pt>
                <c:pt idx="242">
                  <c:v>8.1863929372720161</c:v>
                </c:pt>
                <c:pt idx="243">
                  <c:v>8.0776701775241619</c:v>
                </c:pt>
                <c:pt idx="244">
                  <c:v>5.6672169480971775</c:v>
                </c:pt>
                <c:pt idx="245">
                  <c:v>5.399916057148455</c:v>
                </c:pt>
                <c:pt idx="246">
                  <c:v>5.0999668333737516</c:v>
                </c:pt>
                <c:pt idx="247">
                  <c:v>6.0698782433223792</c:v>
                </c:pt>
                <c:pt idx="248">
                  <c:v>7.7132809861604352</c:v>
                </c:pt>
                <c:pt idx="249">
                  <c:v>5.9738592818444678</c:v>
                </c:pt>
                <c:pt idx="250">
                  <c:v>5.9866844297460329</c:v>
                </c:pt>
                <c:pt idx="251">
                  <c:v>4.942431025349193</c:v>
                </c:pt>
                <c:pt idx="252">
                  <c:v>4.6025576659608518</c:v>
                </c:pt>
                <c:pt idx="253">
                  <c:v>5.45646513448742</c:v>
                </c:pt>
                <c:pt idx="254">
                  <c:v>4.2915246237932703</c:v>
                </c:pt>
                <c:pt idx="255">
                  <c:v>3.4758638026769275</c:v>
                </c:pt>
                <c:pt idx="256">
                  <c:v>4.0574535169989741</c:v>
                </c:pt>
                <c:pt idx="257">
                  <c:v>4.7595071664878281</c:v>
                </c:pt>
                <c:pt idx="258">
                  <c:v>4.1620181769593225</c:v>
                </c:pt>
                <c:pt idx="259">
                  <c:v>4.0246216262910774</c:v>
                </c:pt>
                <c:pt idx="260">
                  <c:v>7.1137194541937347</c:v>
                </c:pt>
                <c:pt idx="261">
                  <c:v>8.5519905431817484</c:v>
                </c:pt>
                <c:pt idx="262">
                  <c:v>9.9924970445450825</c:v>
                </c:pt>
                <c:pt idx="263">
                  <c:v>9.4333956730279453</c:v>
                </c:pt>
                <c:pt idx="264">
                  <c:v>10.38564972945554</c:v>
                </c:pt>
                <c:pt idx="265">
                  <c:v>9.977265756763682</c:v>
                </c:pt>
                <c:pt idx="266">
                  <c:v>9.8029877584947052</c:v>
                </c:pt>
                <c:pt idx="267">
                  <c:v>9.4613682165191602</c:v>
                </c:pt>
                <c:pt idx="268">
                  <c:v>10.429304894191871</c:v>
                </c:pt>
                <c:pt idx="269">
                  <c:v>11.071287184319837</c:v>
                </c:pt>
                <c:pt idx="270">
                  <c:v>11.954468481703424</c:v>
                </c:pt>
                <c:pt idx="271">
                  <c:v>11.918167404684569</c:v>
                </c:pt>
                <c:pt idx="272">
                  <c:v>13.147553698527881</c:v>
                </c:pt>
                <c:pt idx="273">
                  <c:v>13.658086993635482</c:v>
                </c:pt>
                <c:pt idx="274">
                  <c:v>14.790834973693844</c:v>
                </c:pt>
                <c:pt idx="275">
                  <c:v>14.262788839163997</c:v>
                </c:pt>
                <c:pt idx="276">
                  <c:v>14.306734489388933</c:v>
                </c:pt>
                <c:pt idx="277">
                  <c:v>15.352313299546994</c:v>
                </c:pt>
                <c:pt idx="278">
                  <c:v>15.576065874220207</c:v>
                </c:pt>
                <c:pt idx="279">
                  <c:v>16.37985600150806</c:v>
                </c:pt>
                <c:pt idx="280">
                  <c:v>16.609330093629911</c:v>
                </c:pt>
                <c:pt idx="281">
                  <c:v>16.671279463430054</c:v>
                </c:pt>
                <c:pt idx="282">
                  <c:v>18.074493422874923</c:v>
                </c:pt>
                <c:pt idx="283">
                  <c:v>18.9154386007258</c:v>
                </c:pt>
                <c:pt idx="284">
                  <c:v>19.601537543575741</c:v>
                </c:pt>
                <c:pt idx="285">
                  <c:v>20.311173348529554</c:v>
                </c:pt>
                <c:pt idx="286">
                  <c:v>18.981769296288796</c:v>
                </c:pt>
                <c:pt idx="287">
                  <c:v>19.513630944887034</c:v>
                </c:pt>
                <c:pt idx="288">
                  <c:v>20.369789014354208</c:v>
                </c:pt>
                <c:pt idx="289">
                  <c:v>20.608254534790387</c:v>
                </c:pt>
                <c:pt idx="290">
                  <c:v>19.721140636671336</c:v>
                </c:pt>
                <c:pt idx="291">
                  <c:v>21.994805181188635</c:v>
                </c:pt>
                <c:pt idx="292">
                  <c:v>21.141011323992203</c:v>
                </c:pt>
                <c:pt idx="293">
                  <c:v>21.416895526372954</c:v>
                </c:pt>
                <c:pt idx="294">
                  <c:v>21.663865175999039</c:v>
                </c:pt>
                <c:pt idx="295">
                  <c:v>22.519718992451025</c:v>
                </c:pt>
                <c:pt idx="296">
                  <c:v>21.251990353010743</c:v>
                </c:pt>
                <c:pt idx="297">
                  <c:v>22.287811033414819</c:v>
                </c:pt>
                <c:pt idx="298">
                  <c:v>22.082926257131778</c:v>
                </c:pt>
                <c:pt idx="299">
                  <c:v>23.322205848073349</c:v>
                </c:pt>
                <c:pt idx="300">
                  <c:v>27.352891733747597</c:v>
                </c:pt>
                <c:pt idx="301">
                  <c:v>26.416891398696258</c:v>
                </c:pt>
                <c:pt idx="302">
                  <c:v>23.816550800728372</c:v>
                </c:pt>
                <c:pt idx="303">
                  <c:v>24.288580366114875</c:v>
                </c:pt>
                <c:pt idx="304">
                  <c:v>24.443741885080204</c:v>
                </c:pt>
                <c:pt idx="305">
                  <c:v>24.407542267263043</c:v>
                </c:pt>
                <c:pt idx="306">
                  <c:v>24.169265503897755</c:v>
                </c:pt>
                <c:pt idx="307">
                  <c:v>24.661452346112821</c:v>
                </c:pt>
                <c:pt idx="308">
                  <c:v>24.571980330149863</c:v>
                </c:pt>
                <c:pt idx="309">
                  <c:v>24.804296587461838</c:v>
                </c:pt>
                <c:pt idx="310">
                  <c:v>25.926240724701934</c:v>
                </c:pt>
                <c:pt idx="311">
                  <c:v>26.011750601034322</c:v>
                </c:pt>
                <c:pt idx="312">
                  <c:v>27.049669558133395</c:v>
                </c:pt>
                <c:pt idx="313">
                  <c:v>29.861083488958222</c:v>
                </c:pt>
                <c:pt idx="314">
                  <c:v>29.459325664113589</c:v>
                </c:pt>
                <c:pt idx="315">
                  <c:v>30.532868244729272</c:v>
                </c:pt>
                <c:pt idx="316">
                  <c:v>29.949068537925562</c:v>
                </c:pt>
                <c:pt idx="317">
                  <c:v>30.755482086002505</c:v>
                </c:pt>
                <c:pt idx="318">
                  <c:v>31.827047793528084</c:v>
                </c:pt>
                <c:pt idx="319">
                  <c:v>33.222967326659806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96-4070-A8B2-8F61A2588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'240807A002'!$A$2:$A$321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'240807A002'!$J$2:$J$321</c:f>
              <c:numCache>
                <c:formatCode>0.0</c:formatCode>
                <c:ptCount val="320"/>
                <c:pt idx="0">
                  <c:v>1247.4158006973</c:v>
                </c:pt>
                <c:pt idx="1">
                  <c:v>1240.5424842738901</c:v>
                </c:pt>
                <c:pt idx="2">
                  <c:v>1250.38212097623</c:v>
                </c:pt>
                <c:pt idx="3">
                  <c:v>1254.7989273153601</c:v>
                </c:pt>
                <c:pt idx="4">
                  <c:v>1233.3689209714</c:v>
                </c:pt>
                <c:pt idx="5">
                  <c:v>1253.3402541729599</c:v>
                </c:pt>
                <c:pt idx="6">
                  <c:v>1386.3574177824701</c:v>
                </c:pt>
                <c:pt idx="7">
                  <c:v>1353.0037168348899</c:v>
                </c:pt>
                <c:pt idx="8">
                  <c:v>1510.89765390812</c:v>
                </c:pt>
                <c:pt idx="9">
                  <c:v>1636.2292825151801</c:v>
                </c:pt>
                <c:pt idx="10">
                  <c:v>1703.5911095937099</c:v>
                </c:pt>
                <c:pt idx="11">
                  <c:v>1759.3162241713001</c:v>
                </c:pt>
                <c:pt idx="12">
                  <c:v>1829.9042161617301</c:v>
                </c:pt>
                <c:pt idx="13">
                  <c:v>1785.3372108338799</c:v>
                </c:pt>
                <c:pt idx="14">
                  <c:v>1790.8056643412299</c:v>
                </c:pt>
                <c:pt idx="15">
                  <c:v>1852.97622975885</c:v>
                </c:pt>
                <c:pt idx="16">
                  <c:v>1847.7729282570299</c:v>
                </c:pt>
                <c:pt idx="17">
                  <c:v>1804.2029319307601</c:v>
                </c:pt>
                <c:pt idx="18">
                  <c:v>1831.56583315184</c:v>
                </c:pt>
                <c:pt idx="19">
                  <c:v>1832.09167233121</c:v>
                </c:pt>
                <c:pt idx="20">
                  <c:v>1773.9137590440901</c:v>
                </c:pt>
                <c:pt idx="21">
                  <c:v>1776.1012558817999</c:v>
                </c:pt>
                <c:pt idx="22">
                  <c:v>1796.96370943794</c:v>
                </c:pt>
                <c:pt idx="23">
                  <c:v>1796.7371735833199</c:v>
                </c:pt>
                <c:pt idx="24">
                  <c:v>1743.5567376541701</c:v>
                </c:pt>
                <c:pt idx="25">
                  <c:v>1751.8940536837699</c:v>
                </c:pt>
                <c:pt idx="26">
                  <c:v>1773.865562255</c:v>
                </c:pt>
                <c:pt idx="27">
                  <c:v>1765.78261938027</c:v>
                </c:pt>
                <c:pt idx="28">
                  <c:v>1845.66051420914</c:v>
                </c:pt>
                <c:pt idx="29">
                  <c:v>1854.4674017673999</c:v>
                </c:pt>
                <c:pt idx="30">
                  <c:v>1854.2036684935599</c:v>
                </c:pt>
                <c:pt idx="31">
                  <c:v>1855.5058135249401</c:v>
                </c:pt>
                <c:pt idx="32">
                  <c:v>1861.7911651331499</c:v>
                </c:pt>
                <c:pt idx="33">
                  <c:v>1866.1921812804899</c:v>
                </c:pt>
                <c:pt idx="34">
                  <c:v>1824.61417945071</c:v>
                </c:pt>
                <c:pt idx="35">
                  <c:v>1796.6112473766998</c:v>
                </c:pt>
                <c:pt idx="36">
                  <c:v>1714.96937303253</c:v>
                </c:pt>
                <c:pt idx="37">
                  <c:v>1693.3746391609</c:v>
                </c:pt>
                <c:pt idx="38">
                  <c:v>1790.57408423163</c:v>
                </c:pt>
                <c:pt idx="39">
                  <c:v>1855.84211496839</c:v>
                </c:pt>
                <c:pt idx="40">
                  <c:v>1857.25261561159</c:v>
                </c:pt>
                <c:pt idx="41">
                  <c:v>1854.1432681205401</c:v>
                </c:pt>
                <c:pt idx="42">
                  <c:v>1779.7995313915899</c:v>
                </c:pt>
                <c:pt idx="43">
                  <c:v>1781.0044601444301</c:v>
                </c:pt>
                <c:pt idx="44">
                  <c:v>1781.73813108432</c:v>
                </c:pt>
                <c:pt idx="45">
                  <c:v>1780.9110328286802</c:v>
                </c:pt>
                <c:pt idx="46">
                  <c:v>1776.10114078021</c:v>
                </c:pt>
                <c:pt idx="47">
                  <c:v>1780.92979558058</c:v>
                </c:pt>
                <c:pt idx="48">
                  <c:v>1777.5281438927</c:v>
                </c:pt>
                <c:pt idx="49">
                  <c:v>1776.9063988637899</c:v>
                </c:pt>
                <c:pt idx="50">
                  <c:v>1791.99663691407</c:v>
                </c:pt>
                <c:pt idx="51">
                  <c:v>1793.66091388419</c:v>
                </c:pt>
                <c:pt idx="52">
                  <c:v>1803.6561104846899</c:v>
                </c:pt>
                <c:pt idx="53">
                  <c:v>1764.6045613828999</c:v>
                </c:pt>
                <c:pt idx="54">
                  <c:v>1793.78037086112</c:v>
                </c:pt>
                <c:pt idx="55">
                  <c:v>1780.5124512133302</c:v>
                </c:pt>
                <c:pt idx="56">
                  <c:v>1760.9469673179201</c:v>
                </c:pt>
                <c:pt idx="57">
                  <c:v>1750.7876810730202</c:v>
                </c:pt>
                <c:pt idx="58">
                  <c:v>1743.42698049193</c:v>
                </c:pt>
                <c:pt idx="59">
                  <c:v>1731.03190298564</c:v>
                </c:pt>
                <c:pt idx="60">
                  <c:v>1724.77345127124</c:v>
                </c:pt>
                <c:pt idx="61">
                  <c:v>1714.0432014811299</c:v>
                </c:pt>
                <c:pt idx="62">
                  <c:v>1711.0959792192998</c:v>
                </c:pt>
                <c:pt idx="63">
                  <c:v>1716.6597955854002</c:v>
                </c:pt>
                <c:pt idx="64">
                  <c:v>1696.0537362393002</c:v>
                </c:pt>
                <c:pt idx="65">
                  <c:v>1738.4427269150001</c:v>
                </c:pt>
                <c:pt idx="66">
                  <c:v>1732.6485571878302</c:v>
                </c:pt>
                <c:pt idx="67">
                  <c:v>1736.5228150140201</c:v>
                </c:pt>
                <c:pt idx="68">
                  <c:v>1721.7776134574999</c:v>
                </c:pt>
                <c:pt idx="69">
                  <c:v>1719.4808969482001</c:v>
                </c:pt>
                <c:pt idx="70">
                  <c:v>1715.5564412818799</c:v>
                </c:pt>
                <c:pt idx="71">
                  <c:v>1723.82217777191</c:v>
                </c:pt>
                <c:pt idx="72">
                  <c:v>1719.69486599332</c:v>
                </c:pt>
                <c:pt idx="73">
                  <c:v>1719.0495485746401</c:v>
                </c:pt>
                <c:pt idx="74">
                  <c:v>1717.7006186604001</c:v>
                </c:pt>
                <c:pt idx="75">
                  <c:v>1721.42317462396</c:v>
                </c:pt>
                <c:pt idx="76">
                  <c:v>1719.1403878104602</c:v>
                </c:pt>
                <c:pt idx="77">
                  <c:v>1721.3346887023799</c:v>
                </c:pt>
                <c:pt idx="78">
                  <c:v>1717.5330611664599</c:v>
                </c:pt>
                <c:pt idx="79">
                  <c:v>1738.31971952609</c:v>
                </c:pt>
                <c:pt idx="80">
                  <c:v>1732.3900631777201</c:v>
                </c:pt>
                <c:pt idx="81">
                  <c:v>1708.4284102833199</c:v>
                </c:pt>
                <c:pt idx="82">
                  <c:v>1677.11076097415</c:v>
                </c:pt>
                <c:pt idx="83">
                  <c:v>1694.82060598111</c:v>
                </c:pt>
                <c:pt idx="84">
                  <c:v>1704.6111129328401</c:v>
                </c:pt>
                <c:pt idx="85">
                  <c:v>1701.8674110266199</c:v>
                </c:pt>
                <c:pt idx="86">
                  <c:v>1706.12684942287</c:v>
                </c:pt>
                <c:pt idx="87">
                  <c:v>1705.133545383</c:v>
                </c:pt>
                <c:pt idx="88">
                  <c:v>1704.8926667978601</c:v>
                </c:pt>
                <c:pt idx="89">
                  <c:v>1693.3596985397301</c:v>
                </c:pt>
                <c:pt idx="90">
                  <c:v>1703.3573321091301</c:v>
                </c:pt>
                <c:pt idx="91">
                  <c:v>1695.4060346711799</c:v>
                </c:pt>
                <c:pt idx="92">
                  <c:v>1698.4632148478499</c:v>
                </c:pt>
                <c:pt idx="93">
                  <c:v>1686.9724696134699</c:v>
                </c:pt>
                <c:pt idx="94">
                  <c:v>1704.7346963536199</c:v>
                </c:pt>
                <c:pt idx="95">
                  <c:v>1687.4136662732099</c:v>
                </c:pt>
                <c:pt idx="96">
                  <c:v>1682.6545853007699</c:v>
                </c:pt>
                <c:pt idx="97">
                  <c:v>1668.20045361137</c:v>
                </c:pt>
                <c:pt idx="98">
                  <c:v>1656.3977188264801</c:v>
                </c:pt>
                <c:pt idx="99">
                  <c:v>1670.8877743529501</c:v>
                </c:pt>
                <c:pt idx="100">
                  <c:v>1668.16875765124</c:v>
                </c:pt>
                <c:pt idx="101">
                  <c:v>1672.5051897516901</c:v>
                </c:pt>
                <c:pt idx="102">
                  <c:v>1665.2884946659299</c:v>
                </c:pt>
                <c:pt idx="103">
                  <c:v>1667.3112309811099</c:v>
                </c:pt>
                <c:pt idx="104">
                  <c:v>1663.45421148125</c:v>
                </c:pt>
                <c:pt idx="105">
                  <c:v>1660.4807253410299</c:v>
                </c:pt>
                <c:pt idx="106">
                  <c:v>1656.4417235047199</c:v>
                </c:pt>
                <c:pt idx="107">
                  <c:v>1658.58922372336</c:v>
                </c:pt>
                <c:pt idx="108">
                  <c:v>1649.46357883001</c:v>
                </c:pt>
                <c:pt idx="109">
                  <c:v>1658.6698823889099</c:v>
                </c:pt>
                <c:pt idx="110">
                  <c:v>1666.3679378716001</c:v>
                </c:pt>
                <c:pt idx="111">
                  <c:v>1669.2611479101399</c:v>
                </c:pt>
                <c:pt idx="112">
                  <c:v>1662.3807133175599</c:v>
                </c:pt>
                <c:pt idx="113">
                  <c:v>1665.0221602833199</c:v>
                </c:pt>
                <c:pt idx="114">
                  <c:v>1670.04986446313</c:v>
                </c:pt>
                <c:pt idx="115">
                  <c:v>1668.64907091644</c:v>
                </c:pt>
                <c:pt idx="116">
                  <c:v>1661.3565866562099</c:v>
                </c:pt>
                <c:pt idx="117">
                  <c:v>1659.3801591465201</c:v>
                </c:pt>
                <c:pt idx="118">
                  <c:v>1660.2608145330501</c:v>
                </c:pt>
                <c:pt idx="119">
                  <c:v>1641.92249693952</c:v>
                </c:pt>
                <c:pt idx="120">
                  <c:v>1629.7844744665601</c:v>
                </c:pt>
                <c:pt idx="121">
                  <c:v>1650.0788682669099</c:v>
                </c:pt>
                <c:pt idx="122">
                  <c:v>1646.3811964411</c:v>
                </c:pt>
                <c:pt idx="123">
                  <c:v>1651.0069954529201</c:v>
                </c:pt>
                <c:pt idx="124">
                  <c:v>1642.28632498254</c:v>
                </c:pt>
                <c:pt idx="125">
                  <c:v>1651.7686085740702</c:v>
                </c:pt>
                <c:pt idx="126">
                  <c:v>1635.0077890426201</c:v>
                </c:pt>
                <c:pt idx="127">
                  <c:v>1574.3879546547</c:v>
                </c:pt>
                <c:pt idx="128">
                  <c:v>1621.4731224080399</c:v>
                </c:pt>
                <c:pt idx="129">
                  <c:v>1623.84174714713</c:v>
                </c:pt>
                <c:pt idx="130">
                  <c:v>1716.5029708607799</c:v>
                </c:pt>
                <c:pt idx="131">
                  <c:v>1702.00100297585</c:v>
                </c:pt>
                <c:pt idx="132">
                  <c:v>1690.62676169006</c:v>
                </c:pt>
                <c:pt idx="133">
                  <c:v>1700.57599169374</c:v>
                </c:pt>
                <c:pt idx="134">
                  <c:v>1649.3784815894701</c:v>
                </c:pt>
                <c:pt idx="135">
                  <c:v>1681.9694901536</c:v>
                </c:pt>
                <c:pt idx="136">
                  <c:v>1691.84666323436</c:v>
                </c:pt>
                <c:pt idx="137">
                  <c:v>1678.4366297041699</c:v>
                </c:pt>
                <c:pt idx="138">
                  <c:v>1670.2053587205701</c:v>
                </c:pt>
                <c:pt idx="139">
                  <c:v>1612.09164625112</c:v>
                </c:pt>
                <c:pt idx="140">
                  <c:v>1601.4441374541402</c:v>
                </c:pt>
                <c:pt idx="141">
                  <c:v>1615.54610890656</c:v>
                </c:pt>
                <c:pt idx="142">
                  <c:v>1636.9194403055901</c:v>
                </c:pt>
                <c:pt idx="143">
                  <c:v>1633.3599695021601</c:v>
                </c:pt>
                <c:pt idx="144">
                  <c:v>1639.3063681164401</c:v>
                </c:pt>
                <c:pt idx="145">
                  <c:v>1704.8628407259</c:v>
                </c:pt>
                <c:pt idx="146">
                  <c:v>1665.7661450874698</c:v>
                </c:pt>
                <c:pt idx="147">
                  <c:v>1657.82961075303</c:v>
                </c:pt>
                <c:pt idx="148">
                  <c:v>1614.6539498541902</c:v>
                </c:pt>
                <c:pt idx="149">
                  <c:v>1545.75193992241</c:v>
                </c:pt>
                <c:pt idx="150">
                  <c:v>1606.7752612975301</c:v>
                </c:pt>
                <c:pt idx="151">
                  <c:v>1598.90146078966</c:v>
                </c:pt>
                <c:pt idx="152">
                  <c:v>1592.1646647070502</c:v>
                </c:pt>
                <c:pt idx="153">
                  <c:v>1620.54390886802</c:v>
                </c:pt>
                <c:pt idx="154">
                  <c:v>1620.7398818504798</c:v>
                </c:pt>
                <c:pt idx="155">
                  <c:v>1610.86476819269</c:v>
                </c:pt>
                <c:pt idx="156">
                  <c:v>1616.2165807553899</c:v>
                </c:pt>
                <c:pt idx="157">
                  <c:v>1649.9776119974299</c:v>
                </c:pt>
                <c:pt idx="158">
                  <c:v>1669.1052315994498</c:v>
                </c:pt>
                <c:pt idx="159">
                  <c:v>1667.66217433117</c:v>
                </c:pt>
                <c:pt idx="160">
                  <c:v>1651.9240672394801</c:v>
                </c:pt>
                <c:pt idx="161">
                  <c:v>1619.3505114198699</c:v>
                </c:pt>
                <c:pt idx="162">
                  <c:v>1622.54466901811</c:v>
                </c:pt>
                <c:pt idx="163">
                  <c:v>1632.69160666004</c:v>
                </c:pt>
                <c:pt idx="164">
                  <c:v>1604.5721397879599</c:v>
                </c:pt>
                <c:pt idx="165">
                  <c:v>1605.18528175663</c:v>
                </c:pt>
                <c:pt idx="166">
                  <c:v>1599.0290920391099</c:v>
                </c:pt>
                <c:pt idx="167">
                  <c:v>1648.47414025118</c:v>
                </c:pt>
                <c:pt idx="168">
                  <c:v>1651.7769583726599</c:v>
                </c:pt>
                <c:pt idx="169">
                  <c:v>1686.1416546636499</c:v>
                </c:pt>
                <c:pt idx="170">
                  <c:v>1676.56101142955</c:v>
                </c:pt>
                <c:pt idx="171">
                  <c:v>1764.6477913833101</c:v>
                </c:pt>
                <c:pt idx="172">
                  <c:v>1700.88634437829</c:v>
                </c:pt>
                <c:pt idx="173">
                  <c:v>1700.9949125641401</c:v>
                </c:pt>
                <c:pt idx="174">
                  <c:v>1723.73540723631</c:v>
                </c:pt>
                <c:pt idx="175">
                  <c:v>1716.2503545290001</c:v>
                </c:pt>
                <c:pt idx="176">
                  <c:v>1723.69609074187</c:v>
                </c:pt>
                <c:pt idx="177">
                  <c:v>1732.29752224864</c:v>
                </c:pt>
                <c:pt idx="178">
                  <c:v>1739.7389986258099</c:v>
                </c:pt>
                <c:pt idx="179">
                  <c:v>1741.4669552657299</c:v>
                </c:pt>
                <c:pt idx="180">
                  <c:v>1695.81857117143</c:v>
                </c:pt>
                <c:pt idx="181">
                  <c:v>1653.5089159199499</c:v>
                </c:pt>
                <c:pt idx="182">
                  <c:v>1631.7272856585</c:v>
                </c:pt>
                <c:pt idx="183">
                  <c:v>1640.5578574656299</c:v>
                </c:pt>
                <c:pt idx="184">
                  <c:v>1654.1063443798398</c:v>
                </c:pt>
                <c:pt idx="185">
                  <c:v>1770.7333527570399</c:v>
                </c:pt>
                <c:pt idx="186">
                  <c:v>1652.4289289728301</c:v>
                </c:pt>
                <c:pt idx="187">
                  <c:v>1617.43784444521</c:v>
                </c:pt>
                <c:pt idx="188">
                  <c:v>1599.75769573312</c:v>
                </c:pt>
                <c:pt idx="189">
                  <c:v>1589.43993205883</c:v>
                </c:pt>
                <c:pt idx="190">
                  <c:v>1580.43347412414</c:v>
                </c:pt>
                <c:pt idx="191">
                  <c:v>1580.5135143774498</c:v>
                </c:pt>
                <c:pt idx="192">
                  <c:v>1572.2927674217899</c:v>
                </c:pt>
                <c:pt idx="193">
                  <c:v>1570.3693048048201</c:v>
                </c:pt>
                <c:pt idx="194">
                  <c:v>1569.9043279955902</c:v>
                </c:pt>
                <c:pt idx="195">
                  <c:v>1567.09203686723</c:v>
                </c:pt>
                <c:pt idx="196">
                  <c:v>1561.19795074375</c:v>
                </c:pt>
                <c:pt idx="197">
                  <c:v>1563.65317176185</c:v>
                </c:pt>
                <c:pt idx="198">
                  <c:v>1580.33789801336</c:v>
                </c:pt>
                <c:pt idx="199">
                  <c:v>1577.3414372570101</c:v>
                </c:pt>
                <c:pt idx="200">
                  <c:v>1571.76430467257</c:v>
                </c:pt>
                <c:pt idx="201">
                  <c:v>1566.6194194362101</c:v>
                </c:pt>
                <c:pt idx="202">
                  <c:v>1569.0355335209099</c:v>
                </c:pt>
                <c:pt idx="203">
                  <c:v>1563.72707482786</c:v>
                </c:pt>
                <c:pt idx="204">
                  <c:v>1569.6581990088898</c:v>
                </c:pt>
                <c:pt idx="205">
                  <c:v>1560.6072574884899</c:v>
                </c:pt>
                <c:pt idx="206">
                  <c:v>1562.9679032158699</c:v>
                </c:pt>
                <c:pt idx="207">
                  <c:v>1561.5759344661399</c:v>
                </c:pt>
                <c:pt idx="208">
                  <c:v>1552.31073919598</c:v>
                </c:pt>
                <c:pt idx="209">
                  <c:v>1564.2408383080201</c:v>
                </c:pt>
                <c:pt idx="210">
                  <c:v>1564.2824880739499</c:v>
                </c:pt>
                <c:pt idx="211">
                  <c:v>1551.27748066703</c:v>
                </c:pt>
                <c:pt idx="212">
                  <c:v>1566.35349118657</c:v>
                </c:pt>
                <c:pt idx="213">
                  <c:v>1559.89034296825</c:v>
                </c:pt>
                <c:pt idx="214">
                  <c:v>1564.4177894662198</c:v>
                </c:pt>
                <c:pt idx="215">
                  <c:v>1568.9715570908102</c:v>
                </c:pt>
                <c:pt idx="216">
                  <c:v>1552.5783229871299</c:v>
                </c:pt>
                <c:pt idx="217">
                  <c:v>1569.7866908567999</c:v>
                </c:pt>
                <c:pt idx="218">
                  <c:v>1578.7791097551699</c:v>
                </c:pt>
                <c:pt idx="219">
                  <c:v>1559.1332622765499</c:v>
                </c:pt>
                <c:pt idx="220">
                  <c:v>1552.5707099209599</c:v>
                </c:pt>
                <c:pt idx="221">
                  <c:v>1549.2425478586001</c:v>
                </c:pt>
                <c:pt idx="222">
                  <c:v>1550.8157510118299</c:v>
                </c:pt>
                <c:pt idx="223">
                  <c:v>1550.99489559729</c:v>
                </c:pt>
                <c:pt idx="224">
                  <c:v>1549.40942247829</c:v>
                </c:pt>
                <c:pt idx="225">
                  <c:v>1550.9228299399401</c:v>
                </c:pt>
                <c:pt idx="226">
                  <c:v>1539.8027050799601</c:v>
                </c:pt>
                <c:pt idx="227">
                  <c:v>1541.27298359004</c:v>
                </c:pt>
                <c:pt idx="228">
                  <c:v>1551.76957771565</c:v>
                </c:pt>
                <c:pt idx="229">
                  <c:v>1546.29279938633</c:v>
                </c:pt>
                <c:pt idx="230">
                  <c:v>1544.72038763039</c:v>
                </c:pt>
                <c:pt idx="231">
                  <c:v>1533.74773933708</c:v>
                </c:pt>
                <c:pt idx="232">
                  <c:v>1534.5205575934199</c:v>
                </c:pt>
                <c:pt idx="233">
                  <c:v>1514.98637319567</c:v>
                </c:pt>
                <c:pt idx="234">
                  <c:v>1524.1297285440799</c:v>
                </c:pt>
                <c:pt idx="235">
                  <c:v>1538.1387215957</c:v>
                </c:pt>
                <c:pt idx="236">
                  <c:v>1528.60894389239</c:v>
                </c:pt>
                <c:pt idx="237">
                  <c:v>1525.77988682352</c:v>
                </c:pt>
                <c:pt idx="238">
                  <c:v>1515.4851221705601</c:v>
                </c:pt>
                <c:pt idx="239">
                  <c:v>1531.87503527121</c:v>
                </c:pt>
                <c:pt idx="240">
                  <c:v>1532.7134513302099</c:v>
                </c:pt>
                <c:pt idx="241">
                  <c:v>1530.66255169436</c:v>
                </c:pt>
                <c:pt idx="242">
                  <c:v>1529.1791875721701</c:v>
                </c:pt>
                <c:pt idx="243">
                  <c:v>1524.14014456775</c:v>
                </c:pt>
                <c:pt idx="244">
                  <c:v>1498.6686536104401</c:v>
                </c:pt>
                <c:pt idx="245">
                  <c:v>1491.1995732185599</c:v>
                </c:pt>
                <c:pt idx="246">
                  <c:v>1486.8753317696601</c:v>
                </c:pt>
                <c:pt idx="247">
                  <c:v>1476.3697412858598</c:v>
                </c:pt>
                <c:pt idx="248">
                  <c:v>1480.7211680055</c:v>
                </c:pt>
                <c:pt idx="249">
                  <c:v>1496.9396013914302</c:v>
                </c:pt>
                <c:pt idx="250">
                  <c:v>1501.38409225181</c:v>
                </c:pt>
                <c:pt idx="251">
                  <c:v>1496.7099517667</c:v>
                </c:pt>
                <c:pt idx="252">
                  <c:v>1490.8280055464102</c:v>
                </c:pt>
                <c:pt idx="253">
                  <c:v>1473.36499510617</c:v>
                </c:pt>
                <c:pt idx="254">
                  <c:v>1467.0046139126898</c:v>
                </c:pt>
                <c:pt idx="255">
                  <c:v>1480.9799648610301</c:v>
                </c:pt>
                <c:pt idx="256">
                  <c:v>1459.0967301400999</c:v>
                </c:pt>
                <c:pt idx="257">
                  <c:v>1463.598416544</c:v>
                </c:pt>
                <c:pt idx="258">
                  <c:v>1464.56747489135</c:v>
                </c:pt>
                <c:pt idx="259">
                  <c:v>1463.7631572565899</c:v>
                </c:pt>
                <c:pt idx="260">
                  <c:v>1486.15601991057</c:v>
                </c:pt>
                <c:pt idx="261">
                  <c:v>1485.96647914146</c:v>
                </c:pt>
                <c:pt idx="262">
                  <c:v>1491.9723517948601</c:v>
                </c:pt>
                <c:pt idx="263">
                  <c:v>1483.7938222508099</c:v>
                </c:pt>
                <c:pt idx="264">
                  <c:v>1478.7598098000999</c:v>
                </c:pt>
                <c:pt idx="265">
                  <c:v>1488.9165792235001</c:v>
                </c:pt>
                <c:pt idx="266">
                  <c:v>1480.3376378882901</c:v>
                </c:pt>
                <c:pt idx="267">
                  <c:v>1473.45571150812</c:v>
                </c:pt>
                <c:pt idx="268">
                  <c:v>1484.8104294708601</c:v>
                </c:pt>
                <c:pt idx="269">
                  <c:v>1475.0519610782101</c:v>
                </c:pt>
                <c:pt idx="270">
                  <c:v>1483.3237873323601</c:v>
                </c:pt>
                <c:pt idx="271">
                  <c:v>1478.0120517252501</c:v>
                </c:pt>
                <c:pt idx="272">
                  <c:v>1461.5348071547701</c:v>
                </c:pt>
                <c:pt idx="273">
                  <c:v>1469.8008092534001</c:v>
                </c:pt>
                <c:pt idx="274">
                  <c:v>1479.11739354717</c:v>
                </c:pt>
                <c:pt idx="275">
                  <c:v>1479.31892762353</c:v>
                </c:pt>
                <c:pt idx="276">
                  <c:v>1476.3038701314601</c:v>
                </c:pt>
                <c:pt idx="277">
                  <c:v>1470.66713474476</c:v>
                </c:pt>
                <c:pt idx="278">
                  <c:v>1460.5338239703201</c:v>
                </c:pt>
                <c:pt idx="279">
                  <c:v>1437.0434452899299</c:v>
                </c:pt>
                <c:pt idx="280">
                  <c:v>1435.55877172484</c:v>
                </c:pt>
                <c:pt idx="281">
                  <c:v>1442.5236217782499</c:v>
                </c:pt>
                <c:pt idx="282">
                  <c:v>1452.3104691509</c:v>
                </c:pt>
                <c:pt idx="283">
                  <c:v>1446.7209508672402</c:v>
                </c:pt>
                <c:pt idx="284">
                  <c:v>1451.02513733716</c:v>
                </c:pt>
                <c:pt idx="285">
                  <c:v>1456.46223888298</c:v>
                </c:pt>
                <c:pt idx="286">
                  <c:v>1459.7545840781499</c:v>
                </c:pt>
                <c:pt idx="287">
                  <c:v>1451.3570170544201</c:v>
                </c:pt>
                <c:pt idx="288">
                  <c:v>1446.6147834813</c:v>
                </c:pt>
                <c:pt idx="289">
                  <c:v>1450.2554101020701</c:v>
                </c:pt>
                <c:pt idx="290">
                  <c:v>1446.3346144984901</c:v>
                </c:pt>
                <c:pt idx="291">
                  <c:v>1408.77861902774</c:v>
                </c:pt>
                <c:pt idx="292">
                  <c:v>1400.02296816126</c:v>
                </c:pt>
                <c:pt idx="293">
                  <c:v>1430.2665376426801</c:v>
                </c:pt>
                <c:pt idx="294">
                  <c:v>1429.0610672564499</c:v>
                </c:pt>
                <c:pt idx="295">
                  <c:v>1426.9962816700599</c:v>
                </c:pt>
                <c:pt idx="296">
                  <c:v>1451.9088682605</c:v>
                </c:pt>
                <c:pt idx="297">
                  <c:v>1451.0060662333001</c:v>
                </c:pt>
                <c:pt idx="298">
                  <c:v>1432.51071196872</c:v>
                </c:pt>
                <c:pt idx="299">
                  <c:v>1440.52626451524</c:v>
                </c:pt>
                <c:pt idx="300">
                  <c:v>1447.19938891378</c:v>
                </c:pt>
                <c:pt idx="301">
                  <c:v>1450.9055494115601</c:v>
                </c:pt>
                <c:pt idx="302">
                  <c:v>1446.5685528991701</c:v>
                </c:pt>
                <c:pt idx="303">
                  <c:v>1443.34494912329</c:v>
                </c:pt>
                <c:pt idx="304">
                  <c:v>1439.39289772852</c:v>
                </c:pt>
                <c:pt idx="305">
                  <c:v>1449.4992010379999</c:v>
                </c:pt>
                <c:pt idx="306">
                  <c:v>1442.9198447357301</c:v>
                </c:pt>
                <c:pt idx="307">
                  <c:v>1421.80791494865</c:v>
                </c:pt>
                <c:pt idx="308">
                  <c:v>1429.30719653595</c:v>
                </c:pt>
                <c:pt idx="309">
                  <c:v>1427.96578831648</c:v>
                </c:pt>
                <c:pt idx="310">
                  <c:v>1427.4144239854002</c:v>
                </c:pt>
                <c:pt idx="311">
                  <c:v>1432.2152364448198</c:v>
                </c:pt>
                <c:pt idx="312">
                  <c:v>1421.39753584446</c:v>
                </c:pt>
                <c:pt idx="313">
                  <c:v>1405.6529163201899</c:v>
                </c:pt>
                <c:pt idx="314">
                  <c:v>1412.78560170331</c:v>
                </c:pt>
                <c:pt idx="315">
                  <c:v>1407.6238489069399</c:v>
                </c:pt>
                <c:pt idx="316">
                  <c:v>1410.5693039669</c:v>
                </c:pt>
                <c:pt idx="317">
                  <c:v>1406.3822586895301</c:v>
                </c:pt>
                <c:pt idx="318">
                  <c:v>1411.20277742705</c:v>
                </c:pt>
                <c:pt idx="319">
                  <c:v>1412.94695175318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D-094B-9B31-057E7585D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DD-2D40-BB2E-D7AA7BE01C93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'240807A002'!$A$2:$A$321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'240807A002'!$P$2:$P$321</c:f>
              <c:numCache>
                <c:formatCode>General</c:formatCode>
                <c:ptCount val="320"/>
                <c:pt idx="0">
                  <c:v>19.138930029717454</c:v>
                </c:pt>
                <c:pt idx="1">
                  <c:v>18.790474302513648</c:v>
                </c:pt>
                <c:pt idx="2">
                  <c:v>17.822260774917311</c:v>
                </c:pt>
                <c:pt idx="3">
                  <c:v>18.567245163571144</c:v>
                </c:pt>
                <c:pt idx="4">
                  <c:v>18.007216955867573</c:v>
                </c:pt>
                <c:pt idx="5">
                  <c:v>18.003561095488948</c:v>
                </c:pt>
                <c:pt idx="6">
                  <c:v>12.106205082426994</c:v>
                </c:pt>
                <c:pt idx="7">
                  <c:v>12.458024863605518</c:v>
                </c:pt>
                <c:pt idx="8">
                  <c:v>8.7396448587857041</c:v>
                </c:pt>
                <c:pt idx="9">
                  <c:v>6.4106044486043068</c:v>
                </c:pt>
                <c:pt idx="10">
                  <c:v>2.4429864092083622</c:v>
                </c:pt>
                <c:pt idx="11">
                  <c:v>1.7354314806150233</c:v>
                </c:pt>
                <c:pt idx="12">
                  <c:v>2.1771177199871468</c:v>
                </c:pt>
                <c:pt idx="13">
                  <c:v>2.8062316791471913</c:v>
                </c:pt>
                <c:pt idx="14">
                  <c:v>0.73336351500102592</c:v>
                </c:pt>
                <c:pt idx="15">
                  <c:v>1.3463680631851256</c:v>
                </c:pt>
                <c:pt idx="16">
                  <c:v>2.6838890646292404</c:v>
                </c:pt>
                <c:pt idx="17">
                  <c:v>4.7551981605344684</c:v>
                </c:pt>
                <c:pt idx="18">
                  <c:v>1.644071077609452</c:v>
                </c:pt>
                <c:pt idx="19">
                  <c:v>1.9949194215554713</c:v>
                </c:pt>
                <c:pt idx="20">
                  <c:v>5.6620450609496071</c:v>
                </c:pt>
                <c:pt idx="21">
                  <c:v>4.8543614367675847</c:v>
                </c:pt>
                <c:pt idx="22">
                  <c:v>4.4016964200565525</c:v>
                </c:pt>
                <c:pt idx="23">
                  <c:v>1.7798244694645466</c:v>
                </c:pt>
                <c:pt idx="24">
                  <c:v>5.8018104764019638</c:v>
                </c:pt>
                <c:pt idx="25">
                  <c:v>4.8442529525072855</c:v>
                </c:pt>
                <c:pt idx="26">
                  <c:v>0.51163351929875378</c:v>
                </c:pt>
                <c:pt idx="27">
                  <c:v>-0.42533528163322526</c:v>
                </c:pt>
                <c:pt idx="28">
                  <c:v>-3.1243856774075365</c:v>
                </c:pt>
                <c:pt idx="29">
                  <c:v>-3.307442481661973</c:v>
                </c:pt>
                <c:pt idx="30">
                  <c:v>-2.544632285721391</c:v>
                </c:pt>
                <c:pt idx="31">
                  <c:v>-3.5396308715535341</c:v>
                </c:pt>
                <c:pt idx="32">
                  <c:v>-2.0694001469002896</c:v>
                </c:pt>
                <c:pt idx="33">
                  <c:v>-2.5727385432610883</c:v>
                </c:pt>
                <c:pt idx="34">
                  <c:v>0.61259745632072238</c:v>
                </c:pt>
                <c:pt idx="35">
                  <c:v>-0.63349336167110715</c:v>
                </c:pt>
                <c:pt idx="36">
                  <c:v>4.5320502790463122</c:v>
                </c:pt>
                <c:pt idx="37">
                  <c:v>1.3520403327115538</c:v>
                </c:pt>
                <c:pt idx="38">
                  <c:v>-0.77156386417891343</c:v>
                </c:pt>
                <c:pt idx="39">
                  <c:v>-4.0570364834571739</c:v>
                </c:pt>
                <c:pt idx="40">
                  <c:v>-3.7251592417580399</c:v>
                </c:pt>
                <c:pt idx="41">
                  <c:v>-1.6968274513004922</c:v>
                </c:pt>
                <c:pt idx="42">
                  <c:v>-1.3451865826546874</c:v>
                </c:pt>
                <c:pt idx="43">
                  <c:v>-1.5904407632341773</c:v>
                </c:pt>
                <c:pt idx="44">
                  <c:v>-0.95803646262768261</c:v>
                </c:pt>
                <c:pt idx="45">
                  <c:v>-0.18239986320428841</c:v>
                </c:pt>
                <c:pt idx="46">
                  <c:v>-0.73996997247131402</c:v>
                </c:pt>
                <c:pt idx="47">
                  <c:v>-1.2113330109500913</c:v>
                </c:pt>
                <c:pt idx="48">
                  <c:v>-0.6577923720777834</c:v>
                </c:pt>
                <c:pt idx="49">
                  <c:v>-1.5528982788175041</c:v>
                </c:pt>
                <c:pt idx="50">
                  <c:v>-1.697774031297788</c:v>
                </c:pt>
                <c:pt idx="51">
                  <c:v>-2.0088303911281149</c:v>
                </c:pt>
                <c:pt idx="52">
                  <c:v>-1.6764902374677986</c:v>
                </c:pt>
                <c:pt idx="53">
                  <c:v>-2.8940259186205064</c:v>
                </c:pt>
                <c:pt idx="54">
                  <c:v>-3.7875248960684589</c:v>
                </c:pt>
                <c:pt idx="55">
                  <c:v>-3.6038407081714166</c:v>
                </c:pt>
                <c:pt idx="56">
                  <c:v>-3.9685755433889045</c:v>
                </c:pt>
                <c:pt idx="57">
                  <c:v>-3.0606911755707662</c:v>
                </c:pt>
                <c:pt idx="58">
                  <c:v>-3.8016128079751716</c:v>
                </c:pt>
                <c:pt idx="59">
                  <c:v>-3.3371027628319685</c:v>
                </c:pt>
                <c:pt idx="60">
                  <c:v>-3.1541987296678911</c:v>
                </c:pt>
                <c:pt idx="61">
                  <c:v>-3.0704691578120813</c:v>
                </c:pt>
                <c:pt idx="62">
                  <c:v>-3.151302727996061</c:v>
                </c:pt>
                <c:pt idx="63">
                  <c:v>-2.2543829806600395</c:v>
                </c:pt>
                <c:pt idx="64">
                  <c:v>-1.6343586511424855</c:v>
                </c:pt>
                <c:pt idx="65">
                  <c:v>-0.70765270862399043</c:v>
                </c:pt>
                <c:pt idx="66">
                  <c:v>-0.91330298468300042</c:v>
                </c:pt>
                <c:pt idx="67">
                  <c:v>-1.0359902193528931</c:v>
                </c:pt>
                <c:pt idx="68">
                  <c:v>-1.1621749986768826</c:v>
                </c:pt>
                <c:pt idx="69">
                  <c:v>-0.73582091916479975</c:v>
                </c:pt>
                <c:pt idx="70">
                  <c:v>4.2950727905527973E-2</c:v>
                </c:pt>
                <c:pt idx="71">
                  <c:v>-5.5428291056546015E-2</c:v>
                </c:pt>
                <c:pt idx="72">
                  <c:v>2.4763325271384917E-2</c:v>
                </c:pt>
                <c:pt idx="73">
                  <c:v>1.375613359711005</c:v>
                </c:pt>
                <c:pt idx="74">
                  <c:v>2.1882674342920123</c:v>
                </c:pt>
                <c:pt idx="75">
                  <c:v>2.7969789142284367</c:v>
                </c:pt>
                <c:pt idx="76">
                  <c:v>3.0381174759519061</c:v>
                </c:pt>
                <c:pt idx="77">
                  <c:v>3.0918310710929475</c:v>
                </c:pt>
                <c:pt idx="78">
                  <c:v>3.2204348689596665</c:v>
                </c:pt>
                <c:pt idx="79">
                  <c:v>2.0961251914233285</c:v>
                </c:pt>
                <c:pt idx="80">
                  <c:v>3.3877893678327582</c:v>
                </c:pt>
                <c:pt idx="81">
                  <c:v>3.2402640956511144</c:v>
                </c:pt>
                <c:pt idx="82">
                  <c:v>3.4008266729175478</c:v>
                </c:pt>
                <c:pt idx="83">
                  <c:v>3.4843322668396093</c:v>
                </c:pt>
                <c:pt idx="84">
                  <c:v>1.6873401886600679</c:v>
                </c:pt>
                <c:pt idx="85">
                  <c:v>1.8028290725170943</c:v>
                </c:pt>
                <c:pt idx="86">
                  <c:v>1.8196157058201601</c:v>
                </c:pt>
                <c:pt idx="87">
                  <c:v>2.2934020695862776</c:v>
                </c:pt>
                <c:pt idx="88">
                  <c:v>1.8623356913705387</c:v>
                </c:pt>
                <c:pt idx="89">
                  <c:v>1.6732385317536129</c:v>
                </c:pt>
                <c:pt idx="90">
                  <c:v>1.3422417088930039</c:v>
                </c:pt>
                <c:pt idx="91">
                  <c:v>0.65128042905967309</c:v>
                </c:pt>
                <c:pt idx="92">
                  <c:v>0.83111581692392056</c:v>
                </c:pt>
                <c:pt idx="93">
                  <c:v>1.224431269159143</c:v>
                </c:pt>
                <c:pt idx="94">
                  <c:v>2.1589934639538644</c:v>
                </c:pt>
                <c:pt idx="95">
                  <c:v>2.5151902736455929</c:v>
                </c:pt>
                <c:pt idx="96">
                  <c:v>1.9141413828880687</c:v>
                </c:pt>
                <c:pt idx="97">
                  <c:v>3.2783058680581498</c:v>
                </c:pt>
                <c:pt idx="98">
                  <c:v>2.6987235733715398</c:v>
                </c:pt>
                <c:pt idx="99">
                  <c:v>3.8227648859070817</c:v>
                </c:pt>
                <c:pt idx="100">
                  <c:v>3.9058280211866245</c:v>
                </c:pt>
                <c:pt idx="101">
                  <c:v>4.1844435484344471</c:v>
                </c:pt>
                <c:pt idx="102">
                  <c:v>5.0277846147857606</c:v>
                </c:pt>
                <c:pt idx="103">
                  <c:v>4.1096780036969847</c:v>
                </c:pt>
                <c:pt idx="104">
                  <c:v>3.1408618026660049</c:v>
                </c:pt>
                <c:pt idx="105">
                  <c:v>1.9299143257769071</c:v>
                </c:pt>
                <c:pt idx="106">
                  <c:v>2.32137227730597</c:v>
                </c:pt>
                <c:pt idx="107">
                  <c:v>2.2657984580507424</c:v>
                </c:pt>
                <c:pt idx="108">
                  <c:v>2.5670223733810138</c:v>
                </c:pt>
                <c:pt idx="109">
                  <c:v>2.5499406187660205</c:v>
                </c:pt>
                <c:pt idx="110">
                  <c:v>2.1802076553549257</c:v>
                </c:pt>
                <c:pt idx="111">
                  <c:v>2.4518443860729153</c:v>
                </c:pt>
                <c:pt idx="112">
                  <c:v>2.8939647123658703</c:v>
                </c:pt>
                <c:pt idx="113">
                  <c:v>2.3385924769281408</c:v>
                </c:pt>
                <c:pt idx="114">
                  <c:v>2.8445828724181452</c:v>
                </c:pt>
                <c:pt idx="115">
                  <c:v>1.8606010174208383</c:v>
                </c:pt>
                <c:pt idx="116">
                  <c:v>4.1576298046290958</c:v>
                </c:pt>
                <c:pt idx="117">
                  <c:v>2.2606922215921244</c:v>
                </c:pt>
                <c:pt idx="118">
                  <c:v>3.0733101189656371</c:v>
                </c:pt>
                <c:pt idx="119">
                  <c:v>2.8898029871865427</c:v>
                </c:pt>
                <c:pt idx="120">
                  <c:v>2.7379569878073062</c:v>
                </c:pt>
                <c:pt idx="121">
                  <c:v>3.0803460731237928</c:v>
                </c:pt>
                <c:pt idx="122">
                  <c:v>3.2176031463574848</c:v>
                </c:pt>
                <c:pt idx="123">
                  <c:v>4.4039686650424068</c:v>
                </c:pt>
                <c:pt idx="124">
                  <c:v>4.9644637871489747</c:v>
                </c:pt>
                <c:pt idx="125">
                  <c:v>3.7542449714141424</c:v>
                </c:pt>
                <c:pt idx="126">
                  <c:v>3.0069860312158729</c:v>
                </c:pt>
                <c:pt idx="127">
                  <c:v>2.2967879297188998</c:v>
                </c:pt>
                <c:pt idx="128">
                  <c:v>1.6184405427881194</c:v>
                </c:pt>
                <c:pt idx="129">
                  <c:v>0.58530306754192996</c:v>
                </c:pt>
                <c:pt idx="130">
                  <c:v>-2.4694190229102393</c:v>
                </c:pt>
                <c:pt idx="131">
                  <c:v>-3.0175087407324099</c:v>
                </c:pt>
                <c:pt idx="132">
                  <c:v>-4.2485189863277233</c:v>
                </c:pt>
                <c:pt idx="133">
                  <c:v>-4.4674595014381486</c:v>
                </c:pt>
                <c:pt idx="134">
                  <c:v>-5.0209929932920376</c:v>
                </c:pt>
                <c:pt idx="135">
                  <c:v>-4.9544511213875628</c:v>
                </c:pt>
                <c:pt idx="136">
                  <c:v>-4.4472217952306341</c:v>
                </c:pt>
                <c:pt idx="137">
                  <c:v>-2.7667739643650568</c:v>
                </c:pt>
                <c:pt idx="138">
                  <c:v>-3.6060771690792963</c:v>
                </c:pt>
                <c:pt idx="139">
                  <c:v>-0.16680373021001646</c:v>
                </c:pt>
                <c:pt idx="140">
                  <c:v>0.60559791284991593</c:v>
                </c:pt>
                <c:pt idx="141">
                  <c:v>-0.56685246064420236</c:v>
                </c:pt>
                <c:pt idx="142">
                  <c:v>-3.986131225588692</c:v>
                </c:pt>
                <c:pt idx="143">
                  <c:v>-6.1175055063437584</c:v>
                </c:pt>
                <c:pt idx="144">
                  <c:v>-7.4300312104644144</c:v>
                </c:pt>
                <c:pt idx="145">
                  <c:v>-7.7818192798250543</c:v>
                </c:pt>
                <c:pt idx="146">
                  <c:v>-4.1820132181676177</c:v>
                </c:pt>
                <c:pt idx="147">
                  <c:v>-5.3790884421514367</c:v>
                </c:pt>
                <c:pt idx="148">
                  <c:v>-5.3430033974090563</c:v>
                </c:pt>
                <c:pt idx="149">
                  <c:v>-5.6682706959877347</c:v>
                </c:pt>
                <c:pt idx="150">
                  <c:v>-5.8904472672224575</c:v>
                </c:pt>
                <c:pt idx="151">
                  <c:v>-5.1643507046408219</c:v>
                </c:pt>
                <c:pt idx="152">
                  <c:v>-2.8880634932689007</c:v>
                </c:pt>
                <c:pt idx="153">
                  <c:v>-5.8354268532234261</c:v>
                </c:pt>
                <c:pt idx="154">
                  <c:v>-8.4647761556809709</c:v>
                </c:pt>
                <c:pt idx="155">
                  <c:v>-6.6632475525934876</c:v>
                </c:pt>
                <c:pt idx="156">
                  <c:v>-8.7574807825161756</c:v>
                </c:pt>
                <c:pt idx="157">
                  <c:v>-8.1796192335177551</c:v>
                </c:pt>
                <c:pt idx="158">
                  <c:v>-8.8530611094112288</c:v>
                </c:pt>
                <c:pt idx="159">
                  <c:v>-8.5147407381911755</c:v>
                </c:pt>
                <c:pt idx="160">
                  <c:v>-5.8043411162881062</c:v>
                </c:pt>
                <c:pt idx="161">
                  <c:v>-6.8609948653676849</c:v>
                </c:pt>
                <c:pt idx="162">
                  <c:v>-6.2426392696544903</c:v>
                </c:pt>
                <c:pt idx="163">
                  <c:v>-8.1973766013564227</c:v>
                </c:pt>
                <c:pt idx="164">
                  <c:v>-9.2335463137140561</c:v>
                </c:pt>
                <c:pt idx="165">
                  <c:v>-8.2730940753368714</c:v>
                </c:pt>
                <c:pt idx="166">
                  <c:v>-7.5279470796583858</c:v>
                </c:pt>
                <c:pt idx="167">
                  <c:v>-8.1189577942498516</c:v>
                </c:pt>
                <c:pt idx="168">
                  <c:v>-10.469333655897929</c:v>
                </c:pt>
                <c:pt idx="169">
                  <c:v>-11.907839257536693</c:v>
                </c:pt>
                <c:pt idx="170">
                  <c:v>-11.241711937582535</c:v>
                </c:pt>
                <c:pt idx="171">
                  <c:v>-11.220940427743194</c:v>
                </c:pt>
                <c:pt idx="172">
                  <c:v>-9.6430074371681975</c:v>
                </c:pt>
                <c:pt idx="173">
                  <c:v>-9.2714947153405536</c:v>
                </c:pt>
                <c:pt idx="174">
                  <c:v>-12.336739942367142</c:v>
                </c:pt>
                <c:pt idx="175">
                  <c:v>-12.509683658214943</c:v>
                </c:pt>
                <c:pt idx="176">
                  <c:v>-12.203129224844732</c:v>
                </c:pt>
                <c:pt idx="177">
                  <c:v>-13.045618744228868</c:v>
                </c:pt>
                <c:pt idx="178">
                  <c:v>-12.817329744263773</c:v>
                </c:pt>
                <c:pt idx="179">
                  <c:v>-11.388044870468422</c:v>
                </c:pt>
                <c:pt idx="180">
                  <c:v>-10.194654973289035</c:v>
                </c:pt>
                <c:pt idx="181">
                  <c:v>-9.8027387107947277</c:v>
                </c:pt>
                <c:pt idx="182">
                  <c:v>-9.4348175178761977</c:v>
                </c:pt>
                <c:pt idx="183">
                  <c:v>-8.454137259567954</c:v>
                </c:pt>
                <c:pt idx="184">
                  <c:v>-9.7674941205820076</c:v>
                </c:pt>
                <c:pt idx="185">
                  <c:v>-12.771318504453042</c:v>
                </c:pt>
                <c:pt idx="186">
                  <c:v>-9.8447148116447671</c:v>
                </c:pt>
                <c:pt idx="187">
                  <c:v>-9.2044453012114538</c:v>
                </c:pt>
                <c:pt idx="188">
                  <c:v>-9.2388704030955306</c:v>
                </c:pt>
                <c:pt idx="189">
                  <c:v>-9.0515240937167469</c:v>
                </c:pt>
                <c:pt idx="190">
                  <c:v>-9.0851226944728953</c:v>
                </c:pt>
                <c:pt idx="191">
                  <c:v>-8.7152776083796688</c:v>
                </c:pt>
                <c:pt idx="192">
                  <c:v>-9.5713953322644691</c:v>
                </c:pt>
                <c:pt idx="193">
                  <c:v>-9.345982806684912</c:v>
                </c:pt>
                <c:pt idx="194">
                  <c:v>-9.1799527875875064</c:v>
                </c:pt>
                <c:pt idx="195">
                  <c:v>-10.005373595469873</c:v>
                </c:pt>
                <c:pt idx="196">
                  <c:v>-10.067826172527662</c:v>
                </c:pt>
                <c:pt idx="197">
                  <c:v>-9.7079177526785472</c:v>
                </c:pt>
                <c:pt idx="198">
                  <c:v>-10.195722704195655</c:v>
                </c:pt>
                <c:pt idx="199">
                  <c:v>-10.216113258137874</c:v>
                </c:pt>
                <c:pt idx="200">
                  <c:v>-10.592536256707898</c:v>
                </c:pt>
                <c:pt idx="201">
                  <c:v>-10.158305728821329</c:v>
                </c:pt>
                <c:pt idx="202">
                  <c:v>-11.588706447257456</c:v>
                </c:pt>
                <c:pt idx="203">
                  <c:v>-9.7204900932333338</c:v>
                </c:pt>
                <c:pt idx="204">
                  <c:v>-10.412845760813322</c:v>
                </c:pt>
                <c:pt idx="205">
                  <c:v>-10.205216166497868</c:v>
                </c:pt>
                <c:pt idx="206">
                  <c:v>-10.698360912761739</c:v>
                </c:pt>
                <c:pt idx="207">
                  <c:v>-10.282069472161501</c:v>
                </c:pt>
                <c:pt idx="208">
                  <c:v>-10.680828500105568</c:v>
                </c:pt>
                <c:pt idx="209">
                  <c:v>-10.740510808008201</c:v>
                </c:pt>
                <c:pt idx="210">
                  <c:v>-10.785143041335269</c:v>
                </c:pt>
                <c:pt idx="211">
                  <c:v>-10.736227384427757</c:v>
                </c:pt>
                <c:pt idx="212">
                  <c:v>-10.967934885209395</c:v>
                </c:pt>
                <c:pt idx="213">
                  <c:v>-10.611628442696519</c:v>
                </c:pt>
                <c:pt idx="214">
                  <c:v>-11.432210987837966</c:v>
                </c:pt>
                <c:pt idx="215">
                  <c:v>-10.944505871378595</c:v>
                </c:pt>
                <c:pt idx="216">
                  <c:v>-10.603559418576131</c:v>
                </c:pt>
                <c:pt idx="217">
                  <c:v>-11.3809702739323</c:v>
                </c:pt>
                <c:pt idx="218">
                  <c:v>-11.35701561394734</c:v>
                </c:pt>
                <c:pt idx="219">
                  <c:v>-10.792079525691319</c:v>
                </c:pt>
                <c:pt idx="220">
                  <c:v>-11.695467878355331</c:v>
                </c:pt>
                <c:pt idx="221">
                  <c:v>-10.795828786964071</c:v>
                </c:pt>
                <c:pt idx="222">
                  <c:v>-11.110203852290196</c:v>
                </c:pt>
                <c:pt idx="223">
                  <c:v>-11.315701053734912</c:v>
                </c:pt>
                <c:pt idx="224">
                  <c:v>-10.609084720582942</c:v>
                </c:pt>
                <c:pt idx="225">
                  <c:v>-9.155582169908234</c:v>
                </c:pt>
                <c:pt idx="226">
                  <c:v>-9.9329259335129461</c:v>
                </c:pt>
                <c:pt idx="227">
                  <c:v>-9.846689099441166</c:v>
                </c:pt>
                <c:pt idx="228">
                  <c:v>-9.9922670601663022</c:v>
                </c:pt>
                <c:pt idx="229">
                  <c:v>-9.1993755816639844</c:v>
                </c:pt>
                <c:pt idx="230">
                  <c:v>-9.5882458991875286</c:v>
                </c:pt>
                <c:pt idx="231">
                  <c:v>-8.9533835090386251</c:v>
                </c:pt>
                <c:pt idx="232">
                  <c:v>-8.3597191450660642</c:v>
                </c:pt>
                <c:pt idx="233">
                  <c:v>-7.7838692468591226</c:v>
                </c:pt>
                <c:pt idx="234">
                  <c:v>-8.2479784358497579</c:v>
                </c:pt>
                <c:pt idx="235">
                  <c:v>-7.4999275785812625</c:v>
                </c:pt>
                <c:pt idx="236">
                  <c:v>-6.3392972255841658</c:v>
                </c:pt>
                <c:pt idx="237">
                  <c:v>-6.2918150757186666</c:v>
                </c:pt>
                <c:pt idx="238">
                  <c:v>-6.1366614368630685</c:v>
                </c:pt>
                <c:pt idx="239">
                  <c:v>-4.9220921861548446</c:v>
                </c:pt>
                <c:pt idx="240">
                  <c:v>-4.2593384675453621</c:v>
                </c:pt>
                <c:pt idx="241">
                  <c:v>-3.9959029849139842</c:v>
                </c:pt>
                <c:pt idx="242">
                  <c:v>-3.6796473133643035</c:v>
                </c:pt>
                <c:pt idx="243">
                  <c:v>-3.6403296550626614</c:v>
                </c:pt>
                <c:pt idx="244">
                  <c:v>-3.3901531231861135</c:v>
                </c:pt>
                <c:pt idx="245">
                  <c:v>-3.1800224731240951</c:v>
                </c:pt>
                <c:pt idx="246">
                  <c:v>-3.0619470713112102</c:v>
                </c:pt>
                <c:pt idx="247">
                  <c:v>-2.2830343228801087</c:v>
                </c:pt>
                <c:pt idx="248">
                  <c:v>-2.3725340605821885</c:v>
                </c:pt>
                <c:pt idx="249">
                  <c:v>-2.5699931302370218</c:v>
                </c:pt>
                <c:pt idx="250">
                  <c:v>-2.9470277740458752</c:v>
                </c:pt>
                <c:pt idx="251">
                  <c:v>-2.0175669455586083</c:v>
                </c:pt>
                <c:pt idx="252">
                  <c:v>-0.78210623289412318</c:v>
                </c:pt>
                <c:pt idx="253">
                  <c:v>-1.1407545436722855</c:v>
                </c:pt>
                <c:pt idx="254">
                  <c:v>-1.4305629431113907</c:v>
                </c:pt>
                <c:pt idx="255">
                  <c:v>-1.905168125719451</c:v>
                </c:pt>
                <c:pt idx="256">
                  <c:v>-1.9743117052469241</c:v>
                </c:pt>
                <c:pt idx="257">
                  <c:v>-2.1508643555249343</c:v>
                </c:pt>
                <c:pt idx="258">
                  <c:v>-2.2592139769681845</c:v>
                </c:pt>
                <c:pt idx="259">
                  <c:v>-1.848563956663003</c:v>
                </c:pt>
                <c:pt idx="260">
                  <c:v>-2.505215485926283</c:v>
                </c:pt>
                <c:pt idx="261">
                  <c:v>-3.5184422865204574</c:v>
                </c:pt>
                <c:pt idx="262">
                  <c:v>-3.201895253974353</c:v>
                </c:pt>
                <c:pt idx="263">
                  <c:v>-2.2243022560844707</c:v>
                </c:pt>
                <c:pt idx="264">
                  <c:v>-1.7201888002182562</c:v>
                </c:pt>
                <c:pt idx="265">
                  <c:v>-2.4903869920843249</c:v>
                </c:pt>
                <c:pt idx="266">
                  <c:v>-1.9848127861419738</c:v>
                </c:pt>
                <c:pt idx="267">
                  <c:v>-1.9185571799318373</c:v>
                </c:pt>
                <c:pt idx="268">
                  <c:v>-1.6073694346151375</c:v>
                </c:pt>
                <c:pt idx="269">
                  <c:v>-0.40025763062870739</c:v>
                </c:pt>
                <c:pt idx="270">
                  <c:v>-1.546380004632542</c:v>
                </c:pt>
                <c:pt idx="271">
                  <c:v>-1.2857199475645675</c:v>
                </c:pt>
                <c:pt idx="272">
                  <c:v>-0.74904858469509905</c:v>
                </c:pt>
                <c:pt idx="273">
                  <c:v>-1.1634484118573647</c:v>
                </c:pt>
                <c:pt idx="274">
                  <c:v>-0.80996412749713209</c:v>
                </c:pt>
                <c:pt idx="275">
                  <c:v>-1.1287014369371506</c:v>
                </c:pt>
                <c:pt idx="276">
                  <c:v>-0.79583964256868311</c:v>
                </c:pt>
                <c:pt idx="277">
                  <c:v>-2.4317263544860879</c:v>
                </c:pt>
                <c:pt idx="278">
                  <c:v>-2.8942292320760061</c:v>
                </c:pt>
                <c:pt idx="279">
                  <c:v>-2.4105123117944669</c:v>
                </c:pt>
                <c:pt idx="280">
                  <c:v>-4.0115877424898159</c:v>
                </c:pt>
                <c:pt idx="281">
                  <c:v>-3.7003920379981903</c:v>
                </c:pt>
                <c:pt idx="282">
                  <c:v>-3.5383779917082583</c:v>
                </c:pt>
                <c:pt idx="283">
                  <c:v>-2.7670977009397419</c:v>
                </c:pt>
                <c:pt idx="284">
                  <c:v>-3.3720212684473916</c:v>
                </c:pt>
                <c:pt idx="285">
                  <c:v>-2.9346579020606152</c:v>
                </c:pt>
                <c:pt idx="286">
                  <c:v>-1.9506770637303259</c:v>
                </c:pt>
                <c:pt idx="287">
                  <c:v>-2.35976429781245</c:v>
                </c:pt>
                <c:pt idx="288">
                  <c:v>-1.7730963639691213</c:v>
                </c:pt>
                <c:pt idx="289">
                  <c:v>-1.396714282066633</c:v>
                </c:pt>
                <c:pt idx="290">
                  <c:v>-1.6480301759073415</c:v>
                </c:pt>
                <c:pt idx="291">
                  <c:v>-0.58195186758345496</c:v>
                </c:pt>
                <c:pt idx="292">
                  <c:v>-0.28260941114176191</c:v>
                </c:pt>
                <c:pt idx="293">
                  <c:v>-0.54733129917221768</c:v>
                </c:pt>
                <c:pt idx="294">
                  <c:v>-0.22611760524259383</c:v>
                </c:pt>
                <c:pt idx="295">
                  <c:v>0.35289785300097098</c:v>
                </c:pt>
                <c:pt idx="296">
                  <c:v>-0.48974038542587078</c:v>
                </c:pt>
                <c:pt idx="297">
                  <c:v>-9.6994000104729056E-2</c:v>
                </c:pt>
                <c:pt idx="298">
                  <c:v>8.7479514104134903E-2</c:v>
                </c:pt>
                <c:pt idx="299">
                  <c:v>-6.191527576351908E-2</c:v>
                </c:pt>
                <c:pt idx="300">
                  <c:v>-0.49197584596230054</c:v>
                </c:pt>
                <c:pt idx="301">
                  <c:v>-0.18213258277270145</c:v>
                </c:pt>
                <c:pt idx="302">
                  <c:v>-0.41926787154863671</c:v>
                </c:pt>
                <c:pt idx="303">
                  <c:v>-0.3019870276861365</c:v>
                </c:pt>
                <c:pt idx="304">
                  <c:v>-0.89140864495942485</c:v>
                </c:pt>
                <c:pt idx="305">
                  <c:v>-1.0157661167656831</c:v>
                </c:pt>
                <c:pt idx="306">
                  <c:v>0.11262534833840873</c:v>
                </c:pt>
                <c:pt idx="307">
                  <c:v>1.4616684104086706</c:v>
                </c:pt>
                <c:pt idx="308">
                  <c:v>1.1441814801754475</c:v>
                </c:pt>
                <c:pt idx="309">
                  <c:v>0.62164934621029899</c:v>
                </c:pt>
                <c:pt idx="310">
                  <c:v>0.18971147631204324</c:v>
                </c:pt>
                <c:pt idx="311">
                  <c:v>0.58980868211708615</c:v>
                </c:pt>
                <c:pt idx="312">
                  <c:v>-1.2815020368332497</c:v>
                </c:pt>
                <c:pt idx="313">
                  <c:v>-0.71393883509861689</c:v>
                </c:pt>
                <c:pt idx="314">
                  <c:v>-0.18588268992139881</c:v>
                </c:pt>
                <c:pt idx="315">
                  <c:v>-0.25856114573989269</c:v>
                </c:pt>
                <c:pt idx="316">
                  <c:v>-0.85541373971373613</c:v>
                </c:pt>
                <c:pt idx="317">
                  <c:v>0.32223982369231086</c:v>
                </c:pt>
                <c:pt idx="318">
                  <c:v>-0.13588878403092811</c:v>
                </c:pt>
                <c:pt idx="319">
                  <c:v>0.28479686195600878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DD-2D40-BB2E-D7AA7BE01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'240807A003'!$A$2:$A$321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'240807A003'!$J$2:$J$321</c:f>
              <c:numCache>
                <c:formatCode>0.0</c:formatCode>
                <c:ptCount val="320"/>
                <c:pt idx="0">
                  <c:v>989.2021861067401</c:v>
                </c:pt>
                <c:pt idx="1">
                  <c:v>966.43602552295988</c:v>
                </c:pt>
                <c:pt idx="2">
                  <c:v>965.18232974136993</c:v>
                </c:pt>
                <c:pt idx="3">
                  <c:v>968.62372858793992</c:v>
                </c:pt>
                <c:pt idx="4">
                  <c:v>974.52788307073001</c:v>
                </c:pt>
                <c:pt idx="5">
                  <c:v>973.81895520840999</c:v>
                </c:pt>
                <c:pt idx="6">
                  <c:v>961.18896657998994</c:v>
                </c:pt>
                <c:pt idx="7">
                  <c:v>974.35874126820988</c:v>
                </c:pt>
                <c:pt idx="8">
                  <c:v>844.7390153156</c:v>
                </c:pt>
                <c:pt idx="9">
                  <c:v>858.10695993753995</c:v>
                </c:pt>
                <c:pt idx="10">
                  <c:v>1140.42520667498</c:v>
                </c:pt>
                <c:pt idx="11">
                  <c:v>1134.1067309253899</c:v>
                </c:pt>
                <c:pt idx="12">
                  <c:v>1120.6032438493501</c:v>
                </c:pt>
                <c:pt idx="13">
                  <c:v>1116.3809802620599</c:v>
                </c:pt>
                <c:pt idx="14">
                  <c:v>1117.35803955405</c:v>
                </c:pt>
                <c:pt idx="15">
                  <c:v>1111.4764893751501</c:v>
                </c:pt>
                <c:pt idx="16">
                  <c:v>1045.25853556067</c:v>
                </c:pt>
                <c:pt idx="17">
                  <c:v>1073.34579071956</c:v>
                </c:pt>
                <c:pt idx="18">
                  <c:v>1105.61244850206</c:v>
                </c:pt>
                <c:pt idx="19">
                  <c:v>1070.0451429801101</c:v>
                </c:pt>
                <c:pt idx="20">
                  <c:v>1080.8161674068699</c:v>
                </c:pt>
                <c:pt idx="21">
                  <c:v>1106.31767424998</c:v>
                </c:pt>
                <c:pt idx="22">
                  <c:v>1040.68715216291</c:v>
                </c:pt>
                <c:pt idx="23">
                  <c:v>994.36864406780001</c:v>
                </c:pt>
                <c:pt idx="24">
                  <c:v>998.83495717732001</c:v>
                </c:pt>
                <c:pt idx="25">
                  <c:v>983.33488339558005</c:v>
                </c:pt>
                <c:pt idx="26">
                  <c:v>991.87398354721006</c:v>
                </c:pt>
                <c:pt idx="27">
                  <c:v>972.66022217620002</c:v>
                </c:pt>
                <c:pt idx="28">
                  <c:v>974.16951629171001</c:v>
                </c:pt>
                <c:pt idx="29">
                  <c:v>994.506179567</c:v>
                </c:pt>
                <c:pt idx="30">
                  <c:v>994.52939194690009</c:v>
                </c:pt>
                <c:pt idx="31">
                  <c:v>953.52568036289995</c:v>
                </c:pt>
                <c:pt idx="32">
                  <c:v>998.02325981461001</c:v>
                </c:pt>
                <c:pt idx="33">
                  <c:v>1001.8170179631801</c:v>
                </c:pt>
                <c:pt idx="34">
                  <c:v>995.88038715052994</c:v>
                </c:pt>
                <c:pt idx="35">
                  <c:v>993.12318919307995</c:v>
                </c:pt>
                <c:pt idx="36">
                  <c:v>1000.9904117775001</c:v>
                </c:pt>
                <c:pt idx="37">
                  <c:v>974.14177712589003</c:v>
                </c:pt>
                <c:pt idx="38">
                  <c:v>996.79414747211001</c:v>
                </c:pt>
                <c:pt idx="39">
                  <c:v>983.47382478629993</c:v>
                </c:pt>
                <c:pt idx="40">
                  <c:v>981.31912755328995</c:v>
                </c:pt>
                <c:pt idx="41">
                  <c:v>985.37513581048995</c:v>
                </c:pt>
                <c:pt idx="42">
                  <c:v>981.60619477040996</c:v>
                </c:pt>
                <c:pt idx="43">
                  <c:v>966.9089254671801</c:v>
                </c:pt>
                <c:pt idx="44">
                  <c:v>977.25423728813996</c:v>
                </c:pt>
                <c:pt idx="45">
                  <c:v>979.18914783422997</c:v>
                </c:pt>
                <c:pt idx="46">
                  <c:v>994.39928292048</c:v>
                </c:pt>
                <c:pt idx="47">
                  <c:v>992.66449369843997</c:v>
                </c:pt>
                <c:pt idx="48">
                  <c:v>961.17377037759991</c:v>
                </c:pt>
                <c:pt idx="49">
                  <c:v>960.48107262255007</c:v>
                </c:pt>
                <c:pt idx="50">
                  <c:v>965.51565954315993</c:v>
                </c:pt>
                <c:pt idx="51">
                  <c:v>981.0123134869001</c:v>
                </c:pt>
                <c:pt idx="52">
                  <c:v>985.21600210059012</c:v>
                </c:pt>
                <c:pt idx="53">
                  <c:v>980.23218166011009</c:v>
                </c:pt>
                <c:pt idx="54">
                  <c:v>980.09634398089008</c:v>
                </c:pt>
                <c:pt idx="55">
                  <c:v>965.25396231519994</c:v>
                </c:pt>
                <c:pt idx="56">
                  <c:v>965.55558961417</c:v>
                </c:pt>
                <c:pt idx="57">
                  <c:v>976.87837179953999</c:v>
                </c:pt>
                <c:pt idx="58">
                  <c:v>978.02549585286999</c:v>
                </c:pt>
                <c:pt idx="59">
                  <c:v>989.94954922468992</c:v>
                </c:pt>
                <c:pt idx="60">
                  <c:v>1004.1708663901801</c:v>
                </c:pt>
                <c:pt idx="61">
                  <c:v>972.12255228990989</c:v>
                </c:pt>
                <c:pt idx="62">
                  <c:v>964.09865063894995</c:v>
                </c:pt>
                <c:pt idx="63">
                  <c:v>977.65726570286995</c:v>
                </c:pt>
                <c:pt idx="64">
                  <c:v>979.78365471764005</c:v>
                </c:pt>
                <c:pt idx="65">
                  <c:v>977.39232642978993</c:v>
                </c:pt>
                <c:pt idx="66">
                  <c:v>988.75062539655005</c:v>
                </c:pt>
                <c:pt idx="67">
                  <c:v>969.40658139220011</c:v>
                </c:pt>
                <c:pt idx="68">
                  <c:v>966.28080842764007</c:v>
                </c:pt>
                <c:pt idx="69">
                  <c:v>974.05061029601006</c:v>
                </c:pt>
                <c:pt idx="70">
                  <c:v>963.22819242165997</c:v>
                </c:pt>
                <c:pt idx="71">
                  <c:v>974.84260371867015</c:v>
                </c:pt>
                <c:pt idx="72">
                  <c:v>988.51027022879009</c:v>
                </c:pt>
                <c:pt idx="73">
                  <c:v>976.52704440094999</c:v>
                </c:pt>
                <c:pt idx="74">
                  <c:v>992.87439661739995</c:v>
                </c:pt>
                <c:pt idx="75">
                  <c:v>973.68016413821999</c:v>
                </c:pt>
                <c:pt idx="76">
                  <c:v>982.76159129676012</c:v>
                </c:pt>
                <c:pt idx="77">
                  <c:v>985.44374251444015</c:v>
                </c:pt>
                <c:pt idx="78">
                  <c:v>976.06897388664993</c:v>
                </c:pt>
                <c:pt idx="79">
                  <c:v>947.91829314616996</c:v>
                </c:pt>
                <c:pt idx="80">
                  <c:v>916.42533079787995</c:v>
                </c:pt>
                <c:pt idx="81">
                  <c:v>899.13729582326994</c:v>
                </c:pt>
                <c:pt idx="82">
                  <c:v>894.81603861046995</c:v>
                </c:pt>
                <c:pt idx="83">
                  <c:v>951.82607940288995</c:v>
                </c:pt>
                <c:pt idx="84">
                  <c:v>974.9396536910001</c:v>
                </c:pt>
                <c:pt idx="85">
                  <c:v>972.48840737658008</c:v>
                </c:pt>
                <c:pt idx="86">
                  <c:v>969.85289004777997</c:v>
                </c:pt>
                <c:pt idx="87">
                  <c:v>961.3940880383999</c:v>
                </c:pt>
                <c:pt idx="88">
                  <c:v>944.64436173868012</c:v>
                </c:pt>
                <c:pt idx="89">
                  <c:v>932.10963361248002</c:v>
                </c:pt>
                <c:pt idx="90">
                  <c:v>922.79614099273999</c:v>
                </c:pt>
                <c:pt idx="91">
                  <c:v>931.92619830872002</c:v>
                </c:pt>
                <c:pt idx="92">
                  <c:v>931.61057562138001</c:v>
                </c:pt>
                <c:pt idx="93">
                  <c:v>937.2744546578399</c:v>
                </c:pt>
                <c:pt idx="94">
                  <c:v>943.41427396912002</c:v>
                </c:pt>
                <c:pt idx="95">
                  <c:v>927.64074753351997</c:v>
                </c:pt>
                <c:pt idx="96">
                  <c:v>902.00479744139989</c:v>
                </c:pt>
                <c:pt idx="97">
                  <c:v>952.92989727512986</c:v>
                </c:pt>
                <c:pt idx="98">
                  <c:v>948.42380335009011</c:v>
                </c:pt>
                <c:pt idx="99">
                  <c:v>931.13589781771009</c:v>
                </c:pt>
                <c:pt idx="100">
                  <c:v>948.88016800234004</c:v>
                </c:pt>
                <c:pt idx="101">
                  <c:v>962.00203628995996</c:v>
                </c:pt>
                <c:pt idx="102">
                  <c:v>969.48302038774</c:v>
                </c:pt>
                <c:pt idx="103">
                  <c:v>934.66793243809002</c:v>
                </c:pt>
                <c:pt idx="104">
                  <c:v>951.55732748508001</c:v>
                </c:pt>
                <c:pt idx="105">
                  <c:v>970.09807584700002</c:v>
                </c:pt>
                <c:pt idx="106">
                  <c:v>923.66151220198003</c:v>
                </c:pt>
                <c:pt idx="107">
                  <c:v>917.7715358035399</c:v>
                </c:pt>
                <c:pt idx="108">
                  <c:v>916.39373865413995</c:v>
                </c:pt>
                <c:pt idx="109">
                  <c:v>912.35941459820003</c:v>
                </c:pt>
                <c:pt idx="110">
                  <c:v>912.91212794543003</c:v>
                </c:pt>
                <c:pt idx="111">
                  <c:v>926.81006120028997</c:v>
                </c:pt>
                <c:pt idx="112">
                  <c:v>922.96383589159007</c:v>
                </c:pt>
                <c:pt idx="113">
                  <c:v>941.29206171255009</c:v>
                </c:pt>
                <c:pt idx="114">
                  <c:v>938.3265337534599</c:v>
                </c:pt>
                <c:pt idx="115">
                  <c:v>951.35601368968003</c:v>
                </c:pt>
                <c:pt idx="116">
                  <c:v>953.40409966685002</c:v>
                </c:pt>
                <c:pt idx="117">
                  <c:v>939.06743444881988</c:v>
                </c:pt>
                <c:pt idx="118">
                  <c:v>968.91591518181008</c:v>
                </c:pt>
                <c:pt idx="119">
                  <c:v>975.77390186996013</c:v>
                </c:pt>
                <c:pt idx="120">
                  <c:v>945.34107343122002</c:v>
                </c:pt>
                <c:pt idx="121">
                  <c:v>907.03201820631989</c:v>
                </c:pt>
                <c:pt idx="122">
                  <c:v>900.51805482694999</c:v>
                </c:pt>
                <c:pt idx="123">
                  <c:v>916.74252369628005</c:v>
                </c:pt>
                <c:pt idx="124">
                  <c:v>934.27281329701987</c:v>
                </c:pt>
                <c:pt idx="125">
                  <c:v>933.71780385344005</c:v>
                </c:pt>
                <c:pt idx="126">
                  <c:v>934.20179632046995</c:v>
                </c:pt>
                <c:pt idx="127">
                  <c:v>946.43631392143993</c:v>
                </c:pt>
                <c:pt idx="128">
                  <c:v>945.1261136462299</c:v>
                </c:pt>
                <c:pt idx="129">
                  <c:v>948.5767691583801</c:v>
                </c:pt>
                <c:pt idx="130">
                  <c:v>946.8184575546901</c:v>
                </c:pt>
                <c:pt idx="131">
                  <c:v>937.13139214837008</c:v>
                </c:pt>
                <c:pt idx="132">
                  <c:v>923.80716717367</c:v>
                </c:pt>
                <c:pt idx="133">
                  <c:v>903.65849992758012</c:v>
                </c:pt>
                <c:pt idx="134">
                  <c:v>871.55438758507</c:v>
                </c:pt>
                <c:pt idx="135">
                  <c:v>925.76327154900002</c:v>
                </c:pt>
                <c:pt idx="136">
                  <c:v>915.03401160154999</c:v>
                </c:pt>
                <c:pt idx="137">
                  <c:v>944.92345916798001</c:v>
                </c:pt>
                <c:pt idx="138">
                  <c:v>942.08086082662999</c:v>
                </c:pt>
                <c:pt idx="139">
                  <c:v>944.44347299014998</c:v>
                </c:pt>
                <c:pt idx="140">
                  <c:v>934.77872178923008</c:v>
                </c:pt>
                <c:pt idx="141">
                  <c:v>962.19717778486995</c:v>
                </c:pt>
                <c:pt idx="142">
                  <c:v>972.22210790421991</c:v>
                </c:pt>
                <c:pt idx="143">
                  <c:v>970.99130656483999</c:v>
                </c:pt>
                <c:pt idx="144">
                  <c:v>989.6474454432099</c:v>
                </c:pt>
                <c:pt idx="145">
                  <c:v>956.40462717275</c:v>
                </c:pt>
                <c:pt idx="146">
                  <c:v>1038.0733371580202</c:v>
                </c:pt>
                <c:pt idx="147">
                  <c:v>1041.3371241552099</c:v>
                </c:pt>
                <c:pt idx="148">
                  <c:v>1011.33308788984</c:v>
                </c:pt>
                <c:pt idx="149">
                  <c:v>1016.8161632546598</c:v>
                </c:pt>
                <c:pt idx="150">
                  <c:v>1020.3686541779899</c:v>
                </c:pt>
                <c:pt idx="151">
                  <c:v>1015.30268638674</c:v>
                </c:pt>
                <c:pt idx="152">
                  <c:v>1015.3782195301499</c:v>
                </c:pt>
                <c:pt idx="153">
                  <c:v>1014.99510442693</c:v>
                </c:pt>
                <c:pt idx="154">
                  <c:v>1020.3083525801501</c:v>
                </c:pt>
                <c:pt idx="155">
                  <c:v>1020.7784185883399</c:v>
                </c:pt>
                <c:pt idx="156">
                  <c:v>1026.17946577814</c:v>
                </c:pt>
                <c:pt idx="157">
                  <c:v>1028.49283413014</c:v>
                </c:pt>
                <c:pt idx="158">
                  <c:v>1027.38956202708</c:v>
                </c:pt>
                <c:pt idx="159">
                  <c:v>1027.7144874364299</c:v>
                </c:pt>
                <c:pt idx="160">
                  <c:v>1039.9572260815501</c:v>
                </c:pt>
                <c:pt idx="161">
                  <c:v>1035.12555718319</c:v>
                </c:pt>
                <c:pt idx="162">
                  <c:v>1036.50435411691</c:v>
                </c:pt>
                <c:pt idx="163">
                  <c:v>1036.4922814404101</c:v>
                </c:pt>
                <c:pt idx="164">
                  <c:v>1043.1924742077999</c:v>
                </c:pt>
                <c:pt idx="165">
                  <c:v>1038.6602429588102</c:v>
                </c:pt>
                <c:pt idx="166">
                  <c:v>1043.04730777184</c:v>
                </c:pt>
                <c:pt idx="167">
                  <c:v>1043.7281395474599</c:v>
                </c:pt>
                <c:pt idx="168">
                  <c:v>1036.9700244441401</c:v>
                </c:pt>
                <c:pt idx="169">
                  <c:v>1042.57204513187</c:v>
                </c:pt>
                <c:pt idx="170">
                  <c:v>1032.13598077714</c:v>
                </c:pt>
                <c:pt idx="171">
                  <c:v>1032.4377100670599</c:v>
                </c:pt>
                <c:pt idx="172">
                  <c:v>1032.79425899134</c:v>
                </c:pt>
                <c:pt idx="173">
                  <c:v>1039.5537614356899</c:v>
                </c:pt>
                <c:pt idx="174">
                  <c:v>1037.13915649661</c:v>
                </c:pt>
                <c:pt idx="175">
                  <c:v>1032.4223437191602</c:v>
                </c:pt>
                <c:pt idx="176">
                  <c:v>1035.1850162661501</c:v>
                </c:pt>
                <c:pt idx="177">
                  <c:v>1033.4122975718101</c:v>
                </c:pt>
                <c:pt idx="178">
                  <c:v>1034.3432001185899</c:v>
                </c:pt>
                <c:pt idx="179">
                  <c:v>1032.86443935688</c:v>
                </c:pt>
                <c:pt idx="180">
                  <c:v>1038.09462340704</c:v>
                </c:pt>
                <c:pt idx="181">
                  <c:v>1042.05175063357</c:v>
                </c:pt>
                <c:pt idx="182">
                  <c:v>1038.8870782932202</c:v>
                </c:pt>
                <c:pt idx="183">
                  <c:v>1044.05150237256</c:v>
                </c:pt>
                <c:pt idx="184">
                  <c:v>1050.1102458795199</c:v>
                </c:pt>
                <c:pt idx="185">
                  <c:v>1050.1017398494</c:v>
                </c:pt>
                <c:pt idx="186">
                  <c:v>1056.17016890738</c:v>
                </c:pt>
                <c:pt idx="187">
                  <c:v>1050.86280263137</c:v>
                </c:pt>
                <c:pt idx="188">
                  <c:v>1060.43880982977</c:v>
                </c:pt>
                <c:pt idx="189">
                  <c:v>1055.6789175817801</c:v>
                </c:pt>
                <c:pt idx="190">
                  <c:v>1050.2345044664901</c:v>
                </c:pt>
                <c:pt idx="191">
                  <c:v>1056.85979766165</c:v>
                </c:pt>
                <c:pt idx="192">
                  <c:v>1046.3317565199102</c:v>
                </c:pt>
                <c:pt idx="193">
                  <c:v>1051.9656018027999</c:v>
                </c:pt>
                <c:pt idx="194">
                  <c:v>1042.9468541618301</c:v>
                </c:pt>
                <c:pt idx="195">
                  <c:v>1028.25055942992</c:v>
                </c:pt>
                <c:pt idx="196">
                  <c:v>1016.1894939518299</c:v>
                </c:pt>
                <c:pt idx="197">
                  <c:v>1020.6591218523401</c:v>
                </c:pt>
                <c:pt idx="198">
                  <c:v>1030.4134636123201</c:v>
                </c:pt>
                <c:pt idx="199">
                  <c:v>1036.5751444632399</c:v>
                </c:pt>
                <c:pt idx="200">
                  <c:v>1033.04207294611</c:v>
                </c:pt>
                <c:pt idx="201">
                  <c:v>1030.57461536391</c:v>
                </c:pt>
                <c:pt idx="202">
                  <c:v>1034.61042112263</c:v>
                </c:pt>
                <c:pt idx="203">
                  <c:v>1030.3599201071499</c:v>
                </c:pt>
                <c:pt idx="204">
                  <c:v>1040.2637094020001</c:v>
                </c:pt>
                <c:pt idx="205">
                  <c:v>1036.59313945752</c:v>
                </c:pt>
                <c:pt idx="206">
                  <c:v>1036.5710599510899</c:v>
                </c:pt>
                <c:pt idx="207">
                  <c:v>1037.0565866689399</c:v>
                </c:pt>
                <c:pt idx="208">
                  <c:v>1029.5109302262701</c:v>
                </c:pt>
                <c:pt idx="209">
                  <c:v>1015.68835262507</c:v>
                </c:pt>
                <c:pt idx="210">
                  <c:v>1019.8258757661699</c:v>
                </c:pt>
                <c:pt idx="211">
                  <c:v>1018.0943785161301</c:v>
                </c:pt>
                <c:pt idx="212">
                  <c:v>1019.7582353020899</c:v>
                </c:pt>
                <c:pt idx="213">
                  <c:v>1021.9254992181399</c:v>
                </c:pt>
                <c:pt idx="214">
                  <c:v>1027.75261067272</c:v>
                </c:pt>
                <c:pt idx="215">
                  <c:v>1030.44829542394</c:v>
                </c:pt>
                <c:pt idx="216">
                  <c:v>1018.9966804913699</c:v>
                </c:pt>
                <c:pt idx="217">
                  <c:v>1017.42016890738</c:v>
                </c:pt>
                <c:pt idx="218">
                  <c:v>1020.30343341659</c:v>
                </c:pt>
                <c:pt idx="219">
                  <c:v>1023.90520471984</c:v>
                </c:pt>
                <c:pt idx="220">
                  <c:v>1035.15384321583</c:v>
                </c:pt>
                <c:pt idx="221">
                  <c:v>1029.0340566978998</c:v>
                </c:pt>
                <c:pt idx="222">
                  <c:v>1025.99053350286</c:v>
                </c:pt>
                <c:pt idx="223">
                  <c:v>1030.81962879918</c:v>
                </c:pt>
                <c:pt idx="224">
                  <c:v>1031.8957809102101</c:v>
                </c:pt>
                <c:pt idx="225">
                  <c:v>1031.07584206549</c:v>
                </c:pt>
                <c:pt idx="226">
                  <c:v>1013.0336736344601</c:v>
                </c:pt>
                <c:pt idx="227">
                  <c:v>1010.3544123065499</c:v>
                </c:pt>
                <c:pt idx="228">
                  <c:v>1006.5496769236502</c:v>
                </c:pt>
                <c:pt idx="229">
                  <c:v>1003.84161956069</c:v>
                </c:pt>
                <c:pt idx="230">
                  <c:v>1005.93246063767</c:v>
                </c:pt>
                <c:pt idx="231">
                  <c:v>1012.6789804895801</c:v>
                </c:pt>
                <c:pt idx="232">
                  <c:v>1012.0564844438201</c:v>
                </c:pt>
                <c:pt idx="233">
                  <c:v>1025.96820573542</c:v>
                </c:pt>
                <c:pt idx="234">
                  <c:v>1023.9387379351399</c:v>
                </c:pt>
                <c:pt idx="235">
                  <c:v>1019.94449512011</c:v>
                </c:pt>
                <c:pt idx="236">
                  <c:v>1025.4163854539499</c:v>
                </c:pt>
                <c:pt idx="237">
                  <c:v>1028.31391542499</c:v>
                </c:pt>
                <c:pt idx="238">
                  <c:v>998.91469593073987</c:v>
                </c:pt>
                <c:pt idx="239">
                  <c:v>1006.1751689522999</c:v>
                </c:pt>
                <c:pt idx="240">
                  <c:v>1008.69557129244</c:v>
                </c:pt>
                <c:pt idx="241">
                  <c:v>1007.8661771842399</c:v>
                </c:pt>
                <c:pt idx="242">
                  <c:v>1008.44170695765</c:v>
                </c:pt>
                <c:pt idx="243">
                  <c:v>1016.2792262792701</c:v>
                </c:pt>
                <c:pt idx="244">
                  <c:v>1021.4424315203901</c:v>
                </c:pt>
                <c:pt idx="245">
                  <c:v>1018.31454337944</c:v>
                </c:pt>
                <c:pt idx="246">
                  <c:v>1014.00078747054</c:v>
                </c:pt>
                <c:pt idx="247">
                  <c:v>1018.3277124485501</c:v>
                </c:pt>
                <c:pt idx="248">
                  <c:v>1020.7317455110499</c:v>
                </c:pt>
                <c:pt idx="249">
                  <c:v>987.91195719578013</c:v>
                </c:pt>
                <c:pt idx="250">
                  <c:v>982.42568344808001</c:v>
                </c:pt>
                <c:pt idx="251">
                  <c:v>989.84853379944002</c:v>
                </c:pt>
                <c:pt idx="252">
                  <c:v>988.61695117458009</c:v>
                </c:pt>
                <c:pt idx="253">
                  <c:v>993.61973372040995</c:v>
                </c:pt>
                <c:pt idx="254">
                  <c:v>998.22486384960996</c:v>
                </c:pt>
                <c:pt idx="255">
                  <c:v>994.63016405447001</c:v>
                </c:pt>
                <c:pt idx="256">
                  <c:v>1004.49414395991</c:v>
                </c:pt>
                <c:pt idx="257">
                  <c:v>1017.8688361612001</c:v>
                </c:pt>
                <c:pt idx="258">
                  <c:v>1013.6014286805899</c:v>
                </c:pt>
                <c:pt idx="259">
                  <c:v>1017.05020152952</c:v>
                </c:pt>
                <c:pt idx="260">
                  <c:v>1017.7870279670399</c:v>
                </c:pt>
                <c:pt idx="261">
                  <c:v>1016.3457400201501</c:v>
                </c:pt>
                <c:pt idx="262">
                  <c:v>995.56419060078997</c:v>
                </c:pt>
                <c:pt idx="263">
                  <c:v>1007.1859764555099</c:v>
                </c:pt>
                <c:pt idx="264">
                  <c:v>981.96179952746002</c:v>
                </c:pt>
                <c:pt idx="265">
                  <c:v>965.71851677014001</c:v>
                </c:pt>
                <c:pt idx="266">
                  <c:v>985.49886684981993</c:v>
                </c:pt>
                <c:pt idx="267">
                  <c:v>964.76899284989008</c:v>
                </c:pt>
                <c:pt idx="268">
                  <c:v>953.1927798311001</c:v>
                </c:pt>
                <c:pt idx="269">
                  <c:v>938.05862066651002</c:v>
                </c:pt>
                <c:pt idx="270">
                  <c:v>936.49445058441006</c:v>
                </c:pt>
                <c:pt idx="271">
                  <c:v>933.27823702860007</c:v>
                </c:pt>
                <c:pt idx="272">
                  <c:v>965.32293511259991</c:v>
                </c:pt>
                <c:pt idx="273">
                  <c:v>961.34051443749013</c:v>
                </c:pt>
                <c:pt idx="274">
                  <c:v>958.76514672406006</c:v>
                </c:pt>
                <c:pt idx="275">
                  <c:v>951.81391845254007</c:v>
                </c:pt>
                <c:pt idx="276">
                  <c:v>959.21176276608992</c:v>
                </c:pt>
                <c:pt idx="277">
                  <c:v>957.62759070867014</c:v>
                </c:pt>
                <c:pt idx="278">
                  <c:v>966.07903129626993</c:v>
                </c:pt>
                <c:pt idx="279">
                  <c:v>971.52298435182001</c:v>
                </c:pt>
                <c:pt idx="280">
                  <c:v>978.06583607384005</c:v>
                </c:pt>
                <c:pt idx="281">
                  <c:v>920.98237396431989</c:v>
                </c:pt>
                <c:pt idx="282">
                  <c:v>921.40859934838011</c:v>
                </c:pt>
                <c:pt idx="283">
                  <c:v>878.99645877327998</c:v>
                </c:pt>
                <c:pt idx="284">
                  <c:v>897.78264381512008</c:v>
                </c:pt>
                <c:pt idx="285">
                  <c:v>967.14603285028011</c:v>
                </c:pt>
                <c:pt idx="286">
                  <c:v>954.35989844967992</c:v>
                </c:pt>
                <c:pt idx="287">
                  <c:v>935.37357251277001</c:v>
                </c:pt>
                <c:pt idx="288">
                  <c:v>951.63041431263002</c:v>
                </c:pt>
                <c:pt idx="289">
                  <c:v>944.00416485590995</c:v>
                </c:pt>
                <c:pt idx="290">
                  <c:v>952.66086303052987</c:v>
                </c:pt>
                <c:pt idx="291">
                  <c:v>954.27502535130009</c:v>
                </c:pt>
                <c:pt idx="292">
                  <c:v>950.13746740551994</c:v>
                </c:pt>
                <c:pt idx="293">
                  <c:v>950.35871179198011</c:v>
                </c:pt>
                <c:pt idx="294">
                  <c:v>951.23466246561998</c:v>
                </c:pt>
                <c:pt idx="295">
                  <c:v>944.77580399829003</c:v>
                </c:pt>
                <c:pt idx="296">
                  <c:v>937.23084166302999</c:v>
                </c:pt>
                <c:pt idx="297">
                  <c:v>946.15599196006997</c:v>
                </c:pt>
                <c:pt idx="298">
                  <c:v>945.01182456902995</c:v>
                </c:pt>
                <c:pt idx="299">
                  <c:v>965.33253677136008</c:v>
                </c:pt>
                <c:pt idx="300">
                  <c:v>969.24955729827991</c:v>
                </c:pt>
                <c:pt idx="301">
                  <c:v>967.08459894838006</c:v>
                </c:pt>
                <c:pt idx="302">
                  <c:v>965.13786545479991</c:v>
                </c:pt>
                <c:pt idx="303">
                  <c:v>969.63760796498991</c:v>
                </c:pt>
                <c:pt idx="304">
                  <c:v>963.52782470813997</c:v>
                </c:pt>
                <c:pt idx="305">
                  <c:v>971.11201935237011</c:v>
                </c:pt>
                <c:pt idx="306">
                  <c:v>975.75301534100993</c:v>
                </c:pt>
                <c:pt idx="307">
                  <c:v>959.06227615179989</c:v>
                </c:pt>
                <c:pt idx="308">
                  <c:v>961.09043806419004</c:v>
                </c:pt>
                <c:pt idx="309">
                  <c:v>965.43876395092991</c:v>
                </c:pt>
                <c:pt idx="310">
                  <c:v>953.25877756273007</c:v>
                </c:pt>
                <c:pt idx="311">
                  <c:v>944.82148332215002</c:v>
                </c:pt>
                <c:pt idx="312">
                  <c:v>952.32824851223995</c:v>
                </c:pt>
                <c:pt idx="313">
                  <c:v>937.24122356779003</c:v>
                </c:pt>
                <c:pt idx="314">
                  <c:v>940.25102427509989</c:v>
                </c:pt>
                <c:pt idx="315">
                  <c:v>936.21174796054004</c:v>
                </c:pt>
                <c:pt idx="316">
                  <c:v>929.13639703890999</c:v>
                </c:pt>
                <c:pt idx="317">
                  <c:v>937.67591529044989</c:v>
                </c:pt>
                <c:pt idx="318">
                  <c:v>934.69585134668012</c:v>
                </c:pt>
                <c:pt idx="319">
                  <c:v>938.54102362775996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0D-A541-B314-592E0C2FA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F3-4041-A58D-2CAA7793AA9F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'240807A003'!$A$2:$A$321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'240807A003'!$P$2:$P$321</c:f>
              <c:numCache>
                <c:formatCode>General</c:formatCode>
                <c:ptCount val="320"/>
                <c:pt idx="0">
                  <c:v>-16.084623388905634</c:v>
                </c:pt>
                <c:pt idx="1">
                  <c:v>-15.30248462216589</c:v>
                </c:pt>
                <c:pt idx="2">
                  <c:v>-13.645097604381263</c:v>
                </c:pt>
                <c:pt idx="3">
                  <c:v>-12.11851424830302</c:v>
                </c:pt>
                <c:pt idx="4">
                  <c:v>-11.268584700604467</c:v>
                </c:pt>
                <c:pt idx="5">
                  <c:v>-10.930966609494648</c:v>
                </c:pt>
                <c:pt idx="6">
                  <c:v>-10.488108422812841</c:v>
                </c:pt>
                <c:pt idx="7">
                  <c:v>-9.691345916586279</c:v>
                </c:pt>
                <c:pt idx="8">
                  <c:v>-5.2936345905694981</c:v>
                </c:pt>
                <c:pt idx="9">
                  <c:v>-5.3999244472536487</c:v>
                </c:pt>
                <c:pt idx="10">
                  <c:v>-9.5011126273018753</c:v>
                </c:pt>
                <c:pt idx="11">
                  <c:v>-8.7364390858769756</c:v>
                </c:pt>
                <c:pt idx="12">
                  <c:v>-8.9907249167540026</c:v>
                </c:pt>
                <c:pt idx="13">
                  <c:v>-8.606511816222806</c:v>
                </c:pt>
                <c:pt idx="14">
                  <c:v>-7.3518651316578794</c:v>
                </c:pt>
                <c:pt idx="15">
                  <c:v>-6.9280805242041179</c:v>
                </c:pt>
                <c:pt idx="16">
                  <c:v>-7.0065784981742985</c:v>
                </c:pt>
                <c:pt idx="17">
                  <c:v>-7.0793886169374796</c:v>
                </c:pt>
                <c:pt idx="18">
                  <c:v>-7.820473863398071</c:v>
                </c:pt>
                <c:pt idx="19">
                  <c:v>-5.6046439975468241</c:v>
                </c:pt>
                <c:pt idx="20">
                  <c:v>-4.8878669305538631</c:v>
                </c:pt>
                <c:pt idx="21">
                  <c:v>-4.3422396867807711</c:v>
                </c:pt>
                <c:pt idx="22">
                  <c:v>-4.5568708337865331</c:v>
                </c:pt>
                <c:pt idx="23">
                  <c:v>-2.3836386090181998</c:v>
                </c:pt>
                <c:pt idx="24">
                  <c:v>-1.4669105483264857</c:v>
                </c:pt>
                <c:pt idx="25">
                  <c:v>-1.2125864257198369</c:v>
                </c:pt>
                <c:pt idx="26">
                  <c:v>-0.85002576673115837</c:v>
                </c:pt>
                <c:pt idx="27">
                  <c:v>-0.93138565325881428</c:v>
                </c:pt>
                <c:pt idx="28">
                  <c:v>-1.4598860682995378</c:v>
                </c:pt>
                <c:pt idx="29">
                  <c:v>-1.8554416822945305</c:v>
                </c:pt>
                <c:pt idx="30">
                  <c:v>-1.5121847165803215</c:v>
                </c:pt>
                <c:pt idx="31">
                  <c:v>-1.7137165164201451</c:v>
                </c:pt>
                <c:pt idx="32">
                  <c:v>-2.6314108840623485</c:v>
                </c:pt>
                <c:pt idx="33">
                  <c:v>-2.5550323388528269</c:v>
                </c:pt>
                <c:pt idx="34">
                  <c:v>-4.458875985758648</c:v>
                </c:pt>
                <c:pt idx="35">
                  <c:v>-4.0274334271991235</c:v>
                </c:pt>
                <c:pt idx="36">
                  <c:v>-3.5996607560707785</c:v>
                </c:pt>
                <c:pt idx="37">
                  <c:v>-4.2293308118055224</c:v>
                </c:pt>
                <c:pt idx="38">
                  <c:v>-4.9005938240817795</c:v>
                </c:pt>
                <c:pt idx="39">
                  <c:v>-5.4276896867846878</c:v>
                </c:pt>
                <c:pt idx="40">
                  <c:v>-5.8321117610576776</c:v>
                </c:pt>
                <c:pt idx="41">
                  <c:v>-7.4836464301459804</c:v>
                </c:pt>
                <c:pt idx="42">
                  <c:v>-6.927100290797747</c:v>
                </c:pt>
                <c:pt idx="43">
                  <c:v>-7.0024142725124943</c:v>
                </c:pt>
                <c:pt idx="44">
                  <c:v>-7.8883133370009793</c:v>
                </c:pt>
                <c:pt idx="45">
                  <c:v>-7.8321962371606739</c:v>
                </c:pt>
                <c:pt idx="46">
                  <c:v>-7.8029150755036598</c:v>
                </c:pt>
                <c:pt idx="47">
                  <c:v>-6.2076654257063044</c:v>
                </c:pt>
                <c:pt idx="48">
                  <c:v>-6.9873645053478972</c:v>
                </c:pt>
                <c:pt idx="49">
                  <c:v>-6.9901363926114763</c:v>
                </c:pt>
                <c:pt idx="50">
                  <c:v>-6.9529487987249867</c:v>
                </c:pt>
                <c:pt idx="51">
                  <c:v>-7.678507582110754</c:v>
                </c:pt>
                <c:pt idx="52">
                  <c:v>-7.6756287732653794</c:v>
                </c:pt>
                <c:pt idx="53">
                  <c:v>-7.2380290758554482</c:v>
                </c:pt>
                <c:pt idx="54">
                  <c:v>-6.5111697347076749</c:v>
                </c:pt>
                <c:pt idx="55">
                  <c:v>-6.4510598424455985</c:v>
                </c:pt>
                <c:pt idx="56">
                  <c:v>-6.7656081434263129</c:v>
                </c:pt>
                <c:pt idx="57">
                  <c:v>-6.4855858323463549</c:v>
                </c:pt>
                <c:pt idx="58">
                  <c:v>-7.346563198647484</c:v>
                </c:pt>
                <c:pt idx="59">
                  <c:v>-5.8946924973371981</c:v>
                </c:pt>
                <c:pt idx="60">
                  <c:v>-5.3821623198619513</c:v>
                </c:pt>
                <c:pt idx="61">
                  <c:v>-5.5154568498823133</c:v>
                </c:pt>
                <c:pt idx="62">
                  <c:v>-4.7539748134448576</c:v>
                </c:pt>
                <c:pt idx="63">
                  <c:v>-2.908246070003591</c:v>
                </c:pt>
                <c:pt idx="64">
                  <c:v>-3.4271506479422267</c:v>
                </c:pt>
                <c:pt idx="65">
                  <c:v>-2.210669166340792</c:v>
                </c:pt>
                <c:pt idx="66">
                  <c:v>-1.0518526963388275</c:v>
                </c:pt>
                <c:pt idx="67">
                  <c:v>-0.41300553804548079</c:v>
                </c:pt>
                <c:pt idx="68">
                  <c:v>0.75457676241022154</c:v>
                </c:pt>
                <c:pt idx="69">
                  <c:v>1.1332814900346759</c:v>
                </c:pt>
                <c:pt idx="70">
                  <c:v>0.78723351034225464</c:v>
                </c:pt>
                <c:pt idx="71">
                  <c:v>1.321383777767871</c:v>
                </c:pt>
                <c:pt idx="72">
                  <c:v>2.4614084654509405</c:v>
                </c:pt>
                <c:pt idx="73">
                  <c:v>2.8889000279697594</c:v>
                </c:pt>
                <c:pt idx="74">
                  <c:v>2.8400474230383517</c:v>
                </c:pt>
                <c:pt idx="75">
                  <c:v>2.0334412779307001</c:v>
                </c:pt>
                <c:pt idx="76">
                  <c:v>2.0023933805668368</c:v>
                </c:pt>
                <c:pt idx="77">
                  <c:v>3.2832810619055506</c:v>
                </c:pt>
                <c:pt idx="78">
                  <c:v>2.638051856481225</c:v>
                </c:pt>
                <c:pt idx="79">
                  <c:v>3.5185190679618805</c:v>
                </c:pt>
                <c:pt idx="80">
                  <c:v>4.5155941903268291</c:v>
                </c:pt>
                <c:pt idx="81">
                  <c:v>3.7822816579000107</c:v>
                </c:pt>
                <c:pt idx="82">
                  <c:v>2.616859202339151</c:v>
                </c:pt>
                <c:pt idx="83">
                  <c:v>2.4593446659924592</c:v>
                </c:pt>
                <c:pt idx="84">
                  <c:v>2.2559225011770381</c:v>
                </c:pt>
                <c:pt idx="85">
                  <c:v>1.9224158045771667</c:v>
                </c:pt>
                <c:pt idx="86">
                  <c:v>1.3910086864299569</c:v>
                </c:pt>
                <c:pt idx="87">
                  <c:v>1.0718014989173403</c:v>
                </c:pt>
                <c:pt idx="88">
                  <c:v>9.8976175312950165E-2</c:v>
                </c:pt>
                <c:pt idx="89">
                  <c:v>0.28996128856749576</c:v>
                </c:pt>
                <c:pt idx="90">
                  <c:v>0.61383642860863152</c:v>
                </c:pt>
                <c:pt idx="91">
                  <c:v>1.2639926516436542</c:v>
                </c:pt>
                <c:pt idx="92">
                  <c:v>1.9151463447831605</c:v>
                </c:pt>
                <c:pt idx="93">
                  <c:v>3.5430366723710986</c:v>
                </c:pt>
                <c:pt idx="94">
                  <c:v>2.6015222128198303</c:v>
                </c:pt>
                <c:pt idx="95">
                  <c:v>4.3093186432225625</c:v>
                </c:pt>
                <c:pt idx="96">
                  <c:v>6.6684689743807475</c:v>
                </c:pt>
                <c:pt idx="97">
                  <c:v>4.2333228749571123</c:v>
                </c:pt>
                <c:pt idx="98">
                  <c:v>6.100249549917736</c:v>
                </c:pt>
                <c:pt idx="99">
                  <c:v>6.3200129486963315</c:v>
                </c:pt>
                <c:pt idx="100">
                  <c:v>6.0946206482064698</c:v>
                </c:pt>
                <c:pt idx="101">
                  <c:v>6.5120821362797541</c:v>
                </c:pt>
                <c:pt idx="102">
                  <c:v>5.9358699752376145</c:v>
                </c:pt>
                <c:pt idx="103">
                  <c:v>4.5525684666242148</c:v>
                </c:pt>
                <c:pt idx="104">
                  <c:v>4.8117769966400887</c:v>
                </c:pt>
                <c:pt idx="105">
                  <c:v>4.1123144443999182</c:v>
                </c:pt>
                <c:pt idx="106">
                  <c:v>4.0992367098079665</c:v>
                </c:pt>
                <c:pt idx="107">
                  <c:v>3.1951524254283865</c:v>
                </c:pt>
                <c:pt idx="108">
                  <c:v>4.2527190139284619</c:v>
                </c:pt>
                <c:pt idx="109">
                  <c:v>3.56332692651816</c:v>
                </c:pt>
                <c:pt idx="110">
                  <c:v>3.1100476757873143</c:v>
                </c:pt>
                <c:pt idx="111">
                  <c:v>4.365303748355414</c:v>
                </c:pt>
                <c:pt idx="112">
                  <c:v>3.9019414739131459</c:v>
                </c:pt>
                <c:pt idx="113">
                  <c:v>2.4752347093559566</c:v>
                </c:pt>
                <c:pt idx="114">
                  <c:v>2.6177670189677489</c:v>
                </c:pt>
                <c:pt idx="115">
                  <c:v>3.3795902389284671</c:v>
                </c:pt>
                <c:pt idx="116">
                  <c:v>3.2107236718388137</c:v>
                </c:pt>
                <c:pt idx="117">
                  <c:v>3.6230046756335441</c:v>
                </c:pt>
                <c:pt idx="118">
                  <c:v>1.7258751516835653</c:v>
                </c:pt>
                <c:pt idx="119">
                  <c:v>2.7560582643753153</c:v>
                </c:pt>
                <c:pt idx="120">
                  <c:v>3.3950293991102916</c:v>
                </c:pt>
                <c:pt idx="121">
                  <c:v>2.6310091858677902</c:v>
                </c:pt>
                <c:pt idx="122">
                  <c:v>2.7489447108819305</c:v>
                </c:pt>
                <c:pt idx="123">
                  <c:v>2.5044079656281233</c:v>
                </c:pt>
                <c:pt idx="124">
                  <c:v>3.9763934522130855</c:v>
                </c:pt>
                <c:pt idx="125">
                  <c:v>3.4062468868446918</c:v>
                </c:pt>
                <c:pt idx="126">
                  <c:v>1.7699956789754037</c:v>
                </c:pt>
                <c:pt idx="127">
                  <c:v>0.86294281634334247</c:v>
                </c:pt>
                <c:pt idx="128">
                  <c:v>9.9604857977430586E-2</c:v>
                </c:pt>
                <c:pt idx="129">
                  <c:v>-0.43682855931739173</c:v>
                </c:pt>
                <c:pt idx="130">
                  <c:v>-0.95626667342193128</c:v>
                </c:pt>
                <c:pt idx="131">
                  <c:v>-0.80972022958907797</c:v>
                </c:pt>
                <c:pt idx="132">
                  <c:v>-1.9772446188389039</c:v>
                </c:pt>
                <c:pt idx="133">
                  <c:v>-1.4126223595134761</c:v>
                </c:pt>
                <c:pt idx="134">
                  <c:v>-2.4417099555745136</c:v>
                </c:pt>
                <c:pt idx="135">
                  <c:v>-1.4147133710933293</c:v>
                </c:pt>
                <c:pt idx="136">
                  <c:v>-1.5161040006002195</c:v>
                </c:pt>
                <c:pt idx="137">
                  <c:v>-0.90468171612740589</c:v>
                </c:pt>
                <c:pt idx="138">
                  <c:v>-1.2253029808175675</c:v>
                </c:pt>
                <c:pt idx="139">
                  <c:v>-0.81101611606156787</c:v>
                </c:pt>
                <c:pt idx="140">
                  <c:v>-1.2715873833868503</c:v>
                </c:pt>
                <c:pt idx="141">
                  <c:v>-1.0573437905705676</c:v>
                </c:pt>
                <c:pt idx="142">
                  <c:v>-2.6076204136710017</c:v>
                </c:pt>
                <c:pt idx="143">
                  <c:v>-2.5538085899939342</c:v>
                </c:pt>
                <c:pt idx="144">
                  <c:v>-2.2514561113336877</c:v>
                </c:pt>
                <c:pt idx="145">
                  <c:v>-2.0030842255811261</c:v>
                </c:pt>
                <c:pt idx="146">
                  <c:v>-3.7974298617252997</c:v>
                </c:pt>
                <c:pt idx="147">
                  <c:v>-4.6146647479669172</c:v>
                </c:pt>
                <c:pt idx="148">
                  <c:v>-4.6124570103731788</c:v>
                </c:pt>
                <c:pt idx="149">
                  <c:v>-6.379916126738534</c:v>
                </c:pt>
                <c:pt idx="150">
                  <c:v>-6.9531393374214074</c:v>
                </c:pt>
                <c:pt idx="151">
                  <c:v>-7.2799869578562824</c:v>
                </c:pt>
                <c:pt idx="152">
                  <c:v>-7.3090902664076083</c:v>
                </c:pt>
                <c:pt idx="153">
                  <c:v>-7.554461095462095</c:v>
                </c:pt>
                <c:pt idx="154">
                  <c:v>-7.9095100109852687</c:v>
                </c:pt>
                <c:pt idx="155">
                  <c:v>-7.5596200937550799</c:v>
                </c:pt>
                <c:pt idx="156">
                  <c:v>-7.6964786157709835</c:v>
                </c:pt>
                <c:pt idx="157">
                  <c:v>-7.185851830312834</c:v>
                </c:pt>
                <c:pt idx="158">
                  <c:v>-8.175341040724085</c:v>
                </c:pt>
                <c:pt idx="159">
                  <c:v>-8.4900361037531784</c:v>
                </c:pt>
                <c:pt idx="160">
                  <c:v>-8.4616934091722253</c:v>
                </c:pt>
                <c:pt idx="161">
                  <c:v>-9.0000190093048786</c:v>
                </c:pt>
                <c:pt idx="162">
                  <c:v>-8.7428733622333397</c:v>
                </c:pt>
                <c:pt idx="163">
                  <c:v>-8.4790481712010504</c:v>
                </c:pt>
                <c:pt idx="164">
                  <c:v>-8.9220193122680431</c:v>
                </c:pt>
                <c:pt idx="165">
                  <c:v>-9.0170387341923348</c:v>
                </c:pt>
                <c:pt idx="166">
                  <c:v>-8.3145360555704411</c:v>
                </c:pt>
                <c:pt idx="167">
                  <c:v>-7.7317775722174451</c:v>
                </c:pt>
                <c:pt idx="168">
                  <c:v>-7.3464601849401951</c:v>
                </c:pt>
                <c:pt idx="169">
                  <c:v>-6.5373365632082043</c:v>
                </c:pt>
                <c:pt idx="170">
                  <c:v>-6.0165940426437476</c:v>
                </c:pt>
                <c:pt idx="171">
                  <c:v>-6.1917206938989668</c:v>
                </c:pt>
                <c:pt idx="172">
                  <c:v>-6.215008591376483</c:v>
                </c:pt>
                <c:pt idx="173">
                  <c:v>-5.2034317197774262</c:v>
                </c:pt>
                <c:pt idx="174">
                  <c:v>-5.6424964204831909</c:v>
                </c:pt>
                <c:pt idx="175">
                  <c:v>-5.9366222327804152</c:v>
                </c:pt>
                <c:pt idx="176">
                  <c:v>-5.8356594115977494</c:v>
                </c:pt>
                <c:pt idx="177">
                  <c:v>-6.070187388837974</c:v>
                </c:pt>
                <c:pt idx="178">
                  <c:v>-5.7872610849492556</c:v>
                </c:pt>
                <c:pt idx="179">
                  <c:v>-5.7460078126430894</c:v>
                </c:pt>
                <c:pt idx="180">
                  <c:v>-5.4321784822052663</c:v>
                </c:pt>
                <c:pt idx="181">
                  <c:v>-5.5418858793459931</c:v>
                </c:pt>
                <c:pt idx="182">
                  <c:v>-5.7128124923810741</c:v>
                </c:pt>
                <c:pt idx="183">
                  <c:v>-5.9513057910174219</c:v>
                </c:pt>
                <c:pt idx="184">
                  <c:v>-6.021980295052562</c:v>
                </c:pt>
                <c:pt idx="185">
                  <c:v>-6.0851255030007563</c:v>
                </c:pt>
                <c:pt idx="186">
                  <c:v>-6.7727480177979817</c:v>
                </c:pt>
                <c:pt idx="187">
                  <c:v>-7.601985184422051</c:v>
                </c:pt>
                <c:pt idx="188">
                  <c:v>-7.968526467595062</c:v>
                </c:pt>
                <c:pt idx="189">
                  <c:v>-7.9159673499193843</c:v>
                </c:pt>
                <c:pt idx="190">
                  <c:v>-7.6622723939263953</c:v>
                </c:pt>
                <c:pt idx="191">
                  <c:v>-7.9261119019028934</c:v>
                </c:pt>
                <c:pt idx="192">
                  <c:v>-8.0315324132407042</c:v>
                </c:pt>
                <c:pt idx="193">
                  <c:v>-8.0408551936305983</c:v>
                </c:pt>
                <c:pt idx="194">
                  <c:v>-9.0836156265515786</c:v>
                </c:pt>
                <c:pt idx="195">
                  <c:v>-9.7520945367612999</c:v>
                </c:pt>
                <c:pt idx="196">
                  <c:v>-9.4352098629097512</c:v>
                </c:pt>
                <c:pt idx="197">
                  <c:v>-9.068586273315967</c:v>
                </c:pt>
                <c:pt idx="198">
                  <c:v>-9.3816465001239155</c:v>
                </c:pt>
                <c:pt idx="199">
                  <c:v>-10.24960693004491</c:v>
                </c:pt>
                <c:pt idx="200">
                  <c:v>-9.9861085497265663</c:v>
                </c:pt>
                <c:pt idx="201">
                  <c:v>-9.9602678541184915</c:v>
                </c:pt>
                <c:pt idx="202">
                  <c:v>-10.576805101586505</c:v>
                </c:pt>
                <c:pt idx="203">
                  <c:v>-10.416681422704418</c:v>
                </c:pt>
                <c:pt idx="204">
                  <c:v>-10.735451197053044</c:v>
                </c:pt>
                <c:pt idx="205">
                  <c:v>-10.049442553590787</c:v>
                </c:pt>
                <c:pt idx="206">
                  <c:v>-9.9582400974043761</c:v>
                </c:pt>
                <c:pt idx="207">
                  <c:v>-9.3009540523024157</c:v>
                </c:pt>
                <c:pt idx="208">
                  <c:v>-9.5895204627450745</c:v>
                </c:pt>
                <c:pt idx="209">
                  <c:v>-9.4200531749024083</c:v>
                </c:pt>
                <c:pt idx="210">
                  <c:v>-9.5888563493164689</c:v>
                </c:pt>
                <c:pt idx="211">
                  <c:v>-9.800346415338554</c:v>
                </c:pt>
                <c:pt idx="212">
                  <c:v>-9.1587205297176464</c:v>
                </c:pt>
                <c:pt idx="213">
                  <c:v>-9.548996805930674</c:v>
                </c:pt>
                <c:pt idx="214">
                  <c:v>-9.6836705521856281</c:v>
                </c:pt>
                <c:pt idx="215">
                  <c:v>-8.8935927204928635</c:v>
                </c:pt>
                <c:pt idx="216">
                  <c:v>-9.5672357532116692</c:v>
                </c:pt>
                <c:pt idx="217">
                  <c:v>-9.503017243876771</c:v>
                </c:pt>
                <c:pt idx="218">
                  <c:v>-9.377095881834304</c:v>
                </c:pt>
                <c:pt idx="219">
                  <c:v>-8.7341624377406415</c:v>
                </c:pt>
                <c:pt idx="220">
                  <c:v>-8.3081185111206803</c:v>
                </c:pt>
                <c:pt idx="221">
                  <c:v>-8.5650657928063527</c:v>
                </c:pt>
                <c:pt idx="222">
                  <c:v>-8.4761979088640516</c:v>
                </c:pt>
                <c:pt idx="223">
                  <c:v>-9.0233822126686043</c:v>
                </c:pt>
                <c:pt idx="224">
                  <c:v>-8.3619203566076159</c:v>
                </c:pt>
                <c:pt idx="225">
                  <c:v>-8.1898588255162679</c:v>
                </c:pt>
                <c:pt idx="226">
                  <c:v>-8.5623520368626078</c:v>
                </c:pt>
                <c:pt idx="227">
                  <c:v>-8.3339712923595108</c:v>
                </c:pt>
                <c:pt idx="228">
                  <c:v>-8.9828634053023304</c:v>
                </c:pt>
                <c:pt idx="229">
                  <c:v>-8.1613580181135088</c:v>
                </c:pt>
                <c:pt idx="230">
                  <c:v>-7.4162200231802116</c:v>
                </c:pt>
                <c:pt idx="231">
                  <c:v>-7.493704812956933</c:v>
                </c:pt>
                <c:pt idx="232">
                  <c:v>-6.4386574848563747</c:v>
                </c:pt>
                <c:pt idx="233">
                  <c:v>-7.0498428882543998</c:v>
                </c:pt>
                <c:pt idx="234">
                  <c:v>-7.1314123339437856</c:v>
                </c:pt>
                <c:pt idx="235">
                  <c:v>-8.1980130924140617</c:v>
                </c:pt>
                <c:pt idx="236">
                  <c:v>-8.2137172895156478</c:v>
                </c:pt>
                <c:pt idx="237">
                  <c:v>-7.8413346539106641</c:v>
                </c:pt>
                <c:pt idx="238">
                  <c:v>-8.9218615095640601</c:v>
                </c:pt>
                <c:pt idx="239">
                  <c:v>-8.803026408772693</c:v>
                </c:pt>
                <c:pt idx="240">
                  <c:v>-9.0770112643972016</c:v>
                </c:pt>
                <c:pt idx="241">
                  <c:v>-9.0465585561786099</c:v>
                </c:pt>
                <c:pt idx="242">
                  <c:v>-9.4324095092982887</c:v>
                </c:pt>
                <c:pt idx="243">
                  <c:v>-9.3801751150819435</c:v>
                </c:pt>
                <c:pt idx="244">
                  <c:v>-10.201138026766309</c:v>
                </c:pt>
                <c:pt idx="245">
                  <c:v>-8.9691392126118572</c:v>
                </c:pt>
                <c:pt idx="246">
                  <c:v>-9.7683444619459525</c:v>
                </c:pt>
                <c:pt idx="247">
                  <c:v>-9.9717509518391463</c:v>
                </c:pt>
                <c:pt idx="248">
                  <c:v>-9.4443395945555384</c:v>
                </c:pt>
                <c:pt idx="249">
                  <c:v>-7.9682227982260923</c:v>
                </c:pt>
                <c:pt idx="250">
                  <c:v>-7.8226393890306989</c:v>
                </c:pt>
                <c:pt idx="251">
                  <c:v>-7.9523261404202765</c:v>
                </c:pt>
                <c:pt idx="252">
                  <c:v>-8.1052171541530154</c:v>
                </c:pt>
                <c:pt idx="253">
                  <c:v>-8.4742688126655619</c:v>
                </c:pt>
                <c:pt idx="254">
                  <c:v>-9.108431633019169</c:v>
                </c:pt>
                <c:pt idx="255">
                  <c:v>-8.1321866349015455</c:v>
                </c:pt>
                <c:pt idx="256">
                  <c:v>-8.7446569356765131</c:v>
                </c:pt>
                <c:pt idx="257">
                  <c:v>-9.2327353178386389</c:v>
                </c:pt>
                <c:pt idx="258">
                  <c:v>-9.2362392978161374</c:v>
                </c:pt>
                <c:pt idx="259">
                  <c:v>-9.003481396119259</c:v>
                </c:pt>
                <c:pt idx="260">
                  <c:v>-9.2687189641352727</c:v>
                </c:pt>
                <c:pt idx="261">
                  <c:v>-8.0369663146989616</c:v>
                </c:pt>
                <c:pt idx="262">
                  <c:v>-9.444956347269347</c:v>
                </c:pt>
                <c:pt idx="263">
                  <c:v>-9.6438262245474942</c:v>
                </c:pt>
                <c:pt idx="264">
                  <c:v>-9.0407890486890299</c:v>
                </c:pt>
                <c:pt idx="265">
                  <c:v>-8.2943690918619968</c:v>
                </c:pt>
                <c:pt idx="266">
                  <c:v>-8.8718266364654568</c:v>
                </c:pt>
                <c:pt idx="267">
                  <c:v>-8.1618357826810701</c:v>
                </c:pt>
                <c:pt idx="268">
                  <c:v>-7.5076988831081479</c:v>
                </c:pt>
                <c:pt idx="269">
                  <c:v>-7.4325555044925133</c:v>
                </c:pt>
                <c:pt idx="270">
                  <c:v>-6.4385681743396734</c:v>
                </c:pt>
                <c:pt idx="271">
                  <c:v>-5.6529919778927438</c:v>
                </c:pt>
                <c:pt idx="272">
                  <c:v>-6.3845753367897089</c:v>
                </c:pt>
                <c:pt idx="273">
                  <c:v>-5.2381242402274184</c:v>
                </c:pt>
                <c:pt idx="274">
                  <c:v>-5.294984631823862</c:v>
                </c:pt>
                <c:pt idx="275">
                  <c:v>-5.6790150886128332</c:v>
                </c:pt>
                <c:pt idx="276">
                  <c:v>-5.1787526029307722</c:v>
                </c:pt>
                <c:pt idx="277">
                  <c:v>-5.9724490570399631</c:v>
                </c:pt>
                <c:pt idx="278">
                  <c:v>-5.8796599435286545</c:v>
                </c:pt>
                <c:pt idx="279">
                  <c:v>-6.0112117105719021</c:v>
                </c:pt>
                <c:pt idx="280">
                  <c:v>-5.931435167197475</c:v>
                </c:pt>
                <c:pt idx="281">
                  <c:v>-6.0551409585856675</c:v>
                </c:pt>
                <c:pt idx="282">
                  <c:v>-5.7839341629759415</c:v>
                </c:pt>
                <c:pt idx="283">
                  <c:v>-5.0794423519592993</c:v>
                </c:pt>
                <c:pt idx="284">
                  <c:v>-6.012325762867917</c:v>
                </c:pt>
                <c:pt idx="285">
                  <c:v>-5.2502283067420041</c:v>
                </c:pt>
                <c:pt idx="286">
                  <c:v>-4.5486386050187768</c:v>
                </c:pt>
                <c:pt idx="287">
                  <c:v>-2.8580052083041796</c:v>
                </c:pt>
                <c:pt idx="288">
                  <c:v>-2.6509709670110659</c:v>
                </c:pt>
                <c:pt idx="289">
                  <c:v>-2.7373143153207846</c:v>
                </c:pt>
                <c:pt idx="290">
                  <c:v>-1.7597671015963952</c:v>
                </c:pt>
                <c:pt idx="291">
                  <c:v>-1.6714888083068498</c:v>
                </c:pt>
                <c:pt idx="292">
                  <c:v>-0.60920895013258314</c:v>
                </c:pt>
                <c:pt idx="293">
                  <c:v>-0.14435724818627219</c:v>
                </c:pt>
                <c:pt idx="294">
                  <c:v>-0.62933070313396844</c:v>
                </c:pt>
                <c:pt idx="295">
                  <c:v>-0.59935651551222768</c:v>
                </c:pt>
                <c:pt idx="296">
                  <c:v>6.2203864776201351E-2</c:v>
                </c:pt>
                <c:pt idx="297">
                  <c:v>-4.6463383295819061E-2</c:v>
                </c:pt>
                <c:pt idx="298">
                  <c:v>-3.7967511721052866E-2</c:v>
                </c:pt>
                <c:pt idx="299">
                  <c:v>-0.44941815451478384</c:v>
                </c:pt>
                <c:pt idx="300">
                  <c:v>0.42642751117438726</c:v>
                </c:pt>
                <c:pt idx="301">
                  <c:v>-0.71690558175444319</c:v>
                </c:pt>
                <c:pt idx="302">
                  <c:v>0.59942836279062472</c:v>
                </c:pt>
                <c:pt idx="303">
                  <c:v>1.5291447125585336</c:v>
                </c:pt>
                <c:pt idx="304">
                  <c:v>1.8932659520698187</c:v>
                </c:pt>
                <c:pt idx="305">
                  <c:v>0.92631659321860593</c:v>
                </c:pt>
                <c:pt idx="306">
                  <c:v>-5.3428313408985628E-2</c:v>
                </c:pt>
                <c:pt idx="307">
                  <c:v>0.37013143754970779</c:v>
                </c:pt>
                <c:pt idx="308">
                  <c:v>-3.9434821798819228E-2</c:v>
                </c:pt>
                <c:pt idx="309">
                  <c:v>-0.20617187607838236</c:v>
                </c:pt>
                <c:pt idx="310">
                  <c:v>-0.40163072397411387</c:v>
                </c:pt>
                <c:pt idx="311">
                  <c:v>-0.47216991198299918</c:v>
                </c:pt>
                <c:pt idx="312">
                  <c:v>-0.60082230984363327</c:v>
                </c:pt>
                <c:pt idx="313">
                  <c:v>-0.86974438764586981</c:v>
                </c:pt>
                <c:pt idx="314">
                  <c:v>-0.94951126317878753</c:v>
                </c:pt>
                <c:pt idx="315">
                  <c:v>-0.58416154983808244</c:v>
                </c:pt>
                <c:pt idx="316">
                  <c:v>-1.5688669146470384</c:v>
                </c:pt>
                <c:pt idx="317">
                  <c:v>-0.9128087292700876</c:v>
                </c:pt>
                <c:pt idx="318">
                  <c:v>0.1224236942620496</c:v>
                </c:pt>
                <c:pt idx="319">
                  <c:v>-0.64062562972139858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F3-4041-A58D-2CAA7793A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'240807A004'!$A$2:$A$321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'240807A004'!$J$2:$J$321</c:f>
              <c:numCache>
                <c:formatCode>0.0</c:formatCode>
                <c:ptCount val="320"/>
                <c:pt idx="0">
                  <c:v>547.41371090769996</c:v>
                </c:pt>
                <c:pt idx="1">
                  <c:v>532.44355947026997</c:v>
                </c:pt>
                <c:pt idx="2">
                  <c:v>513.56711118124997</c:v>
                </c:pt>
                <c:pt idx="3">
                  <c:v>531.60001578158995</c:v>
                </c:pt>
                <c:pt idx="4">
                  <c:v>547.26761290407001</c:v>
                </c:pt>
                <c:pt idx="5">
                  <c:v>556.57906573030004</c:v>
                </c:pt>
                <c:pt idx="6">
                  <c:v>667.77491846182011</c:v>
                </c:pt>
                <c:pt idx="7">
                  <c:v>713.97554347825997</c:v>
                </c:pt>
                <c:pt idx="8">
                  <c:v>782.69746376812009</c:v>
                </c:pt>
                <c:pt idx="9">
                  <c:v>755.38070816865002</c:v>
                </c:pt>
                <c:pt idx="10">
                  <c:v>750.47916007904996</c:v>
                </c:pt>
                <c:pt idx="11">
                  <c:v>780.56331357048998</c:v>
                </c:pt>
                <c:pt idx="12">
                  <c:v>811.24853488555993</c:v>
                </c:pt>
                <c:pt idx="13">
                  <c:v>830.23921457987001</c:v>
                </c:pt>
                <c:pt idx="14">
                  <c:v>817.36519973317002</c:v>
                </c:pt>
                <c:pt idx="15">
                  <c:v>817.58876811593996</c:v>
                </c:pt>
                <c:pt idx="16">
                  <c:v>825.86956521740001</c:v>
                </c:pt>
                <c:pt idx="17">
                  <c:v>823.36408948555004</c:v>
                </c:pt>
                <c:pt idx="18">
                  <c:v>817.56545817281994</c:v>
                </c:pt>
                <c:pt idx="19">
                  <c:v>831.86225933566004</c:v>
                </c:pt>
                <c:pt idx="20">
                  <c:v>841.91933777636996</c:v>
                </c:pt>
                <c:pt idx="21">
                  <c:v>825.20408622462992</c:v>
                </c:pt>
                <c:pt idx="22">
                  <c:v>819.18530546717989</c:v>
                </c:pt>
                <c:pt idx="23">
                  <c:v>814.75515739758998</c:v>
                </c:pt>
                <c:pt idx="24">
                  <c:v>822.21704518676006</c:v>
                </c:pt>
                <c:pt idx="25">
                  <c:v>805.96155639998995</c:v>
                </c:pt>
                <c:pt idx="26">
                  <c:v>798.05550400612992</c:v>
                </c:pt>
                <c:pt idx="27">
                  <c:v>787.36038205491002</c:v>
                </c:pt>
                <c:pt idx="28">
                  <c:v>791.77372746553999</c:v>
                </c:pt>
                <c:pt idx="29">
                  <c:v>782.21802953535996</c:v>
                </c:pt>
                <c:pt idx="30">
                  <c:v>805.74048790307006</c:v>
                </c:pt>
                <c:pt idx="31">
                  <c:v>809.19790598121995</c:v>
                </c:pt>
                <c:pt idx="32">
                  <c:v>816.75815710565996</c:v>
                </c:pt>
                <c:pt idx="33">
                  <c:v>817.50814559826006</c:v>
                </c:pt>
                <c:pt idx="34">
                  <c:v>809.95270056228992</c:v>
                </c:pt>
                <c:pt idx="35">
                  <c:v>819.89529381483999</c:v>
                </c:pt>
                <c:pt idx="36">
                  <c:v>803.3998030015</c:v>
                </c:pt>
                <c:pt idx="37">
                  <c:v>808.89620951136999</c:v>
                </c:pt>
                <c:pt idx="38">
                  <c:v>814.68300071275996</c:v>
                </c:pt>
                <c:pt idx="39">
                  <c:v>813.84804387424003</c:v>
                </c:pt>
                <c:pt idx="40">
                  <c:v>800.2536776352199</c:v>
                </c:pt>
                <c:pt idx="41">
                  <c:v>805.93138215728004</c:v>
                </c:pt>
                <c:pt idx="42">
                  <c:v>792.87376772317998</c:v>
                </c:pt>
                <c:pt idx="43">
                  <c:v>782.66866792234998</c:v>
                </c:pt>
                <c:pt idx="44">
                  <c:v>780.80042379533006</c:v>
                </c:pt>
                <c:pt idx="45">
                  <c:v>778.72549769789998</c:v>
                </c:pt>
                <c:pt idx="46">
                  <c:v>805.05475657928991</c:v>
                </c:pt>
                <c:pt idx="47">
                  <c:v>799.97170210515003</c:v>
                </c:pt>
                <c:pt idx="48">
                  <c:v>784.48805273458004</c:v>
                </c:pt>
                <c:pt idx="49">
                  <c:v>778.67290807150994</c:v>
                </c:pt>
                <c:pt idx="50">
                  <c:v>740.42122871047002</c:v>
                </c:pt>
                <c:pt idx="51">
                  <c:v>785.98764099284995</c:v>
                </c:pt>
                <c:pt idx="52">
                  <c:v>801.58279887205993</c:v>
                </c:pt>
                <c:pt idx="53">
                  <c:v>815.92314659978001</c:v>
                </c:pt>
                <c:pt idx="54">
                  <c:v>814.30553359683006</c:v>
                </c:pt>
                <c:pt idx="55">
                  <c:v>819.85854235075999</c:v>
                </c:pt>
                <c:pt idx="56">
                  <c:v>819.97500445068999</c:v>
                </c:pt>
                <c:pt idx="57">
                  <c:v>820.00763457556002</c:v>
                </c:pt>
                <c:pt idx="58">
                  <c:v>827.29181667128</c:v>
                </c:pt>
                <c:pt idx="59">
                  <c:v>788.90187637641998</c:v>
                </c:pt>
                <c:pt idx="60">
                  <c:v>797.74746887816002</c:v>
                </c:pt>
                <c:pt idx="61">
                  <c:v>787.05146477033998</c:v>
                </c:pt>
                <c:pt idx="62">
                  <c:v>785.64450060001991</c:v>
                </c:pt>
                <c:pt idx="63">
                  <c:v>812.40894511759996</c:v>
                </c:pt>
                <c:pt idx="64">
                  <c:v>820.11140314405998</c:v>
                </c:pt>
                <c:pt idx="65">
                  <c:v>820.73416092499997</c:v>
                </c:pt>
                <c:pt idx="66">
                  <c:v>792.66695374990002</c:v>
                </c:pt>
                <c:pt idx="67">
                  <c:v>796.2873703175801</c:v>
                </c:pt>
                <c:pt idx="68">
                  <c:v>813.09399006097999</c:v>
                </c:pt>
                <c:pt idx="69">
                  <c:v>812.74553536073006</c:v>
                </c:pt>
                <c:pt idx="70">
                  <c:v>805.84224281301999</c:v>
                </c:pt>
                <c:pt idx="71">
                  <c:v>792.84477150112002</c:v>
                </c:pt>
                <c:pt idx="72">
                  <c:v>798.36742304029997</c:v>
                </c:pt>
                <c:pt idx="73">
                  <c:v>803.14902015232997</c:v>
                </c:pt>
                <c:pt idx="74">
                  <c:v>817.84103015174003</c:v>
                </c:pt>
                <c:pt idx="75">
                  <c:v>819.50878770605004</c:v>
                </c:pt>
                <c:pt idx="76">
                  <c:v>790.65334506119996</c:v>
                </c:pt>
                <c:pt idx="77">
                  <c:v>811.88080979415008</c:v>
                </c:pt>
                <c:pt idx="78">
                  <c:v>828.05550185433992</c:v>
                </c:pt>
                <c:pt idx="79">
                  <c:v>829.84410755147996</c:v>
                </c:pt>
                <c:pt idx="80">
                  <c:v>812.15583819931999</c:v>
                </c:pt>
                <c:pt idx="81">
                  <c:v>793.72555498565998</c:v>
                </c:pt>
                <c:pt idx="82">
                  <c:v>809.13987085404995</c:v>
                </c:pt>
                <c:pt idx="83">
                  <c:v>827.02437596991001</c:v>
                </c:pt>
                <c:pt idx="84">
                  <c:v>825.9351785363001</c:v>
                </c:pt>
                <c:pt idx="85">
                  <c:v>820.70309974771999</c:v>
                </c:pt>
                <c:pt idx="86">
                  <c:v>827.11150584046004</c:v>
                </c:pt>
                <c:pt idx="87">
                  <c:v>809.07259269843996</c:v>
                </c:pt>
                <c:pt idx="88">
                  <c:v>817.16408919524008</c:v>
                </c:pt>
                <c:pt idx="89">
                  <c:v>803.49421632990004</c:v>
                </c:pt>
                <c:pt idx="90">
                  <c:v>780.58939054433006</c:v>
                </c:pt>
                <c:pt idx="91">
                  <c:v>783.49728260869006</c:v>
                </c:pt>
                <c:pt idx="92">
                  <c:v>777.04528985507</c:v>
                </c:pt>
                <c:pt idx="93">
                  <c:v>777.09782608696003</c:v>
                </c:pt>
                <c:pt idx="94">
                  <c:v>786.99365942028999</c:v>
                </c:pt>
                <c:pt idx="95">
                  <c:v>783.82699275362006</c:v>
                </c:pt>
                <c:pt idx="96">
                  <c:v>778.46014492754</c:v>
                </c:pt>
                <c:pt idx="97">
                  <c:v>782.98007246377006</c:v>
                </c:pt>
                <c:pt idx="98">
                  <c:v>779.09963768115995</c:v>
                </c:pt>
                <c:pt idx="99">
                  <c:v>776.85235507246</c:v>
                </c:pt>
                <c:pt idx="100">
                  <c:v>779.04710144927003</c:v>
                </c:pt>
                <c:pt idx="101">
                  <c:v>777.12862318841007</c:v>
                </c:pt>
                <c:pt idx="102">
                  <c:v>767.47644927535998</c:v>
                </c:pt>
                <c:pt idx="103">
                  <c:v>767.92300724638005</c:v>
                </c:pt>
                <c:pt idx="104">
                  <c:v>770.62318840579997</c:v>
                </c:pt>
                <c:pt idx="105">
                  <c:v>756.50543478261</c:v>
                </c:pt>
                <c:pt idx="106">
                  <c:v>772.55136238442003</c:v>
                </c:pt>
                <c:pt idx="107">
                  <c:v>781.16408207095992</c:v>
                </c:pt>
                <c:pt idx="108">
                  <c:v>781.77051445996995</c:v>
                </c:pt>
                <c:pt idx="109">
                  <c:v>781.64330693816009</c:v>
                </c:pt>
                <c:pt idx="110">
                  <c:v>777.10146075151999</c:v>
                </c:pt>
                <c:pt idx="111">
                  <c:v>779.35844481605</c:v>
                </c:pt>
                <c:pt idx="112">
                  <c:v>763.04269542266002</c:v>
                </c:pt>
                <c:pt idx="113">
                  <c:v>769.38318906157997</c:v>
                </c:pt>
                <c:pt idx="114">
                  <c:v>777.64905157714998</c:v>
                </c:pt>
                <c:pt idx="115">
                  <c:v>777.15858007083</c:v>
                </c:pt>
                <c:pt idx="116">
                  <c:v>774.08704177323</c:v>
                </c:pt>
                <c:pt idx="117">
                  <c:v>752.85781772575001</c:v>
                </c:pt>
                <c:pt idx="118">
                  <c:v>754.41758393992995</c:v>
                </c:pt>
                <c:pt idx="119">
                  <c:v>769.67148255622999</c:v>
                </c:pt>
                <c:pt idx="120">
                  <c:v>770.51935126893</c:v>
                </c:pt>
                <c:pt idx="121">
                  <c:v>767.27964128795998</c:v>
                </c:pt>
                <c:pt idx="122">
                  <c:v>764.32452783789006</c:v>
                </c:pt>
                <c:pt idx="123">
                  <c:v>771.86846678470988</c:v>
                </c:pt>
                <c:pt idx="124">
                  <c:v>777.29837940191999</c:v>
                </c:pt>
                <c:pt idx="125">
                  <c:v>773.66495180010998</c:v>
                </c:pt>
                <c:pt idx="126">
                  <c:v>764.24674322906003</c:v>
                </c:pt>
                <c:pt idx="127">
                  <c:v>746.82423847464997</c:v>
                </c:pt>
                <c:pt idx="128">
                  <c:v>762.68088481210998</c:v>
                </c:pt>
                <c:pt idx="129">
                  <c:v>772.82420568561997</c:v>
                </c:pt>
                <c:pt idx="130">
                  <c:v>760.87611690428002</c:v>
                </c:pt>
                <c:pt idx="131">
                  <c:v>757.61680609560005</c:v>
                </c:pt>
                <c:pt idx="132">
                  <c:v>760.81562978672991</c:v>
                </c:pt>
                <c:pt idx="133">
                  <c:v>772.32797710223997</c:v>
                </c:pt>
                <c:pt idx="134">
                  <c:v>745.47038362594003</c:v>
                </c:pt>
                <c:pt idx="135">
                  <c:v>743.35824889045989</c:v>
                </c:pt>
                <c:pt idx="136">
                  <c:v>755.64686186716995</c:v>
                </c:pt>
                <c:pt idx="137">
                  <c:v>764.75240073052998</c:v>
                </c:pt>
                <c:pt idx="138">
                  <c:v>771.01348876713007</c:v>
                </c:pt>
                <c:pt idx="139">
                  <c:v>737.58460488591004</c:v>
                </c:pt>
                <c:pt idx="140">
                  <c:v>747.29006617965001</c:v>
                </c:pt>
                <c:pt idx="141">
                  <c:v>769.77032765799004</c:v>
                </c:pt>
                <c:pt idx="142">
                  <c:v>762.56892158594997</c:v>
                </c:pt>
                <c:pt idx="143">
                  <c:v>763.49681129963005</c:v>
                </c:pt>
                <c:pt idx="144">
                  <c:v>763.88765906680999</c:v>
                </c:pt>
                <c:pt idx="145">
                  <c:v>736.21320107222994</c:v>
                </c:pt>
                <c:pt idx="146">
                  <c:v>742.81978074309995</c:v>
                </c:pt>
                <c:pt idx="147">
                  <c:v>758.61290797690992</c:v>
                </c:pt>
                <c:pt idx="148">
                  <c:v>763.65858813479997</c:v>
                </c:pt>
                <c:pt idx="149">
                  <c:v>762.78267497348997</c:v>
                </c:pt>
                <c:pt idx="150">
                  <c:v>752.70808295039001</c:v>
                </c:pt>
                <c:pt idx="151">
                  <c:v>764.05896518204008</c:v>
                </c:pt>
                <c:pt idx="152">
                  <c:v>745.50486773888997</c:v>
                </c:pt>
                <c:pt idx="153">
                  <c:v>726.85852873021008</c:v>
                </c:pt>
                <c:pt idx="154">
                  <c:v>748.80157397588005</c:v>
                </c:pt>
                <c:pt idx="155">
                  <c:v>755.81417412906001</c:v>
                </c:pt>
                <c:pt idx="156">
                  <c:v>758.1957209064899</c:v>
                </c:pt>
                <c:pt idx="157">
                  <c:v>749.43289737245004</c:v>
                </c:pt>
                <c:pt idx="158">
                  <c:v>731.78952859275</c:v>
                </c:pt>
                <c:pt idx="159">
                  <c:v>755.08689515338006</c:v>
                </c:pt>
                <c:pt idx="160">
                  <c:v>734.90383085895996</c:v>
                </c:pt>
                <c:pt idx="161">
                  <c:v>732.53763599231002</c:v>
                </c:pt>
                <c:pt idx="162">
                  <c:v>719.78536045324995</c:v>
                </c:pt>
                <c:pt idx="163">
                  <c:v>736.90591738345006</c:v>
                </c:pt>
                <c:pt idx="164">
                  <c:v>742.82288107300997</c:v>
                </c:pt>
                <c:pt idx="165">
                  <c:v>724.99016878755992</c:v>
                </c:pt>
                <c:pt idx="166">
                  <c:v>736.17118828797004</c:v>
                </c:pt>
                <c:pt idx="167">
                  <c:v>733.51858970582998</c:v>
                </c:pt>
                <c:pt idx="168">
                  <c:v>705.13077108126004</c:v>
                </c:pt>
                <c:pt idx="169">
                  <c:v>703.32495286909989</c:v>
                </c:pt>
                <c:pt idx="170">
                  <c:v>710.02865657279995</c:v>
                </c:pt>
                <c:pt idx="171">
                  <c:v>729.08386601075995</c:v>
                </c:pt>
                <c:pt idx="172">
                  <c:v>745.52869830328996</c:v>
                </c:pt>
                <c:pt idx="173">
                  <c:v>756.89106132909001</c:v>
                </c:pt>
                <c:pt idx="174">
                  <c:v>755.34551618162004</c:v>
                </c:pt>
                <c:pt idx="175">
                  <c:v>757.65127057068003</c:v>
                </c:pt>
                <c:pt idx="176">
                  <c:v>751.33942598483998</c:v>
                </c:pt>
                <c:pt idx="177">
                  <c:v>759.37033354934999</c:v>
                </c:pt>
                <c:pt idx="178">
                  <c:v>750.19655797100995</c:v>
                </c:pt>
                <c:pt idx="179">
                  <c:v>743.31856810416002</c:v>
                </c:pt>
                <c:pt idx="180">
                  <c:v>751.71626212639001</c:v>
                </c:pt>
                <c:pt idx="181">
                  <c:v>714.18617198853008</c:v>
                </c:pt>
                <c:pt idx="182">
                  <c:v>715.96265366639</c:v>
                </c:pt>
                <c:pt idx="183">
                  <c:v>736.45247879110002</c:v>
                </c:pt>
                <c:pt idx="184">
                  <c:v>735.72234986843</c:v>
                </c:pt>
                <c:pt idx="185">
                  <c:v>752.45686785672001</c:v>
                </c:pt>
                <c:pt idx="186">
                  <c:v>747.20307529161994</c:v>
                </c:pt>
                <c:pt idx="187">
                  <c:v>712.73229890813002</c:v>
                </c:pt>
                <c:pt idx="188">
                  <c:v>718.66932514433995</c:v>
                </c:pt>
                <c:pt idx="189">
                  <c:v>728.41690968540001</c:v>
                </c:pt>
                <c:pt idx="190">
                  <c:v>747.25163976278009</c:v>
                </c:pt>
                <c:pt idx="191">
                  <c:v>746.24262843172005</c:v>
                </c:pt>
                <c:pt idx="192">
                  <c:v>745.13175052039992</c:v>
                </c:pt>
                <c:pt idx="193">
                  <c:v>748.8050228781301</c:v>
                </c:pt>
                <c:pt idx="194">
                  <c:v>751.21522868307989</c:v>
                </c:pt>
                <c:pt idx="195">
                  <c:v>747.42743804249994</c:v>
                </c:pt>
                <c:pt idx="196">
                  <c:v>754.80962796041001</c:v>
                </c:pt>
                <c:pt idx="197">
                  <c:v>756.58425385884993</c:v>
                </c:pt>
                <c:pt idx="198">
                  <c:v>726.70224068182006</c:v>
                </c:pt>
                <c:pt idx="199">
                  <c:v>740.71826518990008</c:v>
                </c:pt>
                <c:pt idx="200">
                  <c:v>744.87814942461</c:v>
                </c:pt>
                <c:pt idx="201">
                  <c:v>746.26554338008009</c:v>
                </c:pt>
                <c:pt idx="202">
                  <c:v>714.93876664310005</c:v>
                </c:pt>
                <c:pt idx="203">
                  <c:v>715.56008945054009</c:v>
                </c:pt>
                <c:pt idx="204">
                  <c:v>690.65006284121</c:v>
                </c:pt>
                <c:pt idx="205">
                  <c:v>698.68341286673001</c:v>
                </c:pt>
                <c:pt idx="206">
                  <c:v>718.22977789559991</c:v>
                </c:pt>
                <c:pt idx="207">
                  <c:v>720.59976287263009</c:v>
                </c:pt>
                <c:pt idx="208">
                  <c:v>721.78745679666997</c:v>
                </c:pt>
                <c:pt idx="209">
                  <c:v>728.22175091316001</c:v>
                </c:pt>
                <c:pt idx="210">
                  <c:v>738.86130994461996</c:v>
                </c:pt>
                <c:pt idx="211">
                  <c:v>729.19417442362999</c:v>
                </c:pt>
                <c:pt idx="212">
                  <c:v>734.02950345627005</c:v>
                </c:pt>
                <c:pt idx="213">
                  <c:v>733.64501099720997</c:v>
                </c:pt>
                <c:pt idx="214">
                  <c:v>740.58094242174002</c:v>
                </c:pt>
                <c:pt idx="215">
                  <c:v>729.32587584933992</c:v>
                </c:pt>
                <c:pt idx="216">
                  <c:v>698.67909253367998</c:v>
                </c:pt>
                <c:pt idx="217">
                  <c:v>688.59959840541001</c:v>
                </c:pt>
                <c:pt idx="218">
                  <c:v>709.68818732571992</c:v>
                </c:pt>
                <c:pt idx="219">
                  <c:v>733.72828296217995</c:v>
                </c:pt>
                <c:pt idx="220">
                  <c:v>689.61912091041006</c:v>
                </c:pt>
                <c:pt idx="221">
                  <c:v>716.25845410627994</c:v>
                </c:pt>
                <c:pt idx="222">
                  <c:v>732.77781950826</c:v>
                </c:pt>
                <c:pt idx="223">
                  <c:v>736.91344605475001</c:v>
                </c:pt>
                <c:pt idx="224">
                  <c:v>744.08100133538005</c:v>
                </c:pt>
                <c:pt idx="225">
                  <c:v>741.21273712738002</c:v>
                </c:pt>
                <c:pt idx="226">
                  <c:v>738.66239788304006</c:v>
                </c:pt>
                <c:pt idx="227">
                  <c:v>718.43835915714999</c:v>
                </c:pt>
                <c:pt idx="228">
                  <c:v>713.04821589882999</c:v>
                </c:pt>
                <c:pt idx="229">
                  <c:v>733.17431316523005</c:v>
                </c:pt>
                <c:pt idx="230">
                  <c:v>734.68777247554999</c:v>
                </c:pt>
                <c:pt idx="231">
                  <c:v>724.45738826047</c:v>
                </c:pt>
                <c:pt idx="232">
                  <c:v>730.34943884765005</c:v>
                </c:pt>
                <c:pt idx="233">
                  <c:v>717.20321275675997</c:v>
                </c:pt>
                <c:pt idx="234">
                  <c:v>692.65779034601996</c:v>
                </c:pt>
                <c:pt idx="235">
                  <c:v>706.49288126939007</c:v>
                </c:pt>
                <c:pt idx="236">
                  <c:v>724.64122579631999</c:v>
                </c:pt>
                <c:pt idx="237">
                  <c:v>728.77495728760994</c:v>
                </c:pt>
                <c:pt idx="238">
                  <c:v>702.81416921958999</c:v>
                </c:pt>
                <c:pt idx="239">
                  <c:v>700.63206227170997</c:v>
                </c:pt>
                <c:pt idx="240">
                  <c:v>706.11008748674999</c:v>
                </c:pt>
                <c:pt idx="241">
                  <c:v>727.16245679667009</c:v>
                </c:pt>
                <c:pt idx="242">
                  <c:v>736.55447547228994</c:v>
                </c:pt>
                <c:pt idx="243">
                  <c:v>740.64119633949997</c:v>
                </c:pt>
                <c:pt idx="244">
                  <c:v>741.11507305290991</c:v>
                </c:pt>
                <c:pt idx="245">
                  <c:v>720.93002042340004</c:v>
                </c:pt>
                <c:pt idx="246">
                  <c:v>716.31865401987</c:v>
                </c:pt>
                <c:pt idx="247">
                  <c:v>739.43831988139004</c:v>
                </c:pt>
                <c:pt idx="248">
                  <c:v>738.26671183377994</c:v>
                </c:pt>
                <c:pt idx="249">
                  <c:v>738.19324407917998</c:v>
                </c:pt>
                <c:pt idx="250">
                  <c:v>728.08211823966008</c:v>
                </c:pt>
                <c:pt idx="251">
                  <c:v>727.15210027099999</c:v>
                </c:pt>
                <c:pt idx="252">
                  <c:v>705.0666460468899</c:v>
                </c:pt>
                <c:pt idx="253">
                  <c:v>690.60061466556999</c:v>
                </c:pt>
                <c:pt idx="254">
                  <c:v>690.67645123914997</c:v>
                </c:pt>
                <c:pt idx="255">
                  <c:v>692.87048328817002</c:v>
                </c:pt>
                <c:pt idx="256">
                  <c:v>688.70627626565999</c:v>
                </c:pt>
                <c:pt idx="257">
                  <c:v>686.29732237540009</c:v>
                </c:pt>
                <c:pt idx="258">
                  <c:v>703.03634234712001</c:v>
                </c:pt>
                <c:pt idx="259">
                  <c:v>701.72426456148003</c:v>
                </c:pt>
                <c:pt idx="260">
                  <c:v>689.0271420014999</c:v>
                </c:pt>
                <c:pt idx="261">
                  <c:v>698.28666637209994</c:v>
                </c:pt>
                <c:pt idx="262">
                  <c:v>706.18990073052998</c:v>
                </c:pt>
                <c:pt idx="263">
                  <c:v>717.92785043793003</c:v>
                </c:pt>
                <c:pt idx="264">
                  <c:v>715.23545078747998</c:v>
                </c:pt>
                <c:pt idx="265">
                  <c:v>681.37206904676998</c:v>
                </c:pt>
                <c:pt idx="266">
                  <c:v>691.74784719768002</c:v>
                </c:pt>
                <c:pt idx="267">
                  <c:v>711.57933211577995</c:v>
                </c:pt>
                <c:pt idx="268">
                  <c:v>724.47330966969002</c:v>
                </c:pt>
                <c:pt idx="269">
                  <c:v>723.94532569419994</c:v>
                </c:pt>
                <c:pt idx="270">
                  <c:v>723.73707827658006</c:v>
                </c:pt>
                <c:pt idx="271">
                  <c:v>711.88250903341998</c:v>
                </c:pt>
                <c:pt idx="272">
                  <c:v>732.34428390479002</c:v>
                </c:pt>
                <c:pt idx="273">
                  <c:v>731.64296524885003</c:v>
                </c:pt>
                <c:pt idx="274">
                  <c:v>710.48176448620006</c:v>
                </c:pt>
                <c:pt idx="275">
                  <c:v>716.48353840710001</c:v>
                </c:pt>
                <c:pt idx="276">
                  <c:v>716.09354443483994</c:v>
                </c:pt>
                <c:pt idx="277">
                  <c:v>701.99050760771001</c:v>
                </c:pt>
                <c:pt idx="278">
                  <c:v>683.46972601075004</c:v>
                </c:pt>
                <c:pt idx="279">
                  <c:v>687.86818604711993</c:v>
                </c:pt>
                <c:pt idx="280">
                  <c:v>680.90652519447997</c:v>
                </c:pt>
                <c:pt idx="281">
                  <c:v>693.88418384472993</c:v>
                </c:pt>
                <c:pt idx="282">
                  <c:v>674.20623543814008</c:v>
                </c:pt>
                <c:pt idx="283">
                  <c:v>679.36730689491003</c:v>
                </c:pt>
                <c:pt idx="284">
                  <c:v>687.18683607787011</c:v>
                </c:pt>
                <c:pt idx="285">
                  <c:v>674.74020899972004</c:v>
                </c:pt>
                <c:pt idx="286">
                  <c:v>680.93979781226994</c:v>
                </c:pt>
                <c:pt idx="287">
                  <c:v>684.02927180824008</c:v>
                </c:pt>
                <c:pt idx="288">
                  <c:v>672.23268619436999</c:v>
                </c:pt>
                <c:pt idx="289">
                  <c:v>708.55480031402999</c:v>
                </c:pt>
                <c:pt idx="290">
                  <c:v>714.17057810056997</c:v>
                </c:pt>
                <c:pt idx="291">
                  <c:v>707.82538235641005</c:v>
                </c:pt>
                <c:pt idx="292">
                  <c:v>717.63410067405005</c:v>
                </c:pt>
                <c:pt idx="293">
                  <c:v>689.67643152108008</c:v>
                </c:pt>
                <c:pt idx="294">
                  <c:v>675.06846576711996</c:v>
                </c:pt>
                <c:pt idx="295">
                  <c:v>676.10349759331007</c:v>
                </c:pt>
                <c:pt idx="296">
                  <c:v>680.98733197998001</c:v>
                </c:pt>
                <c:pt idx="297">
                  <c:v>682.50967223777002</c:v>
                </c:pt>
                <c:pt idx="298">
                  <c:v>687.97097178972001</c:v>
                </c:pt>
                <c:pt idx="299">
                  <c:v>668.29285742441004</c:v>
                </c:pt>
                <c:pt idx="300">
                  <c:v>686.29193423275001</c:v>
                </c:pt>
                <c:pt idx="301">
                  <c:v>689.97760791013002</c:v>
                </c:pt>
                <c:pt idx="302">
                  <c:v>672.73060132444994</c:v>
                </c:pt>
                <c:pt idx="303">
                  <c:v>674.62579267568003</c:v>
                </c:pt>
                <c:pt idx="304">
                  <c:v>672.32246376810997</c:v>
                </c:pt>
                <c:pt idx="305">
                  <c:v>664.9882246376801</c:v>
                </c:pt>
                <c:pt idx="306">
                  <c:v>620.04981884057997</c:v>
                </c:pt>
                <c:pt idx="307">
                  <c:v>654.19497344312003</c:v>
                </c:pt>
                <c:pt idx="308">
                  <c:v>657.81911454013994</c:v>
                </c:pt>
                <c:pt idx="309">
                  <c:v>654.80606563203003</c:v>
                </c:pt>
                <c:pt idx="310">
                  <c:v>665.71376811594996</c:v>
                </c:pt>
                <c:pt idx="311">
                  <c:v>659.17481884057997</c:v>
                </c:pt>
                <c:pt idx="312">
                  <c:v>693.54763710066993</c:v>
                </c:pt>
                <c:pt idx="313">
                  <c:v>699.48206097783998</c:v>
                </c:pt>
                <c:pt idx="314">
                  <c:v>694.59566402084999</c:v>
                </c:pt>
                <c:pt idx="315">
                  <c:v>691.30532026221999</c:v>
                </c:pt>
                <c:pt idx="316">
                  <c:v>664.69708117512005</c:v>
                </c:pt>
                <c:pt idx="317">
                  <c:v>650.77813203056007</c:v>
                </c:pt>
                <c:pt idx="318">
                  <c:v>671.92709150840005</c:v>
                </c:pt>
                <c:pt idx="319">
                  <c:v>669.55620851497997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36-C746-A28A-B4707AB97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6E-844F-BDB6-DAAD7D18C896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'240807A004'!$A$2:$A$321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'240807A004'!$P$2:$P$321</c:f>
              <c:numCache>
                <c:formatCode>General</c:formatCode>
                <c:ptCount val="320"/>
                <c:pt idx="0">
                  <c:v>2.6761721040385327</c:v>
                </c:pt>
                <c:pt idx="1">
                  <c:v>3.4746397702479328</c:v>
                </c:pt>
                <c:pt idx="2">
                  <c:v>4.6711545902225611</c:v>
                </c:pt>
                <c:pt idx="3">
                  <c:v>4.8135798875654174</c:v>
                </c:pt>
                <c:pt idx="4">
                  <c:v>4.3757260654497507</c:v>
                </c:pt>
                <c:pt idx="5">
                  <c:v>4.2192278348743981</c:v>
                </c:pt>
                <c:pt idx="6">
                  <c:v>-0.31595306524452921</c:v>
                </c:pt>
                <c:pt idx="7">
                  <c:v>-3.7657740026681874</c:v>
                </c:pt>
                <c:pt idx="8">
                  <c:v>-4.2499159935157103</c:v>
                </c:pt>
                <c:pt idx="9">
                  <c:v>-2.7892075754483052</c:v>
                </c:pt>
                <c:pt idx="10">
                  <c:v>-2.1313126787628236</c:v>
                </c:pt>
                <c:pt idx="11">
                  <c:v>-1.0533095010066436</c:v>
                </c:pt>
                <c:pt idx="12">
                  <c:v>-1.2306193699784596</c:v>
                </c:pt>
                <c:pt idx="13">
                  <c:v>5.8912549311574067E-2</c:v>
                </c:pt>
                <c:pt idx="14">
                  <c:v>-0.11906445980147287</c:v>
                </c:pt>
                <c:pt idx="15">
                  <c:v>0.88929202378007621</c:v>
                </c:pt>
                <c:pt idx="16">
                  <c:v>2.0982203702494364</c:v>
                </c:pt>
                <c:pt idx="17">
                  <c:v>1.7477583625781743</c:v>
                </c:pt>
                <c:pt idx="18">
                  <c:v>2.8404731528448508</c:v>
                </c:pt>
                <c:pt idx="19">
                  <c:v>2.141682843811811</c:v>
                </c:pt>
                <c:pt idx="20">
                  <c:v>2.3209273668874779</c:v>
                </c:pt>
                <c:pt idx="21">
                  <c:v>1.9817180507515919</c:v>
                </c:pt>
                <c:pt idx="22">
                  <c:v>2.2376083142814336</c:v>
                </c:pt>
                <c:pt idx="23">
                  <c:v>3.4225431231670038</c:v>
                </c:pt>
                <c:pt idx="24">
                  <c:v>2.5239433911080966</c:v>
                </c:pt>
                <c:pt idx="25">
                  <c:v>3.9256753166910352</c:v>
                </c:pt>
                <c:pt idx="26">
                  <c:v>2.482621897432038</c:v>
                </c:pt>
                <c:pt idx="27">
                  <c:v>3.4803269276100535</c:v>
                </c:pt>
                <c:pt idx="28">
                  <c:v>3.3331316805429814</c:v>
                </c:pt>
                <c:pt idx="29">
                  <c:v>3.0838873992252998</c:v>
                </c:pt>
                <c:pt idx="30">
                  <c:v>3.4953251825707694</c:v>
                </c:pt>
                <c:pt idx="31">
                  <c:v>3.7208968623347225</c:v>
                </c:pt>
                <c:pt idx="32">
                  <c:v>2.3440566266138418</c:v>
                </c:pt>
                <c:pt idx="33">
                  <c:v>2.981526067190011</c:v>
                </c:pt>
                <c:pt idx="34">
                  <c:v>2.2424492497468425</c:v>
                </c:pt>
                <c:pt idx="35">
                  <c:v>1.7592020348978676</c:v>
                </c:pt>
                <c:pt idx="36">
                  <c:v>2.7982691178381129</c:v>
                </c:pt>
                <c:pt idx="37">
                  <c:v>2.8289149018867468</c:v>
                </c:pt>
                <c:pt idx="38">
                  <c:v>2.7568311300311583</c:v>
                </c:pt>
                <c:pt idx="39">
                  <c:v>3.408715638928935</c:v>
                </c:pt>
                <c:pt idx="40">
                  <c:v>2.7525850704150949</c:v>
                </c:pt>
                <c:pt idx="41">
                  <c:v>1.9504145168194154</c:v>
                </c:pt>
                <c:pt idx="42">
                  <c:v>1.9452185060544385</c:v>
                </c:pt>
                <c:pt idx="43">
                  <c:v>1.9521456716426311</c:v>
                </c:pt>
                <c:pt idx="44">
                  <c:v>1.8966737594750114</c:v>
                </c:pt>
                <c:pt idx="45">
                  <c:v>1.4041990158962232</c:v>
                </c:pt>
                <c:pt idx="46">
                  <c:v>3.5110423460456355</c:v>
                </c:pt>
                <c:pt idx="47">
                  <c:v>1.9479120702886557</c:v>
                </c:pt>
                <c:pt idx="48">
                  <c:v>2.8272221930714143</c:v>
                </c:pt>
                <c:pt idx="49">
                  <c:v>3.6960486034122186</c:v>
                </c:pt>
                <c:pt idx="50">
                  <c:v>3.82986337124823</c:v>
                </c:pt>
                <c:pt idx="51">
                  <c:v>4.3346719351497693</c:v>
                </c:pt>
                <c:pt idx="52">
                  <c:v>3.7417988435261735</c:v>
                </c:pt>
                <c:pt idx="53">
                  <c:v>1.5300148487561729</c:v>
                </c:pt>
                <c:pt idx="54">
                  <c:v>1.9458367469801598</c:v>
                </c:pt>
                <c:pt idx="55">
                  <c:v>0.91201175824471814</c:v>
                </c:pt>
                <c:pt idx="56">
                  <c:v>1.4689317523182259</c:v>
                </c:pt>
                <c:pt idx="57">
                  <c:v>2.395460267762977</c:v>
                </c:pt>
                <c:pt idx="58">
                  <c:v>3.0918154696539597</c:v>
                </c:pt>
                <c:pt idx="59">
                  <c:v>3.0659827691410264</c:v>
                </c:pt>
                <c:pt idx="60">
                  <c:v>2.9146381389789973</c:v>
                </c:pt>
                <c:pt idx="61">
                  <c:v>3.4933462853516466</c:v>
                </c:pt>
                <c:pt idx="62">
                  <c:v>4.2060983792503865</c:v>
                </c:pt>
                <c:pt idx="63">
                  <c:v>2.093294116021716</c:v>
                </c:pt>
                <c:pt idx="64">
                  <c:v>0.20155025398932341</c:v>
                </c:pt>
                <c:pt idx="65">
                  <c:v>1.3736429090671265</c:v>
                </c:pt>
                <c:pt idx="66">
                  <c:v>-1.0476860259596015</c:v>
                </c:pt>
                <c:pt idx="67">
                  <c:v>-0.84703179631988523</c:v>
                </c:pt>
                <c:pt idx="68">
                  <c:v>1.3139689494254791</c:v>
                </c:pt>
                <c:pt idx="69">
                  <c:v>0.8750414958062197</c:v>
                </c:pt>
                <c:pt idx="70">
                  <c:v>3.4837948755493384</c:v>
                </c:pt>
                <c:pt idx="71">
                  <c:v>0.10382214711237982</c:v>
                </c:pt>
                <c:pt idx="72">
                  <c:v>1.0426521092223779</c:v>
                </c:pt>
                <c:pt idx="73">
                  <c:v>0.68242905009041166</c:v>
                </c:pt>
                <c:pt idx="74">
                  <c:v>-1.7426271296782931</c:v>
                </c:pt>
                <c:pt idx="75">
                  <c:v>-1.7287928191171635</c:v>
                </c:pt>
                <c:pt idx="76">
                  <c:v>-3.8960026558857894</c:v>
                </c:pt>
                <c:pt idx="77">
                  <c:v>-3.6057819669795883</c:v>
                </c:pt>
                <c:pt idx="78">
                  <c:v>-4.0576417422397748</c:v>
                </c:pt>
                <c:pt idx="79">
                  <c:v>-4.8587145736851252</c:v>
                </c:pt>
                <c:pt idx="80">
                  <c:v>-3.5807737989163613</c:v>
                </c:pt>
                <c:pt idx="81">
                  <c:v>-2.1712474813876259</c:v>
                </c:pt>
                <c:pt idx="82">
                  <c:v>-0.79631938667964541</c:v>
                </c:pt>
                <c:pt idx="83">
                  <c:v>-0.90084297806461089</c:v>
                </c:pt>
                <c:pt idx="84">
                  <c:v>-1.439535802689534</c:v>
                </c:pt>
                <c:pt idx="85">
                  <c:v>0.19399616799676359</c:v>
                </c:pt>
                <c:pt idx="86">
                  <c:v>2.507213397364088</c:v>
                </c:pt>
                <c:pt idx="87">
                  <c:v>2.8579429968779082</c:v>
                </c:pt>
                <c:pt idx="88">
                  <c:v>2.1331825488040268</c:v>
                </c:pt>
                <c:pt idx="89">
                  <c:v>1.8477392971354714</c:v>
                </c:pt>
                <c:pt idx="90">
                  <c:v>3.5915179890870674</c:v>
                </c:pt>
                <c:pt idx="91">
                  <c:v>5.404836033954628</c:v>
                </c:pt>
                <c:pt idx="92">
                  <c:v>6.0490619694558641</c:v>
                </c:pt>
                <c:pt idx="93">
                  <c:v>6.7360539791334562</c:v>
                </c:pt>
                <c:pt idx="94">
                  <c:v>5.2402451971790871</c:v>
                </c:pt>
                <c:pt idx="95">
                  <c:v>5.1534719453340232</c:v>
                </c:pt>
                <c:pt idx="96">
                  <c:v>6.5653714580679994</c:v>
                </c:pt>
                <c:pt idx="97">
                  <c:v>5.9590762445185632</c:v>
                </c:pt>
                <c:pt idx="98">
                  <c:v>7.2042540377874955</c:v>
                </c:pt>
                <c:pt idx="99">
                  <c:v>6.4504036932151649</c:v>
                </c:pt>
                <c:pt idx="100">
                  <c:v>6.1829652729496596</c:v>
                </c:pt>
                <c:pt idx="101">
                  <c:v>6.745421976280916</c:v>
                </c:pt>
                <c:pt idx="102">
                  <c:v>6.769666420851145</c:v>
                </c:pt>
                <c:pt idx="103">
                  <c:v>7.4550039799643324</c:v>
                </c:pt>
                <c:pt idx="104">
                  <c:v>5.5685427143433079</c:v>
                </c:pt>
                <c:pt idx="105">
                  <c:v>6.9115809109241395</c:v>
                </c:pt>
                <c:pt idx="106">
                  <c:v>6.3766061222793535</c:v>
                </c:pt>
                <c:pt idx="107">
                  <c:v>8.4801395462281679</c:v>
                </c:pt>
                <c:pt idx="108">
                  <c:v>10.084930226233482</c:v>
                </c:pt>
                <c:pt idx="109">
                  <c:v>9.7841582674209775</c:v>
                </c:pt>
                <c:pt idx="110">
                  <c:v>10.135182591062453</c:v>
                </c:pt>
                <c:pt idx="111">
                  <c:v>10.138245941612425</c:v>
                </c:pt>
                <c:pt idx="112">
                  <c:v>10.27014104055951</c:v>
                </c:pt>
                <c:pt idx="113">
                  <c:v>10.907645638456525</c:v>
                </c:pt>
                <c:pt idx="114">
                  <c:v>11.849605663594829</c:v>
                </c:pt>
                <c:pt idx="115">
                  <c:v>12.081537585604016</c:v>
                </c:pt>
                <c:pt idx="116">
                  <c:v>12.740536514393588</c:v>
                </c:pt>
                <c:pt idx="117">
                  <c:v>12.934790571621733</c:v>
                </c:pt>
                <c:pt idx="118">
                  <c:v>11.552458602143087</c:v>
                </c:pt>
                <c:pt idx="119">
                  <c:v>11.807098327430127</c:v>
                </c:pt>
                <c:pt idx="120">
                  <c:v>12.59790826850069</c:v>
                </c:pt>
                <c:pt idx="121">
                  <c:v>11.999980784186889</c:v>
                </c:pt>
                <c:pt idx="122">
                  <c:v>11.855932014951849</c:v>
                </c:pt>
                <c:pt idx="123">
                  <c:v>12.526772790079734</c:v>
                </c:pt>
                <c:pt idx="124">
                  <c:v>13.858366719056384</c:v>
                </c:pt>
                <c:pt idx="125">
                  <c:v>15.193963476552685</c:v>
                </c:pt>
                <c:pt idx="126">
                  <c:v>13.863088817841646</c:v>
                </c:pt>
                <c:pt idx="127">
                  <c:v>13.116973523908424</c:v>
                </c:pt>
                <c:pt idx="128">
                  <c:v>13.637295485757567</c:v>
                </c:pt>
                <c:pt idx="129">
                  <c:v>15.201150806542755</c:v>
                </c:pt>
                <c:pt idx="130">
                  <c:v>14.794317466775523</c:v>
                </c:pt>
                <c:pt idx="131">
                  <c:v>15.882536413073762</c:v>
                </c:pt>
                <c:pt idx="132">
                  <c:v>16.283184014310454</c:v>
                </c:pt>
                <c:pt idx="133">
                  <c:v>16.93819693250915</c:v>
                </c:pt>
                <c:pt idx="134">
                  <c:v>15.42767307253162</c:v>
                </c:pt>
                <c:pt idx="135">
                  <c:v>14.691718813533367</c:v>
                </c:pt>
                <c:pt idx="136">
                  <c:v>15.372374694583682</c:v>
                </c:pt>
                <c:pt idx="137">
                  <c:v>16.047240050059241</c:v>
                </c:pt>
                <c:pt idx="138">
                  <c:v>16.99081500073661</c:v>
                </c:pt>
                <c:pt idx="139">
                  <c:v>16.440640495238206</c:v>
                </c:pt>
                <c:pt idx="140">
                  <c:v>16.905380497132548</c:v>
                </c:pt>
                <c:pt idx="141">
                  <c:v>16.651952916682703</c:v>
                </c:pt>
                <c:pt idx="142">
                  <c:v>18.878434380762425</c:v>
                </c:pt>
                <c:pt idx="143">
                  <c:v>18.807957401777255</c:v>
                </c:pt>
                <c:pt idx="144">
                  <c:v>17.568528248468777</c:v>
                </c:pt>
                <c:pt idx="145">
                  <c:v>18.056258377887541</c:v>
                </c:pt>
                <c:pt idx="146">
                  <c:v>17.715452821399715</c:v>
                </c:pt>
                <c:pt idx="147">
                  <c:v>17.613877551348743</c:v>
                </c:pt>
                <c:pt idx="148">
                  <c:v>18.92960844807109</c:v>
                </c:pt>
                <c:pt idx="149">
                  <c:v>18.772419332486745</c:v>
                </c:pt>
                <c:pt idx="150">
                  <c:v>15.775837048013077</c:v>
                </c:pt>
                <c:pt idx="151">
                  <c:v>15.50374940054971</c:v>
                </c:pt>
                <c:pt idx="152">
                  <c:v>12.962332830147744</c:v>
                </c:pt>
                <c:pt idx="153">
                  <c:v>13.259978634873971</c:v>
                </c:pt>
                <c:pt idx="154">
                  <c:v>11.563985684991227</c:v>
                </c:pt>
                <c:pt idx="155">
                  <c:v>11.336795963759307</c:v>
                </c:pt>
                <c:pt idx="156">
                  <c:v>11.584714207127583</c:v>
                </c:pt>
                <c:pt idx="157">
                  <c:v>11.057989279052093</c:v>
                </c:pt>
                <c:pt idx="158">
                  <c:v>11.028840451511501</c:v>
                </c:pt>
                <c:pt idx="159">
                  <c:v>9.6441688049555481</c:v>
                </c:pt>
                <c:pt idx="160">
                  <c:v>9.1155251581439298</c:v>
                </c:pt>
                <c:pt idx="161">
                  <c:v>10.463034358214603</c:v>
                </c:pt>
                <c:pt idx="162">
                  <c:v>9.5716861378573306</c:v>
                </c:pt>
                <c:pt idx="163">
                  <c:v>7.6963734197080429</c:v>
                </c:pt>
                <c:pt idx="164">
                  <c:v>8.749572403891591</c:v>
                </c:pt>
                <c:pt idx="165">
                  <c:v>7.4765203159246258</c:v>
                </c:pt>
                <c:pt idx="166">
                  <c:v>8.4417083352499667</c:v>
                </c:pt>
                <c:pt idx="167">
                  <c:v>8.7703468239265217</c:v>
                </c:pt>
                <c:pt idx="168">
                  <c:v>7.86275039307304</c:v>
                </c:pt>
                <c:pt idx="169">
                  <c:v>7.8307259708173538</c:v>
                </c:pt>
                <c:pt idx="170">
                  <c:v>8.4359560810359557</c:v>
                </c:pt>
                <c:pt idx="171">
                  <c:v>8.1051784636807174</c:v>
                </c:pt>
                <c:pt idx="172">
                  <c:v>8.6505695984758635</c:v>
                </c:pt>
                <c:pt idx="173">
                  <c:v>10.324702855999876</c:v>
                </c:pt>
                <c:pt idx="174">
                  <c:v>10.927182906891684</c:v>
                </c:pt>
                <c:pt idx="175">
                  <c:v>9.3732304803772237</c:v>
                </c:pt>
                <c:pt idx="176">
                  <c:v>10.180471805104023</c:v>
                </c:pt>
                <c:pt idx="177">
                  <c:v>10.644677932970371</c:v>
                </c:pt>
                <c:pt idx="178">
                  <c:v>10.711725107294045</c:v>
                </c:pt>
                <c:pt idx="179">
                  <c:v>9.5020569406462982</c:v>
                </c:pt>
                <c:pt idx="180">
                  <c:v>9.258095597052062</c:v>
                </c:pt>
                <c:pt idx="181">
                  <c:v>8.8751694164132626</c:v>
                </c:pt>
                <c:pt idx="182">
                  <c:v>8.2140048552692431</c:v>
                </c:pt>
                <c:pt idx="183">
                  <c:v>6.4762536183550168</c:v>
                </c:pt>
                <c:pt idx="184">
                  <c:v>6.9652997539084893</c:v>
                </c:pt>
                <c:pt idx="185">
                  <c:v>7.2070630637923836</c:v>
                </c:pt>
                <c:pt idx="186">
                  <c:v>6.1908493714293087</c:v>
                </c:pt>
                <c:pt idx="187">
                  <c:v>5.5139265637669439</c:v>
                </c:pt>
                <c:pt idx="188">
                  <c:v>4.2705990993324576</c:v>
                </c:pt>
                <c:pt idx="189">
                  <c:v>4.8547864590409739</c:v>
                </c:pt>
                <c:pt idx="190">
                  <c:v>4.6855874529791866</c:v>
                </c:pt>
                <c:pt idx="191">
                  <c:v>5.591479610353348</c:v>
                </c:pt>
                <c:pt idx="192">
                  <c:v>4.0488816337903479</c:v>
                </c:pt>
                <c:pt idx="193">
                  <c:v>3.2581267127958946</c:v>
                </c:pt>
                <c:pt idx="194">
                  <c:v>3.6643115135673447</c:v>
                </c:pt>
                <c:pt idx="195">
                  <c:v>3.2700421412724392</c:v>
                </c:pt>
                <c:pt idx="196">
                  <c:v>2.9779701257242976</c:v>
                </c:pt>
                <c:pt idx="197">
                  <c:v>2.1585619973090857</c:v>
                </c:pt>
                <c:pt idx="198">
                  <c:v>3.3011631433691879</c:v>
                </c:pt>
                <c:pt idx="199">
                  <c:v>3.0766021944220787</c:v>
                </c:pt>
                <c:pt idx="200">
                  <c:v>2.0858557458922471</c:v>
                </c:pt>
                <c:pt idx="201">
                  <c:v>1.7299148627079792</c:v>
                </c:pt>
                <c:pt idx="202">
                  <c:v>0.97891524163937238</c:v>
                </c:pt>
                <c:pt idx="203">
                  <c:v>0.79076388744636816</c:v>
                </c:pt>
                <c:pt idx="204">
                  <c:v>0.96659831847853339</c:v>
                </c:pt>
                <c:pt idx="205">
                  <c:v>-8.6861437636662736E-2</c:v>
                </c:pt>
                <c:pt idx="206">
                  <c:v>-1.345165169333008</c:v>
                </c:pt>
                <c:pt idx="207">
                  <c:v>-1.8516190914847785</c:v>
                </c:pt>
                <c:pt idx="208">
                  <c:v>-1.8127716357599701</c:v>
                </c:pt>
                <c:pt idx="209">
                  <c:v>-2.3148406303230615</c:v>
                </c:pt>
                <c:pt idx="210">
                  <c:v>-2.0634572415390844</c:v>
                </c:pt>
                <c:pt idx="211">
                  <c:v>-0.69946745990937298</c:v>
                </c:pt>
                <c:pt idx="212">
                  <c:v>-0.68321060367759134</c:v>
                </c:pt>
                <c:pt idx="213">
                  <c:v>-1.3433795388140051</c:v>
                </c:pt>
                <c:pt idx="214">
                  <c:v>-2.0466851175940559</c:v>
                </c:pt>
                <c:pt idx="215">
                  <c:v>-2.5444184636524225</c:v>
                </c:pt>
                <c:pt idx="216">
                  <c:v>-2.2556306354380635</c:v>
                </c:pt>
                <c:pt idx="217">
                  <c:v>-1.9140856106058175</c:v>
                </c:pt>
                <c:pt idx="218">
                  <c:v>-2.8073973906598515</c:v>
                </c:pt>
                <c:pt idx="219">
                  <c:v>-3.0328741232581087</c:v>
                </c:pt>
                <c:pt idx="220">
                  <c:v>-1.9217694960100777</c:v>
                </c:pt>
                <c:pt idx="221">
                  <c:v>-2.8954368976218507</c:v>
                </c:pt>
                <c:pt idx="222">
                  <c:v>-3.0534091878438727</c:v>
                </c:pt>
                <c:pt idx="223">
                  <c:v>-2.1604285296450856</c:v>
                </c:pt>
                <c:pt idx="224">
                  <c:v>-2.2451870978538029</c:v>
                </c:pt>
                <c:pt idx="225">
                  <c:v>-2.9585342678637492</c:v>
                </c:pt>
                <c:pt idx="226">
                  <c:v>-2.9187657875306159</c:v>
                </c:pt>
                <c:pt idx="227">
                  <c:v>-3.2672376683804072</c:v>
                </c:pt>
                <c:pt idx="228">
                  <c:v>-4.1086915853089145</c:v>
                </c:pt>
                <c:pt idx="229">
                  <c:v>-3.6037758164442621</c:v>
                </c:pt>
                <c:pt idx="230">
                  <c:v>-3.0610645734885296</c:v>
                </c:pt>
                <c:pt idx="231">
                  <c:v>-4.6367048954085748</c:v>
                </c:pt>
                <c:pt idx="232">
                  <c:v>-3.9324348301775927</c:v>
                </c:pt>
                <c:pt idx="233">
                  <c:v>-3.3369266321340669</c:v>
                </c:pt>
                <c:pt idx="234">
                  <c:v>-2.976580978936811</c:v>
                </c:pt>
                <c:pt idx="235">
                  <c:v>-3.0756112198921581</c:v>
                </c:pt>
                <c:pt idx="236">
                  <c:v>-0.92929917469707424</c:v>
                </c:pt>
                <c:pt idx="237">
                  <c:v>1.0568552550898842</c:v>
                </c:pt>
                <c:pt idx="238">
                  <c:v>1.2744151266930261</c:v>
                </c:pt>
                <c:pt idx="239">
                  <c:v>1.6881099693380703</c:v>
                </c:pt>
                <c:pt idx="240">
                  <c:v>2.5475905583697189</c:v>
                </c:pt>
                <c:pt idx="241">
                  <c:v>4.6827796325266675</c:v>
                </c:pt>
                <c:pt idx="242">
                  <c:v>6.7678845116786484</c:v>
                </c:pt>
                <c:pt idx="243">
                  <c:v>8.2385378541376948</c:v>
                </c:pt>
                <c:pt idx="244">
                  <c:v>7.8762048155207056</c:v>
                </c:pt>
                <c:pt idx="245">
                  <c:v>7.5893097181334843</c:v>
                </c:pt>
                <c:pt idx="246">
                  <c:v>7.527728315238047</c:v>
                </c:pt>
                <c:pt idx="247">
                  <c:v>9.5902369813871324</c:v>
                </c:pt>
                <c:pt idx="248">
                  <c:v>11.076004207871676</c:v>
                </c:pt>
                <c:pt idx="249">
                  <c:v>11.804419349305025</c:v>
                </c:pt>
                <c:pt idx="250">
                  <c:v>11.135439461344131</c:v>
                </c:pt>
                <c:pt idx="251">
                  <c:v>10.938552777502544</c:v>
                </c:pt>
                <c:pt idx="252">
                  <c:v>10.318483666778823</c:v>
                </c:pt>
                <c:pt idx="253">
                  <c:v>9.9686737234075871</c:v>
                </c:pt>
                <c:pt idx="254">
                  <c:v>9.3572106654822278</c:v>
                </c:pt>
                <c:pt idx="255">
                  <c:v>8.5122441162151237</c:v>
                </c:pt>
                <c:pt idx="256">
                  <c:v>8.1379694872468331</c:v>
                </c:pt>
                <c:pt idx="257">
                  <c:v>7.2716971970849684</c:v>
                </c:pt>
                <c:pt idx="258">
                  <c:v>8.9608449585676926</c:v>
                </c:pt>
                <c:pt idx="259">
                  <c:v>7.9415137227793338</c:v>
                </c:pt>
                <c:pt idx="260">
                  <c:v>6.7598042980249602</c:v>
                </c:pt>
                <c:pt idx="261">
                  <c:v>7.1307772595151837</c:v>
                </c:pt>
                <c:pt idx="262">
                  <c:v>6.3777996947651934</c:v>
                </c:pt>
                <c:pt idx="263">
                  <c:v>6.4589721966204507</c:v>
                </c:pt>
                <c:pt idx="264">
                  <c:v>7.0371946970422954</c:v>
                </c:pt>
                <c:pt idx="265">
                  <c:v>7.3231711148833298</c:v>
                </c:pt>
                <c:pt idx="266">
                  <c:v>7.8730131910269483</c:v>
                </c:pt>
                <c:pt idx="267">
                  <c:v>9.7041008792528132</c:v>
                </c:pt>
                <c:pt idx="268">
                  <c:v>9.0047277293055625</c:v>
                </c:pt>
                <c:pt idx="269">
                  <c:v>9.9669198771454575</c:v>
                </c:pt>
                <c:pt idx="270">
                  <c:v>11.983792770311892</c:v>
                </c:pt>
                <c:pt idx="271">
                  <c:v>11.44424921592597</c:v>
                </c:pt>
                <c:pt idx="272">
                  <c:v>11.293781625687267</c:v>
                </c:pt>
                <c:pt idx="273">
                  <c:v>8.1591303664163508</c:v>
                </c:pt>
                <c:pt idx="274">
                  <c:v>6.5356166957930037</c:v>
                </c:pt>
                <c:pt idx="275">
                  <c:v>7.4484096306125984</c:v>
                </c:pt>
                <c:pt idx="276">
                  <c:v>8.0949672349288271</c:v>
                </c:pt>
                <c:pt idx="277">
                  <c:v>7.439473432475312</c:v>
                </c:pt>
                <c:pt idx="278">
                  <c:v>6.8116180342951473</c:v>
                </c:pt>
                <c:pt idx="279">
                  <c:v>5.5912615801231702</c:v>
                </c:pt>
                <c:pt idx="280">
                  <c:v>4.0126654330950533</c:v>
                </c:pt>
                <c:pt idx="281">
                  <c:v>5.3527033414707823</c:v>
                </c:pt>
                <c:pt idx="282">
                  <c:v>6.2372981553740043</c:v>
                </c:pt>
                <c:pt idx="283">
                  <c:v>4.8155482735061721</c:v>
                </c:pt>
                <c:pt idx="284">
                  <c:v>4.444924398875794</c:v>
                </c:pt>
                <c:pt idx="285">
                  <c:v>2.7219925571232819</c:v>
                </c:pt>
                <c:pt idx="286">
                  <c:v>2.7456522101326075</c:v>
                </c:pt>
                <c:pt idx="287">
                  <c:v>2.1407213572320649</c:v>
                </c:pt>
                <c:pt idx="288">
                  <c:v>1.2749248284783123</c:v>
                </c:pt>
                <c:pt idx="289">
                  <c:v>1.6677572246344186</c:v>
                </c:pt>
                <c:pt idx="290">
                  <c:v>0.25663465478866182</c:v>
                </c:pt>
                <c:pt idx="291">
                  <c:v>0.71256712280790957</c:v>
                </c:pt>
                <c:pt idx="292">
                  <c:v>1.0170274941004944</c:v>
                </c:pt>
                <c:pt idx="293">
                  <c:v>0.7023898180974214</c:v>
                </c:pt>
                <c:pt idx="294">
                  <c:v>0.57009161230269523</c:v>
                </c:pt>
                <c:pt idx="295">
                  <c:v>0.47137197081702342</c:v>
                </c:pt>
                <c:pt idx="296">
                  <c:v>6.2923806731626716E-2</c:v>
                </c:pt>
                <c:pt idx="297">
                  <c:v>-1.3733668340248277</c:v>
                </c:pt>
                <c:pt idx="298">
                  <c:v>-0.57613869830887232</c:v>
                </c:pt>
                <c:pt idx="299">
                  <c:v>-1.4920804797210261</c:v>
                </c:pt>
                <c:pt idx="300">
                  <c:v>-1.034987365812235</c:v>
                </c:pt>
                <c:pt idx="301">
                  <c:v>1.5293615137833318</c:v>
                </c:pt>
                <c:pt idx="302">
                  <c:v>-7.940475006325326E-2</c:v>
                </c:pt>
                <c:pt idx="303">
                  <c:v>1.2219110657728782</c:v>
                </c:pt>
                <c:pt idx="304">
                  <c:v>0.65620149219325885</c:v>
                </c:pt>
                <c:pt idx="305">
                  <c:v>0.94397716080312222</c:v>
                </c:pt>
                <c:pt idx="306">
                  <c:v>1.7325313142800478</c:v>
                </c:pt>
                <c:pt idx="307">
                  <c:v>1.3493978651749468</c:v>
                </c:pt>
                <c:pt idx="308">
                  <c:v>0.93879834034332232</c:v>
                </c:pt>
                <c:pt idx="309">
                  <c:v>0.59986184815773391</c:v>
                </c:pt>
                <c:pt idx="310">
                  <c:v>-1.7623313425789766</c:v>
                </c:pt>
                <c:pt idx="311">
                  <c:v>-1.5796148379276707</c:v>
                </c:pt>
                <c:pt idx="312">
                  <c:v>-1.6746963977423313</c:v>
                </c:pt>
                <c:pt idx="313">
                  <c:v>-0.5619363434547946</c:v>
                </c:pt>
                <c:pt idx="314">
                  <c:v>-1.0257248486288488</c:v>
                </c:pt>
                <c:pt idx="315">
                  <c:v>-0.35813331438869922</c:v>
                </c:pt>
                <c:pt idx="316">
                  <c:v>-0.25167325699265941</c:v>
                </c:pt>
                <c:pt idx="317">
                  <c:v>0.95120486214016853</c:v>
                </c:pt>
                <c:pt idx="318">
                  <c:v>0.39523277201695911</c:v>
                </c:pt>
                <c:pt idx="319">
                  <c:v>0.36890000051629379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6E-844F-BDB6-DAAD7D18C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'240807A006'!$A$2:$A$321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'240807A006'!$J$2:$J$321</c:f>
              <c:numCache>
                <c:formatCode>0.0</c:formatCode>
                <c:ptCount val="320"/>
                <c:pt idx="0">
                  <c:v>481.69121701353004</c:v>
                </c:pt>
                <c:pt idx="1">
                  <c:v>485.77773412249996</c:v>
                </c:pt>
                <c:pt idx="2">
                  <c:v>477.24966234824996</c:v>
                </c:pt>
                <c:pt idx="3">
                  <c:v>389.41219333277002</c:v>
                </c:pt>
                <c:pt idx="4">
                  <c:v>341.07014284655003</c:v>
                </c:pt>
                <c:pt idx="5">
                  <c:v>330.71838785196002</c:v>
                </c:pt>
                <c:pt idx="6">
                  <c:v>420.70010344964999</c:v>
                </c:pt>
                <c:pt idx="7">
                  <c:v>462.56491730659997</c:v>
                </c:pt>
                <c:pt idx="8">
                  <c:v>470.39093027518993</c:v>
                </c:pt>
                <c:pt idx="9">
                  <c:v>486.77248210097002</c:v>
                </c:pt>
                <c:pt idx="10">
                  <c:v>467.81735434157002</c:v>
                </c:pt>
                <c:pt idx="11">
                  <c:v>492.32724969827996</c:v>
                </c:pt>
                <c:pt idx="12">
                  <c:v>486.44595507349004</c:v>
                </c:pt>
                <c:pt idx="13">
                  <c:v>489.02063838780003</c:v>
                </c:pt>
                <c:pt idx="14">
                  <c:v>491.50486236466998</c:v>
                </c:pt>
                <c:pt idx="15">
                  <c:v>496.32069421347995</c:v>
                </c:pt>
                <c:pt idx="16">
                  <c:v>482.73618097701006</c:v>
                </c:pt>
                <c:pt idx="17">
                  <c:v>490.86047812784</c:v>
                </c:pt>
                <c:pt idx="18">
                  <c:v>497.76887648472996</c:v>
                </c:pt>
                <c:pt idx="19">
                  <c:v>493.67081638134994</c:v>
                </c:pt>
                <c:pt idx="20">
                  <c:v>486.94784931512004</c:v>
                </c:pt>
                <c:pt idx="21">
                  <c:v>483.90617003165005</c:v>
                </c:pt>
                <c:pt idx="22">
                  <c:v>483.83078400935995</c:v>
                </c:pt>
                <c:pt idx="23">
                  <c:v>485.52914636299005</c:v>
                </c:pt>
                <c:pt idx="24">
                  <c:v>481.11634100066999</c:v>
                </c:pt>
                <c:pt idx="25">
                  <c:v>477.76799307843999</c:v>
                </c:pt>
                <c:pt idx="26">
                  <c:v>478.41368297281997</c:v>
                </c:pt>
                <c:pt idx="27">
                  <c:v>478.20933954489004</c:v>
                </c:pt>
                <c:pt idx="28">
                  <c:v>483.11473079254006</c:v>
                </c:pt>
                <c:pt idx="29">
                  <c:v>484.04159869494003</c:v>
                </c:pt>
                <c:pt idx="30">
                  <c:v>482.26508972267993</c:v>
                </c:pt>
                <c:pt idx="31">
                  <c:v>473.94004128242</c:v>
                </c:pt>
                <c:pt idx="32">
                  <c:v>476.18923327895999</c:v>
                </c:pt>
                <c:pt idx="33">
                  <c:v>475.36541598694998</c:v>
                </c:pt>
                <c:pt idx="34">
                  <c:v>477.70865661348</c:v>
                </c:pt>
                <c:pt idx="35">
                  <c:v>474.40123476438998</c:v>
                </c:pt>
                <c:pt idx="36">
                  <c:v>460.42098834202</c:v>
                </c:pt>
                <c:pt idx="37">
                  <c:v>469.53503898222004</c:v>
                </c:pt>
                <c:pt idx="38">
                  <c:v>464.40274590277994</c:v>
                </c:pt>
                <c:pt idx="39">
                  <c:v>482.17584755043003</c:v>
                </c:pt>
                <c:pt idx="40">
                  <c:v>469.26799807520001</c:v>
                </c:pt>
                <c:pt idx="41">
                  <c:v>463.76923015909</c:v>
                </c:pt>
                <c:pt idx="42">
                  <c:v>475.88163696115998</c:v>
                </c:pt>
                <c:pt idx="43">
                  <c:v>470.77498392591008</c:v>
                </c:pt>
                <c:pt idx="44">
                  <c:v>459.17534180698999</c:v>
                </c:pt>
                <c:pt idx="45">
                  <c:v>459.77779110339998</c:v>
                </c:pt>
                <c:pt idx="46">
                  <c:v>467.12158657958997</c:v>
                </c:pt>
                <c:pt idx="47">
                  <c:v>476.03359701065</c:v>
                </c:pt>
                <c:pt idx="48">
                  <c:v>492.20267377552</c:v>
                </c:pt>
                <c:pt idx="49">
                  <c:v>480.62946325547995</c:v>
                </c:pt>
                <c:pt idx="50">
                  <c:v>494.47492024723994</c:v>
                </c:pt>
                <c:pt idx="51">
                  <c:v>495.11754547457008</c:v>
                </c:pt>
                <c:pt idx="52">
                  <c:v>479.51684204140997</c:v>
                </c:pt>
                <c:pt idx="53">
                  <c:v>482.22496541519996</c:v>
                </c:pt>
                <c:pt idx="54">
                  <c:v>486.49152359086003</c:v>
                </c:pt>
                <c:pt idx="55">
                  <c:v>494.28475657440998</c:v>
                </c:pt>
                <c:pt idx="56">
                  <c:v>489.18063158644003</c:v>
                </c:pt>
                <c:pt idx="57">
                  <c:v>497.11051509928996</c:v>
                </c:pt>
                <c:pt idx="58">
                  <c:v>495.84542405782997</c:v>
                </c:pt>
                <c:pt idx="59">
                  <c:v>503.28353077552998</c:v>
                </c:pt>
                <c:pt idx="60">
                  <c:v>502.55366282419999</c:v>
                </c:pt>
                <c:pt idx="61">
                  <c:v>504.89868267831997</c:v>
                </c:pt>
                <c:pt idx="62">
                  <c:v>497.86239533893001</c:v>
                </c:pt>
                <c:pt idx="63">
                  <c:v>514.11956649316005</c:v>
                </c:pt>
                <c:pt idx="64">
                  <c:v>500.71547124995004</c:v>
                </c:pt>
                <c:pt idx="65">
                  <c:v>499.52035166400003</c:v>
                </c:pt>
                <c:pt idx="66">
                  <c:v>500.16916722904006</c:v>
                </c:pt>
                <c:pt idx="67">
                  <c:v>499.24926670243997</c:v>
                </c:pt>
                <c:pt idx="68">
                  <c:v>500.12165167304005</c:v>
                </c:pt>
                <c:pt idx="69">
                  <c:v>502.38307342004003</c:v>
                </c:pt>
                <c:pt idx="70">
                  <c:v>506.82324160973008</c:v>
                </c:pt>
                <c:pt idx="71">
                  <c:v>507.59371834650005</c:v>
                </c:pt>
                <c:pt idx="72">
                  <c:v>505.85150977194007</c:v>
                </c:pt>
                <c:pt idx="73">
                  <c:v>510.32315090254997</c:v>
                </c:pt>
                <c:pt idx="74">
                  <c:v>521.72863155594007</c:v>
                </c:pt>
                <c:pt idx="75">
                  <c:v>512.73661200588992</c:v>
                </c:pt>
                <c:pt idx="76">
                  <c:v>515.76279551094001</c:v>
                </c:pt>
                <c:pt idx="77">
                  <c:v>505.74591208888</c:v>
                </c:pt>
                <c:pt idx="78">
                  <c:v>506.15824214852</c:v>
                </c:pt>
                <c:pt idx="79">
                  <c:v>503.47557656145</c:v>
                </c:pt>
                <c:pt idx="80">
                  <c:v>505.20134892122002</c:v>
                </c:pt>
                <c:pt idx="81">
                  <c:v>500.82966208721996</c:v>
                </c:pt>
                <c:pt idx="82">
                  <c:v>500.29619945853005</c:v>
                </c:pt>
                <c:pt idx="83">
                  <c:v>496.22547684014</c:v>
                </c:pt>
                <c:pt idx="84">
                  <c:v>489.95256512365006</c:v>
                </c:pt>
                <c:pt idx="85">
                  <c:v>513.33871863274999</c:v>
                </c:pt>
                <c:pt idx="86">
                  <c:v>492.61615788756001</c:v>
                </c:pt>
                <c:pt idx="87">
                  <c:v>494.69187427737995</c:v>
                </c:pt>
                <c:pt idx="88">
                  <c:v>498.63754573243</c:v>
                </c:pt>
                <c:pt idx="89">
                  <c:v>500.08555228122009</c:v>
                </c:pt>
                <c:pt idx="90">
                  <c:v>495.14933300004998</c:v>
                </c:pt>
                <c:pt idx="91">
                  <c:v>513.61595012171995</c:v>
                </c:pt>
                <c:pt idx="92">
                  <c:v>514.18104077505996</c:v>
                </c:pt>
                <c:pt idx="93">
                  <c:v>516.56546956660998</c:v>
                </c:pt>
                <c:pt idx="94">
                  <c:v>515.87517001240997</c:v>
                </c:pt>
                <c:pt idx="95">
                  <c:v>514.81516277980995</c:v>
                </c:pt>
                <c:pt idx="96">
                  <c:v>504.37942335241007</c:v>
                </c:pt>
                <c:pt idx="97">
                  <c:v>506.41095383930002</c:v>
                </c:pt>
                <c:pt idx="98">
                  <c:v>501.53647812161</c:v>
                </c:pt>
                <c:pt idx="99">
                  <c:v>508.61902682602994</c:v>
                </c:pt>
                <c:pt idx="100">
                  <c:v>511.09649974887003</c:v>
                </c:pt>
                <c:pt idx="101">
                  <c:v>501.39183784982004</c:v>
                </c:pt>
                <c:pt idx="102">
                  <c:v>506.02284641822001</c:v>
                </c:pt>
                <c:pt idx="103">
                  <c:v>508.89384796506994</c:v>
                </c:pt>
                <c:pt idx="104">
                  <c:v>500.96488164326996</c:v>
                </c:pt>
                <c:pt idx="105">
                  <c:v>499.50347901574992</c:v>
                </c:pt>
                <c:pt idx="106">
                  <c:v>495.41648526303004</c:v>
                </c:pt>
                <c:pt idx="107">
                  <c:v>457.98921806728004</c:v>
                </c:pt>
                <c:pt idx="108">
                  <c:v>498.36747905052999</c:v>
                </c:pt>
                <c:pt idx="109">
                  <c:v>504.19526172878005</c:v>
                </c:pt>
                <c:pt idx="110">
                  <c:v>499.48808328338998</c:v>
                </c:pt>
                <c:pt idx="111">
                  <c:v>505.64531064566006</c:v>
                </c:pt>
                <c:pt idx="112">
                  <c:v>506.93680454804996</c:v>
                </c:pt>
                <c:pt idx="113">
                  <c:v>501.24080020606004</c:v>
                </c:pt>
                <c:pt idx="114">
                  <c:v>501.28467284410999</c:v>
                </c:pt>
                <c:pt idx="115">
                  <c:v>510.39112019603004</c:v>
                </c:pt>
                <c:pt idx="116">
                  <c:v>499.10779188052993</c:v>
                </c:pt>
                <c:pt idx="117">
                  <c:v>506.20199339512999</c:v>
                </c:pt>
                <c:pt idx="118">
                  <c:v>506.99759678510003</c:v>
                </c:pt>
                <c:pt idx="119">
                  <c:v>503.75928858473003</c:v>
                </c:pt>
                <c:pt idx="120">
                  <c:v>477.53106539874</c:v>
                </c:pt>
                <c:pt idx="121">
                  <c:v>495.77085496070004</c:v>
                </c:pt>
                <c:pt idx="122">
                  <c:v>500.65106274230993</c:v>
                </c:pt>
                <c:pt idx="123">
                  <c:v>491.42059233569006</c:v>
                </c:pt>
                <c:pt idx="124">
                  <c:v>503.08600953390004</c:v>
                </c:pt>
                <c:pt idx="125">
                  <c:v>497.25418663853998</c:v>
                </c:pt>
                <c:pt idx="126">
                  <c:v>503.37533179698994</c:v>
                </c:pt>
                <c:pt idx="127">
                  <c:v>504.42608497447998</c:v>
                </c:pt>
                <c:pt idx="128">
                  <c:v>492.85097905764997</c:v>
                </c:pt>
                <c:pt idx="129">
                  <c:v>498.49837065679003</c:v>
                </c:pt>
                <c:pt idx="130">
                  <c:v>493.63873309967994</c:v>
                </c:pt>
                <c:pt idx="131">
                  <c:v>504.91924959216999</c:v>
                </c:pt>
                <c:pt idx="132">
                  <c:v>494.53588907015001</c:v>
                </c:pt>
                <c:pt idx="133">
                  <c:v>497.03668286502995</c:v>
                </c:pt>
                <c:pt idx="134">
                  <c:v>493.14186698009996</c:v>
                </c:pt>
                <c:pt idx="135">
                  <c:v>500.06865517451001</c:v>
                </c:pt>
                <c:pt idx="136">
                  <c:v>498.76957783300003</c:v>
                </c:pt>
                <c:pt idx="137">
                  <c:v>492.13315693627999</c:v>
                </c:pt>
                <c:pt idx="138">
                  <c:v>481.16517326530004</c:v>
                </c:pt>
                <c:pt idx="139">
                  <c:v>490.66557911909001</c:v>
                </c:pt>
                <c:pt idx="140">
                  <c:v>494.25543850843002</c:v>
                </c:pt>
                <c:pt idx="141">
                  <c:v>510.73682229165001</c:v>
                </c:pt>
                <c:pt idx="142">
                  <c:v>505.55492402874</c:v>
                </c:pt>
                <c:pt idx="143">
                  <c:v>504.55562620042997</c:v>
                </c:pt>
                <c:pt idx="144">
                  <c:v>491.40182670827994</c:v>
                </c:pt>
                <c:pt idx="145">
                  <c:v>503.57916384425994</c:v>
                </c:pt>
                <c:pt idx="146">
                  <c:v>502.26361872772998</c:v>
                </c:pt>
                <c:pt idx="147">
                  <c:v>488.30106542344998</c:v>
                </c:pt>
                <c:pt idx="148">
                  <c:v>498.28095191624004</c:v>
                </c:pt>
                <c:pt idx="149">
                  <c:v>504.15919230470001</c:v>
                </c:pt>
                <c:pt idx="150">
                  <c:v>502.94268813275994</c:v>
                </c:pt>
                <c:pt idx="151">
                  <c:v>503.98034435783001</c:v>
                </c:pt>
                <c:pt idx="152">
                  <c:v>503.90318094446991</c:v>
                </c:pt>
                <c:pt idx="153">
                  <c:v>502.20389005369998</c:v>
                </c:pt>
                <c:pt idx="154">
                  <c:v>486.83490736896999</c:v>
                </c:pt>
                <c:pt idx="155">
                  <c:v>491.54587509687997</c:v>
                </c:pt>
                <c:pt idx="156">
                  <c:v>496.11201740076001</c:v>
                </c:pt>
                <c:pt idx="157">
                  <c:v>488.63669861504002</c:v>
                </c:pt>
                <c:pt idx="158">
                  <c:v>500.26590538336001</c:v>
                </c:pt>
                <c:pt idx="159">
                  <c:v>500.40153221993</c:v>
                </c:pt>
                <c:pt idx="160">
                  <c:v>500.50227949797005</c:v>
                </c:pt>
                <c:pt idx="161">
                  <c:v>499.73925299459995</c:v>
                </c:pt>
                <c:pt idx="162">
                  <c:v>497.71781190731997</c:v>
                </c:pt>
                <c:pt idx="163">
                  <c:v>497.28168278094006</c:v>
                </c:pt>
                <c:pt idx="164">
                  <c:v>492.76536293585002</c:v>
                </c:pt>
                <c:pt idx="165">
                  <c:v>493.23109509024005</c:v>
                </c:pt>
                <c:pt idx="166">
                  <c:v>504.86052202284003</c:v>
                </c:pt>
                <c:pt idx="167">
                  <c:v>474.85474624551</c:v>
                </c:pt>
                <c:pt idx="168">
                  <c:v>481.88762552700007</c:v>
                </c:pt>
                <c:pt idx="169">
                  <c:v>485.64157803860007</c:v>
                </c:pt>
                <c:pt idx="170">
                  <c:v>483.63477749227002</c:v>
                </c:pt>
                <c:pt idx="171">
                  <c:v>489.68492041510001</c:v>
                </c:pt>
                <c:pt idx="172">
                  <c:v>481.88742226043996</c:v>
                </c:pt>
                <c:pt idx="173">
                  <c:v>480.24417475148994</c:v>
                </c:pt>
                <c:pt idx="174">
                  <c:v>469.85695177082994</c:v>
                </c:pt>
                <c:pt idx="175">
                  <c:v>471.95909382216007</c:v>
                </c:pt>
                <c:pt idx="176">
                  <c:v>463.93778998327002</c:v>
                </c:pt>
                <c:pt idx="177">
                  <c:v>500.65543840104004</c:v>
                </c:pt>
                <c:pt idx="178">
                  <c:v>493.44192893804995</c:v>
                </c:pt>
                <c:pt idx="179">
                  <c:v>502.40661409894</c:v>
                </c:pt>
                <c:pt idx="180">
                  <c:v>495.20347459544007</c:v>
                </c:pt>
                <c:pt idx="181">
                  <c:v>491.64854748892003</c:v>
                </c:pt>
                <c:pt idx="182">
                  <c:v>503.74031675374005</c:v>
                </c:pt>
                <c:pt idx="183">
                  <c:v>497.87654992041001</c:v>
                </c:pt>
                <c:pt idx="184">
                  <c:v>505.10972848736003</c:v>
                </c:pt>
                <c:pt idx="185">
                  <c:v>492.10496069997998</c:v>
                </c:pt>
                <c:pt idx="186">
                  <c:v>490.27538479058001</c:v>
                </c:pt>
                <c:pt idx="187">
                  <c:v>484.79007630545004</c:v>
                </c:pt>
                <c:pt idx="188">
                  <c:v>493.18920272489004</c:v>
                </c:pt>
                <c:pt idx="189">
                  <c:v>499.38915091841005</c:v>
                </c:pt>
                <c:pt idx="190">
                  <c:v>497.54415425521</c:v>
                </c:pt>
                <c:pt idx="191">
                  <c:v>498.60784993962005</c:v>
                </c:pt>
                <c:pt idx="192">
                  <c:v>501.32408079278002</c:v>
                </c:pt>
                <c:pt idx="193">
                  <c:v>497.54165563228997</c:v>
                </c:pt>
                <c:pt idx="194">
                  <c:v>498.28032642317004</c:v>
                </c:pt>
                <c:pt idx="195">
                  <c:v>501.31947548781</c:v>
                </c:pt>
                <c:pt idx="196">
                  <c:v>503.05755571916006</c:v>
                </c:pt>
                <c:pt idx="197">
                  <c:v>495.95325144739991</c:v>
                </c:pt>
                <c:pt idx="198">
                  <c:v>493.05474522598001</c:v>
                </c:pt>
                <c:pt idx="199">
                  <c:v>488.86977017561003</c:v>
                </c:pt>
                <c:pt idx="200">
                  <c:v>498.13377565282997</c:v>
                </c:pt>
                <c:pt idx="201">
                  <c:v>492.27245897667996</c:v>
                </c:pt>
                <c:pt idx="202">
                  <c:v>482.25985013963003</c:v>
                </c:pt>
                <c:pt idx="203">
                  <c:v>492.39175280807996</c:v>
                </c:pt>
                <c:pt idx="204">
                  <c:v>493.26009042708006</c:v>
                </c:pt>
                <c:pt idx="205">
                  <c:v>497.54732882701995</c:v>
                </c:pt>
                <c:pt idx="206">
                  <c:v>496.14755652403005</c:v>
                </c:pt>
                <c:pt idx="207">
                  <c:v>493.47939944088</c:v>
                </c:pt>
                <c:pt idx="208">
                  <c:v>498.43193037050003</c:v>
                </c:pt>
                <c:pt idx="209">
                  <c:v>489.61114418737009</c:v>
                </c:pt>
                <c:pt idx="210">
                  <c:v>489.72572614987007</c:v>
                </c:pt>
                <c:pt idx="211">
                  <c:v>485.11955065716995</c:v>
                </c:pt>
                <c:pt idx="212">
                  <c:v>485.15874348466002</c:v>
                </c:pt>
                <c:pt idx="213">
                  <c:v>495.23074046075004</c:v>
                </c:pt>
                <c:pt idx="214">
                  <c:v>500.70825740395003</c:v>
                </c:pt>
                <c:pt idx="215">
                  <c:v>503.48498919084</c:v>
                </c:pt>
                <c:pt idx="216">
                  <c:v>492.12397253066001</c:v>
                </c:pt>
                <c:pt idx="217">
                  <c:v>499.10782342906998</c:v>
                </c:pt>
                <c:pt idx="218">
                  <c:v>470.11835203783994</c:v>
                </c:pt>
                <c:pt idx="219">
                  <c:v>488.24818475513996</c:v>
                </c:pt>
                <c:pt idx="220">
                  <c:v>492.72400014927007</c:v>
                </c:pt>
                <c:pt idx="221">
                  <c:v>492.69590916845004</c:v>
                </c:pt>
                <c:pt idx="222">
                  <c:v>491.58916957213</c:v>
                </c:pt>
                <c:pt idx="223">
                  <c:v>489.43274253284994</c:v>
                </c:pt>
                <c:pt idx="224">
                  <c:v>478.33782486080997</c:v>
                </c:pt>
                <c:pt idx="225">
                  <c:v>492.73393865223005</c:v>
                </c:pt>
                <c:pt idx="226">
                  <c:v>496.11854025274999</c:v>
                </c:pt>
                <c:pt idx="227">
                  <c:v>492.00562334661993</c:v>
                </c:pt>
                <c:pt idx="228">
                  <c:v>489.66866432914003</c:v>
                </c:pt>
                <c:pt idx="229">
                  <c:v>492.80250286010994</c:v>
                </c:pt>
                <c:pt idx="230">
                  <c:v>473.74131903985005</c:v>
                </c:pt>
                <c:pt idx="231">
                  <c:v>478.66223570474995</c:v>
                </c:pt>
                <c:pt idx="232">
                  <c:v>466.87335738691002</c:v>
                </c:pt>
                <c:pt idx="233">
                  <c:v>472.06145086640993</c:v>
                </c:pt>
                <c:pt idx="234">
                  <c:v>468.83035586185997</c:v>
                </c:pt>
                <c:pt idx="235">
                  <c:v>483.81213229489993</c:v>
                </c:pt>
                <c:pt idx="236">
                  <c:v>484.4319633742</c:v>
                </c:pt>
                <c:pt idx="237">
                  <c:v>493.21700652527994</c:v>
                </c:pt>
                <c:pt idx="238">
                  <c:v>479.90759428233002</c:v>
                </c:pt>
                <c:pt idx="239">
                  <c:v>480.34146666069</c:v>
                </c:pt>
                <c:pt idx="240">
                  <c:v>485.72294549700001</c:v>
                </c:pt>
                <c:pt idx="241">
                  <c:v>483.15681241384993</c:v>
                </c:pt>
                <c:pt idx="242">
                  <c:v>489.58335313091999</c:v>
                </c:pt>
                <c:pt idx="243">
                  <c:v>489.38992276299996</c:v>
                </c:pt>
                <c:pt idx="244">
                  <c:v>489.0119603837</c:v>
                </c:pt>
                <c:pt idx="245">
                  <c:v>486.77371242135007</c:v>
                </c:pt>
                <c:pt idx="246">
                  <c:v>483.92812519861002</c:v>
                </c:pt>
                <c:pt idx="247">
                  <c:v>495.43220997625997</c:v>
                </c:pt>
                <c:pt idx="248">
                  <c:v>490.96228807683002</c:v>
                </c:pt>
                <c:pt idx="249">
                  <c:v>485.03430133873997</c:v>
                </c:pt>
                <c:pt idx="250">
                  <c:v>479.89258299630001</c:v>
                </c:pt>
                <c:pt idx="251">
                  <c:v>475.15053514977001</c:v>
                </c:pt>
                <c:pt idx="252">
                  <c:v>469.40874277656008</c:v>
                </c:pt>
                <c:pt idx="253">
                  <c:v>491.39842863999002</c:v>
                </c:pt>
                <c:pt idx="254">
                  <c:v>493.57009629715003</c:v>
                </c:pt>
                <c:pt idx="255">
                  <c:v>473.51568900392999</c:v>
                </c:pt>
                <c:pt idx="256">
                  <c:v>490.36696753709998</c:v>
                </c:pt>
                <c:pt idx="257">
                  <c:v>490.67419441043</c:v>
                </c:pt>
                <c:pt idx="258">
                  <c:v>481.96900091513999</c:v>
                </c:pt>
                <c:pt idx="259">
                  <c:v>482.39700659159996</c:v>
                </c:pt>
                <c:pt idx="260">
                  <c:v>480.71156646639997</c:v>
                </c:pt>
                <c:pt idx="261">
                  <c:v>494.33268486872998</c:v>
                </c:pt>
                <c:pt idx="262">
                  <c:v>489.71349984855999</c:v>
                </c:pt>
                <c:pt idx="263">
                  <c:v>484.52501315687005</c:v>
                </c:pt>
                <c:pt idx="264">
                  <c:v>488.54450108208005</c:v>
                </c:pt>
                <c:pt idx="265">
                  <c:v>484.31660254741007</c:v>
                </c:pt>
                <c:pt idx="266">
                  <c:v>485.97252706511</c:v>
                </c:pt>
                <c:pt idx="267">
                  <c:v>482.77501898804996</c:v>
                </c:pt>
                <c:pt idx="268">
                  <c:v>489.99619447270999</c:v>
                </c:pt>
                <c:pt idx="269">
                  <c:v>490.36563407448</c:v>
                </c:pt>
                <c:pt idx="270">
                  <c:v>482.85548981116006</c:v>
                </c:pt>
                <c:pt idx="271">
                  <c:v>488.43866681119994</c:v>
                </c:pt>
                <c:pt idx="272">
                  <c:v>484.01196922276006</c:v>
                </c:pt>
                <c:pt idx="273">
                  <c:v>487.57121355430996</c:v>
                </c:pt>
                <c:pt idx="274">
                  <c:v>479.62975586019002</c:v>
                </c:pt>
                <c:pt idx="275">
                  <c:v>484.20799347471996</c:v>
                </c:pt>
                <c:pt idx="276">
                  <c:v>473.57830342577995</c:v>
                </c:pt>
                <c:pt idx="277">
                  <c:v>490.24256447966991</c:v>
                </c:pt>
                <c:pt idx="278">
                  <c:v>491.3775377764</c:v>
                </c:pt>
                <c:pt idx="279">
                  <c:v>480.24648577361006</c:v>
                </c:pt>
                <c:pt idx="280">
                  <c:v>480.35096581639993</c:v>
                </c:pt>
                <c:pt idx="281">
                  <c:v>481.85136570199995</c:v>
                </c:pt>
                <c:pt idx="282">
                  <c:v>463.77924133601005</c:v>
                </c:pt>
                <c:pt idx="283">
                  <c:v>434.23813509039996</c:v>
                </c:pt>
                <c:pt idx="284">
                  <c:v>440.07664902588999</c:v>
                </c:pt>
                <c:pt idx="285">
                  <c:v>434.87970909415998</c:v>
                </c:pt>
                <c:pt idx="286">
                  <c:v>447.98839423863001</c:v>
                </c:pt>
                <c:pt idx="287">
                  <c:v>448.57100582389</c:v>
                </c:pt>
                <c:pt idx="288">
                  <c:v>453.93958857077001</c:v>
                </c:pt>
                <c:pt idx="289">
                  <c:v>468.06033245114003</c:v>
                </c:pt>
                <c:pt idx="290">
                  <c:v>475.48437157111005</c:v>
                </c:pt>
                <c:pt idx="291">
                  <c:v>474.09705304570002</c:v>
                </c:pt>
                <c:pt idx="292">
                  <c:v>477.35159359373995</c:v>
                </c:pt>
                <c:pt idx="293">
                  <c:v>468.61474512597005</c:v>
                </c:pt>
                <c:pt idx="294">
                  <c:v>484.09427892040003</c:v>
                </c:pt>
                <c:pt idx="295">
                  <c:v>491.03972116122998</c:v>
                </c:pt>
                <c:pt idx="296">
                  <c:v>486.49638436963005</c:v>
                </c:pt>
                <c:pt idx="297">
                  <c:v>492.15674312738003</c:v>
                </c:pt>
                <c:pt idx="298">
                  <c:v>481.48208062330002</c:v>
                </c:pt>
                <c:pt idx="299">
                  <c:v>470.77468051635992</c:v>
                </c:pt>
                <c:pt idx="300">
                  <c:v>467.56694134555994</c:v>
                </c:pt>
                <c:pt idx="301">
                  <c:v>474.06322300216999</c:v>
                </c:pt>
                <c:pt idx="302">
                  <c:v>480.53805219962004</c:v>
                </c:pt>
                <c:pt idx="303">
                  <c:v>469.30375494751001</c:v>
                </c:pt>
                <c:pt idx="304">
                  <c:v>470.67430808441998</c:v>
                </c:pt>
                <c:pt idx="305">
                  <c:v>475.06730762838998</c:v>
                </c:pt>
                <c:pt idx="306">
                  <c:v>455.90333756662</c:v>
                </c:pt>
                <c:pt idx="307">
                  <c:v>456.40982994106002</c:v>
                </c:pt>
                <c:pt idx="308">
                  <c:v>456.89346257631007</c:v>
                </c:pt>
                <c:pt idx="309">
                  <c:v>454.04535046861997</c:v>
                </c:pt>
                <c:pt idx="310">
                  <c:v>466.14035327185002</c:v>
                </c:pt>
                <c:pt idx="311">
                  <c:v>455.01283390073996</c:v>
                </c:pt>
                <c:pt idx="312">
                  <c:v>481.61823504798997</c:v>
                </c:pt>
                <c:pt idx="313">
                  <c:v>480.74836735450003</c:v>
                </c:pt>
                <c:pt idx="314">
                  <c:v>474.30036175081</c:v>
                </c:pt>
                <c:pt idx="315">
                  <c:v>478.61290527108008</c:v>
                </c:pt>
                <c:pt idx="316">
                  <c:v>484.41976078355998</c:v>
                </c:pt>
                <c:pt idx="317">
                  <c:v>475.55375302983998</c:v>
                </c:pt>
                <c:pt idx="318">
                  <c:v>488.60892294233997</c:v>
                </c:pt>
                <c:pt idx="319">
                  <c:v>488.91928014624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C2-154C-B0D4-2B94B21B8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E8-4F4E-AC84-069F64BCAEF6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'240807A006'!$A$2:$A$321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'240807A006'!$P$2:$P$321</c:f>
              <c:numCache>
                <c:formatCode>General</c:formatCode>
                <c:ptCount val="320"/>
                <c:pt idx="0">
                  <c:v>20.299786916932</c:v>
                </c:pt>
                <c:pt idx="1">
                  <c:v>19.184872478206959</c:v>
                </c:pt>
                <c:pt idx="2">
                  <c:v>19.517954042045609</c:v>
                </c:pt>
                <c:pt idx="3">
                  <c:v>31.152466523906636</c:v>
                </c:pt>
                <c:pt idx="4">
                  <c:v>30.440042530312084</c:v>
                </c:pt>
                <c:pt idx="5">
                  <c:v>30.948029288053359</c:v>
                </c:pt>
                <c:pt idx="6">
                  <c:v>24.701644945924926</c:v>
                </c:pt>
                <c:pt idx="7">
                  <c:v>15.973693378792337</c:v>
                </c:pt>
                <c:pt idx="8">
                  <c:v>12.596760496559664</c:v>
                </c:pt>
                <c:pt idx="9">
                  <c:v>10.137701361929114</c:v>
                </c:pt>
                <c:pt idx="10">
                  <c:v>11.311446898790219</c:v>
                </c:pt>
                <c:pt idx="11">
                  <c:v>8.5864075957335881</c:v>
                </c:pt>
                <c:pt idx="12">
                  <c:v>8.3422120455739996</c:v>
                </c:pt>
                <c:pt idx="13">
                  <c:v>8.2411283301505982</c:v>
                </c:pt>
                <c:pt idx="14">
                  <c:v>7.4451298639863976</c:v>
                </c:pt>
                <c:pt idx="15">
                  <c:v>7.1974956957357659</c:v>
                </c:pt>
                <c:pt idx="16">
                  <c:v>5.2900421070792421</c:v>
                </c:pt>
                <c:pt idx="17">
                  <c:v>3.6439695122054028</c:v>
                </c:pt>
                <c:pt idx="18">
                  <c:v>2.3399555309840077</c:v>
                </c:pt>
                <c:pt idx="19">
                  <c:v>0.76492652116107984</c:v>
                </c:pt>
                <c:pt idx="20">
                  <c:v>5.2140967942072639E-2</c:v>
                </c:pt>
                <c:pt idx="21">
                  <c:v>1.2917639835583239</c:v>
                </c:pt>
                <c:pt idx="22">
                  <c:v>-0.2943741838938102</c:v>
                </c:pt>
                <c:pt idx="23">
                  <c:v>-1.0014307111706151</c:v>
                </c:pt>
                <c:pt idx="24">
                  <c:v>-2.9013854010563715</c:v>
                </c:pt>
                <c:pt idx="25">
                  <c:v>-4.333662215405778</c:v>
                </c:pt>
                <c:pt idx="26">
                  <c:v>-4.8105273934086865</c:v>
                </c:pt>
                <c:pt idx="27">
                  <c:v>-4.0957309814025908</c:v>
                </c:pt>
                <c:pt idx="28">
                  <c:v>-4.8076498790147886</c:v>
                </c:pt>
                <c:pt idx="29">
                  <c:v>-4.8031444293741723</c:v>
                </c:pt>
                <c:pt idx="30">
                  <c:v>-3.614800566105151</c:v>
                </c:pt>
                <c:pt idx="31">
                  <c:v>-5.6633785404146524</c:v>
                </c:pt>
                <c:pt idx="32">
                  <c:v>-8.1577221427921085</c:v>
                </c:pt>
                <c:pt idx="33">
                  <c:v>-7.6506401844081804</c:v>
                </c:pt>
                <c:pt idx="34">
                  <c:v>-6.7854113552704973</c:v>
                </c:pt>
                <c:pt idx="35">
                  <c:v>-7.4545086909425686</c:v>
                </c:pt>
                <c:pt idx="36">
                  <c:v>-7.3753899666409186</c:v>
                </c:pt>
                <c:pt idx="37">
                  <c:v>-7.9861358823497737</c:v>
                </c:pt>
                <c:pt idx="38">
                  <c:v>-7.0979277209135248</c:v>
                </c:pt>
                <c:pt idx="39">
                  <c:v>-6.6473093846708853</c:v>
                </c:pt>
                <c:pt idx="40">
                  <c:v>-6.3506609044004669</c:v>
                </c:pt>
                <c:pt idx="41">
                  <c:v>-5.5968233654003958</c:v>
                </c:pt>
                <c:pt idx="42">
                  <c:v>-4.6799338129272554</c:v>
                </c:pt>
                <c:pt idx="43">
                  <c:v>-5.4598319991092898</c:v>
                </c:pt>
                <c:pt idx="44">
                  <c:v>-5.4579024626412398</c:v>
                </c:pt>
                <c:pt idx="45">
                  <c:v>-4.4719976846559195</c:v>
                </c:pt>
                <c:pt idx="46">
                  <c:v>-4.8144417965659878</c:v>
                </c:pt>
                <c:pt idx="47">
                  <c:v>-4.0321009900860414</c:v>
                </c:pt>
                <c:pt idx="48">
                  <c:v>-3.6203851869399375</c:v>
                </c:pt>
                <c:pt idx="49">
                  <c:v>-1.9756217164667282</c:v>
                </c:pt>
                <c:pt idx="50">
                  <c:v>-3.0878115997492666</c:v>
                </c:pt>
                <c:pt idx="51">
                  <c:v>-0.32366327206463169</c:v>
                </c:pt>
                <c:pt idx="52">
                  <c:v>-1.0087471674966142</c:v>
                </c:pt>
                <c:pt idx="53">
                  <c:v>0.4011586885206968</c:v>
                </c:pt>
                <c:pt idx="54">
                  <c:v>0.22683650490874185</c:v>
                </c:pt>
                <c:pt idx="55">
                  <c:v>0.41261701161302827</c:v>
                </c:pt>
                <c:pt idx="56">
                  <c:v>1.3619369622089275</c:v>
                </c:pt>
                <c:pt idx="57">
                  <c:v>-0.14344215932378296</c:v>
                </c:pt>
                <c:pt idx="58">
                  <c:v>0.5178217060629503</c:v>
                </c:pt>
                <c:pt idx="59">
                  <c:v>-1.9480152401233675</c:v>
                </c:pt>
                <c:pt idx="60">
                  <c:v>-3.0357105232775168</c:v>
                </c:pt>
                <c:pt idx="61">
                  <c:v>-2.8101529265191809</c:v>
                </c:pt>
                <c:pt idx="62">
                  <c:v>-3.1911630363419214</c:v>
                </c:pt>
                <c:pt idx="63">
                  <c:v>-3.616695721737758</c:v>
                </c:pt>
                <c:pt idx="64">
                  <c:v>-1.6317224345434165</c:v>
                </c:pt>
                <c:pt idx="65">
                  <c:v>-0.52569049961580117</c:v>
                </c:pt>
                <c:pt idx="66">
                  <c:v>-1.0692891625921861</c:v>
                </c:pt>
                <c:pt idx="67">
                  <c:v>-0.28879042590500215</c:v>
                </c:pt>
                <c:pt idx="68">
                  <c:v>1.9176840839931042</c:v>
                </c:pt>
                <c:pt idx="69">
                  <c:v>2.2142542929560496</c:v>
                </c:pt>
                <c:pt idx="70">
                  <c:v>2.7096676978076868</c:v>
                </c:pt>
                <c:pt idx="71">
                  <c:v>2.2370228162268946</c:v>
                </c:pt>
                <c:pt idx="72">
                  <c:v>1.6938467166479128</c:v>
                </c:pt>
                <c:pt idx="73">
                  <c:v>1.9503684320075023</c:v>
                </c:pt>
                <c:pt idx="74">
                  <c:v>2.334779284840645</c:v>
                </c:pt>
                <c:pt idx="75">
                  <c:v>2.5050470025066103</c:v>
                </c:pt>
                <c:pt idx="76">
                  <c:v>-0.12254440586290229</c:v>
                </c:pt>
                <c:pt idx="77">
                  <c:v>0.86611946339113577</c:v>
                </c:pt>
                <c:pt idx="78">
                  <c:v>-0.88335933478800122</c:v>
                </c:pt>
                <c:pt idx="79">
                  <c:v>-1.2536713191936368</c:v>
                </c:pt>
                <c:pt idx="80">
                  <c:v>-0.52566429376501922</c:v>
                </c:pt>
                <c:pt idx="81">
                  <c:v>-0.76580826725581441</c:v>
                </c:pt>
                <c:pt idx="82">
                  <c:v>-0.91639054648131635</c:v>
                </c:pt>
                <c:pt idx="83">
                  <c:v>-1.1058785884170192</c:v>
                </c:pt>
                <c:pt idx="84">
                  <c:v>-0.17432862323230575</c:v>
                </c:pt>
                <c:pt idx="85">
                  <c:v>-0.1547098446451369</c:v>
                </c:pt>
                <c:pt idx="86">
                  <c:v>-1.3096201821094566</c:v>
                </c:pt>
                <c:pt idx="87">
                  <c:v>-1.2441752119417699</c:v>
                </c:pt>
                <c:pt idx="88">
                  <c:v>-0.61926635737321423</c:v>
                </c:pt>
                <c:pt idx="89">
                  <c:v>-1.5169252474603085</c:v>
                </c:pt>
                <c:pt idx="90">
                  <c:v>-0.87104368730361337</c:v>
                </c:pt>
                <c:pt idx="91">
                  <c:v>-0.98614817948094524</c:v>
                </c:pt>
                <c:pt idx="92">
                  <c:v>-1.6174977201314427</c:v>
                </c:pt>
                <c:pt idx="93">
                  <c:v>-2.0161348889096602</c:v>
                </c:pt>
                <c:pt idx="94">
                  <c:v>-0.64602072426961665</c:v>
                </c:pt>
                <c:pt idx="95">
                  <c:v>-1.9331856484206791</c:v>
                </c:pt>
                <c:pt idx="96">
                  <c:v>-2.1674809798072774</c:v>
                </c:pt>
                <c:pt idx="97">
                  <c:v>-1.3720087482999701</c:v>
                </c:pt>
                <c:pt idx="98">
                  <c:v>-2.3371920434978444</c:v>
                </c:pt>
                <c:pt idx="99">
                  <c:v>-2.8917367147183728</c:v>
                </c:pt>
                <c:pt idx="100">
                  <c:v>-1.9710288059162133</c:v>
                </c:pt>
                <c:pt idx="101">
                  <c:v>-1.223447930855412</c:v>
                </c:pt>
                <c:pt idx="102">
                  <c:v>-1.4048472592665113</c:v>
                </c:pt>
                <c:pt idx="103">
                  <c:v>3.5362108055650793E-2</c:v>
                </c:pt>
                <c:pt idx="104">
                  <c:v>0.49327980585270542</c:v>
                </c:pt>
                <c:pt idx="105">
                  <c:v>-0.20865753913489105</c:v>
                </c:pt>
                <c:pt idx="106">
                  <c:v>0.39880923369061361</c:v>
                </c:pt>
                <c:pt idx="107">
                  <c:v>4.9546815712105641</c:v>
                </c:pt>
                <c:pt idx="108">
                  <c:v>1.6959769185999642</c:v>
                </c:pt>
                <c:pt idx="109">
                  <c:v>1.1177960080887288</c:v>
                </c:pt>
                <c:pt idx="110">
                  <c:v>0.11241880670566384</c:v>
                </c:pt>
                <c:pt idx="111">
                  <c:v>-0.45091594555644893</c:v>
                </c:pt>
                <c:pt idx="112">
                  <c:v>1.4944227309066833</c:v>
                </c:pt>
                <c:pt idx="113">
                  <c:v>0.99393518259024449</c:v>
                </c:pt>
                <c:pt idx="114">
                  <c:v>0.71396368701666757</c:v>
                </c:pt>
                <c:pt idx="115">
                  <c:v>2.6397087899220222</c:v>
                </c:pt>
                <c:pt idx="116">
                  <c:v>2.4503101385133115</c:v>
                </c:pt>
                <c:pt idx="117">
                  <c:v>4.5228446381207776</c:v>
                </c:pt>
                <c:pt idx="118">
                  <c:v>6.9620149105122913</c:v>
                </c:pt>
                <c:pt idx="119">
                  <c:v>5.3474101919999786</c:v>
                </c:pt>
                <c:pt idx="120">
                  <c:v>5.4674411431424605</c:v>
                </c:pt>
                <c:pt idx="121">
                  <c:v>3.255150410298449</c:v>
                </c:pt>
                <c:pt idx="122">
                  <c:v>3.6424602443298926</c:v>
                </c:pt>
                <c:pt idx="123">
                  <c:v>2.6458927531852048</c:v>
                </c:pt>
                <c:pt idx="124">
                  <c:v>1.4992408531369315</c:v>
                </c:pt>
                <c:pt idx="125">
                  <c:v>0.36822388864422884</c:v>
                </c:pt>
                <c:pt idx="126">
                  <c:v>1.1432030081699074</c:v>
                </c:pt>
                <c:pt idx="127">
                  <c:v>2.0658301308324671</c:v>
                </c:pt>
                <c:pt idx="128">
                  <c:v>4.8359861102335717</c:v>
                </c:pt>
                <c:pt idx="129">
                  <c:v>4.5039937649209509</c:v>
                </c:pt>
                <c:pt idx="130">
                  <c:v>2.3403296896593986</c:v>
                </c:pt>
                <c:pt idx="131">
                  <c:v>2.8495161583828952</c:v>
                </c:pt>
                <c:pt idx="132">
                  <c:v>2.205642438110853</c:v>
                </c:pt>
                <c:pt idx="133">
                  <c:v>2.5340246118715477</c:v>
                </c:pt>
                <c:pt idx="134">
                  <c:v>8.5114978128229008E-3</c:v>
                </c:pt>
                <c:pt idx="135">
                  <c:v>0.37877059022853471</c:v>
                </c:pt>
                <c:pt idx="136">
                  <c:v>2.0467682872019504</c:v>
                </c:pt>
                <c:pt idx="137">
                  <c:v>1.6466095027656023</c:v>
                </c:pt>
                <c:pt idx="138">
                  <c:v>3.6022776817632094</c:v>
                </c:pt>
                <c:pt idx="139">
                  <c:v>2.1962704098863481</c:v>
                </c:pt>
                <c:pt idx="140">
                  <c:v>3.0431551017649219</c:v>
                </c:pt>
                <c:pt idx="141">
                  <c:v>6.4921604623138771</c:v>
                </c:pt>
                <c:pt idx="142">
                  <c:v>9.9973619768346289</c:v>
                </c:pt>
                <c:pt idx="143">
                  <c:v>10.118324806866068</c:v>
                </c:pt>
                <c:pt idx="144">
                  <c:v>12.272744187245422</c:v>
                </c:pt>
                <c:pt idx="145">
                  <c:v>12.844306451150628</c:v>
                </c:pt>
                <c:pt idx="146">
                  <c:v>14.815281332985847</c:v>
                </c:pt>
                <c:pt idx="147">
                  <c:v>14.732382232432476</c:v>
                </c:pt>
                <c:pt idx="148">
                  <c:v>17.151500924565514</c:v>
                </c:pt>
                <c:pt idx="149">
                  <c:v>17.412778030148324</c:v>
                </c:pt>
                <c:pt idx="150">
                  <c:v>19.542220343733064</c:v>
                </c:pt>
                <c:pt idx="151">
                  <c:v>24.825562240787871</c:v>
                </c:pt>
                <c:pt idx="152">
                  <c:v>25.956924224897797</c:v>
                </c:pt>
                <c:pt idx="153">
                  <c:v>27.234118781529116</c:v>
                </c:pt>
                <c:pt idx="154">
                  <c:v>25.495381849081937</c:v>
                </c:pt>
                <c:pt idx="155">
                  <c:v>25.384988843327029</c:v>
                </c:pt>
                <c:pt idx="156">
                  <c:v>22.789870639409916</c:v>
                </c:pt>
                <c:pt idx="157">
                  <c:v>22.442491751277576</c:v>
                </c:pt>
                <c:pt idx="158">
                  <c:v>22.944404303253091</c:v>
                </c:pt>
                <c:pt idx="159">
                  <c:v>18.560198211140715</c:v>
                </c:pt>
                <c:pt idx="160">
                  <c:v>18.823212895839848</c:v>
                </c:pt>
                <c:pt idx="161">
                  <c:v>18.838256532251723</c:v>
                </c:pt>
                <c:pt idx="162">
                  <c:v>17.515170249487497</c:v>
                </c:pt>
                <c:pt idx="163">
                  <c:v>16.810246860530441</c:v>
                </c:pt>
                <c:pt idx="164">
                  <c:v>17.213287842604405</c:v>
                </c:pt>
                <c:pt idx="165">
                  <c:v>16.175884818282285</c:v>
                </c:pt>
                <c:pt idx="166">
                  <c:v>18.79896381044556</c:v>
                </c:pt>
                <c:pt idx="167">
                  <c:v>17.829196303263892</c:v>
                </c:pt>
                <c:pt idx="168">
                  <c:v>16.990271918529075</c:v>
                </c:pt>
                <c:pt idx="169">
                  <c:v>18.272507861947076</c:v>
                </c:pt>
                <c:pt idx="170">
                  <c:v>14.644665662214445</c:v>
                </c:pt>
                <c:pt idx="171">
                  <c:v>14.537301195778884</c:v>
                </c:pt>
                <c:pt idx="172">
                  <c:v>15.236416545085612</c:v>
                </c:pt>
                <c:pt idx="173">
                  <c:v>13.238750716251275</c:v>
                </c:pt>
                <c:pt idx="174">
                  <c:v>15.917127352293184</c:v>
                </c:pt>
                <c:pt idx="175">
                  <c:v>14.798832219789357</c:v>
                </c:pt>
                <c:pt idx="176">
                  <c:v>14.779282692866486</c:v>
                </c:pt>
                <c:pt idx="177">
                  <c:v>11.818662296342763</c:v>
                </c:pt>
                <c:pt idx="178">
                  <c:v>9.2513815267444386</c:v>
                </c:pt>
                <c:pt idx="179">
                  <c:v>7.6347248355092283</c:v>
                </c:pt>
                <c:pt idx="180">
                  <c:v>8.0359192580474144</c:v>
                </c:pt>
                <c:pt idx="181">
                  <c:v>7.9365332853508583</c:v>
                </c:pt>
                <c:pt idx="182">
                  <c:v>5.1840911936896914</c:v>
                </c:pt>
                <c:pt idx="183">
                  <c:v>4.2232297167449051</c:v>
                </c:pt>
                <c:pt idx="184">
                  <c:v>3.5782443899705161</c:v>
                </c:pt>
                <c:pt idx="185">
                  <c:v>2.9873911131777655</c:v>
                </c:pt>
                <c:pt idx="186">
                  <c:v>3.9870370173014322</c:v>
                </c:pt>
                <c:pt idx="187">
                  <c:v>3.8190379372463079</c:v>
                </c:pt>
                <c:pt idx="188">
                  <c:v>2.8394752128338943</c:v>
                </c:pt>
                <c:pt idx="189">
                  <c:v>2.7577301923607309</c:v>
                </c:pt>
                <c:pt idx="190">
                  <c:v>0.80670574334095624</c:v>
                </c:pt>
                <c:pt idx="191">
                  <c:v>2.6471498998443765</c:v>
                </c:pt>
                <c:pt idx="192">
                  <c:v>0.79696767754302822</c:v>
                </c:pt>
                <c:pt idx="193">
                  <c:v>1.1140711537197672</c:v>
                </c:pt>
                <c:pt idx="194">
                  <c:v>-0.80887748980904695</c:v>
                </c:pt>
                <c:pt idx="195">
                  <c:v>-1.4695910020941663</c:v>
                </c:pt>
                <c:pt idx="196">
                  <c:v>-1.8282806032697263</c:v>
                </c:pt>
                <c:pt idx="197">
                  <c:v>-1.6364745460609726</c:v>
                </c:pt>
                <c:pt idx="198">
                  <c:v>-0.38076110962646564</c:v>
                </c:pt>
                <c:pt idx="199">
                  <c:v>0.99999962567593659</c:v>
                </c:pt>
                <c:pt idx="200">
                  <c:v>2.7339046696047209</c:v>
                </c:pt>
                <c:pt idx="201">
                  <c:v>4.4179316028033258</c:v>
                </c:pt>
                <c:pt idx="202">
                  <c:v>1.7341833784126843</c:v>
                </c:pt>
                <c:pt idx="203">
                  <c:v>3.6355619255775489</c:v>
                </c:pt>
                <c:pt idx="204">
                  <c:v>1.3495189768622222</c:v>
                </c:pt>
                <c:pt idx="205">
                  <c:v>0.87727654109324482</c:v>
                </c:pt>
                <c:pt idx="206">
                  <c:v>-0.50955868595981846</c:v>
                </c:pt>
                <c:pt idx="207">
                  <c:v>-2.127903391231134</c:v>
                </c:pt>
                <c:pt idx="208">
                  <c:v>-1.8845309511326191</c:v>
                </c:pt>
                <c:pt idx="209">
                  <c:v>-0.55057911241782309</c:v>
                </c:pt>
                <c:pt idx="210">
                  <c:v>-1.114038533869989E-2</c:v>
                </c:pt>
                <c:pt idx="211">
                  <c:v>-0.1842802006085896</c:v>
                </c:pt>
                <c:pt idx="212">
                  <c:v>-1.5117082374459214</c:v>
                </c:pt>
                <c:pt idx="213">
                  <c:v>-1.33723203960373</c:v>
                </c:pt>
                <c:pt idx="214">
                  <c:v>9.502499755829999E-2</c:v>
                </c:pt>
                <c:pt idx="215">
                  <c:v>-0.16788372908017429</c:v>
                </c:pt>
                <c:pt idx="216">
                  <c:v>0.45353719832667788</c:v>
                </c:pt>
                <c:pt idx="217">
                  <c:v>-1.2280115112554841</c:v>
                </c:pt>
                <c:pt idx="218">
                  <c:v>0.21894954764123173</c:v>
                </c:pt>
                <c:pt idx="219">
                  <c:v>0.50118606282627653</c:v>
                </c:pt>
                <c:pt idx="220">
                  <c:v>2.9389989493666406</c:v>
                </c:pt>
                <c:pt idx="221">
                  <c:v>4.1739631880450832</c:v>
                </c:pt>
                <c:pt idx="222">
                  <c:v>4.6360363985859632</c:v>
                </c:pt>
                <c:pt idx="223">
                  <c:v>6.5312264797582955</c:v>
                </c:pt>
                <c:pt idx="224">
                  <c:v>5.6875142431559835</c:v>
                </c:pt>
                <c:pt idx="225">
                  <c:v>5.1769671319077579</c:v>
                </c:pt>
                <c:pt idx="226">
                  <c:v>5.7907725297507806</c:v>
                </c:pt>
                <c:pt idx="227">
                  <c:v>5.7961094821445673</c:v>
                </c:pt>
                <c:pt idx="228">
                  <c:v>5.6606310685942942</c:v>
                </c:pt>
                <c:pt idx="229">
                  <c:v>6.8147566220341087</c:v>
                </c:pt>
                <c:pt idx="230">
                  <c:v>7.4368440108272154</c:v>
                </c:pt>
                <c:pt idx="231">
                  <c:v>8.2986538452512253</c:v>
                </c:pt>
                <c:pt idx="232">
                  <c:v>5.9590031487784598</c:v>
                </c:pt>
                <c:pt idx="233">
                  <c:v>8.8710270740477135</c:v>
                </c:pt>
                <c:pt idx="234">
                  <c:v>6.0426721210391827</c:v>
                </c:pt>
                <c:pt idx="235">
                  <c:v>6.2599360004266886</c:v>
                </c:pt>
                <c:pt idx="236">
                  <c:v>6.1552847689823738</c:v>
                </c:pt>
                <c:pt idx="237">
                  <c:v>8.243090456660763</c:v>
                </c:pt>
                <c:pt idx="238">
                  <c:v>7.2280689467331181</c:v>
                </c:pt>
                <c:pt idx="239">
                  <c:v>7.1731527992647202</c:v>
                </c:pt>
                <c:pt idx="240">
                  <c:v>8.708909823749579</c:v>
                </c:pt>
                <c:pt idx="241">
                  <c:v>7.8199525515507906</c:v>
                </c:pt>
                <c:pt idx="242">
                  <c:v>8.3988667470723595</c:v>
                </c:pt>
                <c:pt idx="243">
                  <c:v>8.5966606444527542</c:v>
                </c:pt>
                <c:pt idx="244">
                  <c:v>7.5517586025464896</c:v>
                </c:pt>
                <c:pt idx="245">
                  <c:v>9.6507654373615175</c:v>
                </c:pt>
                <c:pt idx="246">
                  <c:v>12.868997039558117</c:v>
                </c:pt>
                <c:pt idx="247">
                  <c:v>14.761988357394513</c:v>
                </c:pt>
                <c:pt idx="248">
                  <c:v>15.767027977349768</c:v>
                </c:pt>
                <c:pt idx="249">
                  <c:v>14.352609108756242</c:v>
                </c:pt>
                <c:pt idx="250">
                  <c:v>11.775129001740959</c:v>
                </c:pt>
                <c:pt idx="251">
                  <c:v>11.669506288606533</c:v>
                </c:pt>
                <c:pt idx="252">
                  <c:v>10.978140778969097</c:v>
                </c:pt>
                <c:pt idx="253">
                  <c:v>9.2795109961447011</c:v>
                </c:pt>
                <c:pt idx="254">
                  <c:v>7.5096768854155602</c:v>
                </c:pt>
                <c:pt idx="255">
                  <c:v>8.1780806950610163</c:v>
                </c:pt>
                <c:pt idx="256">
                  <c:v>6.2593613020667132</c:v>
                </c:pt>
                <c:pt idx="257">
                  <c:v>4.2249686226308683</c:v>
                </c:pt>
                <c:pt idx="258">
                  <c:v>4.985066090516356</c:v>
                </c:pt>
                <c:pt idx="259">
                  <c:v>5.2832684217830765</c:v>
                </c:pt>
                <c:pt idx="260">
                  <c:v>3.5176098854043389</c:v>
                </c:pt>
                <c:pt idx="261">
                  <c:v>2.1875586787432488</c:v>
                </c:pt>
                <c:pt idx="262">
                  <c:v>2.9968877440887089</c:v>
                </c:pt>
                <c:pt idx="263">
                  <c:v>1.0159411937143221</c:v>
                </c:pt>
                <c:pt idx="264">
                  <c:v>-1.7389895514003624</c:v>
                </c:pt>
                <c:pt idx="265">
                  <c:v>-0.5325551595158341</c:v>
                </c:pt>
                <c:pt idx="266">
                  <c:v>-1.1909198753459871</c:v>
                </c:pt>
                <c:pt idx="267">
                  <c:v>0.17193621069560261</c:v>
                </c:pt>
                <c:pt idx="268">
                  <c:v>-0.16535291578526737</c:v>
                </c:pt>
                <c:pt idx="269">
                  <c:v>-0.99324809510743273</c:v>
                </c:pt>
                <c:pt idx="270">
                  <c:v>0.88621457511875668</c:v>
                </c:pt>
                <c:pt idx="271">
                  <c:v>-0.43567575095593231</c:v>
                </c:pt>
                <c:pt idx="272">
                  <c:v>0.33354499327642267</c:v>
                </c:pt>
                <c:pt idx="273">
                  <c:v>-0.47011173187856387</c:v>
                </c:pt>
                <c:pt idx="274">
                  <c:v>0.20136862622836307</c:v>
                </c:pt>
                <c:pt idx="275">
                  <c:v>-0.1587807574214109</c:v>
                </c:pt>
                <c:pt idx="276">
                  <c:v>8.0159068374840367E-2</c:v>
                </c:pt>
                <c:pt idx="277">
                  <c:v>-3.053079238096827</c:v>
                </c:pt>
                <c:pt idx="278">
                  <c:v>-3.57835579440777</c:v>
                </c:pt>
                <c:pt idx="279">
                  <c:v>-1.9630762886128215</c:v>
                </c:pt>
                <c:pt idx="280">
                  <c:v>-3.7444707217554307</c:v>
                </c:pt>
                <c:pt idx="281">
                  <c:v>-4.3439363162451281</c:v>
                </c:pt>
                <c:pt idx="282">
                  <c:v>-3.2405887112327796</c:v>
                </c:pt>
                <c:pt idx="283">
                  <c:v>-3.1287463099024442</c:v>
                </c:pt>
                <c:pt idx="284">
                  <c:v>-1.1770456304540626</c:v>
                </c:pt>
                <c:pt idx="285">
                  <c:v>-2.7597008052364291</c:v>
                </c:pt>
                <c:pt idx="286">
                  <c:v>-2.5309385942399092</c:v>
                </c:pt>
                <c:pt idx="287">
                  <c:v>-2.3090466942055534</c:v>
                </c:pt>
                <c:pt idx="288">
                  <c:v>-1.7786045051830468</c:v>
                </c:pt>
                <c:pt idx="289">
                  <c:v>-2.6584949332584338</c:v>
                </c:pt>
                <c:pt idx="290">
                  <c:v>-1.6519697519246974</c:v>
                </c:pt>
                <c:pt idx="291">
                  <c:v>-0.248393856799693</c:v>
                </c:pt>
                <c:pt idx="292">
                  <c:v>-0.36848468625037201</c:v>
                </c:pt>
                <c:pt idx="293">
                  <c:v>0.6437996738201629</c:v>
                </c:pt>
                <c:pt idx="294">
                  <c:v>0.78368792073330373</c:v>
                </c:pt>
                <c:pt idx="295">
                  <c:v>0.78761554150108526</c:v>
                </c:pt>
                <c:pt idx="296">
                  <c:v>0.83327932928717818</c:v>
                </c:pt>
                <c:pt idx="297">
                  <c:v>-8.6026716823081537E-2</c:v>
                </c:pt>
                <c:pt idx="298">
                  <c:v>1.4052580611861791</c:v>
                </c:pt>
                <c:pt idx="299">
                  <c:v>2.1025397887839739</c:v>
                </c:pt>
                <c:pt idx="300">
                  <c:v>0.49530200744900427</c:v>
                </c:pt>
                <c:pt idx="301">
                  <c:v>1.8166444576464627</c:v>
                </c:pt>
                <c:pt idx="302">
                  <c:v>0.58634427229078145</c:v>
                </c:pt>
                <c:pt idx="303">
                  <c:v>6.1949293526515611E-2</c:v>
                </c:pt>
                <c:pt idx="304">
                  <c:v>0.29346857412882987</c:v>
                </c:pt>
                <c:pt idx="305">
                  <c:v>-1.0444498714990533</c:v>
                </c:pt>
                <c:pt idx="306">
                  <c:v>1.3208700390197434</c:v>
                </c:pt>
                <c:pt idx="307">
                  <c:v>7.6230677371695865E-2</c:v>
                </c:pt>
                <c:pt idx="308">
                  <c:v>0.32121886961342466</c:v>
                </c:pt>
                <c:pt idx="309">
                  <c:v>1.5091482847496465</c:v>
                </c:pt>
                <c:pt idx="310">
                  <c:v>0.17675830008235049</c:v>
                </c:pt>
                <c:pt idx="311">
                  <c:v>0.29375805677497974</c:v>
                </c:pt>
                <c:pt idx="312">
                  <c:v>-2.0634142580266945</c:v>
                </c:pt>
                <c:pt idx="313">
                  <c:v>-0.91711224003948855</c:v>
                </c:pt>
                <c:pt idx="314">
                  <c:v>-0.22868039266535187</c:v>
                </c:pt>
                <c:pt idx="315">
                  <c:v>0.16542752110896394</c:v>
                </c:pt>
                <c:pt idx="316">
                  <c:v>-0.70816369507821508</c:v>
                </c:pt>
                <c:pt idx="317">
                  <c:v>0.35798958348846527</c:v>
                </c:pt>
                <c:pt idx="318">
                  <c:v>-1.5351184284055583</c:v>
                </c:pt>
                <c:pt idx="319">
                  <c:v>-1.5820019596010058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E8-4F4E-AC84-069F64BCA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'240807A007'!$A$2:$A$321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'240807A007'!$J$2:$J$321</c:f>
              <c:numCache>
                <c:formatCode>0.0</c:formatCode>
                <c:ptCount val="320"/>
                <c:pt idx="0">
                  <c:v>399.94872388367003</c:v>
                </c:pt>
                <c:pt idx="1">
                  <c:v>397.76625897577998</c:v>
                </c:pt>
                <c:pt idx="2">
                  <c:v>395.13152546534002</c:v>
                </c:pt>
                <c:pt idx="3">
                  <c:v>391.75109967230003</c:v>
                </c:pt>
                <c:pt idx="4">
                  <c:v>386.41919969185994</c:v>
                </c:pt>
                <c:pt idx="5">
                  <c:v>385.19798981787005</c:v>
                </c:pt>
                <c:pt idx="6">
                  <c:v>387.39749040682</c:v>
                </c:pt>
                <c:pt idx="7">
                  <c:v>338.16987019798</c:v>
                </c:pt>
                <c:pt idx="8">
                  <c:v>329.43204405402003</c:v>
                </c:pt>
                <c:pt idx="9">
                  <c:v>409.96729213239007</c:v>
                </c:pt>
                <c:pt idx="10">
                  <c:v>414.19795462145998</c:v>
                </c:pt>
                <c:pt idx="11">
                  <c:v>421.37997981610994</c:v>
                </c:pt>
                <c:pt idx="12">
                  <c:v>417.72689619968003</c:v>
                </c:pt>
                <c:pt idx="13">
                  <c:v>412.25573451151001</c:v>
                </c:pt>
                <c:pt idx="14">
                  <c:v>414.79163942492994</c:v>
                </c:pt>
                <c:pt idx="15">
                  <c:v>405.87491336463995</c:v>
                </c:pt>
                <c:pt idx="16">
                  <c:v>408.08461659581008</c:v>
                </c:pt>
                <c:pt idx="17">
                  <c:v>406.42191255970005</c:v>
                </c:pt>
                <c:pt idx="18">
                  <c:v>415.61796042618005</c:v>
                </c:pt>
                <c:pt idx="19">
                  <c:v>400.51390857082993</c:v>
                </c:pt>
                <c:pt idx="20">
                  <c:v>400.76991549886998</c:v>
                </c:pt>
                <c:pt idx="21">
                  <c:v>410.53084028761998</c:v>
                </c:pt>
                <c:pt idx="22">
                  <c:v>415.66426284574004</c:v>
                </c:pt>
                <c:pt idx="23">
                  <c:v>409.02309872461001</c:v>
                </c:pt>
                <c:pt idx="24">
                  <c:v>418.75763921691998</c:v>
                </c:pt>
                <c:pt idx="25">
                  <c:v>416.99042145593</c:v>
                </c:pt>
                <c:pt idx="26">
                  <c:v>414.66324463339004</c:v>
                </c:pt>
                <c:pt idx="27">
                  <c:v>408.89916548575002</c:v>
                </c:pt>
                <c:pt idx="28">
                  <c:v>414.54265470004998</c:v>
                </c:pt>
                <c:pt idx="29">
                  <c:v>415.33410486538003</c:v>
                </c:pt>
                <c:pt idx="30">
                  <c:v>400.61772424289995</c:v>
                </c:pt>
                <c:pt idx="31">
                  <c:v>406.84965097360003</c:v>
                </c:pt>
                <c:pt idx="32">
                  <c:v>415.46445704088001</c:v>
                </c:pt>
                <c:pt idx="33">
                  <c:v>414.14292237443004</c:v>
                </c:pt>
                <c:pt idx="34">
                  <c:v>414.07915288929996</c:v>
                </c:pt>
                <c:pt idx="35">
                  <c:v>415.36589513461996</c:v>
                </c:pt>
                <c:pt idx="36">
                  <c:v>396.35610664987001</c:v>
                </c:pt>
                <c:pt idx="37">
                  <c:v>395.03447751009992</c:v>
                </c:pt>
                <c:pt idx="38">
                  <c:v>405.82108329396999</c:v>
                </c:pt>
                <c:pt idx="39">
                  <c:v>408.51546648828992</c:v>
                </c:pt>
                <c:pt idx="40">
                  <c:v>410.14618386103996</c:v>
                </c:pt>
                <c:pt idx="41">
                  <c:v>400.00894602354998</c:v>
                </c:pt>
                <c:pt idx="42">
                  <c:v>405.52202406563993</c:v>
                </c:pt>
                <c:pt idx="43">
                  <c:v>407.56649777988002</c:v>
                </c:pt>
                <c:pt idx="44">
                  <c:v>409.18072339976004</c:v>
                </c:pt>
                <c:pt idx="45">
                  <c:v>408.87504833210005</c:v>
                </c:pt>
                <c:pt idx="46">
                  <c:v>409.92570916377002</c:v>
                </c:pt>
                <c:pt idx="47">
                  <c:v>405.82661542439996</c:v>
                </c:pt>
                <c:pt idx="48">
                  <c:v>404.74068648191997</c:v>
                </c:pt>
                <c:pt idx="49">
                  <c:v>399.61257767965003</c:v>
                </c:pt>
                <c:pt idx="50">
                  <c:v>404.00579209887007</c:v>
                </c:pt>
                <c:pt idx="51">
                  <c:v>405.41561069059003</c:v>
                </c:pt>
                <c:pt idx="52">
                  <c:v>410.87132569385994</c:v>
                </c:pt>
                <c:pt idx="53">
                  <c:v>405.41581394262005</c:v>
                </c:pt>
                <c:pt idx="54">
                  <c:v>391.23188078217004</c:v>
                </c:pt>
                <c:pt idx="55">
                  <c:v>394.12899574676999</c:v>
                </c:pt>
                <c:pt idx="56">
                  <c:v>402.03524904214004</c:v>
                </c:pt>
                <c:pt idx="57">
                  <c:v>402.50763515581002</c:v>
                </c:pt>
                <c:pt idx="58">
                  <c:v>398.75646752036005</c:v>
                </c:pt>
                <c:pt idx="59">
                  <c:v>403.91264367816007</c:v>
                </c:pt>
                <c:pt idx="60">
                  <c:v>412.02911877395002</c:v>
                </c:pt>
                <c:pt idx="61">
                  <c:v>412.85134099616005</c:v>
                </c:pt>
                <c:pt idx="62">
                  <c:v>418.23754789272004</c:v>
                </c:pt>
                <c:pt idx="63">
                  <c:v>415.08272179699998</c:v>
                </c:pt>
                <c:pt idx="64">
                  <c:v>415.35945711354003</c:v>
                </c:pt>
                <c:pt idx="65">
                  <c:v>417.67438035369003</c:v>
                </c:pt>
                <c:pt idx="66">
                  <c:v>414.49836518346001</c:v>
                </c:pt>
                <c:pt idx="67">
                  <c:v>413.04157381943003</c:v>
                </c:pt>
                <c:pt idx="68">
                  <c:v>417.73637672472</c:v>
                </c:pt>
                <c:pt idx="69">
                  <c:v>417.44137931034993</c:v>
                </c:pt>
                <c:pt idx="70">
                  <c:v>412.47739463600999</c:v>
                </c:pt>
                <c:pt idx="71">
                  <c:v>417.33946360153004</c:v>
                </c:pt>
                <c:pt idx="72">
                  <c:v>419.08582375479</c:v>
                </c:pt>
                <c:pt idx="73">
                  <c:v>418.13696436547002</c:v>
                </c:pt>
                <c:pt idx="74">
                  <c:v>419.86829266859996</c:v>
                </c:pt>
                <c:pt idx="75">
                  <c:v>418.62660484686006</c:v>
                </c:pt>
                <c:pt idx="76">
                  <c:v>416.88927849469997</c:v>
                </c:pt>
                <c:pt idx="77">
                  <c:v>414.76118397855998</c:v>
                </c:pt>
                <c:pt idx="78">
                  <c:v>417.19448170650992</c:v>
                </c:pt>
                <c:pt idx="79">
                  <c:v>416.14789272030998</c:v>
                </c:pt>
                <c:pt idx="80">
                  <c:v>405.67198921484004</c:v>
                </c:pt>
                <c:pt idx="81">
                  <c:v>404.64608906514002</c:v>
                </c:pt>
                <c:pt idx="82">
                  <c:v>411.93164331076997</c:v>
                </c:pt>
                <c:pt idx="83">
                  <c:v>416.13230987245993</c:v>
                </c:pt>
                <c:pt idx="84">
                  <c:v>415.46729124023</c:v>
                </c:pt>
                <c:pt idx="85">
                  <c:v>413.63051991104999</c:v>
                </c:pt>
                <c:pt idx="86">
                  <c:v>411.39359631057005</c:v>
                </c:pt>
                <c:pt idx="87">
                  <c:v>412.02801335421998</c:v>
                </c:pt>
                <c:pt idx="88">
                  <c:v>411.04453759359001</c:v>
                </c:pt>
                <c:pt idx="89">
                  <c:v>406.30990519508998</c:v>
                </c:pt>
                <c:pt idx="90">
                  <c:v>404.04665386605006</c:v>
                </c:pt>
                <c:pt idx="91">
                  <c:v>408.48369850162999</c:v>
                </c:pt>
                <c:pt idx="92">
                  <c:v>404.15283261676996</c:v>
                </c:pt>
                <c:pt idx="93">
                  <c:v>401.50328741480996</c:v>
                </c:pt>
                <c:pt idx="94">
                  <c:v>393.85641835570999</c:v>
                </c:pt>
                <c:pt idx="95">
                  <c:v>408.16062706560001</c:v>
                </c:pt>
                <c:pt idx="96">
                  <c:v>403.39184873212002</c:v>
                </c:pt>
                <c:pt idx="97">
                  <c:v>400.82988271588999</c:v>
                </c:pt>
                <c:pt idx="98">
                  <c:v>389.75389498233005</c:v>
                </c:pt>
                <c:pt idx="99">
                  <c:v>394.27628641819001</c:v>
                </c:pt>
                <c:pt idx="100">
                  <c:v>400.78980685096997</c:v>
                </c:pt>
                <c:pt idx="101">
                  <c:v>402.39184267515003</c:v>
                </c:pt>
                <c:pt idx="102">
                  <c:v>399.44831969979998</c:v>
                </c:pt>
                <c:pt idx="103">
                  <c:v>399.41651200393994</c:v>
                </c:pt>
                <c:pt idx="104">
                  <c:v>397.83835459945993</c:v>
                </c:pt>
                <c:pt idx="105">
                  <c:v>394.71461035537004</c:v>
                </c:pt>
                <c:pt idx="106">
                  <c:v>397.20159583817008</c:v>
                </c:pt>
                <c:pt idx="107">
                  <c:v>392.91600421163997</c:v>
                </c:pt>
                <c:pt idx="108">
                  <c:v>400.64281243601999</c:v>
                </c:pt>
                <c:pt idx="109">
                  <c:v>392.72097635392993</c:v>
                </c:pt>
                <c:pt idx="110">
                  <c:v>374.55550996431998</c:v>
                </c:pt>
                <c:pt idx="111">
                  <c:v>369.70001574554999</c:v>
                </c:pt>
                <c:pt idx="112">
                  <c:v>375.29002173172995</c:v>
                </c:pt>
                <c:pt idx="113">
                  <c:v>380.53214463382994</c:v>
                </c:pt>
                <c:pt idx="114">
                  <c:v>383.38544410406996</c:v>
                </c:pt>
                <c:pt idx="115">
                  <c:v>386.46919068938996</c:v>
                </c:pt>
                <c:pt idx="116">
                  <c:v>381.96277153753999</c:v>
                </c:pt>
                <c:pt idx="117">
                  <c:v>375.62180834715991</c:v>
                </c:pt>
                <c:pt idx="118">
                  <c:v>386.43509297982996</c:v>
                </c:pt>
                <c:pt idx="119">
                  <c:v>386.05113232857002</c:v>
                </c:pt>
                <c:pt idx="120">
                  <c:v>376.03804606482004</c:v>
                </c:pt>
                <c:pt idx="121">
                  <c:v>376.33161578111003</c:v>
                </c:pt>
                <c:pt idx="122">
                  <c:v>377.94283489780003</c:v>
                </c:pt>
                <c:pt idx="123">
                  <c:v>378.74718322020999</c:v>
                </c:pt>
                <c:pt idx="124">
                  <c:v>362.71775985096002</c:v>
                </c:pt>
                <c:pt idx="125">
                  <c:v>364.86132025729995</c:v>
                </c:pt>
                <c:pt idx="126">
                  <c:v>375.70800028119993</c:v>
                </c:pt>
                <c:pt idx="127">
                  <c:v>383.04316847692007</c:v>
                </c:pt>
                <c:pt idx="128">
                  <c:v>385.37092340679999</c:v>
                </c:pt>
                <c:pt idx="129">
                  <c:v>388.18817357376997</c:v>
                </c:pt>
                <c:pt idx="130">
                  <c:v>382.70889310696998</c:v>
                </c:pt>
                <c:pt idx="131">
                  <c:v>372.31680625642002</c:v>
                </c:pt>
                <c:pt idx="132">
                  <c:v>373.87844369387994</c:v>
                </c:pt>
                <c:pt idx="133">
                  <c:v>382.35355062195003</c:v>
                </c:pt>
                <c:pt idx="134">
                  <c:v>384.08953970504001</c:v>
                </c:pt>
                <c:pt idx="135">
                  <c:v>381.94684301685004</c:v>
                </c:pt>
                <c:pt idx="136">
                  <c:v>384.07530572612995</c:v>
                </c:pt>
                <c:pt idx="137">
                  <c:v>383.59615283682001</c:v>
                </c:pt>
                <c:pt idx="138">
                  <c:v>378.42302346925999</c:v>
                </c:pt>
                <c:pt idx="139">
                  <c:v>378.45293474935994</c:v>
                </c:pt>
                <c:pt idx="140">
                  <c:v>379.33717640546001</c:v>
                </c:pt>
                <c:pt idx="141">
                  <c:v>376.31142578267998</c:v>
                </c:pt>
                <c:pt idx="142">
                  <c:v>377.10485847064001</c:v>
                </c:pt>
                <c:pt idx="143">
                  <c:v>370.56627187039999</c:v>
                </c:pt>
                <c:pt idx="144">
                  <c:v>382.58395757760997</c:v>
                </c:pt>
                <c:pt idx="145">
                  <c:v>379.15932870067002</c:v>
                </c:pt>
                <c:pt idx="146">
                  <c:v>384.82455020904996</c:v>
                </c:pt>
                <c:pt idx="147">
                  <c:v>392.90304619552995</c:v>
                </c:pt>
                <c:pt idx="148">
                  <c:v>391.64774558221001</c:v>
                </c:pt>
                <c:pt idx="149">
                  <c:v>391.11294925494008</c:v>
                </c:pt>
                <c:pt idx="150">
                  <c:v>401.73778761243</c:v>
                </c:pt>
                <c:pt idx="151">
                  <c:v>395.79741342833995</c:v>
                </c:pt>
                <c:pt idx="152">
                  <c:v>396.23256850884002</c:v>
                </c:pt>
                <c:pt idx="153">
                  <c:v>393.15566235668996</c:v>
                </c:pt>
                <c:pt idx="154">
                  <c:v>391.87477946733998</c:v>
                </c:pt>
                <c:pt idx="155">
                  <c:v>394.80665318521005</c:v>
                </c:pt>
                <c:pt idx="156">
                  <c:v>392.29305821828996</c:v>
                </c:pt>
                <c:pt idx="157">
                  <c:v>383.97310245613994</c:v>
                </c:pt>
                <c:pt idx="158">
                  <c:v>378.74317176263003</c:v>
                </c:pt>
                <c:pt idx="159">
                  <c:v>376.8359513718101</c:v>
                </c:pt>
                <c:pt idx="160">
                  <c:v>373.32288617956999</c:v>
                </c:pt>
                <c:pt idx="161">
                  <c:v>366.30021221054005</c:v>
                </c:pt>
                <c:pt idx="162">
                  <c:v>372.08213826824999</c:v>
                </c:pt>
                <c:pt idx="163">
                  <c:v>378.48243768858993</c:v>
                </c:pt>
                <c:pt idx="164">
                  <c:v>374.84808690749003</c:v>
                </c:pt>
                <c:pt idx="165">
                  <c:v>374.40304478514003</c:v>
                </c:pt>
                <c:pt idx="166">
                  <c:v>374.97446903760999</c:v>
                </c:pt>
                <c:pt idx="167">
                  <c:v>375.75621835010998</c:v>
                </c:pt>
                <c:pt idx="168">
                  <c:v>378.68602898855005</c:v>
                </c:pt>
                <c:pt idx="169">
                  <c:v>379.03355717184002</c:v>
                </c:pt>
                <c:pt idx="170">
                  <c:v>379.32995249972009</c:v>
                </c:pt>
                <c:pt idx="171">
                  <c:v>379.33837929290007</c:v>
                </c:pt>
                <c:pt idx="172">
                  <c:v>378.89428601328996</c:v>
                </c:pt>
                <c:pt idx="173">
                  <c:v>379.42417630334995</c:v>
                </c:pt>
                <c:pt idx="174">
                  <c:v>378.08965575382001</c:v>
                </c:pt>
                <c:pt idx="175">
                  <c:v>376.54727411205999</c:v>
                </c:pt>
                <c:pt idx="176">
                  <c:v>376.28826621085</c:v>
                </c:pt>
                <c:pt idx="177">
                  <c:v>378.44943865952996</c:v>
                </c:pt>
                <c:pt idx="178">
                  <c:v>377.81859138716004</c:v>
                </c:pt>
                <c:pt idx="179">
                  <c:v>377.53621881523009</c:v>
                </c:pt>
                <c:pt idx="180">
                  <c:v>378.79012145419006</c:v>
                </c:pt>
                <c:pt idx="181">
                  <c:v>377.91984662700997</c:v>
                </c:pt>
                <c:pt idx="182">
                  <c:v>378.77999639532993</c:v>
                </c:pt>
                <c:pt idx="183">
                  <c:v>379.20045814220003</c:v>
                </c:pt>
                <c:pt idx="184">
                  <c:v>378.17219518717997</c:v>
                </c:pt>
                <c:pt idx="185">
                  <c:v>379.38158245106001</c:v>
                </c:pt>
                <c:pt idx="186">
                  <c:v>377.98206443061008</c:v>
                </c:pt>
                <c:pt idx="187">
                  <c:v>385.35839051322995</c:v>
                </c:pt>
                <c:pt idx="188">
                  <c:v>384.97246915198991</c:v>
                </c:pt>
                <c:pt idx="189">
                  <c:v>385.65048147662003</c:v>
                </c:pt>
                <c:pt idx="190">
                  <c:v>384.23771979662001</c:v>
                </c:pt>
                <c:pt idx="191">
                  <c:v>384.15128126685005</c:v>
                </c:pt>
                <c:pt idx="192">
                  <c:v>383.51261454191001</c:v>
                </c:pt>
                <c:pt idx="193">
                  <c:v>384.20709176464004</c:v>
                </c:pt>
                <c:pt idx="194">
                  <c:v>367.55446877322004</c:v>
                </c:pt>
                <c:pt idx="195">
                  <c:v>379.34378249472002</c:v>
                </c:pt>
                <c:pt idx="196">
                  <c:v>377.04096197515003</c:v>
                </c:pt>
                <c:pt idx="197">
                  <c:v>379.55613596710998</c:v>
                </c:pt>
                <c:pt idx="198">
                  <c:v>379.03101782441996</c:v>
                </c:pt>
                <c:pt idx="199">
                  <c:v>386.63664308195996</c:v>
                </c:pt>
                <c:pt idx="200">
                  <c:v>382.10471179744002</c:v>
                </c:pt>
                <c:pt idx="201">
                  <c:v>382.55808143149</c:v>
                </c:pt>
                <c:pt idx="202">
                  <c:v>383.97731147120004</c:v>
                </c:pt>
                <c:pt idx="203">
                  <c:v>382.17617284275002</c:v>
                </c:pt>
                <c:pt idx="204">
                  <c:v>381.77808242363</c:v>
                </c:pt>
                <c:pt idx="205">
                  <c:v>382.45531656614003</c:v>
                </c:pt>
                <c:pt idx="206">
                  <c:v>383.48949526253</c:v>
                </c:pt>
                <c:pt idx="207">
                  <c:v>384.44625072586996</c:v>
                </c:pt>
                <c:pt idx="208">
                  <c:v>384.98595944475005</c:v>
                </c:pt>
                <c:pt idx="209">
                  <c:v>385.26554262854</c:v>
                </c:pt>
                <c:pt idx="210">
                  <c:v>383.27737187511997</c:v>
                </c:pt>
                <c:pt idx="211">
                  <c:v>385.12766470280997</c:v>
                </c:pt>
                <c:pt idx="212">
                  <c:v>383.97945916607</c:v>
                </c:pt>
                <c:pt idx="213">
                  <c:v>388.54470502752997</c:v>
                </c:pt>
                <c:pt idx="214">
                  <c:v>385.77461984925003</c:v>
                </c:pt>
                <c:pt idx="215">
                  <c:v>381.17775093158997</c:v>
                </c:pt>
                <c:pt idx="216">
                  <c:v>381.58485233138992</c:v>
                </c:pt>
                <c:pt idx="217">
                  <c:v>382.24903514224002</c:v>
                </c:pt>
                <c:pt idx="218">
                  <c:v>389.32267598113003</c:v>
                </c:pt>
                <c:pt idx="219">
                  <c:v>391.63429133364002</c:v>
                </c:pt>
                <c:pt idx="220">
                  <c:v>391.05221816610998</c:v>
                </c:pt>
                <c:pt idx="221">
                  <c:v>390.86958064506996</c:v>
                </c:pt>
                <c:pt idx="222">
                  <c:v>391.62618690654</c:v>
                </c:pt>
                <c:pt idx="223">
                  <c:v>387.76518056760995</c:v>
                </c:pt>
                <c:pt idx="224">
                  <c:v>386.65255442454003</c:v>
                </c:pt>
                <c:pt idx="225">
                  <c:v>379.47571916266998</c:v>
                </c:pt>
                <c:pt idx="226">
                  <c:v>375.65068160890996</c:v>
                </c:pt>
                <c:pt idx="227">
                  <c:v>376.75620855228999</c:v>
                </c:pt>
                <c:pt idx="228">
                  <c:v>386.17798866551004</c:v>
                </c:pt>
                <c:pt idx="229">
                  <c:v>380.99071978005998</c:v>
                </c:pt>
                <c:pt idx="230">
                  <c:v>363.11556641075003</c:v>
                </c:pt>
                <c:pt idx="231">
                  <c:v>371.43054788395</c:v>
                </c:pt>
                <c:pt idx="232">
                  <c:v>380.15179603181002</c:v>
                </c:pt>
                <c:pt idx="233">
                  <c:v>369.08375461391995</c:v>
                </c:pt>
                <c:pt idx="234">
                  <c:v>372.58304707295997</c:v>
                </c:pt>
                <c:pt idx="235">
                  <c:v>376.29894000368006</c:v>
                </c:pt>
                <c:pt idx="236">
                  <c:v>370.89873133609001</c:v>
                </c:pt>
                <c:pt idx="237">
                  <c:v>360.12107981097</c:v>
                </c:pt>
                <c:pt idx="238">
                  <c:v>370.05373102922999</c:v>
                </c:pt>
                <c:pt idx="239">
                  <c:v>368.72248086483</c:v>
                </c:pt>
                <c:pt idx="240">
                  <c:v>370.21685823755001</c:v>
                </c:pt>
                <c:pt idx="241">
                  <c:v>373.34482758620999</c:v>
                </c:pt>
                <c:pt idx="242">
                  <c:v>344.05363984674</c:v>
                </c:pt>
                <c:pt idx="243">
                  <c:v>366.87561538864998</c:v>
                </c:pt>
                <c:pt idx="244">
                  <c:v>373.49720778878998</c:v>
                </c:pt>
                <c:pt idx="245">
                  <c:v>369.02018054899008</c:v>
                </c:pt>
                <c:pt idx="246">
                  <c:v>358.19638039581992</c:v>
                </c:pt>
                <c:pt idx="247">
                  <c:v>351.02007827123003</c:v>
                </c:pt>
                <c:pt idx="248">
                  <c:v>360.97697628979995</c:v>
                </c:pt>
                <c:pt idx="249">
                  <c:v>361.26357160879002</c:v>
                </c:pt>
                <c:pt idx="250">
                  <c:v>364.17393755903998</c:v>
                </c:pt>
                <c:pt idx="251">
                  <c:v>360.27970111421996</c:v>
                </c:pt>
                <c:pt idx="252">
                  <c:v>358.33338320630003</c:v>
                </c:pt>
                <c:pt idx="253">
                  <c:v>363.08973320895001</c:v>
                </c:pt>
                <c:pt idx="254">
                  <c:v>361.87033849079</c:v>
                </c:pt>
                <c:pt idx="255">
                  <c:v>361.44491149014993</c:v>
                </c:pt>
                <c:pt idx="256">
                  <c:v>371.00326521272001</c:v>
                </c:pt>
                <c:pt idx="257">
                  <c:v>370.60313026233007</c:v>
                </c:pt>
                <c:pt idx="258">
                  <c:v>363.24865344257006</c:v>
                </c:pt>
                <c:pt idx="259">
                  <c:v>355.04690720592998</c:v>
                </c:pt>
                <c:pt idx="260">
                  <c:v>356.42143018127001</c:v>
                </c:pt>
                <c:pt idx="261">
                  <c:v>357.88627626600004</c:v>
                </c:pt>
                <c:pt idx="262">
                  <c:v>359.83698883941997</c:v>
                </c:pt>
                <c:pt idx="263">
                  <c:v>350.62914277518996</c:v>
                </c:pt>
                <c:pt idx="264">
                  <c:v>357.18479257952004</c:v>
                </c:pt>
                <c:pt idx="265">
                  <c:v>340.13647749590996</c:v>
                </c:pt>
                <c:pt idx="266">
                  <c:v>345.93960760898</c:v>
                </c:pt>
                <c:pt idx="267">
                  <c:v>340.99806994899006</c:v>
                </c:pt>
                <c:pt idx="268">
                  <c:v>335.82175331993005</c:v>
                </c:pt>
                <c:pt idx="269">
                  <c:v>345.21361631382001</c:v>
                </c:pt>
                <c:pt idx="270">
                  <c:v>340.75499396420003</c:v>
                </c:pt>
                <c:pt idx="271">
                  <c:v>351.33728546686001</c:v>
                </c:pt>
                <c:pt idx="272">
                  <c:v>343.07148871698001</c:v>
                </c:pt>
                <c:pt idx="273">
                  <c:v>313.56259487493003</c:v>
                </c:pt>
                <c:pt idx="274">
                  <c:v>337.87496728919996</c:v>
                </c:pt>
                <c:pt idx="275">
                  <c:v>333.11943813697997</c:v>
                </c:pt>
                <c:pt idx="276">
                  <c:v>349.39562408687999</c:v>
                </c:pt>
                <c:pt idx="277">
                  <c:v>317.00029513063998</c:v>
                </c:pt>
                <c:pt idx="278">
                  <c:v>318.92709627830004</c:v>
                </c:pt>
                <c:pt idx="279">
                  <c:v>331.66138306547998</c:v>
                </c:pt>
                <c:pt idx="280">
                  <c:v>341.46350472032998</c:v>
                </c:pt>
                <c:pt idx="281">
                  <c:v>347.47214447905998</c:v>
                </c:pt>
                <c:pt idx="282">
                  <c:v>349.63971472661001</c:v>
                </c:pt>
                <c:pt idx="283">
                  <c:v>337.75991815365001</c:v>
                </c:pt>
                <c:pt idx="284">
                  <c:v>333.13781115577001</c:v>
                </c:pt>
                <c:pt idx="285">
                  <c:v>328.73617363670996</c:v>
                </c:pt>
                <c:pt idx="286">
                  <c:v>343.53887799592997</c:v>
                </c:pt>
                <c:pt idx="287">
                  <c:v>334.7219407481</c:v>
                </c:pt>
                <c:pt idx="288">
                  <c:v>337.37640148841001</c:v>
                </c:pt>
                <c:pt idx="289">
                  <c:v>333.49016292965996</c:v>
                </c:pt>
                <c:pt idx="290">
                  <c:v>332.65050615961002</c:v>
                </c:pt>
                <c:pt idx="291">
                  <c:v>335.37724620126994</c:v>
                </c:pt>
                <c:pt idx="292">
                  <c:v>336.21328941290994</c:v>
                </c:pt>
                <c:pt idx="293">
                  <c:v>334.93156257353002</c:v>
                </c:pt>
                <c:pt idx="294">
                  <c:v>324.07995724148998</c:v>
                </c:pt>
                <c:pt idx="295">
                  <c:v>321.08261512407</c:v>
                </c:pt>
                <c:pt idx="296">
                  <c:v>331.78581533089999</c:v>
                </c:pt>
                <c:pt idx="297">
                  <c:v>332.52668601257005</c:v>
                </c:pt>
                <c:pt idx="298">
                  <c:v>344.71227651274</c:v>
                </c:pt>
                <c:pt idx="299">
                  <c:v>346.79624817361002</c:v>
                </c:pt>
                <c:pt idx="300">
                  <c:v>342.56485332397995</c:v>
                </c:pt>
                <c:pt idx="301">
                  <c:v>344.31445117136002</c:v>
                </c:pt>
                <c:pt idx="302">
                  <c:v>344.78418004738</c:v>
                </c:pt>
                <c:pt idx="303">
                  <c:v>348.02930303296</c:v>
                </c:pt>
                <c:pt idx="304">
                  <c:v>346.81797841537997</c:v>
                </c:pt>
                <c:pt idx="305">
                  <c:v>348.76612558861001</c:v>
                </c:pt>
                <c:pt idx="306">
                  <c:v>347.92380158520996</c:v>
                </c:pt>
                <c:pt idx="307">
                  <c:v>346.6162235676</c:v>
                </c:pt>
                <c:pt idx="308">
                  <c:v>348.80948495218001</c:v>
                </c:pt>
                <c:pt idx="309">
                  <c:v>347.17802638120997</c:v>
                </c:pt>
                <c:pt idx="310">
                  <c:v>346.92637243719003</c:v>
                </c:pt>
                <c:pt idx="311">
                  <c:v>350.51027170893002</c:v>
                </c:pt>
                <c:pt idx="312">
                  <c:v>349.55958293117999</c:v>
                </c:pt>
                <c:pt idx="313">
                  <c:v>339.56585748761</c:v>
                </c:pt>
                <c:pt idx="314">
                  <c:v>342.28939371390999</c:v>
                </c:pt>
                <c:pt idx="315">
                  <c:v>341.62735334541003</c:v>
                </c:pt>
                <c:pt idx="316">
                  <c:v>341.15278339504999</c:v>
                </c:pt>
                <c:pt idx="317">
                  <c:v>341.36561061942001</c:v>
                </c:pt>
                <c:pt idx="318">
                  <c:v>342.08718065440002</c:v>
                </c:pt>
                <c:pt idx="319">
                  <c:v>341.17078959885998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86-3F46-B396-3A87CC56F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A1-C743-A3EA-6D203E3A2DB6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'240807A007'!$A$2:$A$321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'240807A007'!$P$2:$P$321</c:f>
              <c:numCache>
                <c:formatCode>General</c:formatCode>
                <c:ptCount val="320"/>
                <c:pt idx="0">
                  <c:v>22.071683630232268</c:v>
                </c:pt>
                <c:pt idx="1">
                  <c:v>23.255923840569732</c:v>
                </c:pt>
                <c:pt idx="2">
                  <c:v>23.442905068243387</c:v>
                </c:pt>
                <c:pt idx="3">
                  <c:v>25.213104859807583</c:v>
                </c:pt>
                <c:pt idx="4">
                  <c:v>26.519804947771664</c:v>
                </c:pt>
                <c:pt idx="5">
                  <c:v>26.284527960351934</c:v>
                </c:pt>
                <c:pt idx="6">
                  <c:v>25.757435534733602</c:v>
                </c:pt>
                <c:pt idx="7">
                  <c:v>28.69635699683133</c:v>
                </c:pt>
                <c:pt idx="8">
                  <c:v>28.572395233832705</c:v>
                </c:pt>
                <c:pt idx="9">
                  <c:v>22.23577416346885</c:v>
                </c:pt>
                <c:pt idx="10">
                  <c:v>20.492698429668405</c:v>
                </c:pt>
                <c:pt idx="11">
                  <c:v>18.422286690464365</c:v>
                </c:pt>
                <c:pt idx="12">
                  <c:v>19.629306866198402</c:v>
                </c:pt>
                <c:pt idx="13">
                  <c:v>19.489739170549871</c:v>
                </c:pt>
                <c:pt idx="14">
                  <c:v>18.279115044330567</c:v>
                </c:pt>
                <c:pt idx="15">
                  <c:v>17.439805197289861</c:v>
                </c:pt>
                <c:pt idx="16">
                  <c:v>16.511663153871574</c:v>
                </c:pt>
                <c:pt idx="17">
                  <c:v>15.61406486492039</c:v>
                </c:pt>
                <c:pt idx="18">
                  <c:v>15.886491887421258</c:v>
                </c:pt>
                <c:pt idx="19">
                  <c:v>17.070322814445696</c:v>
                </c:pt>
                <c:pt idx="20">
                  <c:v>14.94023245716779</c:v>
                </c:pt>
                <c:pt idx="21">
                  <c:v>15.633759629350505</c:v>
                </c:pt>
                <c:pt idx="22">
                  <c:v>12.276172588473729</c:v>
                </c:pt>
                <c:pt idx="23">
                  <c:v>12.657260853208705</c:v>
                </c:pt>
                <c:pt idx="24">
                  <c:v>12.68968748812733</c:v>
                </c:pt>
                <c:pt idx="25">
                  <c:v>14.441815186123144</c:v>
                </c:pt>
                <c:pt idx="26">
                  <c:v>16.557648257754941</c:v>
                </c:pt>
                <c:pt idx="27">
                  <c:v>14.188622773240201</c:v>
                </c:pt>
                <c:pt idx="28">
                  <c:v>15.506232228593724</c:v>
                </c:pt>
                <c:pt idx="29">
                  <c:v>12.28083778699756</c:v>
                </c:pt>
                <c:pt idx="30">
                  <c:v>12.28937602938475</c:v>
                </c:pt>
                <c:pt idx="31">
                  <c:v>12.094019499266427</c:v>
                </c:pt>
                <c:pt idx="32">
                  <c:v>11.859798959725801</c:v>
                </c:pt>
                <c:pt idx="33">
                  <c:v>11.697089188772214</c:v>
                </c:pt>
                <c:pt idx="34">
                  <c:v>9.1076362129253479</c:v>
                </c:pt>
                <c:pt idx="35">
                  <c:v>7.6654261421539545</c:v>
                </c:pt>
                <c:pt idx="36">
                  <c:v>6.536580016290892</c:v>
                </c:pt>
                <c:pt idx="37">
                  <c:v>4.3940871685639209</c:v>
                </c:pt>
                <c:pt idx="38">
                  <c:v>4.1810350839218122</c:v>
                </c:pt>
                <c:pt idx="39">
                  <c:v>4.2054923161556408</c:v>
                </c:pt>
                <c:pt idx="40">
                  <c:v>4.8665073626502275</c:v>
                </c:pt>
                <c:pt idx="41">
                  <c:v>4.560047591398793</c:v>
                </c:pt>
                <c:pt idx="42">
                  <c:v>4.3092480988737858</c:v>
                </c:pt>
                <c:pt idx="43">
                  <c:v>3.5631859019877741</c:v>
                </c:pt>
                <c:pt idx="44">
                  <c:v>3.5957882435910973</c:v>
                </c:pt>
                <c:pt idx="45">
                  <c:v>2.981651017880552</c:v>
                </c:pt>
                <c:pt idx="46">
                  <c:v>2.5989923465258657</c:v>
                </c:pt>
                <c:pt idx="47">
                  <c:v>1.2840657715868047</c:v>
                </c:pt>
                <c:pt idx="48">
                  <c:v>1.2723648683427817</c:v>
                </c:pt>
                <c:pt idx="49">
                  <c:v>2.2924605564685123</c:v>
                </c:pt>
                <c:pt idx="50">
                  <c:v>0.99036836257213579</c:v>
                </c:pt>
                <c:pt idx="51">
                  <c:v>1.5543941464026365</c:v>
                </c:pt>
                <c:pt idx="52">
                  <c:v>-0.52495585116339649</c:v>
                </c:pt>
                <c:pt idx="53">
                  <c:v>-0.62897495782116308</c:v>
                </c:pt>
                <c:pt idx="54">
                  <c:v>-0.20785192544457926</c:v>
                </c:pt>
                <c:pt idx="55">
                  <c:v>0.39979816476955926</c:v>
                </c:pt>
                <c:pt idx="56">
                  <c:v>-0.76898335086393188</c:v>
                </c:pt>
                <c:pt idx="57">
                  <c:v>0.54638379478019838</c:v>
                </c:pt>
                <c:pt idx="58">
                  <c:v>-0.18163410565328661</c:v>
                </c:pt>
                <c:pt idx="59">
                  <c:v>0.11589890090327304</c:v>
                </c:pt>
                <c:pt idx="60">
                  <c:v>1.6563268211898119</c:v>
                </c:pt>
                <c:pt idx="61">
                  <c:v>1.7391441532339069</c:v>
                </c:pt>
                <c:pt idx="62">
                  <c:v>1.9794372799524249</c:v>
                </c:pt>
                <c:pt idx="63">
                  <c:v>1.8334495818258678</c:v>
                </c:pt>
                <c:pt idx="64">
                  <c:v>1.6349608459768274</c:v>
                </c:pt>
                <c:pt idx="65">
                  <c:v>1.2513790283732202</c:v>
                </c:pt>
                <c:pt idx="66">
                  <c:v>0.12931537144640412</c:v>
                </c:pt>
                <c:pt idx="67">
                  <c:v>-5.1791027177984714E-2</c:v>
                </c:pt>
                <c:pt idx="68">
                  <c:v>-1.3700626607942774</c:v>
                </c:pt>
                <c:pt idx="69">
                  <c:v>-0.86942817868390887</c:v>
                </c:pt>
                <c:pt idx="70">
                  <c:v>-1.2416087360911865</c:v>
                </c:pt>
                <c:pt idx="71">
                  <c:v>-0.98575296416510905</c:v>
                </c:pt>
                <c:pt idx="72">
                  <c:v>-1.1765389690244799</c:v>
                </c:pt>
                <c:pt idx="73">
                  <c:v>-1.7302297520130305</c:v>
                </c:pt>
                <c:pt idx="74">
                  <c:v>-1.9481603275813126</c:v>
                </c:pt>
                <c:pt idx="75">
                  <c:v>-1.5077297786983528</c:v>
                </c:pt>
                <c:pt idx="76">
                  <c:v>-1.6640116952619146</c:v>
                </c:pt>
                <c:pt idx="77">
                  <c:v>-0.52964274045375104</c:v>
                </c:pt>
                <c:pt idx="78">
                  <c:v>1.3803519834318687</c:v>
                </c:pt>
                <c:pt idx="79">
                  <c:v>1.4705917645149935</c:v>
                </c:pt>
                <c:pt idx="80">
                  <c:v>2.1874245534466485</c:v>
                </c:pt>
                <c:pt idx="81">
                  <c:v>5.0252064461799719</c:v>
                </c:pt>
                <c:pt idx="82">
                  <c:v>6.6434000684037695</c:v>
                </c:pt>
                <c:pt idx="83">
                  <c:v>7.7018848304865646</c:v>
                </c:pt>
                <c:pt idx="84">
                  <c:v>9.064133040196829</c:v>
                </c:pt>
                <c:pt idx="85">
                  <c:v>6.9469037719318862</c:v>
                </c:pt>
                <c:pt idx="86">
                  <c:v>4.894495076616022</c:v>
                </c:pt>
                <c:pt idx="87">
                  <c:v>4.7406224986084045</c:v>
                </c:pt>
                <c:pt idx="88">
                  <c:v>6.7123158995047811</c:v>
                </c:pt>
                <c:pt idx="89">
                  <c:v>5.4308620535358223</c:v>
                </c:pt>
                <c:pt idx="90">
                  <c:v>4.3739393343336914</c:v>
                </c:pt>
                <c:pt idx="91">
                  <c:v>4.1867555034463333</c:v>
                </c:pt>
                <c:pt idx="92">
                  <c:v>3.3252399190023181</c:v>
                </c:pt>
                <c:pt idx="93">
                  <c:v>4.9953826774535255</c:v>
                </c:pt>
                <c:pt idx="94">
                  <c:v>5.4528439354750375</c:v>
                </c:pt>
                <c:pt idx="95">
                  <c:v>4.8246816747777537</c:v>
                </c:pt>
                <c:pt idx="96">
                  <c:v>6.4351156714470541</c:v>
                </c:pt>
                <c:pt idx="97">
                  <c:v>7.0434687815358705</c:v>
                </c:pt>
                <c:pt idx="98">
                  <c:v>5.5421343912151464</c:v>
                </c:pt>
                <c:pt idx="99">
                  <c:v>5.0328711827661898</c:v>
                </c:pt>
                <c:pt idx="100">
                  <c:v>4.8944519150871466</c:v>
                </c:pt>
                <c:pt idx="101">
                  <c:v>4.9209102549501571</c:v>
                </c:pt>
                <c:pt idx="102">
                  <c:v>3.7749626785387171</c:v>
                </c:pt>
                <c:pt idx="103">
                  <c:v>3.8437750285997012</c:v>
                </c:pt>
                <c:pt idx="104">
                  <c:v>3.7392263181420464</c:v>
                </c:pt>
                <c:pt idx="105">
                  <c:v>3.6539047781758116</c:v>
                </c:pt>
                <c:pt idx="106">
                  <c:v>2.2838405764631569</c:v>
                </c:pt>
                <c:pt idx="107">
                  <c:v>1.7961294904293152</c:v>
                </c:pt>
                <c:pt idx="108">
                  <c:v>1.2173999097762636</c:v>
                </c:pt>
                <c:pt idx="109">
                  <c:v>1.1333864070345427</c:v>
                </c:pt>
                <c:pt idx="110">
                  <c:v>0.64493425599218435</c:v>
                </c:pt>
                <c:pt idx="111">
                  <c:v>2.7787743270658729</c:v>
                </c:pt>
                <c:pt idx="112">
                  <c:v>1.5023587403551377</c:v>
                </c:pt>
                <c:pt idx="113">
                  <c:v>0.89780828143895364</c:v>
                </c:pt>
                <c:pt idx="114">
                  <c:v>0.88496093360638517</c:v>
                </c:pt>
                <c:pt idx="115">
                  <c:v>0.72641891379129098</c:v>
                </c:pt>
                <c:pt idx="116">
                  <c:v>0.16850199318353826</c:v>
                </c:pt>
                <c:pt idx="117">
                  <c:v>-0.19912309830471636</c:v>
                </c:pt>
                <c:pt idx="118">
                  <c:v>-0.33075710037735773</c:v>
                </c:pt>
                <c:pt idx="119">
                  <c:v>-1.1058248957262389</c:v>
                </c:pt>
                <c:pt idx="120">
                  <c:v>0.40195609207602129</c:v>
                </c:pt>
                <c:pt idx="121">
                  <c:v>-0.13114469402493389</c:v>
                </c:pt>
                <c:pt idx="122">
                  <c:v>-0.98900559037149516</c:v>
                </c:pt>
                <c:pt idx="123">
                  <c:v>-5.227736276734378E-2</c:v>
                </c:pt>
                <c:pt idx="124">
                  <c:v>-1.2988181066943194</c:v>
                </c:pt>
                <c:pt idx="125">
                  <c:v>8.507401224820077E-2</c:v>
                </c:pt>
                <c:pt idx="126">
                  <c:v>7.6142542432680677E-2</c:v>
                </c:pt>
                <c:pt idx="127">
                  <c:v>-1.0174590857665444</c:v>
                </c:pt>
                <c:pt idx="128">
                  <c:v>-1.4369966528269738</c:v>
                </c:pt>
                <c:pt idx="129">
                  <c:v>-1.3406250607855537</c:v>
                </c:pt>
                <c:pt idx="130">
                  <c:v>-1.1085134272703658</c:v>
                </c:pt>
                <c:pt idx="131">
                  <c:v>-0.85555017702882186</c:v>
                </c:pt>
                <c:pt idx="132">
                  <c:v>-0.28593321142172551</c:v>
                </c:pt>
                <c:pt idx="133">
                  <c:v>-0.18875385019326915</c:v>
                </c:pt>
                <c:pt idx="134">
                  <c:v>-0.34004664368111875</c:v>
                </c:pt>
                <c:pt idx="135">
                  <c:v>-0.35980940397325817</c:v>
                </c:pt>
                <c:pt idx="136">
                  <c:v>0.35831744337051069</c:v>
                </c:pt>
                <c:pt idx="137">
                  <c:v>-0.57834696250091755</c:v>
                </c:pt>
                <c:pt idx="138">
                  <c:v>0.64563955698015296</c:v>
                </c:pt>
                <c:pt idx="139">
                  <c:v>1.4611353427525813</c:v>
                </c:pt>
                <c:pt idx="140">
                  <c:v>0.59884018018055674</c:v>
                </c:pt>
                <c:pt idx="141">
                  <c:v>1.570798874291206</c:v>
                </c:pt>
                <c:pt idx="142">
                  <c:v>-0.24558730923760175</c:v>
                </c:pt>
                <c:pt idx="143">
                  <c:v>1.1599994571081982</c:v>
                </c:pt>
                <c:pt idx="144">
                  <c:v>-1.2925109009090103</c:v>
                </c:pt>
                <c:pt idx="145">
                  <c:v>-0.8334072206156149</c:v>
                </c:pt>
                <c:pt idx="146">
                  <c:v>-1.4773270611249067</c:v>
                </c:pt>
                <c:pt idx="147">
                  <c:v>-0.73357380045538512</c:v>
                </c:pt>
                <c:pt idx="148">
                  <c:v>-0.85681911830493129</c:v>
                </c:pt>
                <c:pt idx="149">
                  <c:v>-0.7904565835908941</c:v>
                </c:pt>
                <c:pt idx="150">
                  <c:v>-0.41792573898139718</c:v>
                </c:pt>
                <c:pt idx="151">
                  <c:v>1.2228770504930899</c:v>
                </c:pt>
                <c:pt idx="152">
                  <c:v>4.1177843165423544</c:v>
                </c:pt>
                <c:pt idx="153">
                  <c:v>3.999524125460912</c:v>
                </c:pt>
                <c:pt idx="154">
                  <c:v>4.5319269073382671</c:v>
                </c:pt>
                <c:pt idx="155">
                  <c:v>4.3834706174302944</c:v>
                </c:pt>
                <c:pt idx="156">
                  <c:v>3.7915446515114115</c:v>
                </c:pt>
                <c:pt idx="157">
                  <c:v>3.1485181661041479</c:v>
                </c:pt>
                <c:pt idx="158">
                  <c:v>1.8250646546270251</c:v>
                </c:pt>
                <c:pt idx="159">
                  <c:v>2.0344822593808742</c:v>
                </c:pt>
                <c:pt idx="160">
                  <c:v>0.67230100683550165</c:v>
                </c:pt>
                <c:pt idx="161">
                  <c:v>3.5591615450091338</c:v>
                </c:pt>
                <c:pt idx="162">
                  <c:v>2.781962120900149</c:v>
                </c:pt>
                <c:pt idx="163">
                  <c:v>2.8317556706892768</c:v>
                </c:pt>
                <c:pt idx="164">
                  <c:v>2.8779053352284523</c:v>
                </c:pt>
                <c:pt idx="165">
                  <c:v>4.5052205625204733</c:v>
                </c:pt>
                <c:pt idx="166">
                  <c:v>2.5454751845589545</c:v>
                </c:pt>
                <c:pt idx="167">
                  <c:v>2.2320637528405793</c:v>
                </c:pt>
                <c:pt idx="168">
                  <c:v>1.8060648681431626</c:v>
                </c:pt>
                <c:pt idx="169">
                  <c:v>2.9581897908824781</c:v>
                </c:pt>
                <c:pt idx="170">
                  <c:v>4.0626950953446368</c:v>
                </c:pt>
                <c:pt idx="171">
                  <c:v>6.4212328770879195</c:v>
                </c:pt>
                <c:pt idx="172">
                  <c:v>10.009674506402286</c:v>
                </c:pt>
                <c:pt idx="173">
                  <c:v>9.408280640710732</c:v>
                </c:pt>
                <c:pt idx="174">
                  <c:v>9.6506537999195512</c:v>
                </c:pt>
                <c:pt idx="175">
                  <c:v>11.837365782594089</c:v>
                </c:pt>
                <c:pt idx="176">
                  <c:v>11.528832284924146</c:v>
                </c:pt>
                <c:pt idx="177">
                  <c:v>11.649593115628983</c:v>
                </c:pt>
                <c:pt idx="178">
                  <c:v>12.608090799838468</c:v>
                </c:pt>
                <c:pt idx="179">
                  <c:v>15.371965525312342</c:v>
                </c:pt>
                <c:pt idx="180">
                  <c:v>17.515234484008477</c:v>
                </c:pt>
                <c:pt idx="181">
                  <c:v>19.65965182914093</c:v>
                </c:pt>
                <c:pt idx="182">
                  <c:v>17.619610328152298</c:v>
                </c:pt>
                <c:pt idx="183">
                  <c:v>17.212678827601387</c:v>
                </c:pt>
                <c:pt idx="184">
                  <c:v>17.772426105040356</c:v>
                </c:pt>
                <c:pt idx="185">
                  <c:v>18.511917194360144</c:v>
                </c:pt>
                <c:pt idx="186">
                  <c:v>19.298573574609581</c:v>
                </c:pt>
                <c:pt idx="187">
                  <c:v>20.589626864910457</c:v>
                </c:pt>
                <c:pt idx="188">
                  <c:v>19.088563686707982</c:v>
                </c:pt>
                <c:pt idx="189">
                  <c:v>16.170324507464731</c:v>
                </c:pt>
                <c:pt idx="190">
                  <c:v>15.221730521735759</c:v>
                </c:pt>
                <c:pt idx="191">
                  <c:v>14.689392101787654</c:v>
                </c:pt>
                <c:pt idx="192">
                  <c:v>16.041841361098982</c:v>
                </c:pt>
                <c:pt idx="193">
                  <c:v>14.895675810703246</c:v>
                </c:pt>
                <c:pt idx="194">
                  <c:v>14.09610109966758</c:v>
                </c:pt>
                <c:pt idx="195">
                  <c:v>14.638021783381797</c:v>
                </c:pt>
                <c:pt idx="196">
                  <c:v>14.248554195955245</c:v>
                </c:pt>
                <c:pt idx="197">
                  <c:v>14.530261872447387</c:v>
                </c:pt>
                <c:pt idx="198">
                  <c:v>14.617932029442859</c:v>
                </c:pt>
                <c:pt idx="199">
                  <c:v>13.043557659788881</c:v>
                </c:pt>
                <c:pt idx="200">
                  <c:v>10.643482618517623</c:v>
                </c:pt>
                <c:pt idx="201">
                  <c:v>8.9194528157856876</c:v>
                </c:pt>
                <c:pt idx="202">
                  <c:v>9.1228825813061842</c:v>
                </c:pt>
                <c:pt idx="203">
                  <c:v>9.4465785674668936</c:v>
                </c:pt>
                <c:pt idx="204">
                  <c:v>11.596047621897199</c:v>
                </c:pt>
                <c:pt idx="205">
                  <c:v>10.890455501486883</c:v>
                </c:pt>
                <c:pt idx="206">
                  <c:v>9.7930638423572294</c:v>
                </c:pt>
                <c:pt idx="207">
                  <c:v>10.930133644279605</c:v>
                </c:pt>
                <c:pt idx="208">
                  <c:v>11.185940576548498</c:v>
                </c:pt>
                <c:pt idx="209">
                  <c:v>12.082758855556598</c:v>
                </c:pt>
                <c:pt idx="210">
                  <c:v>10.79594505267452</c:v>
                </c:pt>
                <c:pt idx="211">
                  <c:v>11.931969957220007</c:v>
                </c:pt>
                <c:pt idx="212">
                  <c:v>14.935645631462604</c:v>
                </c:pt>
                <c:pt idx="213">
                  <c:v>16.363287032258679</c:v>
                </c:pt>
                <c:pt idx="214">
                  <c:v>17.069540963328343</c:v>
                </c:pt>
                <c:pt idx="215">
                  <c:v>17.654339608073695</c:v>
                </c:pt>
                <c:pt idx="216">
                  <c:v>19.299558728152952</c:v>
                </c:pt>
                <c:pt idx="217">
                  <c:v>22.233081757574428</c:v>
                </c:pt>
                <c:pt idx="218">
                  <c:v>22.921495875523334</c:v>
                </c:pt>
                <c:pt idx="219">
                  <c:v>26.164639886094378</c:v>
                </c:pt>
                <c:pt idx="220">
                  <c:v>25.390314358091114</c:v>
                </c:pt>
                <c:pt idx="221">
                  <c:v>25.364478009564113</c:v>
                </c:pt>
                <c:pt idx="222">
                  <c:v>24.82914307146568</c:v>
                </c:pt>
                <c:pt idx="223">
                  <c:v>26.435524465089383</c:v>
                </c:pt>
                <c:pt idx="224">
                  <c:v>25.505487918026247</c:v>
                </c:pt>
                <c:pt idx="225">
                  <c:v>25.5410910439414</c:v>
                </c:pt>
                <c:pt idx="226">
                  <c:v>26.137452665563664</c:v>
                </c:pt>
                <c:pt idx="227">
                  <c:v>24.176528442725655</c:v>
                </c:pt>
                <c:pt idx="228">
                  <c:v>20.897395928906089</c:v>
                </c:pt>
                <c:pt idx="229">
                  <c:v>17.254489739479652</c:v>
                </c:pt>
                <c:pt idx="230">
                  <c:v>17.222341935233732</c:v>
                </c:pt>
                <c:pt idx="231">
                  <c:v>15.64338284305807</c:v>
                </c:pt>
                <c:pt idx="232">
                  <c:v>13.02968106188681</c:v>
                </c:pt>
                <c:pt idx="233">
                  <c:v>12.282749194109597</c:v>
                </c:pt>
                <c:pt idx="234">
                  <c:v>10.22692467440695</c:v>
                </c:pt>
                <c:pt idx="235">
                  <c:v>9.4675370202438334</c:v>
                </c:pt>
                <c:pt idx="236">
                  <c:v>6.5660600368005415</c:v>
                </c:pt>
                <c:pt idx="237">
                  <c:v>5.9593174201531882</c:v>
                </c:pt>
                <c:pt idx="238">
                  <c:v>5.9055041065012688</c:v>
                </c:pt>
                <c:pt idx="239">
                  <c:v>6.2941331708208121</c:v>
                </c:pt>
                <c:pt idx="240">
                  <c:v>3.6254690794470017</c:v>
                </c:pt>
                <c:pt idx="241">
                  <c:v>3.9430975696730362</c:v>
                </c:pt>
                <c:pt idx="242">
                  <c:v>2.9765123259066053</c:v>
                </c:pt>
                <c:pt idx="243">
                  <c:v>3.6653876727251191</c:v>
                </c:pt>
                <c:pt idx="244">
                  <c:v>2.0761236298163825</c:v>
                </c:pt>
                <c:pt idx="245">
                  <c:v>2.143671758487514</c:v>
                </c:pt>
                <c:pt idx="246">
                  <c:v>-0.11585931764034527</c:v>
                </c:pt>
                <c:pt idx="247">
                  <c:v>-0.1322882308125739</c:v>
                </c:pt>
                <c:pt idx="248">
                  <c:v>1.2282636509158864</c:v>
                </c:pt>
                <c:pt idx="249">
                  <c:v>4.8580603209342245E-3</c:v>
                </c:pt>
                <c:pt idx="250">
                  <c:v>0.86829019713495081</c:v>
                </c:pt>
                <c:pt idx="251">
                  <c:v>-0.65397039718236416</c:v>
                </c:pt>
                <c:pt idx="252">
                  <c:v>-1.3315380970710131</c:v>
                </c:pt>
                <c:pt idx="253">
                  <c:v>-0.65705350575628285</c:v>
                </c:pt>
                <c:pt idx="254">
                  <c:v>-0.75289884101591487</c:v>
                </c:pt>
                <c:pt idx="255">
                  <c:v>-1.7456341892428791</c:v>
                </c:pt>
                <c:pt idx="256">
                  <c:v>-3.4975887732892517</c:v>
                </c:pt>
                <c:pt idx="257">
                  <c:v>-1.5034222049259225</c:v>
                </c:pt>
                <c:pt idx="258">
                  <c:v>-3.673185585724883</c:v>
                </c:pt>
                <c:pt idx="259">
                  <c:v>-3.8216441335487552</c:v>
                </c:pt>
                <c:pt idx="260">
                  <c:v>-5.4308875207277421</c:v>
                </c:pt>
                <c:pt idx="261">
                  <c:v>-3.8258518742251244</c:v>
                </c:pt>
                <c:pt idx="262">
                  <c:v>-6.067967480815879</c:v>
                </c:pt>
                <c:pt idx="263">
                  <c:v>-6.5072517938880621</c:v>
                </c:pt>
                <c:pt idx="264">
                  <c:v>-6.0013251287056857</c:v>
                </c:pt>
                <c:pt idx="265">
                  <c:v>-5.8720053526666884</c:v>
                </c:pt>
                <c:pt idx="266">
                  <c:v>-5.8078902047600156</c:v>
                </c:pt>
                <c:pt idx="267">
                  <c:v>-5.3744797810145624</c:v>
                </c:pt>
                <c:pt idx="268">
                  <c:v>-5.1508496999674431</c:v>
                </c:pt>
                <c:pt idx="269">
                  <c:v>-5.3877666992145929</c:v>
                </c:pt>
                <c:pt idx="270">
                  <c:v>-6.8000180925293172</c:v>
                </c:pt>
                <c:pt idx="271">
                  <c:v>-8.1606740131663624</c:v>
                </c:pt>
                <c:pt idx="272">
                  <c:v>-7.2921759672433168</c:v>
                </c:pt>
                <c:pt idx="273">
                  <c:v>-6.4147364734545933</c:v>
                </c:pt>
                <c:pt idx="274">
                  <c:v>-6.9782072652140386</c:v>
                </c:pt>
                <c:pt idx="275">
                  <c:v>-7.3092764579306317</c:v>
                </c:pt>
                <c:pt idx="276">
                  <c:v>-6.3737155261262251</c:v>
                </c:pt>
                <c:pt idx="277">
                  <c:v>-5.0584289184792244</c:v>
                </c:pt>
                <c:pt idx="278">
                  <c:v>-5.355648819571333</c:v>
                </c:pt>
                <c:pt idx="279">
                  <c:v>-6.3892077657054518</c:v>
                </c:pt>
                <c:pt idx="280">
                  <c:v>-5.6596237759838361</c:v>
                </c:pt>
                <c:pt idx="281">
                  <c:v>-7.0121581140453095</c:v>
                </c:pt>
                <c:pt idx="282">
                  <c:v>-6.1191735728570746</c:v>
                </c:pt>
                <c:pt idx="283">
                  <c:v>-6.9679763307131743</c:v>
                </c:pt>
                <c:pt idx="284">
                  <c:v>-6.9748143470597697</c:v>
                </c:pt>
                <c:pt idx="285">
                  <c:v>-8.0229710382475226</c:v>
                </c:pt>
                <c:pt idx="286">
                  <c:v>-7.6308112352054982</c:v>
                </c:pt>
                <c:pt idx="287">
                  <c:v>-7.4128682585848944</c:v>
                </c:pt>
                <c:pt idx="288">
                  <c:v>-7.0380463547764158</c:v>
                </c:pt>
                <c:pt idx="289">
                  <c:v>-6.7730149892611866</c:v>
                </c:pt>
                <c:pt idx="290">
                  <c:v>-4.7455289198346815</c:v>
                </c:pt>
                <c:pt idx="291">
                  <c:v>-3.8241311154467743</c:v>
                </c:pt>
                <c:pt idx="292">
                  <c:v>-4.8252855981929637</c:v>
                </c:pt>
                <c:pt idx="293">
                  <c:v>-5.0664882576539068</c:v>
                </c:pt>
                <c:pt idx="294">
                  <c:v>-3.8196075394546938</c:v>
                </c:pt>
                <c:pt idx="295">
                  <c:v>-3.390106007821466</c:v>
                </c:pt>
                <c:pt idx="296">
                  <c:v>-4.7651326063237827</c:v>
                </c:pt>
                <c:pt idx="297">
                  <c:v>-4.8172764131728636</c:v>
                </c:pt>
                <c:pt idx="298">
                  <c:v>-3.3809155765023995</c:v>
                </c:pt>
                <c:pt idx="299">
                  <c:v>-4.1012718298443733</c:v>
                </c:pt>
                <c:pt idx="300">
                  <c:v>-2.2330848276169677</c:v>
                </c:pt>
                <c:pt idx="301">
                  <c:v>-3.8992597045353627</c:v>
                </c:pt>
                <c:pt idx="302">
                  <c:v>-3.4348046732964232</c:v>
                </c:pt>
                <c:pt idx="303">
                  <c:v>-3.9277274000767686</c:v>
                </c:pt>
                <c:pt idx="304">
                  <c:v>-1.3654965574981324</c:v>
                </c:pt>
                <c:pt idx="305">
                  <c:v>-0.46929064545956739</c:v>
                </c:pt>
                <c:pt idx="306">
                  <c:v>-0.78167458183653127</c:v>
                </c:pt>
                <c:pt idx="307">
                  <c:v>6.319959669310328E-2</c:v>
                </c:pt>
                <c:pt idx="308">
                  <c:v>0.32499809563145893</c:v>
                </c:pt>
                <c:pt idx="309">
                  <c:v>1.5475068278016246</c:v>
                </c:pt>
                <c:pt idx="310">
                  <c:v>1.0785836699250231</c:v>
                </c:pt>
                <c:pt idx="311">
                  <c:v>1.4810218209163026</c:v>
                </c:pt>
                <c:pt idx="312">
                  <c:v>1.4743312267715878</c:v>
                </c:pt>
                <c:pt idx="313">
                  <c:v>0.63417994595364324</c:v>
                </c:pt>
                <c:pt idx="314">
                  <c:v>2.3581002650159011</c:v>
                </c:pt>
                <c:pt idx="315">
                  <c:v>2.0862816189990521</c:v>
                </c:pt>
                <c:pt idx="316">
                  <c:v>1.2824089304078903</c:v>
                </c:pt>
                <c:pt idx="317">
                  <c:v>1.2255847109629814</c:v>
                </c:pt>
                <c:pt idx="318">
                  <c:v>0.86086303680903953</c:v>
                </c:pt>
                <c:pt idx="319">
                  <c:v>0.91202156472963669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A1-C743-A3EA-6D203E3A2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E757681-EAF2-41C2-BBE0-91F376B16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0A90A-8F50-41E9-8976-09F3B9053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B145243-A18A-AF4E-9987-990127070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3C495C-6502-D740-9D0B-9FC5D7E89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940761C-2340-034E-B8F8-0E38ED804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064E62-86C6-A249-B61F-56725B98D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F816BE62-5AB0-3648-9468-BB7D61C1E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539E0B-9E04-1242-AA40-00FF194AC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174117E-4268-AB4C-BFAD-C305A545D7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F008E2-EDCD-6244-B1B4-3C7C61798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287E4F8-8163-C143-BEC6-236535908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BB4E40-9D9C-374E-9C4C-CBFBF2DDF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nalysis%20Worksheets/2024-0705_Walsh_CI_DataWorksheet.xlsx" TargetMode="External"/><Relationship Id="rId1" Type="http://schemas.openxmlformats.org/officeDocument/2006/relationships/externalLinkPath" Target="/Users/breannawalsh/Documents/UCLA%20::%202019-2027/Hallem%20Lab/Data/Calcium%20Imaging%20Data/Analysis%20Worksheets/2024-0705_Walsh_CI_Data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d. A Template"/>
      <sheetName val="Cond. B Template"/>
    </sheetNames>
    <sheetDataSet>
      <sheetData sheetId="0"/>
      <sheetData sheetId="1">
        <row r="64">
          <cell r="X64">
            <v>-13</v>
          </cell>
        </row>
        <row r="65">
          <cell r="X65">
            <v>-13</v>
          </cell>
        </row>
        <row r="66">
          <cell r="X66">
            <v>-13</v>
          </cell>
        </row>
        <row r="67">
          <cell r="X67">
            <v>-13</v>
          </cell>
        </row>
        <row r="68">
          <cell r="X68">
            <v>-13</v>
          </cell>
        </row>
        <row r="69">
          <cell r="X69">
            <v>-13</v>
          </cell>
        </row>
        <row r="70">
          <cell r="X70">
            <v>-13</v>
          </cell>
        </row>
        <row r="71">
          <cell r="X71">
            <v>-13</v>
          </cell>
        </row>
        <row r="72">
          <cell r="X72">
            <v>-13</v>
          </cell>
        </row>
        <row r="73">
          <cell r="X73">
            <v>-13</v>
          </cell>
        </row>
        <row r="74">
          <cell r="X74">
            <v>-13</v>
          </cell>
        </row>
        <row r="75">
          <cell r="X75">
            <v>-13</v>
          </cell>
        </row>
        <row r="76">
          <cell r="X76">
            <v>-13</v>
          </cell>
        </row>
        <row r="77">
          <cell r="X77">
            <v>-13</v>
          </cell>
        </row>
        <row r="78">
          <cell r="X78">
            <v>-13</v>
          </cell>
        </row>
        <row r="79">
          <cell r="X79">
            <v>-13</v>
          </cell>
        </row>
        <row r="80">
          <cell r="X80">
            <v>-13</v>
          </cell>
        </row>
        <row r="81">
          <cell r="X81">
            <v>-13</v>
          </cell>
        </row>
        <row r="82">
          <cell r="A82">
            <v>40.5</v>
          </cell>
          <cell r="X82">
            <v>-13</v>
          </cell>
        </row>
        <row r="83">
          <cell r="A83">
            <v>41</v>
          </cell>
          <cell r="X83">
            <v>-13</v>
          </cell>
        </row>
        <row r="84">
          <cell r="A84">
            <v>41.5</v>
          </cell>
          <cell r="X84">
            <v>-13</v>
          </cell>
        </row>
        <row r="85">
          <cell r="A85">
            <v>42</v>
          </cell>
          <cell r="X85">
            <v>-13</v>
          </cell>
        </row>
        <row r="86">
          <cell r="A86">
            <v>42.5</v>
          </cell>
          <cell r="X86">
            <v>-13</v>
          </cell>
        </row>
        <row r="87">
          <cell r="A87">
            <v>43</v>
          </cell>
          <cell r="X87">
            <v>-13</v>
          </cell>
        </row>
        <row r="88">
          <cell r="A88">
            <v>43.5</v>
          </cell>
          <cell r="X88">
            <v>-13</v>
          </cell>
        </row>
        <row r="89">
          <cell r="A89">
            <v>44</v>
          </cell>
          <cell r="X89">
            <v>-13</v>
          </cell>
        </row>
        <row r="90">
          <cell r="A90">
            <v>44.5</v>
          </cell>
          <cell r="X90">
            <v>-13</v>
          </cell>
        </row>
        <row r="91">
          <cell r="A91">
            <v>45</v>
          </cell>
          <cell r="X91">
            <v>-13</v>
          </cell>
        </row>
        <row r="92">
          <cell r="A92">
            <v>45.5</v>
          </cell>
          <cell r="X92">
            <v>-13</v>
          </cell>
        </row>
        <row r="93">
          <cell r="A93">
            <v>46</v>
          </cell>
          <cell r="X93">
            <v>-13</v>
          </cell>
        </row>
        <row r="94">
          <cell r="A94">
            <v>46.5</v>
          </cell>
          <cell r="X94">
            <v>-13</v>
          </cell>
        </row>
        <row r="95">
          <cell r="A95">
            <v>47</v>
          </cell>
          <cell r="X95">
            <v>-13</v>
          </cell>
        </row>
        <row r="96">
          <cell r="A96">
            <v>47.5</v>
          </cell>
          <cell r="X96">
            <v>-13</v>
          </cell>
        </row>
        <row r="97">
          <cell r="A97">
            <v>48</v>
          </cell>
          <cell r="X97">
            <v>-13</v>
          </cell>
        </row>
        <row r="98">
          <cell r="A98">
            <v>48.5</v>
          </cell>
          <cell r="X98">
            <v>-13</v>
          </cell>
        </row>
        <row r="99">
          <cell r="A99">
            <v>49</v>
          </cell>
          <cell r="X99">
            <v>-13</v>
          </cell>
        </row>
        <row r="100">
          <cell r="A100">
            <v>49.5</v>
          </cell>
          <cell r="X100">
            <v>-13</v>
          </cell>
        </row>
        <row r="101">
          <cell r="A101">
            <v>50</v>
          </cell>
          <cell r="X101">
            <v>-13</v>
          </cell>
        </row>
        <row r="102">
          <cell r="A102">
            <v>50.5</v>
          </cell>
          <cell r="X102">
            <v>-13</v>
          </cell>
        </row>
        <row r="103">
          <cell r="A103">
            <v>51</v>
          </cell>
          <cell r="X103">
            <v>-13</v>
          </cell>
        </row>
        <row r="104">
          <cell r="A104">
            <v>51.5</v>
          </cell>
          <cell r="X104">
            <v>-13</v>
          </cell>
        </row>
        <row r="105">
          <cell r="A105">
            <v>52</v>
          </cell>
          <cell r="X105">
            <v>-13</v>
          </cell>
        </row>
        <row r="106">
          <cell r="A106">
            <v>52.5</v>
          </cell>
          <cell r="X106">
            <v>-13</v>
          </cell>
        </row>
        <row r="107">
          <cell r="A107">
            <v>53</v>
          </cell>
          <cell r="X107">
            <v>-13</v>
          </cell>
        </row>
        <row r="108">
          <cell r="A108">
            <v>53.5</v>
          </cell>
          <cell r="X108">
            <v>-13</v>
          </cell>
        </row>
        <row r="109">
          <cell r="A109">
            <v>54</v>
          </cell>
          <cell r="X109">
            <v>-13</v>
          </cell>
        </row>
        <row r="110">
          <cell r="A110">
            <v>54.5</v>
          </cell>
          <cell r="X110">
            <v>-13</v>
          </cell>
        </row>
        <row r="111">
          <cell r="A111">
            <v>55</v>
          </cell>
          <cell r="X111">
            <v>-13</v>
          </cell>
        </row>
        <row r="112">
          <cell r="A112">
            <v>55.5</v>
          </cell>
          <cell r="X112">
            <v>-13</v>
          </cell>
        </row>
        <row r="113">
          <cell r="A113">
            <v>56</v>
          </cell>
          <cell r="X113">
            <v>-13</v>
          </cell>
        </row>
        <row r="114">
          <cell r="A114">
            <v>56.5</v>
          </cell>
          <cell r="X114">
            <v>-13</v>
          </cell>
        </row>
        <row r="115">
          <cell r="A115">
            <v>57</v>
          </cell>
          <cell r="X115">
            <v>-13</v>
          </cell>
        </row>
        <row r="116">
          <cell r="A116">
            <v>57.5</v>
          </cell>
          <cell r="X116">
            <v>-13</v>
          </cell>
        </row>
        <row r="117">
          <cell r="A117">
            <v>58</v>
          </cell>
          <cell r="X117">
            <v>-13</v>
          </cell>
        </row>
        <row r="118">
          <cell r="A118">
            <v>58.5</v>
          </cell>
          <cell r="X118">
            <v>-13</v>
          </cell>
        </row>
        <row r="119">
          <cell r="A119">
            <v>59</v>
          </cell>
          <cell r="X119">
            <v>-13</v>
          </cell>
        </row>
        <row r="120">
          <cell r="A120">
            <v>59.5</v>
          </cell>
          <cell r="X120">
            <v>-13</v>
          </cell>
        </row>
        <row r="121">
          <cell r="A121">
            <v>60</v>
          </cell>
          <cell r="X121">
            <v>-13</v>
          </cell>
        </row>
        <row r="122">
          <cell r="A122">
            <v>60.5</v>
          </cell>
          <cell r="X122">
            <v>-13</v>
          </cell>
        </row>
        <row r="123">
          <cell r="A123">
            <v>61</v>
          </cell>
          <cell r="X123">
            <v>-13</v>
          </cell>
        </row>
        <row r="124">
          <cell r="A124">
            <v>61.5</v>
          </cell>
          <cell r="X124">
            <v>-13</v>
          </cell>
        </row>
        <row r="125">
          <cell r="A125">
            <v>62</v>
          </cell>
          <cell r="X125">
            <v>-13</v>
          </cell>
        </row>
        <row r="126">
          <cell r="A126">
            <v>62.5</v>
          </cell>
          <cell r="X126">
            <v>-13</v>
          </cell>
        </row>
        <row r="127">
          <cell r="A127">
            <v>63</v>
          </cell>
          <cell r="X127">
            <v>-13</v>
          </cell>
        </row>
        <row r="128">
          <cell r="A128">
            <v>63.5</v>
          </cell>
          <cell r="X128">
            <v>-13</v>
          </cell>
        </row>
        <row r="129">
          <cell r="A129">
            <v>64</v>
          </cell>
          <cell r="X129">
            <v>-13</v>
          </cell>
        </row>
        <row r="130">
          <cell r="A130">
            <v>64.5</v>
          </cell>
          <cell r="X130">
            <v>-13</v>
          </cell>
        </row>
        <row r="131">
          <cell r="A131">
            <v>65</v>
          </cell>
          <cell r="X131">
            <v>-13</v>
          </cell>
        </row>
        <row r="132">
          <cell r="A132">
            <v>65.5</v>
          </cell>
          <cell r="X132">
            <v>-13</v>
          </cell>
        </row>
        <row r="133">
          <cell r="A133">
            <v>66</v>
          </cell>
          <cell r="X133">
            <v>-13</v>
          </cell>
        </row>
        <row r="134">
          <cell r="A134">
            <v>66.5</v>
          </cell>
          <cell r="X134">
            <v>-13</v>
          </cell>
        </row>
        <row r="135">
          <cell r="A135">
            <v>67</v>
          </cell>
          <cell r="X135">
            <v>-13</v>
          </cell>
        </row>
        <row r="136">
          <cell r="A136">
            <v>67.5</v>
          </cell>
          <cell r="X136">
            <v>-13</v>
          </cell>
        </row>
        <row r="137">
          <cell r="A137">
            <v>68</v>
          </cell>
          <cell r="X137">
            <v>-13</v>
          </cell>
        </row>
        <row r="138">
          <cell r="A138">
            <v>68.5</v>
          </cell>
          <cell r="X138">
            <v>-13</v>
          </cell>
        </row>
        <row r="139">
          <cell r="A139">
            <v>69</v>
          </cell>
          <cell r="X139">
            <v>-13</v>
          </cell>
        </row>
        <row r="140">
          <cell r="A140">
            <v>69.5</v>
          </cell>
          <cell r="X140">
            <v>-13</v>
          </cell>
        </row>
        <row r="141">
          <cell r="A141">
            <v>70</v>
          </cell>
          <cell r="X141">
            <v>-13</v>
          </cell>
        </row>
        <row r="142">
          <cell r="A142">
            <v>70.5</v>
          </cell>
          <cell r="X142">
            <v>-13</v>
          </cell>
        </row>
        <row r="143">
          <cell r="A143">
            <v>71</v>
          </cell>
          <cell r="X143">
            <v>-13</v>
          </cell>
        </row>
        <row r="144">
          <cell r="A144">
            <v>71.5</v>
          </cell>
        </row>
        <row r="145">
          <cell r="A145">
            <v>72</v>
          </cell>
        </row>
        <row r="146">
          <cell r="A146">
            <v>72.5</v>
          </cell>
        </row>
        <row r="147">
          <cell r="A147">
            <v>73</v>
          </cell>
        </row>
        <row r="148">
          <cell r="A148">
            <v>73.5</v>
          </cell>
        </row>
        <row r="149">
          <cell r="A149">
            <v>74</v>
          </cell>
        </row>
        <row r="150">
          <cell r="A150">
            <v>74.5</v>
          </cell>
        </row>
        <row r="151">
          <cell r="A151">
            <v>75</v>
          </cell>
        </row>
        <row r="152">
          <cell r="A152">
            <v>75.5</v>
          </cell>
        </row>
        <row r="153">
          <cell r="A153">
            <v>76</v>
          </cell>
        </row>
        <row r="154">
          <cell r="A154">
            <v>76.5</v>
          </cell>
        </row>
        <row r="155">
          <cell r="A155">
            <v>77</v>
          </cell>
        </row>
        <row r="156">
          <cell r="A156">
            <v>77.5</v>
          </cell>
        </row>
        <row r="157">
          <cell r="A157">
            <v>78</v>
          </cell>
        </row>
        <row r="158">
          <cell r="A158">
            <v>78.5</v>
          </cell>
        </row>
        <row r="159">
          <cell r="A159">
            <v>79</v>
          </cell>
        </row>
        <row r="160">
          <cell r="A160">
            <v>79.5</v>
          </cell>
        </row>
        <row r="161">
          <cell r="A161">
            <v>80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29B9-751D-423C-B44D-F20CD410FAF0}">
  <dimension ref="A1:Y798"/>
  <sheetViews>
    <sheetView topLeftCell="B1" zoomScale="50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2150.9854897219002</v>
      </c>
      <c r="E2">
        <v>469.07738814994002</v>
      </c>
      <c r="F2">
        <v>152.69272727273</v>
      </c>
      <c r="G2">
        <v>124.43333333333</v>
      </c>
      <c r="H2" s="4"/>
      <c r="I2" s="5">
        <f>E2-G2</f>
        <v>344.64405481661004</v>
      </c>
      <c r="J2" s="5">
        <f>D2-F2</f>
        <v>1998.2927624491701</v>
      </c>
      <c r="K2" s="9">
        <f>I2*1</f>
        <v>344.64405481661004</v>
      </c>
      <c r="L2" s="6">
        <f t="shared" ref="L2:L65" si="0">K2/J2</f>
        <v>0.17246925039862704</v>
      </c>
      <c r="M2" s="6">
        <f>L2+ABS($N$2)*A2</f>
        <v>0.17246925039862704</v>
      </c>
      <c r="N2" s="4">
        <f>LINEST(V64:V103,U64:U103)</f>
        <v>1.8458260154001013E-4</v>
      </c>
      <c r="O2" s="7">
        <f>AVERAGE(M62:M81)</f>
        <v>0.16213633190108828</v>
      </c>
      <c r="P2" s="4">
        <f>(M2-$O$2)/$O$2*100</f>
        <v>6.3729815374399754</v>
      </c>
    </row>
    <row r="3" spans="1:16" x14ac:dyDescent="0.2">
      <c r="A3" s="8">
        <v>0.5</v>
      </c>
      <c r="B3" s="8">
        <v>1</v>
      </c>
      <c r="D3">
        <v>2311.9975816203</v>
      </c>
      <c r="E3">
        <v>487.66203143894001</v>
      </c>
      <c r="F3">
        <v>152.38060606061001</v>
      </c>
      <c r="G3">
        <v>124.42848484849</v>
      </c>
      <c r="I3" s="9">
        <f t="shared" ref="I3:I66" si="1">E3-G3</f>
        <v>363.23354659045003</v>
      </c>
      <c r="J3" s="9">
        <f t="shared" ref="J3:J66" si="2">D3-F3</f>
        <v>2159.6169755596902</v>
      </c>
      <c r="K3" s="9">
        <f t="shared" ref="K3:K66" si="3">I3*1</f>
        <v>363.23354659045003</v>
      </c>
      <c r="L3" s="10">
        <f t="shared" si="0"/>
        <v>0.16819350408019171</v>
      </c>
      <c r="M3" s="10">
        <f t="shared" ref="M3:M66" si="4">L3+ABS($N$2)*A3</f>
        <v>0.16828579538096172</v>
      </c>
      <c r="P3" s="8">
        <f t="shared" ref="P3:P66" si="5">(M3-$O$2)/$O$2*100</f>
        <v>3.7927732839206807</v>
      </c>
    </row>
    <row r="4" spans="1:16" ht="16" x14ac:dyDescent="0.2">
      <c r="A4" s="8">
        <v>1</v>
      </c>
      <c r="B4" s="8">
        <v>2</v>
      </c>
      <c r="D4">
        <v>2303.1674727932</v>
      </c>
      <c r="E4">
        <v>486.91112454655001</v>
      </c>
      <c r="F4">
        <v>152.8303030303</v>
      </c>
      <c r="G4">
        <v>124.07333333333</v>
      </c>
      <c r="I4" s="9">
        <f t="shared" si="1"/>
        <v>362.83779121322004</v>
      </c>
      <c r="J4" s="9">
        <f t="shared" si="2"/>
        <v>2150.3371697629</v>
      </c>
      <c r="K4" s="9">
        <f t="shared" si="3"/>
        <v>362.83779121322004</v>
      </c>
      <c r="L4" s="10">
        <f t="shared" si="0"/>
        <v>0.1687353017542022</v>
      </c>
      <c r="M4" s="10">
        <f t="shared" si="4"/>
        <v>0.16891988435574221</v>
      </c>
      <c r="N4" s="1" t="s">
        <v>7</v>
      </c>
      <c r="P4" s="8">
        <f t="shared" si="5"/>
        <v>4.1838571127859536</v>
      </c>
    </row>
    <row r="5" spans="1:16" x14ac:dyDescent="0.2">
      <c r="A5" s="8">
        <v>1.5</v>
      </c>
      <c r="B5" s="8">
        <v>3</v>
      </c>
      <c r="D5">
        <v>2186.3548972189001</v>
      </c>
      <c r="E5">
        <v>471.75937122127999</v>
      </c>
      <c r="F5">
        <v>152.84606060606001</v>
      </c>
      <c r="G5">
        <v>124.29454545455</v>
      </c>
      <c r="I5" s="9">
        <f t="shared" si="1"/>
        <v>347.46482576672997</v>
      </c>
      <c r="J5" s="9">
        <f t="shared" si="2"/>
        <v>2033.50883661284</v>
      </c>
      <c r="K5" s="9">
        <f t="shared" si="3"/>
        <v>347.46482576672997</v>
      </c>
      <c r="L5" s="10">
        <f t="shared" si="0"/>
        <v>0.1708695922588134</v>
      </c>
      <c r="M5" s="10">
        <f t="shared" si="4"/>
        <v>0.17114646616112342</v>
      </c>
      <c r="N5" s="8">
        <f>RSQ(V64:V83,U64:U83)</f>
        <v>0.49288734788937227</v>
      </c>
      <c r="P5" s="8">
        <f t="shared" si="5"/>
        <v>5.5571346374924735</v>
      </c>
    </row>
    <row r="6" spans="1:16" x14ac:dyDescent="0.2">
      <c r="A6" s="8">
        <v>2</v>
      </c>
      <c r="B6" s="8">
        <v>4</v>
      </c>
      <c r="D6">
        <v>1843.5991535671001</v>
      </c>
      <c r="E6">
        <v>432.47944377266998</v>
      </c>
      <c r="F6">
        <v>153.04606060606</v>
      </c>
      <c r="G6">
        <v>124.37636363636</v>
      </c>
      <c r="I6" s="9">
        <f t="shared" si="1"/>
        <v>308.10308013630998</v>
      </c>
      <c r="J6" s="9">
        <f t="shared" si="2"/>
        <v>1690.55309296104</v>
      </c>
      <c r="K6" s="9">
        <f t="shared" si="3"/>
        <v>308.10308013630998</v>
      </c>
      <c r="L6" s="10">
        <f t="shared" si="0"/>
        <v>0.18224986924052225</v>
      </c>
      <c r="M6" s="10">
        <f t="shared" si="4"/>
        <v>0.18261903444360228</v>
      </c>
      <c r="P6" s="8">
        <f t="shared" si="5"/>
        <v>12.633012170899196</v>
      </c>
    </row>
    <row r="7" spans="1:16" x14ac:dyDescent="0.2">
      <c r="A7" s="8">
        <v>2.5</v>
      </c>
      <c r="B7" s="8">
        <v>5</v>
      </c>
      <c r="D7">
        <v>2243.1838101035</v>
      </c>
      <c r="E7">
        <v>493.46378575775998</v>
      </c>
      <c r="F7">
        <v>152.96060606060999</v>
      </c>
      <c r="G7">
        <v>124.61090909091</v>
      </c>
      <c r="I7" s="9">
        <f t="shared" si="1"/>
        <v>368.85287666684997</v>
      </c>
      <c r="J7" s="9">
        <f t="shared" si="2"/>
        <v>2090.2232040428898</v>
      </c>
      <c r="K7" s="9">
        <f t="shared" si="3"/>
        <v>368.85287666684997</v>
      </c>
      <c r="L7" s="10">
        <f t="shared" si="0"/>
        <v>0.17646578411024155</v>
      </c>
      <c r="M7" s="10">
        <f t="shared" si="4"/>
        <v>0.17692724061409157</v>
      </c>
      <c r="P7" s="8">
        <f t="shared" si="5"/>
        <v>9.1225134672631683</v>
      </c>
    </row>
    <row r="8" spans="1:16" x14ac:dyDescent="0.2">
      <c r="A8" s="8">
        <v>3</v>
      </c>
      <c r="B8" s="8">
        <v>6</v>
      </c>
      <c r="D8">
        <v>2291.7674984783998</v>
      </c>
      <c r="E8">
        <v>503.11077297626002</v>
      </c>
      <c r="F8">
        <v>152.89333333332999</v>
      </c>
      <c r="G8">
        <v>124.17393939394</v>
      </c>
      <c r="I8" s="9">
        <f t="shared" si="1"/>
        <v>378.93683358231999</v>
      </c>
      <c r="J8" s="9">
        <f t="shared" si="2"/>
        <v>2138.87416514507</v>
      </c>
      <c r="K8" s="9">
        <f t="shared" si="3"/>
        <v>378.93683358231999</v>
      </c>
      <c r="L8" s="10">
        <f t="shared" si="0"/>
        <v>0.17716649242739271</v>
      </c>
      <c r="M8" s="10">
        <f t="shared" si="4"/>
        <v>0.17772024023201274</v>
      </c>
      <c r="P8" s="8">
        <f t="shared" si="5"/>
        <v>9.6116078044934863</v>
      </c>
    </row>
    <row r="9" spans="1:16" x14ac:dyDescent="0.2">
      <c r="A9" s="8">
        <v>3.5</v>
      </c>
      <c r="B9" s="8">
        <v>7</v>
      </c>
      <c r="D9">
        <v>2750.3481436397001</v>
      </c>
      <c r="E9">
        <v>569.72245891661998</v>
      </c>
      <c r="F9">
        <v>153.48969696969999</v>
      </c>
      <c r="G9">
        <v>124.28303030303</v>
      </c>
      <c r="I9" s="9">
        <f t="shared" si="1"/>
        <v>445.43942861359</v>
      </c>
      <c r="J9" s="9">
        <f t="shared" si="2"/>
        <v>2596.8584466699999</v>
      </c>
      <c r="K9" s="9">
        <f t="shared" si="3"/>
        <v>445.43942861359</v>
      </c>
      <c r="L9" s="10">
        <f t="shared" si="0"/>
        <v>0.17153011523781178</v>
      </c>
      <c r="M9" s="10">
        <f t="shared" si="4"/>
        <v>0.17217615434320183</v>
      </c>
      <c r="P9" s="8">
        <f t="shared" si="5"/>
        <v>6.1922101754703354</v>
      </c>
    </row>
    <row r="10" spans="1:16" x14ac:dyDescent="0.2">
      <c r="A10" s="8">
        <v>4</v>
      </c>
      <c r="B10" s="8">
        <v>8</v>
      </c>
      <c r="D10">
        <v>2661.2814589666</v>
      </c>
      <c r="E10">
        <v>551.39817629179004</v>
      </c>
      <c r="F10">
        <v>153.01272727272999</v>
      </c>
      <c r="G10">
        <v>124.31757575758</v>
      </c>
      <c r="I10" s="9">
        <f t="shared" si="1"/>
        <v>427.08060053421002</v>
      </c>
      <c r="J10" s="9">
        <f t="shared" si="2"/>
        <v>2508.26873169387</v>
      </c>
      <c r="K10" s="9">
        <f t="shared" si="3"/>
        <v>427.08060053421002</v>
      </c>
      <c r="L10" s="10">
        <f t="shared" si="0"/>
        <v>0.17026907648998055</v>
      </c>
      <c r="M10" s="10">
        <f t="shared" si="4"/>
        <v>0.17100740689614058</v>
      </c>
      <c r="P10" s="8">
        <f t="shared" si="5"/>
        <v>5.4713677625716368</v>
      </c>
    </row>
    <row r="11" spans="1:16" x14ac:dyDescent="0.2">
      <c r="A11" s="8">
        <v>4.5</v>
      </c>
      <c r="B11" s="8">
        <v>9</v>
      </c>
      <c r="D11">
        <v>2964.0775335775002</v>
      </c>
      <c r="E11">
        <v>591.44078144078003</v>
      </c>
      <c r="F11">
        <v>153.14666666667</v>
      </c>
      <c r="G11">
        <v>124.58303030303</v>
      </c>
      <c r="I11" s="9">
        <f t="shared" si="1"/>
        <v>466.85775113775003</v>
      </c>
      <c r="J11" s="9">
        <f t="shared" si="2"/>
        <v>2810.93086691083</v>
      </c>
      <c r="K11" s="9">
        <f t="shared" si="3"/>
        <v>466.85775113775003</v>
      </c>
      <c r="L11" s="10">
        <f t="shared" si="0"/>
        <v>0.16608652906886306</v>
      </c>
      <c r="M11" s="10">
        <f t="shared" si="4"/>
        <v>0.16691715077579311</v>
      </c>
      <c r="P11" s="8">
        <f t="shared" si="5"/>
        <v>2.9486413184809068</v>
      </c>
    </row>
    <row r="12" spans="1:16" x14ac:dyDescent="0.2">
      <c r="A12" s="8">
        <v>5</v>
      </c>
      <c r="B12" s="8">
        <v>10</v>
      </c>
      <c r="D12">
        <v>3051.7824773414</v>
      </c>
      <c r="E12">
        <v>604.38610271902996</v>
      </c>
      <c r="F12">
        <v>152.96060606060999</v>
      </c>
      <c r="G12">
        <v>124.64727272727001</v>
      </c>
      <c r="I12" s="9">
        <f t="shared" si="1"/>
        <v>479.73882999175999</v>
      </c>
      <c r="J12" s="9">
        <f t="shared" si="2"/>
        <v>2898.8218712807898</v>
      </c>
      <c r="K12" s="9">
        <f t="shared" si="3"/>
        <v>479.73882999175999</v>
      </c>
      <c r="L12" s="10">
        <f t="shared" si="0"/>
        <v>0.1654944150741475</v>
      </c>
      <c r="M12" s="10">
        <f t="shared" si="4"/>
        <v>0.16641732808184756</v>
      </c>
      <c r="P12" s="8">
        <f t="shared" si="5"/>
        <v>2.6403682201043699</v>
      </c>
    </row>
    <row r="13" spans="1:16" x14ac:dyDescent="0.2">
      <c r="A13" s="8">
        <v>5.5</v>
      </c>
      <c r="B13" s="8">
        <v>11</v>
      </c>
      <c r="D13">
        <v>3016.3190332325998</v>
      </c>
      <c r="E13">
        <v>593.21993957704001</v>
      </c>
      <c r="F13">
        <v>153.15030303029999</v>
      </c>
      <c r="G13">
        <v>124.67272727273</v>
      </c>
      <c r="I13" s="9">
        <f t="shared" si="1"/>
        <v>468.54721230430999</v>
      </c>
      <c r="J13" s="9">
        <f t="shared" si="2"/>
        <v>2863.1687302022997</v>
      </c>
      <c r="K13" s="9">
        <f t="shared" si="3"/>
        <v>468.54721230430999</v>
      </c>
      <c r="L13" s="10">
        <f t="shared" si="0"/>
        <v>0.16364638498661041</v>
      </c>
      <c r="M13" s="10">
        <f t="shared" si="4"/>
        <v>0.16466158929508046</v>
      </c>
      <c r="P13" s="8">
        <f t="shared" si="5"/>
        <v>1.5574901469540556</v>
      </c>
    </row>
    <row r="14" spans="1:16" x14ac:dyDescent="0.2">
      <c r="A14" s="8">
        <v>6</v>
      </c>
      <c r="B14" s="8">
        <v>12</v>
      </c>
      <c r="D14">
        <v>2910.1712204006999</v>
      </c>
      <c r="E14">
        <v>577.26108075288005</v>
      </c>
      <c r="F14">
        <v>153.19818181817999</v>
      </c>
      <c r="G14">
        <v>124.60363636364001</v>
      </c>
      <c r="I14" s="9">
        <f t="shared" si="1"/>
        <v>452.65744438924003</v>
      </c>
      <c r="J14" s="9">
        <f t="shared" si="2"/>
        <v>2756.9730385825201</v>
      </c>
      <c r="K14" s="9">
        <f t="shared" si="3"/>
        <v>452.65744438924003</v>
      </c>
      <c r="L14" s="10">
        <f t="shared" si="0"/>
        <v>0.16418638777184813</v>
      </c>
      <c r="M14" s="10">
        <f t="shared" si="4"/>
        <v>0.16529388338108819</v>
      </c>
      <c r="P14" s="8">
        <f t="shared" si="5"/>
        <v>1.9474669514086347</v>
      </c>
    </row>
    <row r="15" spans="1:16" x14ac:dyDescent="0.2">
      <c r="A15" s="8">
        <v>6.5</v>
      </c>
      <c r="B15" s="8">
        <v>13</v>
      </c>
      <c r="D15">
        <v>3030.8154869934001</v>
      </c>
      <c r="E15">
        <v>587.05868118572005</v>
      </c>
      <c r="F15">
        <v>153.10424242424</v>
      </c>
      <c r="G15">
        <v>124.10484848485</v>
      </c>
      <c r="I15" s="9">
        <f t="shared" si="1"/>
        <v>462.95383270087007</v>
      </c>
      <c r="J15" s="9">
        <f t="shared" si="2"/>
        <v>2877.71124456916</v>
      </c>
      <c r="K15" s="9">
        <f t="shared" si="3"/>
        <v>462.95383270087007</v>
      </c>
      <c r="L15" s="10">
        <f t="shared" si="0"/>
        <v>0.16087570758690967</v>
      </c>
      <c r="M15" s="10">
        <f t="shared" si="4"/>
        <v>0.16207549449691974</v>
      </c>
      <c r="P15" s="8">
        <f t="shared" si="5"/>
        <v>-3.7522376049344712E-2</v>
      </c>
    </row>
    <row r="16" spans="1:16" x14ac:dyDescent="0.2">
      <c r="A16" s="8">
        <v>7</v>
      </c>
      <c r="B16" s="8">
        <v>14</v>
      </c>
      <c r="D16">
        <v>3022.9286146401</v>
      </c>
      <c r="E16">
        <v>585.31699939504006</v>
      </c>
      <c r="F16">
        <v>152.47636363635999</v>
      </c>
      <c r="G16">
        <v>124.38303030303</v>
      </c>
      <c r="I16" s="9">
        <f t="shared" si="1"/>
        <v>460.93396909201005</v>
      </c>
      <c r="J16" s="9">
        <f t="shared" si="2"/>
        <v>2870.45225100374</v>
      </c>
      <c r="K16" s="9">
        <f t="shared" si="3"/>
        <v>460.93396909201005</v>
      </c>
      <c r="L16" s="10">
        <f t="shared" si="0"/>
        <v>0.16057886659874959</v>
      </c>
      <c r="M16" s="10">
        <f t="shared" si="4"/>
        <v>0.16187094480952965</v>
      </c>
      <c r="P16" s="8">
        <f t="shared" si="5"/>
        <v>-0.16368144539036922</v>
      </c>
    </row>
    <row r="17" spans="1:16" x14ac:dyDescent="0.2">
      <c r="A17" s="8">
        <v>7.5</v>
      </c>
      <c r="B17" s="8">
        <v>15</v>
      </c>
      <c r="D17">
        <v>3048.5735027223</v>
      </c>
      <c r="E17">
        <v>581.81548699334996</v>
      </c>
      <c r="F17">
        <v>153.66848484849001</v>
      </c>
      <c r="G17">
        <v>124.66848484849</v>
      </c>
      <c r="I17" s="9">
        <f t="shared" si="1"/>
        <v>457.14700214485998</v>
      </c>
      <c r="J17" s="9">
        <f t="shared" si="2"/>
        <v>2894.9050178738098</v>
      </c>
      <c r="K17" s="9">
        <f t="shared" si="3"/>
        <v>457.14700214485998</v>
      </c>
      <c r="L17" s="10">
        <f t="shared" si="0"/>
        <v>0.15791433546949871</v>
      </c>
      <c r="M17" s="10">
        <f t="shared" si="4"/>
        <v>0.15929870498104878</v>
      </c>
      <c r="P17" s="8">
        <f t="shared" si="5"/>
        <v>-1.7501487092791768</v>
      </c>
    </row>
    <row r="18" spans="1:16" x14ac:dyDescent="0.2">
      <c r="A18" s="8">
        <v>8</v>
      </c>
      <c r="B18" s="8">
        <v>16</v>
      </c>
      <c r="D18">
        <v>2806.8905021174</v>
      </c>
      <c r="E18">
        <v>556.83908045977</v>
      </c>
      <c r="F18">
        <v>152.51757575758</v>
      </c>
      <c r="G18">
        <v>124.41878787879</v>
      </c>
      <c r="I18" s="9">
        <f t="shared" si="1"/>
        <v>432.42029258098</v>
      </c>
      <c r="J18" s="9">
        <f t="shared" si="2"/>
        <v>2654.3729263598202</v>
      </c>
      <c r="K18" s="9">
        <f t="shared" si="3"/>
        <v>432.42029258098</v>
      </c>
      <c r="L18" s="10">
        <f t="shared" si="0"/>
        <v>0.1629086434263767</v>
      </c>
      <c r="M18" s="10">
        <f t="shared" si="4"/>
        <v>0.16438530423869679</v>
      </c>
      <c r="P18" s="8">
        <f t="shared" si="5"/>
        <v>1.3870872192794543</v>
      </c>
    </row>
    <row r="19" spans="1:16" x14ac:dyDescent="0.2">
      <c r="A19" s="8">
        <v>8.5</v>
      </c>
      <c r="B19" s="8">
        <v>17</v>
      </c>
      <c r="D19">
        <v>3011.0676829268</v>
      </c>
      <c r="E19">
        <v>582.58353658536998</v>
      </c>
      <c r="F19">
        <v>153.38545454545999</v>
      </c>
      <c r="G19">
        <v>124.66363636363999</v>
      </c>
      <c r="I19" s="9">
        <f t="shared" si="1"/>
        <v>457.91990022173002</v>
      </c>
      <c r="J19" s="9">
        <f t="shared" si="2"/>
        <v>2857.6822283813399</v>
      </c>
      <c r="K19" s="9">
        <f t="shared" si="3"/>
        <v>457.91990022173002</v>
      </c>
      <c r="L19" s="10">
        <f t="shared" si="0"/>
        <v>0.16024171465737352</v>
      </c>
      <c r="M19" s="10">
        <f t="shared" si="4"/>
        <v>0.1618106667704636</v>
      </c>
      <c r="P19" s="8">
        <f t="shared" si="5"/>
        <v>-0.20085882467314817</v>
      </c>
    </row>
    <row r="20" spans="1:16" x14ac:dyDescent="0.2">
      <c r="A20" s="8">
        <v>9</v>
      </c>
      <c r="B20" s="8">
        <v>18</v>
      </c>
      <c r="D20">
        <v>3004.4939024390001</v>
      </c>
      <c r="E20">
        <v>580.72134146342</v>
      </c>
      <c r="F20">
        <v>153.33454545455001</v>
      </c>
      <c r="G20">
        <v>124.64181818182</v>
      </c>
      <c r="I20" s="9">
        <f t="shared" si="1"/>
        <v>456.07952328160002</v>
      </c>
      <c r="J20" s="9">
        <f t="shared" si="2"/>
        <v>2851.1593569844499</v>
      </c>
      <c r="K20" s="9">
        <f t="shared" si="3"/>
        <v>456.07952328160002</v>
      </c>
      <c r="L20" s="10">
        <f t="shared" si="0"/>
        <v>0.15996283131784536</v>
      </c>
      <c r="M20" s="10">
        <f t="shared" si="4"/>
        <v>0.16162407473170545</v>
      </c>
      <c r="P20" s="8">
        <f t="shared" si="5"/>
        <v>-0.31594224648879632</v>
      </c>
    </row>
    <row r="21" spans="1:16" x14ac:dyDescent="0.2">
      <c r="A21" s="8">
        <v>9.5</v>
      </c>
      <c r="B21" s="8">
        <v>19</v>
      </c>
      <c r="D21">
        <v>3091.6895504252998</v>
      </c>
      <c r="E21">
        <v>580.93985419197998</v>
      </c>
      <c r="F21">
        <v>153.37575757575999</v>
      </c>
      <c r="G21">
        <v>124.26787878787999</v>
      </c>
      <c r="I21" s="9">
        <f t="shared" si="1"/>
        <v>456.67197540409995</v>
      </c>
      <c r="J21" s="9">
        <f t="shared" si="2"/>
        <v>2938.3137928495398</v>
      </c>
      <c r="K21" s="9">
        <f t="shared" si="3"/>
        <v>456.67197540409995</v>
      </c>
      <c r="L21" s="10">
        <f t="shared" si="0"/>
        <v>0.15541974329475042</v>
      </c>
      <c r="M21" s="10">
        <f t="shared" si="4"/>
        <v>0.15717327800938052</v>
      </c>
      <c r="P21" s="8">
        <f t="shared" si="5"/>
        <v>-3.0610374821699331</v>
      </c>
    </row>
    <row r="22" spans="1:16" x14ac:dyDescent="0.2">
      <c r="A22" s="8">
        <v>10</v>
      </c>
      <c r="B22" s="8">
        <v>20</v>
      </c>
      <c r="D22">
        <v>3163.7522879805001</v>
      </c>
      <c r="E22">
        <v>585.16473459427004</v>
      </c>
      <c r="F22">
        <v>153.51151515152</v>
      </c>
      <c r="G22">
        <v>124.58424242424</v>
      </c>
      <c r="I22" s="9">
        <f t="shared" si="1"/>
        <v>460.58049217003003</v>
      </c>
      <c r="J22" s="9">
        <f t="shared" si="2"/>
        <v>3010.24077282898</v>
      </c>
      <c r="K22" s="9">
        <f t="shared" si="3"/>
        <v>460.58049217003003</v>
      </c>
      <c r="L22" s="10">
        <f t="shared" si="0"/>
        <v>0.15300453582561213</v>
      </c>
      <c r="M22" s="10">
        <f t="shared" si="4"/>
        <v>0.15485036184101222</v>
      </c>
      <c r="P22" s="8">
        <f t="shared" si="5"/>
        <v>-4.4937306615033608</v>
      </c>
    </row>
    <row r="23" spans="1:16" x14ac:dyDescent="0.2">
      <c r="A23" s="8">
        <v>10.5</v>
      </c>
      <c r="B23" s="8">
        <v>21</v>
      </c>
      <c r="D23">
        <v>3145.3611958511001</v>
      </c>
      <c r="E23">
        <v>579.85845027456003</v>
      </c>
      <c r="F23">
        <v>153.40787878788001</v>
      </c>
      <c r="G23">
        <v>124.57333333333</v>
      </c>
      <c r="I23" s="9">
        <f t="shared" si="1"/>
        <v>455.28511694123006</v>
      </c>
      <c r="J23" s="9">
        <f t="shared" si="2"/>
        <v>2991.9533170632203</v>
      </c>
      <c r="K23" s="9">
        <f t="shared" si="3"/>
        <v>455.28511694123006</v>
      </c>
      <c r="L23" s="10">
        <f t="shared" si="0"/>
        <v>0.15216985985199777</v>
      </c>
      <c r="M23" s="10">
        <f t="shared" si="4"/>
        <v>0.15410797716816788</v>
      </c>
      <c r="P23" s="8">
        <f t="shared" si="5"/>
        <v>-4.9516074767363838</v>
      </c>
    </row>
    <row r="24" spans="1:16" x14ac:dyDescent="0.2">
      <c r="A24" s="8">
        <v>11</v>
      </c>
      <c r="B24" s="8">
        <v>22</v>
      </c>
      <c r="D24">
        <v>3130.4599027947002</v>
      </c>
      <c r="E24">
        <v>584.40279465370998</v>
      </c>
      <c r="F24">
        <v>153.33878787878999</v>
      </c>
      <c r="G24">
        <v>124.51212121211999</v>
      </c>
      <c r="I24" s="9">
        <f t="shared" si="1"/>
        <v>459.89067344158997</v>
      </c>
      <c r="J24" s="9">
        <f t="shared" si="2"/>
        <v>2977.1211149159103</v>
      </c>
      <c r="K24" s="9">
        <f t="shared" si="3"/>
        <v>459.89067344158997</v>
      </c>
      <c r="L24" s="10">
        <f t="shared" si="0"/>
        <v>0.15447496278786083</v>
      </c>
      <c r="M24" s="10">
        <f t="shared" si="4"/>
        <v>0.15650537140480095</v>
      </c>
      <c r="P24" s="8">
        <f t="shared" si="5"/>
        <v>-3.4729788384028062</v>
      </c>
    </row>
    <row r="25" spans="1:16" x14ac:dyDescent="0.2">
      <c r="A25" s="8">
        <v>11.5</v>
      </c>
      <c r="B25" s="8">
        <v>23</v>
      </c>
      <c r="D25">
        <v>3185.5619684082999</v>
      </c>
      <c r="E25">
        <v>591.91919805588998</v>
      </c>
      <c r="F25">
        <v>153.12242424242001</v>
      </c>
      <c r="G25">
        <v>124.49090909090999</v>
      </c>
      <c r="I25" s="9">
        <f t="shared" si="1"/>
        <v>467.42828896497997</v>
      </c>
      <c r="J25" s="9">
        <f t="shared" si="2"/>
        <v>3032.4395441658799</v>
      </c>
      <c r="K25" s="9">
        <f t="shared" si="3"/>
        <v>467.42828896497997</v>
      </c>
      <c r="L25" s="10">
        <f t="shared" si="0"/>
        <v>0.15414265714357497</v>
      </c>
      <c r="M25" s="10">
        <f t="shared" si="4"/>
        <v>0.15626535706128508</v>
      </c>
      <c r="P25" s="8">
        <f t="shared" si="5"/>
        <v>-3.6210112631540254</v>
      </c>
    </row>
    <row r="26" spans="1:16" x14ac:dyDescent="0.2">
      <c r="A26" s="8">
        <v>12</v>
      </c>
      <c r="B26" s="8">
        <v>24</v>
      </c>
      <c r="D26">
        <v>3047.5413122721998</v>
      </c>
      <c r="E26">
        <v>572.31105710813995</v>
      </c>
      <c r="F26">
        <v>153.10848484849001</v>
      </c>
      <c r="G26">
        <v>124.62181818182</v>
      </c>
      <c r="I26" s="9">
        <f t="shared" si="1"/>
        <v>447.68923892631994</v>
      </c>
      <c r="J26" s="9">
        <f t="shared" si="2"/>
        <v>2894.4328274237096</v>
      </c>
      <c r="K26" s="9">
        <f t="shared" si="3"/>
        <v>447.68923892631994</v>
      </c>
      <c r="L26" s="10">
        <f t="shared" si="0"/>
        <v>0.15467252675018936</v>
      </c>
      <c r="M26" s="10">
        <f t="shared" si="4"/>
        <v>0.15688751796866948</v>
      </c>
      <c r="P26" s="8">
        <f t="shared" si="5"/>
        <v>-3.2372842476915373</v>
      </c>
    </row>
    <row r="27" spans="1:16" x14ac:dyDescent="0.2">
      <c r="A27" s="8">
        <v>12.5</v>
      </c>
      <c r="B27" s="8">
        <v>25</v>
      </c>
      <c r="D27">
        <v>3089.1813186813001</v>
      </c>
      <c r="E27">
        <v>570.96031746031997</v>
      </c>
      <c r="F27">
        <v>153.51939393939</v>
      </c>
      <c r="G27">
        <v>124.41575757576</v>
      </c>
      <c r="I27" s="9">
        <f t="shared" si="1"/>
        <v>446.54455988455999</v>
      </c>
      <c r="J27" s="9">
        <f t="shared" si="2"/>
        <v>2935.6619247419103</v>
      </c>
      <c r="K27" s="9">
        <f t="shared" si="3"/>
        <v>446.54455988455999</v>
      </c>
      <c r="L27" s="10">
        <f t="shared" si="0"/>
        <v>0.15211034898843745</v>
      </c>
      <c r="M27" s="10">
        <f t="shared" si="4"/>
        <v>0.15441763150768759</v>
      </c>
      <c r="P27" s="8">
        <f t="shared" si="5"/>
        <v>-4.7606235461830417</v>
      </c>
    </row>
    <row r="28" spans="1:16" x14ac:dyDescent="0.2">
      <c r="A28" s="8">
        <v>13</v>
      </c>
      <c r="B28" s="8">
        <v>26</v>
      </c>
      <c r="D28">
        <v>3104.5262515262998</v>
      </c>
      <c r="E28">
        <v>572.72893772893997</v>
      </c>
      <c r="F28">
        <v>153.23090909090999</v>
      </c>
      <c r="G28">
        <v>124.86424242424</v>
      </c>
      <c r="I28" s="9">
        <f t="shared" si="1"/>
        <v>447.86469530469998</v>
      </c>
      <c r="J28" s="9">
        <f t="shared" si="2"/>
        <v>2951.29534243539</v>
      </c>
      <c r="K28" s="9">
        <f t="shared" si="3"/>
        <v>447.86469530469998</v>
      </c>
      <c r="L28" s="10">
        <f t="shared" si="0"/>
        <v>0.15175190665097071</v>
      </c>
      <c r="M28" s="10">
        <f t="shared" si="4"/>
        <v>0.15415148047099084</v>
      </c>
      <c r="P28" s="8">
        <f t="shared" si="5"/>
        <v>-4.9247761661270504</v>
      </c>
    </row>
    <row r="29" spans="1:16" x14ac:dyDescent="0.2">
      <c r="A29" s="8">
        <v>13.5</v>
      </c>
      <c r="B29" s="8">
        <v>27</v>
      </c>
      <c r="D29">
        <v>3092.597230584</v>
      </c>
      <c r="E29">
        <v>564.99157134256996</v>
      </c>
      <c r="F29">
        <v>153.04545454545999</v>
      </c>
      <c r="G29">
        <v>124.30666666667</v>
      </c>
      <c r="I29" s="9">
        <f t="shared" si="1"/>
        <v>440.68490467589993</v>
      </c>
      <c r="J29" s="9">
        <f t="shared" si="2"/>
        <v>2939.5517760385401</v>
      </c>
      <c r="K29" s="9">
        <f t="shared" si="3"/>
        <v>440.68490467589993</v>
      </c>
      <c r="L29" s="10">
        <f t="shared" si="0"/>
        <v>0.14991568043403708</v>
      </c>
      <c r="M29" s="10">
        <f t="shared" si="4"/>
        <v>0.15240754555482722</v>
      </c>
      <c r="P29" s="8">
        <f t="shared" si="5"/>
        <v>-6.000374026098072</v>
      </c>
    </row>
    <row r="30" spans="1:16" x14ac:dyDescent="0.2">
      <c r="A30" s="8">
        <v>14</v>
      </c>
      <c r="B30" s="8">
        <v>28</v>
      </c>
      <c r="D30">
        <v>3132.9867549669002</v>
      </c>
      <c r="E30">
        <v>567.54244431066002</v>
      </c>
      <c r="F30">
        <v>152.90787878788001</v>
      </c>
      <c r="G30">
        <v>124.31030303030001</v>
      </c>
      <c r="I30" s="9">
        <f t="shared" si="1"/>
        <v>443.23214128036</v>
      </c>
      <c r="J30" s="9">
        <f t="shared" si="2"/>
        <v>2980.07887617902</v>
      </c>
      <c r="K30" s="9">
        <f t="shared" si="3"/>
        <v>443.23214128036</v>
      </c>
      <c r="L30" s="10">
        <f t="shared" si="0"/>
        <v>0.14873168117236574</v>
      </c>
      <c r="M30" s="10">
        <f t="shared" si="4"/>
        <v>0.15131583759392589</v>
      </c>
      <c r="P30" s="8">
        <f t="shared" si="5"/>
        <v>-6.6737011873214609</v>
      </c>
    </row>
    <row r="31" spans="1:16" x14ac:dyDescent="0.2">
      <c r="A31" s="8">
        <v>14.5</v>
      </c>
      <c r="B31" s="8">
        <v>29</v>
      </c>
      <c r="D31">
        <v>3162.4972907887</v>
      </c>
      <c r="E31">
        <v>570.34316676700996</v>
      </c>
      <c r="F31">
        <v>153.21272727273001</v>
      </c>
      <c r="G31">
        <v>124.44060606060999</v>
      </c>
      <c r="I31" s="9">
        <f t="shared" si="1"/>
        <v>445.90256070639998</v>
      </c>
      <c r="J31" s="9">
        <f t="shared" si="2"/>
        <v>3009.2845635159701</v>
      </c>
      <c r="K31" s="9">
        <f t="shared" si="3"/>
        <v>445.90256070639998</v>
      </c>
      <c r="L31" s="10">
        <f t="shared" si="0"/>
        <v>0.14817560496353291</v>
      </c>
      <c r="M31" s="10">
        <f t="shared" si="4"/>
        <v>0.15085205268586305</v>
      </c>
      <c r="P31" s="8">
        <f t="shared" si="5"/>
        <v>-6.9597474439653917</v>
      </c>
    </row>
    <row r="32" spans="1:16" x14ac:dyDescent="0.2">
      <c r="A32" s="8">
        <v>15</v>
      </c>
      <c r="B32" s="8">
        <v>30</v>
      </c>
      <c r="D32">
        <v>3012.5773630343001</v>
      </c>
      <c r="E32">
        <v>550.98013245032996</v>
      </c>
      <c r="F32">
        <v>153.46727272727</v>
      </c>
      <c r="G32">
        <v>124.63878787879</v>
      </c>
      <c r="I32" s="9">
        <f t="shared" si="1"/>
        <v>426.34134457153993</v>
      </c>
      <c r="J32" s="9">
        <f t="shared" si="2"/>
        <v>2859.1100903070301</v>
      </c>
      <c r="K32" s="9">
        <f t="shared" si="3"/>
        <v>426.34134457153993</v>
      </c>
      <c r="L32" s="10">
        <f t="shared" si="0"/>
        <v>0.14911679897074429</v>
      </c>
      <c r="M32" s="10">
        <f t="shared" si="4"/>
        <v>0.15188553799384444</v>
      </c>
      <c r="P32" s="8">
        <f t="shared" si="5"/>
        <v>-6.322329971975293</v>
      </c>
    </row>
    <row r="33" spans="1:16" x14ac:dyDescent="0.2">
      <c r="A33" s="8">
        <v>15.5</v>
      </c>
      <c r="B33" s="8">
        <v>31</v>
      </c>
      <c r="D33">
        <v>2976.3934426229998</v>
      </c>
      <c r="E33">
        <v>553.16454159077</v>
      </c>
      <c r="F33">
        <v>153.23696969696999</v>
      </c>
      <c r="G33">
        <v>124.52727272727</v>
      </c>
      <c r="I33" s="9">
        <f t="shared" si="1"/>
        <v>428.63726886350003</v>
      </c>
      <c r="J33" s="9">
        <f t="shared" si="2"/>
        <v>2823.1564729260299</v>
      </c>
      <c r="K33" s="9">
        <f t="shared" si="3"/>
        <v>428.63726886350003</v>
      </c>
      <c r="L33" s="10">
        <f t="shared" si="0"/>
        <v>0.15182908668864661</v>
      </c>
      <c r="M33" s="10">
        <f t="shared" si="4"/>
        <v>0.15469011701251678</v>
      </c>
      <c r="P33" s="8">
        <f t="shared" si="5"/>
        <v>-4.592564048577394</v>
      </c>
    </row>
    <row r="34" spans="1:16" x14ac:dyDescent="0.2">
      <c r="A34" s="8">
        <v>16</v>
      </c>
      <c r="B34" s="8">
        <v>32</v>
      </c>
      <c r="D34">
        <v>2949.6836672738</v>
      </c>
      <c r="E34">
        <v>556.34729811779005</v>
      </c>
      <c r="F34">
        <v>152.91515151515</v>
      </c>
      <c r="G34">
        <v>124.32787878788</v>
      </c>
      <c r="I34" s="9">
        <f t="shared" si="1"/>
        <v>432.01941932991008</v>
      </c>
      <c r="J34" s="9">
        <f t="shared" si="2"/>
        <v>2796.7685157586502</v>
      </c>
      <c r="K34" s="9">
        <f t="shared" si="3"/>
        <v>432.01941932991008</v>
      </c>
      <c r="L34" s="10">
        <f t="shared" si="0"/>
        <v>0.15447092488908423</v>
      </c>
      <c r="M34" s="10">
        <f t="shared" si="4"/>
        <v>0.15742424651372439</v>
      </c>
      <c r="P34" s="8">
        <f t="shared" si="5"/>
        <v>-2.9062489154118252</v>
      </c>
    </row>
    <row r="35" spans="1:16" x14ac:dyDescent="0.2">
      <c r="A35" s="8">
        <v>16.5</v>
      </c>
      <c r="B35" s="8">
        <v>33</v>
      </c>
      <c r="D35">
        <v>2947.6660595020999</v>
      </c>
      <c r="E35">
        <v>554.61870066788003</v>
      </c>
      <c r="F35">
        <v>152.72363636364</v>
      </c>
      <c r="G35">
        <v>124.55696969697</v>
      </c>
      <c r="I35" s="9">
        <f t="shared" si="1"/>
        <v>430.06173097091005</v>
      </c>
      <c r="J35" s="9">
        <f t="shared" si="2"/>
        <v>2794.9424231384601</v>
      </c>
      <c r="K35" s="9">
        <f t="shared" si="3"/>
        <v>430.06173097091005</v>
      </c>
      <c r="L35" s="10">
        <f t="shared" si="0"/>
        <v>0.15387140980456793</v>
      </c>
      <c r="M35" s="10">
        <f t="shared" si="4"/>
        <v>0.1569170227299781</v>
      </c>
      <c r="P35" s="8">
        <f t="shared" si="5"/>
        <v>-3.2190867462662478</v>
      </c>
    </row>
    <row r="36" spans="1:16" x14ac:dyDescent="0.2">
      <c r="A36" s="8">
        <v>17</v>
      </c>
      <c r="B36" s="8">
        <v>34</v>
      </c>
      <c r="D36">
        <v>3037.0570734669</v>
      </c>
      <c r="E36">
        <v>556.43715846994996</v>
      </c>
      <c r="F36">
        <v>152.73757575758</v>
      </c>
      <c r="G36">
        <v>124.12545454546</v>
      </c>
      <c r="I36" s="9">
        <f t="shared" si="1"/>
        <v>432.31170392448996</v>
      </c>
      <c r="J36" s="9">
        <f t="shared" si="2"/>
        <v>2884.3194977093199</v>
      </c>
      <c r="K36" s="9">
        <f t="shared" si="3"/>
        <v>432.31170392448996</v>
      </c>
      <c r="L36" s="10">
        <f t="shared" si="0"/>
        <v>0.14988343152269537</v>
      </c>
      <c r="M36" s="10">
        <f t="shared" si="4"/>
        <v>0.15302133574887555</v>
      </c>
      <c r="P36" s="8">
        <f t="shared" si="5"/>
        <v>-5.6218097728850545</v>
      </c>
    </row>
    <row r="37" spans="1:16" x14ac:dyDescent="0.2">
      <c r="A37" s="8">
        <v>17.5</v>
      </c>
      <c r="B37" s="8">
        <v>35</v>
      </c>
      <c r="D37">
        <v>3247.4182926828998</v>
      </c>
      <c r="E37">
        <v>576.20000000000005</v>
      </c>
      <c r="F37">
        <v>152.99090909091001</v>
      </c>
      <c r="G37">
        <v>124.48787878788001</v>
      </c>
      <c r="I37" s="9">
        <f t="shared" si="1"/>
        <v>451.71212121212005</v>
      </c>
      <c r="J37" s="9">
        <f t="shared" si="2"/>
        <v>3094.4273835919898</v>
      </c>
      <c r="K37" s="9">
        <f t="shared" si="3"/>
        <v>451.71212121212005</v>
      </c>
      <c r="L37" s="10">
        <f t="shared" si="0"/>
        <v>0.14597599659545921</v>
      </c>
      <c r="M37" s="10">
        <f t="shared" si="4"/>
        <v>0.14920619212240938</v>
      </c>
      <c r="P37" s="8">
        <f t="shared" si="5"/>
        <v>-7.974856484706323</v>
      </c>
    </row>
    <row r="38" spans="1:16" x14ac:dyDescent="0.2">
      <c r="A38" s="8">
        <v>18</v>
      </c>
      <c r="B38" s="8">
        <v>36</v>
      </c>
      <c r="D38">
        <v>3298.3928136418999</v>
      </c>
      <c r="E38">
        <v>576.37819732033995</v>
      </c>
      <c r="F38">
        <v>152.7896969697</v>
      </c>
      <c r="G38">
        <v>124.80666666667</v>
      </c>
      <c r="I38" s="9">
        <f t="shared" si="1"/>
        <v>451.57153065366992</v>
      </c>
      <c r="J38" s="9">
        <f t="shared" si="2"/>
        <v>3145.6031166722</v>
      </c>
      <c r="K38" s="9">
        <f t="shared" si="3"/>
        <v>451.57153065366992</v>
      </c>
      <c r="L38" s="10">
        <f t="shared" si="0"/>
        <v>0.14355642269689667</v>
      </c>
      <c r="M38" s="10">
        <f t="shared" si="4"/>
        <v>0.14687890952461685</v>
      </c>
      <c r="P38" s="8">
        <f t="shared" si="5"/>
        <v>-9.4102427244864906</v>
      </c>
    </row>
    <row r="39" spans="1:16" x14ac:dyDescent="0.2">
      <c r="A39" s="8">
        <v>18.5</v>
      </c>
      <c r="B39" s="8">
        <v>37</v>
      </c>
      <c r="D39">
        <v>3045.9275274055999</v>
      </c>
      <c r="E39">
        <v>548.35566382460001</v>
      </c>
      <c r="F39">
        <v>153.02424242423999</v>
      </c>
      <c r="G39">
        <v>124.52181818182</v>
      </c>
      <c r="I39" s="9">
        <f t="shared" si="1"/>
        <v>423.83384564278003</v>
      </c>
      <c r="J39" s="9">
        <f t="shared" si="2"/>
        <v>2892.9032849813598</v>
      </c>
      <c r="K39" s="9">
        <f t="shared" si="3"/>
        <v>423.83384564278003</v>
      </c>
      <c r="L39" s="10">
        <f t="shared" si="0"/>
        <v>0.14650812830250251</v>
      </c>
      <c r="M39" s="10">
        <f t="shared" si="4"/>
        <v>0.14992290643099271</v>
      </c>
      <c r="P39" s="8">
        <f t="shared" si="5"/>
        <v>-7.5328122493522347</v>
      </c>
    </row>
    <row r="40" spans="1:16" x14ac:dyDescent="0.2">
      <c r="A40" s="8">
        <v>19</v>
      </c>
      <c r="B40" s="8">
        <v>38</v>
      </c>
      <c r="D40">
        <v>3186.3578756789002</v>
      </c>
      <c r="E40">
        <v>559.14604707301999</v>
      </c>
      <c r="F40">
        <v>152.71818181818</v>
      </c>
      <c r="G40">
        <v>124.44545454546</v>
      </c>
      <c r="I40" s="9">
        <f t="shared" si="1"/>
        <v>434.70059252755999</v>
      </c>
      <c r="J40" s="9">
        <f t="shared" si="2"/>
        <v>3033.6396938607204</v>
      </c>
      <c r="K40" s="9">
        <f t="shared" si="3"/>
        <v>434.70059252755999</v>
      </c>
      <c r="L40" s="10">
        <f t="shared" si="0"/>
        <v>0.14329341530151993</v>
      </c>
      <c r="M40" s="10">
        <f t="shared" si="4"/>
        <v>0.14680048473078011</v>
      </c>
      <c r="P40" s="8">
        <f t="shared" si="5"/>
        <v>-9.4586123853251145</v>
      </c>
    </row>
    <row r="41" spans="1:16" x14ac:dyDescent="0.2">
      <c r="A41" s="8">
        <v>19.5</v>
      </c>
      <c r="B41" s="8">
        <v>39</v>
      </c>
      <c r="D41">
        <v>3249.8131868132</v>
      </c>
      <c r="E41">
        <v>572.54700854701002</v>
      </c>
      <c r="F41">
        <v>153.29030303030001</v>
      </c>
      <c r="G41">
        <v>124.04969696969999</v>
      </c>
      <c r="I41" s="9">
        <f t="shared" si="1"/>
        <v>448.49731157731003</v>
      </c>
      <c r="J41" s="9">
        <f t="shared" si="2"/>
        <v>3096.5228837829</v>
      </c>
      <c r="K41" s="9">
        <f t="shared" si="3"/>
        <v>448.49731157731003</v>
      </c>
      <c r="L41" s="10">
        <f t="shared" si="0"/>
        <v>0.1448390108551042</v>
      </c>
      <c r="M41" s="10">
        <f t="shared" si="4"/>
        <v>0.1484383715851344</v>
      </c>
      <c r="P41" s="8">
        <f t="shared" si="5"/>
        <v>-8.4484212485517194</v>
      </c>
    </row>
    <row r="42" spans="1:16" x14ac:dyDescent="0.2">
      <c r="A42" s="8">
        <v>20</v>
      </c>
      <c r="B42" s="8">
        <v>40</v>
      </c>
      <c r="D42">
        <v>3145.7735042734998</v>
      </c>
      <c r="E42">
        <v>562.36507936507996</v>
      </c>
      <c r="F42">
        <v>152.86545454546001</v>
      </c>
      <c r="G42">
        <v>124.23212121212001</v>
      </c>
      <c r="I42" s="9">
        <f t="shared" si="1"/>
        <v>438.13295815295999</v>
      </c>
      <c r="J42" s="9">
        <f t="shared" si="2"/>
        <v>2992.9080497280397</v>
      </c>
      <c r="K42" s="9">
        <f t="shared" si="3"/>
        <v>438.13295815295999</v>
      </c>
      <c r="L42" s="10">
        <f t="shared" si="0"/>
        <v>0.14639038382511363</v>
      </c>
      <c r="M42" s="10">
        <f t="shared" si="4"/>
        <v>0.15008203585591384</v>
      </c>
      <c r="P42" s="8">
        <f t="shared" si="5"/>
        <v>-7.4346668040622728</v>
      </c>
    </row>
    <row r="43" spans="1:16" x14ac:dyDescent="0.2">
      <c r="A43" s="8">
        <v>20.5</v>
      </c>
      <c r="B43" s="8">
        <v>41</v>
      </c>
      <c r="D43">
        <v>3137.2100122100001</v>
      </c>
      <c r="E43">
        <v>558.88583638583998</v>
      </c>
      <c r="F43">
        <v>152.97575757576001</v>
      </c>
      <c r="G43">
        <v>124.75757575758</v>
      </c>
      <c r="I43" s="9">
        <f t="shared" si="1"/>
        <v>434.12826062825997</v>
      </c>
      <c r="J43" s="9">
        <f t="shared" si="2"/>
        <v>2984.2342546342402</v>
      </c>
      <c r="K43" s="9">
        <f t="shared" si="3"/>
        <v>434.12826062825997</v>
      </c>
      <c r="L43" s="10">
        <f t="shared" si="0"/>
        <v>0.14547392181230373</v>
      </c>
      <c r="M43" s="10">
        <f t="shared" si="4"/>
        <v>0.14925786514387393</v>
      </c>
      <c r="P43" s="8">
        <f t="shared" si="5"/>
        <v>-7.9429863783219767</v>
      </c>
    </row>
    <row r="44" spans="1:16" x14ac:dyDescent="0.2">
      <c r="A44" s="8">
        <v>21</v>
      </c>
      <c r="B44" s="8">
        <v>42</v>
      </c>
      <c r="D44">
        <v>3138.9328449329</v>
      </c>
      <c r="E44">
        <v>555.61782661783002</v>
      </c>
      <c r="F44">
        <v>153.63151515152001</v>
      </c>
      <c r="G44">
        <v>124.38424242424</v>
      </c>
      <c r="I44" s="9">
        <f t="shared" si="1"/>
        <v>431.23358419358999</v>
      </c>
      <c r="J44" s="9">
        <f t="shared" si="2"/>
        <v>2985.30132978138</v>
      </c>
      <c r="K44" s="9">
        <f t="shared" si="3"/>
        <v>431.23358419358999</v>
      </c>
      <c r="L44" s="10">
        <f t="shared" si="0"/>
        <v>0.14445228020756287</v>
      </c>
      <c r="M44" s="10">
        <f t="shared" si="4"/>
        <v>0.14832851483990309</v>
      </c>
      <c r="P44" s="8">
        <f t="shared" si="5"/>
        <v>-8.5161770340337366</v>
      </c>
    </row>
    <row r="45" spans="1:16" x14ac:dyDescent="0.2">
      <c r="A45" s="8">
        <v>21.5</v>
      </c>
      <c r="B45" s="8">
        <v>43</v>
      </c>
      <c r="D45">
        <v>3117.7020757021</v>
      </c>
      <c r="E45">
        <v>553.66971916972</v>
      </c>
      <c r="F45">
        <v>152.88848484849001</v>
      </c>
      <c r="G45">
        <v>123.82060606061</v>
      </c>
      <c r="I45" s="9">
        <f t="shared" si="1"/>
        <v>429.84911310911002</v>
      </c>
      <c r="J45" s="9">
        <f t="shared" si="2"/>
        <v>2964.8135908536101</v>
      </c>
      <c r="K45" s="9">
        <f t="shared" si="3"/>
        <v>429.84911310911002</v>
      </c>
      <c r="L45" s="10">
        <f t="shared" si="0"/>
        <v>0.14498352086457841</v>
      </c>
      <c r="M45" s="10">
        <f t="shared" si="4"/>
        <v>0.14895204679768864</v>
      </c>
      <c r="P45" s="8">
        <f t="shared" si="5"/>
        <v>-8.131604402795265</v>
      </c>
    </row>
    <row r="46" spans="1:16" x14ac:dyDescent="0.2">
      <c r="A46" s="8">
        <v>22</v>
      </c>
      <c r="B46" s="8">
        <v>44</v>
      </c>
      <c r="D46">
        <v>3135.0909645910001</v>
      </c>
      <c r="E46">
        <v>554.37728937729003</v>
      </c>
      <c r="F46">
        <v>152.66424242424</v>
      </c>
      <c r="G46">
        <v>124.55454545455</v>
      </c>
      <c r="I46" s="9">
        <f t="shared" si="1"/>
        <v>429.82274392274002</v>
      </c>
      <c r="J46" s="9">
        <f t="shared" si="2"/>
        <v>2982.4267221667601</v>
      </c>
      <c r="K46" s="9">
        <f t="shared" si="3"/>
        <v>429.82274392274002</v>
      </c>
      <c r="L46" s="10">
        <f t="shared" si="0"/>
        <v>0.14411845921581265</v>
      </c>
      <c r="M46" s="10">
        <f t="shared" si="4"/>
        <v>0.14817927644969286</v>
      </c>
      <c r="P46" s="8">
        <f t="shared" si="5"/>
        <v>-8.6082220361997326</v>
      </c>
    </row>
    <row r="47" spans="1:16" x14ac:dyDescent="0.2">
      <c r="A47" s="8">
        <v>22.5</v>
      </c>
      <c r="B47" s="8">
        <v>45</v>
      </c>
      <c r="D47">
        <v>3182.2582417581998</v>
      </c>
      <c r="E47">
        <v>559.04029304028995</v>
      </c>
      <c r="F47">
        <v>152.83696969696999</v>
      </c>
      <c r="G47">
        <v>124.30606060606</v>
      </c>
      <c r="I47" s="9">
        <f t="shared" si="1"/>
        <v>434.73423243422997</v>
      </c>
      <c r="J47" s="9">
        <f t="shared" si="2"/>
        <v>3029.42127206123</v>
      </c>
      <c r="K47" s="9">
        <f t="shared" si="3"/>
        <v>434.73423243422997</v>
      </c>
      <c r="L47" s="10">
        <f t="shared" si="0"/>
        <v>0.14350405354433757</v>
      </c>
      <c r="M47" s="10">
        <f t="shared" si="4"/>
        <v>0.1476571620789878</v>
      </c>
      <c r="P47" s="8">
        <f t="shared" si="5"/>
        <v>-8.930243858565607</v>
      </c>
    </row>
    <row r="48" spans="1:16" x14ac:dyDescent="0.2">
      <c r="A48" s="8">
        <v>23</v>
      </c>
      <c r="B48" s="8">
        <v>46</v>
      </c>
      <c r="D48">
        <v>3227.9401709402</v>
      </c>
      <c r="E48">
        <v>563.29853479854</v>
      </c>
      <c r="F48">
        <v>153.01878787878999</v>
      </c>
      <c r="G48">
        <v>124.17454545455</v>
      </c>
      <c r="I48" s="9">
        <f t="shared" si="1"/>
        <v>439.12398934398999</v>
      </c>
      <c r="J48" s="9">
        <f t="shared" si="2"/>
        <v>3074.9213830614099</v>
      </c>
      <c r="K48" s="9">
        <f t="shared" si="3"/>
        <v>439.12398934398999</v>
      </c>
      <c r="L48" s="10">
        <f t="shared" si="0"/>
        <v>0.14280820048374557</v>
      </c>
      <c r="M48" s="10">
        <f t="shared" si="4"/>
        <v>0.14705360031916581</v>
      </c>
      <c r="P48" s="8">
        <f t="shared" si="5"/>
        <v>-9.3024995724732022</v>
      </c>
    </row>
    <row r="49" spans="1:25" x14ac:dyDescent="0.2">
      <c r="A49" s="8">
        <v>23.5</v>
      </c>
      <c r="B49" s="8">
        <v>47</v>
      </c>
      <c r="D49">
        <v>3180.8440145103</v>
      </c>
      <c r="E49">
        <v>551.51874244255998</v>
      </c>
      <c r="F49">
        <v>153.37212121211999</v>
      </c>
      <c r="G49">
        <v>124.42181818182</v>
      </c>
      <c r="I49" s="9">
        <f t="shared" si="1"/>
        <v>427.09692426073997</v>
      </c>
      <c r="J49" s="9">
        <f t="shared" si="2"/>
        <v>3027.47189329818</v>
      </c>
      <c r="K49" s="9">
        <f t="shared" si="3"/>
        <v>427.09692426073997</v>
      </c>
      <c r="L49" s="10">
        <f t="shared" si="0"/>
        <v>0.14107378674800949</v>
      </c>
      <c r="M49" s="10">
        <f t="shared" si="4"/>
        <v>0.14541147788419972</v>
      </c>
      <c r="P49" s="8">
        <f t="shared" si="5"/>
        <v>-10.315303066737442</v>
      </c>
    </row>
    <row r="50" spans="1:25" x14ac:dyDescent="0.2">
      <c r="A50" s="8">
        <v>24</v>
      </c>
      <c r="B50" s="8">
        <v>48</v>
      </c>
      <c r="D50">
        <v>3161.9697702539002</v>
      </c>
      <c r="E50">
        <v>549.95767835549998</v>
      </c>
      <c r="F50">
        <v>152.67696969696999</v>
      </c>
      <c r="G50">
        <v>124.18121212121</v>
      </c>
      <c r="I50" s="9">
        <f t="shared" si="1"/>
        <v>425.77646623428996</v>
      </c>
      <c r="J50" s="9">
        <f t="shared" si="2"/>
        <v>3009.2928005569302</v>
      </c>
      <c r="K50" s="9">
        <f t="shared" si="3"/>
        <v>425.77646623428996</v>
      </c>
      <c r="L50" s="10">
        <f t="shared" si="0"/>
        <v>0.14148721791229205</v>
      </c>
      <c r="M50" s="10">
        <f t="shared" si="4"/>
        <v>0.14591720034925229</v>
      </c>
      <c r="P50" s="8">
        <f t="shared" si="5"/>
        <v>-10.003391196570623</v>
      </c>
    </row>
    <row r="51" spans="1:25" x14ac:dyDescent="0.2">
      <c r="A51" s="8">
        <v>24.5</v>
      </c>
      <c r="B51" s="8">
        <v>49</v>
      </c>
      <c r="D51">
        <v>3122.2540933898999</v>
      </c>
      <c r="E51">
        <v>548.08671922377005</v>
      </c>
      <c r="F51">
        <v>152.93515151515001</v>
      </c>
      <c r="G51">
        <v>124.50121212121</v>
      </c>
      <c r="I51" s="9">
        <f t="shared" si="1"/>
        <v>423.58550710256003</v>
      </c>
      <c r="J51" s="9">
        <f t="shared" si="2"/>
        <v>2969.3189418747497</v>
      </c>
      <c r="K51" s="9">
        <f t="shared" si="3"/>
        <v>423.58550710256003</v>
      </c>
      <c r="L51" s="10">
        <f t="shared" si="0"/>
        <v>0.14265409523003927</v>
      </c>
      <c r="M51" s="10">
        <f t="shared" si="4"/>
        <v>0.14717636896776953</v>
      </c>
      <c r="P51" s="8">
        <f t="shared" si="5"/>
        <v>-9.226780178081933</v>
      </c>
    </row>
    <row r="52" spans="1:25" x14ac:dyDescent="0.2">
      <c r="A52" s="8">
        <v>25</v>
      </c>
      <c r="B52" s="8">
        <v>50</v>
      </c>
      <c r="D52">
        <v>3135.6510922329999</v>
      </c>
      <c r="E52">
        <v>552.19599514563004</v>
      </c>
      <c r="F52">
        <v>153.04424242424</v>
      </c>
      <c r="G52">
        <v>124.01090909091</v>
      </c>
      <c r="I52" s="9">
        <f t="shared" si="1"/>
        <v>428.18508605472005</v>
      </c>
      <c r="J52" s="9">
        <f t="shared" si="2"/>
        <v>2982.6068498087598</v>
      </c>
      <c r="K52" s="9">
        <f t="shared" si="3"/>
        <v>428.18508605472005</v>
      </c>
      <c r="L52" s="10">
        <f t="shared" si="0"/>
        <v>0.14356068621051232</v>
      </c>
      <c r="M52" s="10">
        <f t="shared" si="4"/>
        <v>0.14817525124901257</v>
      </c>
      <c r="P52" s="8">
        <f t="shared" si="5"/>
        <v>-8.6107046387312565</v>
      </c>
    </row>
    <row r="53" spans="1:25" x14ac:dyDescent="0.2">
      <c r="A53" s="8">
        <v>25.5</v>
      </c>
      <c r="B53" s="8">
        <v>51</v>
      </c>
      <c r="D53">
        <v>3141.0965018093998</v>
      </c>
      <c r="E53">
        <v>557.37213510253002</v>
      </c>
      <c r="F53">
        <v>153.22727272726999</v>
      </c>
      <c r="G53">
        <v>124.72484848485</v>
      </c>
      <c r="I53" s="9">
        <f t="shared" si="1"/>
        <v>432.64728661768004</v>
      </c>
      <c r="J53" s="9">
        <f t="shared" si="2"/>
        <v>2987.86922908213</v>
      </c>
      <c r="K53" s="9">
        <f t="shared" si="3"/>
        <v>432.64728661768004</v>
      </c>
      <c r="L53" s="10">
        <f t="shared" si="0"/>
        <v>0.1448012792549789</v>
      </c>
      <c r="M53" s="10">
        <f t="shared" si="4"/>
        <v>0.14950813559424916</v>
      </c>
      <c r="P53" s="8">
        <f t="shared" si="5"/>
        <v>-7.7886283467563491</v>
      </c>
      <c r="S53" s="11"/>
      <c r="U53" s="12"/>
    </row>
    <row r="54" spans="1:25" x14ac:dyDescent="0.2">
      <c r="A54" s="8">
        <v>26</v>
      </c>
      <c r="B54" s="8">
        <v>52</v>
      </c>
      <c r="D54">
        <v>3111.6320868516</v>
      </c>
      <c r="E54">
        <v>552.89324487334</v>
      </c>
      <c r="F54">
        <v>152.56666666666999</v>
      </c>
      <c r="G54">
        <v>124.46</v>
      </c>
      <c r="I54" s="9">
        <f t="shared" si="1"/>
        <v>428.43324487334002</v>
      </c>
      <c r="J54" s="9">
        <f t="shared" si="2"/>
        <v>2959.0654201849302</v>
      </c>
      <c r="K54" s="9">
        <f t="shared" si="3"/>
        <v>428.43324487334002</v>
      </c>
      <c r="L54" s="10">
        <f t="shared" si="0"/>
        <v>0.14478667553303523</v>
      </c>
      <c r="M54" s="10">
        <f t="shared" si="4"/>
        <v>0.14958582317307551</v>
      </c>
      <c r="P54" s="8">
        <f t="shared" si="5"/>
        <v>-7.740713374266571</v>
      </c>
      <c r="S54" s="11"/>
    </row>
    <row r="55" spans="1:25" x14ac:dyDescent="0.2">
      <c r="A55" s="8">
        <v>26.5</v>
      </c>
      <c r="B55" s="8">
        <v>53</v>
      </c>
      <c r="D55">
        <v>3156.4549330085001</v>
      </c>
      <c r="E55">
        <v>564.58282582216998</v>
      </c>
      <c r="F55">
        <v>153.6703030303</v>
      </c>
      <c r="G55">
        <v>124.18727272727</v>
      </c>
      <c r="I55" s="9">
        <f t="shared" si="1"/>
        <v>440.39555309489998</v>
      </c>
      <c r="J55" s="9">
        <f t="shared" si="2"/>
        <v>3002.7846299782</v>
      </c>
      <c r="K55" s="9">
        <f t="shared" si="3"/>
        <v>440.39555309489998</v>
      </c>
      <c r="L55" s="10">
        <f t="shared" si="0"/>
        <v>0.14666238420772029</v>
      </c>
      <c r="M55" s="10">
        <f t="shared" si="4"/>
        <v>0.15155382314853055</v>
      </c>
      <c r="P55" s="8">
        <f t="shared" si="5"/>
        <v>-6.5269200483785568</v>
      </c>
      <c r="S55" s="11"/>
    </row>
    <row r="56" spans="1:25" x14ac:dyDescent="0.2">
      <c r="A56" s="8">
        <v>27</v>
      </c>
      <c r="B56" s="8">
        <v>54</v>
      </c>
      <c r="D56">
        <v>3220.9732034105</v>
      </c>
      <c r="E56">
        <v>571.77466504262998</v>
      </c>
      <c r="F56">
        <v>152.96242424242001</v>
      </c>
      <c r="G56">
        <v>124.12666666667</v>
      </c>
      <c r="I56" s="9">
        <f t="shared" si="1"/>
        <v>447.64799837595996</v>
      </c>
      <c r="J56" s="9">
        <f t="shared" si="2"/>
        <v>3068.0107791680798</v>
      </c>
      <c r="K56" s="9">
        <f t="shared" si="3"/>
        <v>447.64799837595996</v>
      </c>
      <c r="L56" s="10">
        <f t="shared" si="0"/>
        <v>0.14590822216646318</v>
      </c>
      <c r="M56" s="10">
        <f t="shared" si="4"/>
        <v>0.15089195240804346</v>
      </c>
      <c r="P56" s="8">
        <f t="shared" si="5"/>
        <v>-6.9351386954433449</v>
      </c>
      <c r="S56" s="11"/>
    </row>
    <row r="57" spans="1:25" x14ac:dyDescent="0.2">
      <c r="A57" s="8">
        <v>27.5</v>
      </c>
      <c r="B57" s="8">
        <v>55</v>
      </c>
      <c r="D57">
        <v>3083.6017052375</v>
      </c>
      <c r="E57">
        <v>563.26309378806002</v>
      </c>
      <c r="F57">
        <v>152.94</v>
      </c>
      <c r="G57">
        <v>123.86424242424</v>
      </c>
      <c r="I57" s="9">
        <f t="shared" si="1"/>
        <v>439.39885136382003</v>
      </c>
      <c r="J57" s="9">
        <f t="shared" si="2"/>
        <v>2930.6617052375</v>
      </c>
      <c r="K57" s="9">
        <f t="shared" si="3"/>
        <v>439.39885136382003</v>
      </c>
      <c r="L57" s="10">
        <f t="shared" si="0"/>
        <v>0.14993161802965971</v>
      </c>
      <c r="M57" s="10">
        <f t="shared" si="4"/>
        <v>0.15500763957201</v>
      </c>
      <c r="P57" s="8">
        <f t="shared" si="5"/>
        <v>-4.3967272760476428</v>
      </c>
      <c r="S57" s="11"/>
    </row>
    <row r="58" spans="1:25" x14ac:dyDescent="0.2">
      <c r="A58" s="8">
        <v>28</v>
      </c>
      <c r="B58" s="8">
        <v>56</v>
      </c>
      <c r="D58">
        <v>3151.4116930573</v>
      </c>
      <c r="E58">
        <v>569.16017052375003</v>
      </c>
      <c r="F58">
        <v>152.54</v>
      </c>
      <c r="G58">
        <v>124.43696969697</v>
      </c>
      <c r="I58" s="9">
        <f t="shared" si="1"/>
        <v>444.72320082678004</v>
      </c>
      <c r="J58" s="9">
        <f t="shared" si="2"/>
        <v>2998.8716930573</v>
      </c>
      <c r="K58" s="9">
        <f t="shared" si="3"/>
        <v>444.72320082678004</v>
      </c>
      <c r="L58" s="10">
        <f t="shared" si="0"/>
        <v>0.14829684172762728</v>
      </c>
      <c r="M58" s="10">
        <f t="shared" si="4"/>
        <v>0.15346515457074755</v>
      </c>
      <c r="P58" s="8">
        <f t="shared" si="5"/>
        <v>-5.348077897574866</v>
      </c>
      <c r="S58" s="11"/>
    </row>
    <row r="59" spans="1:25" x14ac:dyDescent="0.2">
      <c r="A59" s="8">
        <v>28.5</v>
      </c>
      <c r="B59" s="8">
        <v>57</v>
      </c>
      <c r="D59">
        <v>3180.6002430133999</v>
      </c>
      <c r="E59">
        <v>566.63244228432995</v>
      </c>
      <c r="F59">
        <v>153.15333333333001</v>
      </c>
      <c r="G59">
        <v>124.26666666667001</v>
      </c>
      <c r="I59" s="9">
        <f t="shared" si="1"/>
        <v>442.36577561765995</v>
      </c>
      <c r="J59" s="9">
        <f t="shared" si="2"/>
        <v>3027.4469096800699</v>
      </c>
      <c r="K59" s="9">
        <f t="shared" si="3"/>
        <v>442.36577561765995</v>
      </c>
      <c r="L59" s="10">
        <f t="shared" si="0"/>
        <v>0.14611842546378712</v>
      </c>
      <c r="M59" s="10">
        <f t="shared" si="4"/>
        <v>0.15137902960767741</v>
      </c>
      <c r="P59" s="8">
        <f t="shared" si="5"/>
        <v>-6.6347265707068033</v>
      </c>
      <c r="R59" s="1"/>
      <c r="S59" s="11"/>
    </row>
    <row r="60" spans="1:25" x14ac:dyDescent="0.2">
      <c r="A60" s="8">
        <v>29</v>
      </c>
      <c r="B60" s="8">
        <v>58</v>
      </c>
      <c r="D60">
        <v>3185.5785324438998</v>
      </c>
      <c r="E60">
        <v>563.37052759248002</v>
      </c>
      <c r="F60">
        <v>152.97878787879</v>
      </c>
      <c r="G60">
        <v>124.35454545455001</v>
      </c>
      <c r="I60" s="9">
        <f t="shared" si="1"/>
        <v>439.01598213793</v>
      </c>
      <c r="J60" s="9">
        <f t="shared" si="2"/>
        <v>3032.5997445651096</v>
      </c>
      <c r="K60" s="9">
        <f t="shared" si="3"/>
        <v>439.01598213793</v>
      </c>
      <c r="L60" s="10">
        <f t="shared" si="0"/>
        <v>0.14476555401836821</v>
      </c>
      <c r="M60" s="10">
        <f t="shared" si="4"/>
        <v>0.15011844946302852</v>
      </c>
      <c r="P60" s="8">
        <f t="shared" si="5"/>
        <v>-7.4122081689817101</v>
      </c>
      <c r="S60" s="11"/>
    </row>
    <row r="61" spans="1:25" x14ac:dyDescent="0.2">
      <c r="A61" s="8">
        <v>29.5</v>
      </c>
      <c r="B61" s="8">
        <v>59</v>
      </c>
      <c r="C61" s="2"/>
      <c r="D61">
        <v>2988.0563978168998</v>
      </c>
      <c r="E61">
        <v>541.59733171618996</v>
      </c>
      <c r="F61">
        <v>152.58363636364001</v>
      </c>
      <c r="G61">
        <v>124.02545454545999</v>
      </c>
      <c r="I61" s="9">
        <f t="shared" si="1"/>
        <v>417.57187717072998</v>
      </c>
      <c r="J61" s="9">
        <f t="shared" si="2"/>
        <v>2835.4727614532599</v>
      </c>
      <c r="K61" s="9">
        <f t="shared" si="3"/>
        <v>417.57187717072998</v>
      </c>
      <c r="L61" s="10">
        <f t="shared" si="0"/>
        <v>0.14726710933266471</v>
      </c>
      <c r="M61" s="10">
        <f t="shared" si="4"/>
        <v>0.152712296078095</v>
      </c>
      <c r="P61" s="8">
        <f t="shared" si="5"/>
        <v>-5.812414597329389</v>
      </c>
      <c r="S61" s="11"/>
    </row>
    <row r="62" spans="1:25" x14ac:dyDescent="0.2">
      <c r="A62" s="8">
        <v>30</v>
      </c>
      <c r="B62" s="8">
        <v>60</v>
      </c>
      <c r="D62">
        <v>3095.5739393939002</v>
      </c>
      <c r="E62">
        <v>575.19272727273005</v>
      </c>
      <c r="F62">
        <v>153.29272727272999</v>
      </c>
      <c r="G62">
        <v>124.13939393939</v>
      </c>
      <c r="I62" s="9">
        <f t="shared" si="1"/>
        <v>451.05333333334005</v>
      </c>
      <c r="J62" s="9">
        <f t="shared" si="2"/>
        <v>2942.28121212117</v>
      </c>
      <c r="K62" s="9">
        <f t="shared" si="3"/>
        <v>451.05333333334005</v>
      </c>
      <c r="L62" s="10">
        <f t="shared" si="0"/>
        <v>0.15330055178789778</v>
      </c>
      <c r="M62" s="10">
        <f t="shared" si="4"/>
        <v>0.15883802983409809</v>
      </c>
      <c r="P62" s="8">
        <f t="shared" si="5"/>
        <v>-2.0342769743935816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3064.4375757575999</v>
      </c>
      <c r="E63">
        <v>573.08484848485</v>
      </c>
      <c r="F63">
        <v>152.80848484849</v>
      </c>
      <c r="G63">
        <v>124.01151515152</v>
      </c>
      <c r="I63" s="9">
        <f t="shared" si="1"/>
        <v>449.07333333332997</v>
      </c>
      <c r="J63" s="9">
        <f t="shared" si="2"/>
        <v>2911.6290909091099</v>
      </c>
      <c r="K63" s="9">
        <f t="shared" si="3"/>
        <v>449.07333333332997</v>
      </c>
      <c r="L63" s="10">
        <f t="shared" si="0"/>
        <v>0.15423438882907781</v>
      </c>
      <c r="M63" s="10">
        <f t="shared" si="4"/>
        <v>0.15986415817604813</v>
      </c>
      <c r="P63" s="8">
        <f t="shared" si="5"/>
        <v>-1.401397020888755</v>
      </c>
    </row>
    <row r="64" spans="1:25" x14ac:dyDescent="0.2">
      <c r="A64" s="8">
        <v>31</v>
      </c>
      <c r="B64" s="8">
        <v>62</v>
      </c>
      <c r="D64">
        <v>3078.8940316686999</v>
      </c>
      <c r="E64">
        <v>563.24056029232997</v>
      </c>
      <c r="F64">
        <v>152.34545454546</v>
      </c>
      <c r="G64">
        <v>124.34060606061</v>
      </c>
      <c r="I64" s="9">
        <f t="shared" si="1"/>
        <v>438.89995423171996</v>
      </c>
      <c r="J64" s="9">
        <f t="shared" si="2"/>
        <v>2926.5485771232397</v>
      </c>
      <c r="K64" s="9">
        <f t="shared" si="3"/>
        <v>438.89995423171996</v>
      </c>
      <c r="L64" s="10">
        <f t="shared" si="0"/>
        <v>0.14997186708691268</v>
      </c>
      <c r="M64" s="10">
        <f t="shared" si="4"/>
        <v>0.15569392773465299</v>
      </c>
      <c r="P64" s="8">
        <f t="shared" si="5"/>
        <v>-3.9734488198274409</v>
      </c>
      <c r="U64" s="8">
        <v>30.5</v>
      </c>
      <c r="V64" s="10">
        <f>L62</f>
        <v>0.15330055178789778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3039.4537149817002</v>
      </c>
      <c r="E65">
        <v>571.52070645553999</v>
      </c>
      <c r="F65">
        <v>152.89454545455001</v>
      </c>
      <c r="G65">
        <v>124.20303030303</v>
      </c>
      <c r="I65" s="9">
        <f t="shared" si="1"/>
        <v>447.31767615250999</v>
      </c>
      <c r="J65" s="9">
        <f t="shared" si="2"/>
        <v>2886.5591695271501</v>
      </c>
      <c r="K65" s="9">
        <f t="shared" si="3"/>
        <v>447.31767615250999</v>
      </c>
      <c r="L65" s="10">
        <f t="shared" si="0"/>
        <v>0.15496570479994198</v>
      </c>
      <c r="M65" s="10">
        <f t="shared" si="4"/>
        <v>0.1607800567484523</v>
      </c>
      <c r="P65" s="8">
        <f t="shared" si="5"/>
        <v>-0.83650292117338432</v>
      </c>
      <c r="U65" s="8">
        <v>31</v>
      </c>
      <c r="V65" s="10">
        <f t="shared" ref="V65:V83" si="6">L63</f>
        <v>0.15423438882907781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3130.5024360535999</v>
      </c>
      <c r="E66">
        <v>588.62302070646001</v>
      </c>
      <c r="F66">
        <v>152.90545454546</v>
      </c>
      <c r="G66">
        <v>124.52848484849</v>
      </c>
      <c r="I66" s="9">
        <f t="shared" si="1"/>
        <v>464.09453585797002</v>
      </c>
      <c r="J66" s="9">
        <f t="shared" si="2"/>
        <v>2977.5969815081398</v>
      </c>
      <c r="K66" s="9">
        <f t="shared" si="3"/>
        <v>464.09453585797002</v>
      </c>
      <c r="L66" s="10">
        <f t="shared" ref="L66:L129" si="7">K66/J66</f>
        <v>0.15586210583237095</v>
      </c>
      <c r="M66" s="10">
        <f t="shared" si="4"/>
        <v>0.16176874908165129</v>
      </c>
      <c r="P66" s="8">
        <f t="shared" si="5"/>
        <v>-0.2267121842014044</v>
      </c>
      <c r="U66" s="8">
        <v>31.5</v>
      </c>
      <c r="V66" s="10">
        <f t="shared" si="6"/>
        <v>0.14997186708691268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3247.3666260658001</v>
      </c>
      <c r="E67">
        <v>603.40925700365005</v>
      </c>
      <c r="F67">
        <v>153.10181818181999</v>
      </c>
      <c r="G67">
        <v>124.02606060606</v>
      </c>
      <c r="I67" s="9">
        <f t="shared" ref="I67:I130" si="8">E67-G67</f>
        <v>479.38319639759004</v>
      </c>
      <c r="J67" s="9">
        <f t="shared" ref="J67:J130" si="9">D67-F67</f>
        <v>3094.2648078839802</v>
      </c>
      <c r="K67" s="9">
        <f t="shared" ref="K67:K130" si="10">I67*1</f>
        <v>479.38319639759004</v>
      </c>
      <c r="L67" s="10">
        <f t="shared" si="7"/>
        <v>0.15492636414832811</v>
      </c>
      <c r="M67" s="10">
        <f t="shared" ref="M67:M130" si="11">L67+ABS($N$2)*A67</f>
        <v>0.16092529869837843</v>
      </c>
      <c r="P67" s="8">
        <f t="shared" ref="P67:P130" si="12">(M67-$O$2)/$O$2*100</f>
        <v>-0.74692278313576466</v>
      </c>
      <c r="U67" s="8">
        <v>32</v>
      </c>
      <c r="V67" s="10">
        <f t="shared" si="6"/>
        <v>0.15496570479994198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3123.8518518518999</v>
      </c>
      <c r="E68">
        <v>574.41287188828005</v>
      </c>
      <c r="F68">
        <v>152.53212121211999</v>
      </c>
      <c r="G68">
        <v>124.03515151515001</v>
      </c>
      <c r="I68" s="9">
        <f t="shared" si="8"/>
        <v>450.37772037313005</v>
      </c>
      <c r="J68" s="9">
        <f t="shared" si="9"/>
        <v>2971.3197306397801</v>
      </c>
      <c r="K68" s="9">
        <f t="shared" si="10"/>
        <v>450.37772037313005</v>
      </c>
      <c r="L68" s="10">
        <f t="shared" si="7"/>
        <v>0.15157497718232948</v>
      </c>
      <c r="M68" s="10">
        <f t="shared" si="11"/>
        <v>0.15766620303314982</v>
      </c>
      <c r="P68" s="8">
        <f t="shared" si="12"/>
        <v>-2.7570186247123658</v>
      </c>
      <c r="U68" s="8">
        <v>32.5</v>
      </c>
      <c r="V68" s="10">
        <f t="shared" si="6"/>
        <v>0.15586210583237095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3069.7896656534999</v>
      </c>
      <c r="E69">
        <v>578.71428571428999</v>
      </c>
      <c r="F69">
        <v>152.61090909091001</v>
      </c>
      <c r="G69">
        <v>124.10606060606</v>
      </c>
      <c r="I69" s="9">
        <f t="shared" si="8"/>
        <v>454.60822510822999</v>
      </c>
      <c r="J69" s="9">
        <f t="shared" si="9"/>
        <v>2917.17875656259</v>
      </c>
      <c r="K69" s="9">
        <f t="shared" si="10"/>
        <v>454.60822510822999</v>
      </c>
      <c r="L69" s="10">
        <f t="shared" si="7"/>
        <v>0.15583831607354434</v>
      </c>
      <c r="M69" s="10">
        <f t="shared" si="11"/>
        <v>0.16202183322513469</v>
      </c>
      <c r="P69" s="8">
        <f t="shared" si="12"/>
        <v>-7.0618765461796407E-2</v>
      </c>
      <c r="U69" s="8">
        <v>33</v>
      </c>
      <c r="V69" s="10">
        <f t="shared" si="6"/>
        <v>0.15492636414832811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3083.8705167172998</v>
      </c>
      <c r="E70">
        <v>581.19635258359006</v>
      </c>
      <c r="F70">
        <v>152.19878787879</v>
      </c>
      <c r="G70">
        <v>124.1696969697</v>
      </c>
      <c r="I70" s="9">
        <f t="shared" si="8"/>
        <v>457.02665561389006</v>
      </c>
      <c r="J70" s="9">
        <f t="shared" si="9"/>
        <v>2931.6717288385098</v>
      </c>
      <c r="K70" s="9">
        <f t="shared" si="10"/>
        <v>457.02665561389006</v>
      </c>
      <c r="L70" s="10">
        <f t="shared" si="7"/>
        <v>0.15589284813786367</v>
      </c>
      <c r="M70" s="10">
        <f t="shared" si="11"/>
        <v>0.162168656590224</v>
      </c>
      <c r="P70" s="8">
        <f t="shared" si="12"/>
        <v>1.9936733955126552E-2</v>
      </c>
      <c r="U70" s="8">
        <v>33.5</v>
      </c>
      <c r="V70" s="10">
        <f t="shared" si="6"/>
        <v>0.15157497718232948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3006.6761673741998</v>
      </c>
      <c r="E71">
        <v>561.05821710126997</v>
      </c>
      <c r="F71">
        <v>153.00666666666999</v>
      </c>
      <c r="G71">
        <v>124.43696969697</v>
      </c>
      <c r="I71" s="9">
        <f t="shared" si="8"/>
        <v>436.62124740429999</v>
      </c>
      <c r="J71" s="9">
        <f t="shared" si="9"/>
        <v>2853.66950070753</v>
      </c>
      <c r="K71" s="9">
        <f t="shared" si="10"/>
        <v>436.62124740429999</v>
      </c>
      <c r="L71" s="10">
        <f t="shared" si="7"/>
        <v>0.15300343900933358</v>
      </c>
      <c r="M71" s="10">
        <f t="shared" si="11"/>
        <v>0.15937153876246393</v>
      </c>
      <c r="P71" s="8">
        <f t="shared" si="12"/>
        <v>-1.7052273887082996</v>
      </c>
      <c r="U71" s="8">
        <v>34</v>
      </c>
      <c r="V71" s="10">
        <f t="shared" si="6"/>
        <v>0.15583831607354434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3132.1115827774001</v>
      </c>
      <c r="E72">
        <v>580.57792601577</v>
      </c>
      <c r="F72">
        <v>152.62787878788001</v>
      </c>
      <c r="G72">
        <v>123.96363636364001</v>
      </c>
      <c r="I72" s="9">
        <f t="shared" si="8"/>
        <v>456.61428965212997</v>
      </c>
      <c r="J72" s="9">
        <f t="shared" si="9"/>
        <v>2979.4837039895201</v>
      </c>
      <c r="K72" s="9">
        <f t="shared" si="10"/>
        <v>456.61428965212997</v>
      </c>
      <c r="L72" s="10">
        <f t="shared" si="7"/>
        <v>0.15325282331322193</v>
      </c>
      <c r="M72" s="10">
        <f t="shared" si="11"/>
        <v>0.1597132143671223</v>
      </c>
      <c r="P72" s="8">
        <f t="shared" si="12"/>
        <v>-1.4944938654737883</v>
      </c>
      <c r="U72" s="8">
        <v>34.5</v>
      </c>
      <c r="V72" s="10">
        <f t="shared" si="6"/>
        <v>0.15589284813786367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3125.0242571254998</v>
      </c>
      <c r="E73">
        <v>581.39175257731995</v>
      </c>
      <c r="F73">
        <v>153.23818181818001</v>
      </c>
      <c r="G73">
        <v>123.85454545455001</v>
      </c>
      <c r="I73" s="9">
        <f t="shared" si="8"/>
        <v>457.53720712276993</v>
      </c>
      <c r="J73" s="9">
        <f t="shared" si="9"/>
        <v>2971.7860753073201</v>
      </c>
      <c r="K73" s="9">
        <f t="shared" si="10"/>
        <v>457.53720712276993</v>
      </c>
      <c r="L73" s="10">
        <f t="shared" si="7"/>
        <v>0.15396034422681479</v>
      </c>
      <c r="M73" s="10">
        <f t="shared" si="11"/>
        <v>0.16051302658148514</v>
      </c>
      <c r="P73" s="8">
        <f t="shared" si="12"/>
        <v>-1.001197757818675</v>
      </c>
      <c r="U73" s="8">
        <v>35</v>
      </c>
      <c r="V73" s="10">
        <f t="shared" si="6"/>
        <v>0.15300343900933358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3183.6458459672999</v>
      </c>
      <c r="E74">
        <v>588.95815645846005</v>
      </c>
      <c r="F74">
        <v>152.70848484849</v>
      </c>
      <c r="G74">
        <v>123.92484848485</v>
      </c>
      <c r="I74" s="9">
        <f t="shared" si="8"/>
        <v>465.03330797361002</v>
      </c>
      <c r="J74" s="9">
        <f t="shared" si="9"/>
        <v>3030.9373611188098</v>
      </c>
      <c r="K74" s="9">
        <f t="shared" si="10"/>
        <v>465.03330797361002</v>
      </c>
      <c r="L74" s="10">
        <f t="shared" si="7"/>
        <v>0.1534288744924614</v>
      </c>
      <c r="M74" s="10">
        <f t="shared" si="11"/>
        <v>0.16007384814790176</v>
      </c>
      <c r="P74" s="8">
        <f t="shared" si="12"/>
        <v>-1.2720676044680355</v>
      </c>
      <c r="U74" s="8">
        <v>35.5</v>
      </c>
      <c r="V74" s="10">
        <f t="shared" si="6"/>
        <v>0.15325282331322193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3228.3195625758999</v>
      </c>
      <c r="E75">
        <v>589.83232077764001</v>
      </c>
      <c r="F75">
        <v>153.46242424242001</v>
      </c>
      <c r="G75">
        <v>123.73090909091</v>
      </c>
      <c r="I75" s="9">
        <f t="shared" si="8"/>
        <v>466.10141168672999</v>
      </c>
      <c r="J75" s="9">
        <f t="shared" si="9"/>
        <v>3074.8571383334797</v>
      </c>
      <c r="K75" s="9">
        <f t="shared" si="10"/>
        <v>466.10141168672999</v>
      </c>
      <c r="L75" s="10">
        <f t="shared" si="7"/>
        <v>0.15158473734469141</v>
      </c>
      <c r="M75" s="10">
        <f t="shared" si="11"/>
        <v>0.15832200230090179</v>
      </c>
      <c r="P75" s="8">
        <f t="shared" si="12"/>
        <v>-2.3525446489769064</v>
      </c>
      <c r="U75" s="8">
        <v>36</v>
      </c>
      <c r="V75" s="10">
        <f t="shared" si="6"/>
        <v>0.15396034422681479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3062.8033980583</v>
      </c>
      <c r="E76">
        <v>576.95752427185005</v>
      </c>
      <c r="F76">
        <v>152.61454545455001</v>
      </c>
      <c r="G76">
        <v>123.69757575758</v>
      </c>
      <c r="I76" s="9">
        <f t="shared" si="8"/>
        <v>453.25994851427004</v>
      </c>
      <c r="J76" s="9">
        <f t="shared" si="9"/>
        <v>2910.1888526037501</v>
      </c>
      <c r="K76" s="9">
        <f t="shared" si="10"/>
        <v>453.25994851427004</v>
      </c>
      <c r="L76" s="10">
        <f t="shared" si="7"/>
        <v>0.15574932469029895</v>
      </c>
      <c r="M76" s="10">
        <f t="shared" si="11"/>
        <v>0.16257888094727932</v>
      </c>
      <c r="P76" s="8">
        <f t="shared" si="12"/>
        <v>0.27294872222779515</v>
      </c>
      <c r="U76" s="8">
        <v>36.5</v>
      </c>
      <c r="V76" s="10">
        <f t="shared" si="6"/>
        <v>0.1534288744924614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2897.3234223301001</v>
      </c>
      <c r="E77">
        <v>556.76456310679998</v>
      </c>
      <c r="F77">
        <v>153.01636363636001</v>
      </c>
      <c r="G77">
        <v>123.87575757576001</v>
      </c>
      <c r="I77" s="9">
        <f t="shared" si="8"/>
        <v>432.88880553103996</v>
      </c>
      <c r="J77" s="9">
        <f t="shared" si="9"/>
        <v>2744.3070586937401</v>
      </c>
      <c r="K77" s="9">
        <f t="shared" si="10"/>
        <v>432.88880553103996</v>
      </c>
      <c r="L77" s="10">
        <f t="shared" si="7"/>
        <v>0.15774065958096184</v>
      </c>
      <c r="M77" s="10">
        <f t="shared" si="11"/>
        <v>0.16466250713871222</v>
      </c>
      <c r="P77" s="8">
        <f t="shared" si="12"/>
        <v>1.5580562406981306</v>
      </c>
      <c r="U77" s="8">
        <v>37</v>
      </c>
      <c r="V77" s="10">
        <f t="shared" si="6"/>
        <v>0.15158473734469141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2922.7383685801001</v>
      </c>
      <c r="E78">
        <v>568.30936555891003</v>
      </c>
      <c r="F78">
        <v>152.91515151515</v>
      </c>
      <c r="G78">
        <v>123.67090909091</v>
      </c>
      <c r="I78" s="9">
        <f t="shared" si="8"/>
        <v>444.63845646800002</v>
      </c>
      <c r="J78" s="9">
        <f t="shared" si="9"/>
        <v>2769.8232170649499</v>
      </c>
      <c r="K78" s="9">
        <f t="shared" si="10"/>
        <v>444.63845646800002</v>
      </c>
      <c r="L78" s="10">
        <f t="shared" si="7"/>
        <v>0.1605295434483224</v>
      </c>
      <c r="M78" s="10">
        <f t="shared" si="11"/>
        <v>0.1675436823068428</v>
      </c>
      <c r="P78" s="8">
        <f t="shared" si="12"/>
        <v>3.3350639812508449</v>
      </c>
      <c r="U78" s="8">
        <v>37.5</v>
      </c>
      <c r="V78" s="10">
        <f t="shared" si="6"/>
        <v>0.15574932469029895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2935.8737864077998</v>
      </c>
      <c r="E79">
        <v>572.85254854368998</v>
      </c>
      <c r="F79">
        <v>152.21090909091001</v>
      </c>
      <c r="G79">
        <v>123.90424242424</v>
      </c>
      <c r="I79" s="9">
        <f t="shared" si="8"/>
        <v>448.94830611944997</v>
      </c>
      <c r="J79" s="9">
        <f t="shared" si="9"/>
        <v>2783.66287731689</v>
      </c>
      <c r="K79" s="9">
        <f t="shared" si="10"/>
        <v>448.94830611944997</v>
      </c>
      <c r="L79" s="10">
        <f t="shared" si="7"/>
        <v>0.16127969725708349</v>
      </c>
      <c r="M79" s="10">
        <f t="shared" si="11"/>
        <v>0.16838612741637388</v>
      </c>
      <c r="P79" s="8">
        <f t="shared" si="12"/>
        <v>3.854654562617279</v>
      </c>
      <c r="U79" s="8">
        <v>38</v>
      </c>
      <c r="V79" s="10">
        <f t="shared" si="6"/>
        <v>0.15774065958096184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2867.1990291262</v>
      </c>
      <c r="E80">
        <v>564.94599514563004</v>
      </c>
      <c r="F80">
        <v>152.79272727272999</v>
      </c>
      <c r="G80">
        <v>124.02545454545999</v>
      </c>
      <c r="I80" s="9">
        <f t="shared" si="8"/>
        <v>440.92054060017006</v>
      </c>
      <c r="J80" s="9">
        <f t="shared" si="9"/>
        <v>2714.4063018534698</v>
      </c>
      <c r="K80" s="9">
        <f t="shared" si="10"/>
        <v>440.92054060017006</v>
      </c>
      <c r="L80" s="10">
        <f t="shared" si="7"/>
        <v>0.16243719309784155</v>
      </c>
      <c r="M80" s="10">
        <f t="shared" si="11"/>
        <v>0.16963591455790195</v>
      </c>
      <c r="P80" s="8">
        <f t="shared" si="12"/>
        <v>4.6254794153039089</v>
      </c>
      <c r="U80" s="8">
        <v>38.5</v>
      </c>
      <c r="V80" s="10">
        <f t="shared" si="6"/>
        <v>0.1605295434483224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2952.3000604960998</v>
      </c>
      <c r="E81">
        <v>585.77676950998</v>
      </c>
      <c r="F81">
        <v>152.58727272727</v>
      </c>
      <c r="G81">
        <v>124.08181818182</v>
      </c>
      <c r="I81" s="9">
        <f t="shared" si="8"/>
        <v>461.69495132816002</v>
      </c>
      <c r="J81" s="9">
        <f t="shared" si="9"/>
        <v>2799.7127877688299</v>
      </c>
      <c r="K81" s="9">
        <f t="shared" si="10"/>
        <v>461.69495132816002</v>
      </c>
      <c r="L81" s="10">
        <f t="shared" si="7"/>
        <v>0.16490796961216073</v>
      </c>
      <c r="M81" s="10">
        <f t="shared" si="11"/>
        <v>0.17219898237299114</v>
      </c>
      <c r="P81" s="8">
        <f t="shared" si="12"/>
        <v>6.2062897031873181</v>
      </c>
      <c r="U81" s="8">
        <v>39</v>
      </c>
      <c r="V81" s="10">
        <f t="shared" si="6"/>
        <v>0.16127969725708349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2959.8294010888999</v>
      </c>
      <c r="E82">
        <v>587.69147005444995</v>
      </c>
      <c r="F82">
        <v>152.74303030303</v>
      </c>
      <c r="G82">
        <v>124.30303030303</v>
      </c>
      <c r="H82" s="13"/>
      <c r="I82" s="14">
        <f t="shared" si="8"/>
        <v>463.38843975141992</v>
      </c>
      <c r="J82" s="14">
        <f t="shared" si="9"/>
        <v>2807.0863707858698</v>
      </c>
      <c r="K82" s="9">
        <f t="shared" si="10"/>
        <v>463.38843975141992</v>
      </c>
      <c r="L82" s="15">
        <f t="shared" si="7"/>
        <v>0.16507808401409824</v>
      </c>
      <c r="M82" s="15">
        <f t="shared" si="11"/>
        <v>0.17246138807569864</v>
      </c>
      <c r="N82" s="13"/>
      <c r="O82" s="13"/>
      <c r="P82" s="13">
        <f t="shared" si="12"/>
        <v>6.368132332554052</v>
      </c>
      <c r="U82" s="8">
        <v>39.5</v>
      </c>
      <c r="V82" s="10">
        <f t="shared" si="6"/>
        <v>0.16243719309784155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2914.1418181817999</v>
      </c>
      <c r="E83">
        <v>583.65757575758005</v>
      </c>
      <c r="F83">
        <v>152.64666666667</v>
      </c>
      <c r="G83">
        <v>123.96787878788</v>
      </c>
      <c r="I83" s="9">
        <f t="shared" si="8"/>
        <v>459.68969696970004</v>
      </c>
      <c r="J83" s="9">
        <f t="shared" si="9"/>
        <v>2761.4951515151297</v>
      </c>
      <c r="K83" s="9">
        <f t="shared" si="10"/>
        <v>459.68969696970004</v>
      </c>
      <c r="L83" s="10">
        <f t="shared" si="7"/>
        <v>0.16646406086119159</v>
      </c>
      <c r="M83" s="10">
        <f t="shared" si="11"/>
        <v>0.173939656223562</v>
      </c>
      <c r="P83" s="8">
        <f t="shared" si="12"/>
        <v>7.2798762523345895</v>
      </c>
      <c r="U83" s="8">
        <v>40</v>
      </c>
      <c r="V83" s="10">
        <f t="shared" si="6"/>
        <v>0.16490796961216073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2888.0206812652</v>
      </c>
      <c r="E84">
        <v>571.91240875912001</v>
      </c>
      <c r="F84">
        <v>152.17878787878999</v>
      </c>
      <c r="G84">
        <v>124.1</v>
      </c>
      <c r="I84" s="9">
        <f t="shared" si="8"/>
        <v>447.81240875911999</v>
      </c>
      <c r="J84" s="9">
        <f t="shared" si="9"/>
        <v>2735.84189338641</v>
      </c>
      <c r="K84" s="9">
        <f t="shared" si="10"/>
        <v>447.81240875911999</v>
      </c>
      <c r="L84" s="10">
        <f t="shared" si="7"/>
        <v>0.16368358487442425</v>
      </c>
      <c r="M84" s="10">
        <f t="shared" si="11"/>
        <v>0.17125147153756468</v>
      </c>
      <c r="P84" s="8">
        <f t="shared" si="12"/>
        <v>5.6218982689438848</v>
      </c>
      <c r="U84" s="8">
        <v>150.5</v>
      </c>
      <c r="V84" s="10">
        <f>L302</f>
        <v>0.1787979169960611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3120.9054301402998</v>
      </c>
      <c r="E85">
        <v>604.30689444783002</v>
      </c>
      <c r="F85">
        <v>152.80121212121</v>
      </c>
      <c r="G85">
        <v>124.12848484849</v>
      </c>
      <c r="I85" s="9">
        <f t="shared" si="8"/>
        <v>480.17840959934</v>
      </c>
      <c r="J85" s="9">
        <f t="shared" si="9"/>
        <v>2968.1042180190898</v>
      </c>
      <c r="K85" s="9">
        <f t="shared" si="10"/>
        <v>480.17840959934</v>
      </c>
      <c r="L85" s="10">
        <f t="shared" si="7"/>
        <v>0.16177949772929828</v>
      </c>
      <c r="M85" s="10">
        <f t="shared" si="11"/>
        <v>0.1694396756932087</v>
      </c>
      <c r="P85" s="8">
        <f t="shared" si="12"/>
        <v>4.5044461697676983</v>
      </c>
      <c r="U85" s="8">
        <v>151</v>
      </c>
      <c r="V85" s="10">
        <f t="shared" ref="V85:V103" si="13">L303</f>
        <v>0.17718802908545697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3092.5826723611999</v>
      </c>
      <c r="E86">
        <v>599.80231848688004</v>
      </c>
      <c r="F86">
        <v>153.18363636364001</v>
      </c>
      <c r="G86">
        <v>123.43878787879</v>
      </c>
      <c r="I86" s="9">
        <f t="shared" si="8"/>
        <v>476.36353060809006</v>
      </c>
      <c r="J86" s="9">
        <f t="shared" si="9"/>
        <v>2939.3990359975601</v>
      </c>
      <c r="K86" s="9">
        <f t="shared" si="10"/>
        <v>476.36353060809006</v>
      </c>
      <c r="L86" s="10">
        <f t="shared" si="7"/>
        <v>0.16206153869354589</v>
      </c>
      <c r="M86" s="10">
        <f t="shared" si="11"/>
        <v>0.16981400795822632</v>
      </c>
      <c r="P86" s="8">
        <f t="shared" si="12"/>
        <v>4.7353211751588322</v>
      </c>
      <c r="U86" s="8">
        <v>151.5</v>
      </c>
      <c r="V86" s="10">
        <f t="shared" si="13"/>
        <v>0.17287964092220701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3166.7730323368</v>
      </c>
      <c r="E87">
        <v>608.63941427700001</v>
      </c>
      <c r="F87">
        <v>152.37575757575999</v>
      </c>
      <c r="G87">
        <v>123.98</v>
      </c>
      <c r="I87" s="9">
        <f t="shared" si="8"/>
        <v>484.659414277</v>
      </c>
      <c r="J87" s="9">
        <f t="shared" si="9"/>
        <v>3014.3972747610401</v>
      </c>
      <c r="K87" s="9">
        <f t="shared" si="10"/>
        <v>484.659414277</v>
      </c>
      <c r="L87" s="10">
        <f t="shared" si="7"/>
        <v>0.16078153279096907</v>
      </c>
      <c r="M87" s="10">
        <f t="shared" si="11"/>
        <v>0.16862629335641952</v>
      </c>
      <c r="P87" s="8">
        <f t="shared" si="12"/>
        <v>4.0027804867883976</v>
      </c>
      <c r="U87" s="8">
        <v>152</v>
      </c>
      <c r="V87" s="10">
        <f t="shared" si="13"/>
        <v>0.17355268104424332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3199.6650396583</v>
      </c>
      <c r="E88">
        <v>610.66503965832999</v>
      </c>
      <c r="F88">
        <v>152.42848484849</v>
      </c>
      <c r="G88">
        <v>123.78909090909001</v>
      </c>
      <c r="I88" s="9">
        <f t="shared" si="8"/>
        <v>486.87594874923997</v>
      </c>
      <c r="J88" s="9">
        <f t="shared" si="9"/>
        <v>3047.2365548098101</v>
      </c>
      <c r="K88" s="9">
        <f t="shared" si="10"/>
        <v>486.87594874923997</v>
      </c>
      <c r="L88" s="10">
        <f t="shared" si="7"/>
        <v>0.15977622347065465</v>
      </c>
      <c r="M88" s="10">
        <f t="shared" si="11"/>
        <v>0.16771327533687508</v>
      </c>
      <c r="P88" s="8">
        <f t="shared" si="12"/>
        <v>3.4396630109956021</v>
      </c>
      <c r="U88" s="8">
        <v>152.5</v>
      </c>
      <c r="V88" s="10">
        <f t="shared" si="13"/>
        <v>0.17371196293884572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3166.0372178156999</v>
      </c>
      <c r="E89">
        <v>612.20988407566006</v>
      </c>
      <c r="F89">
        <v>152.75393939393999</v>
      </c>
      <c r="G89">
        <v>123.83090909091</v>
      </c>
      <c r="I89" s="9">
        <f t="shared" si="8"/>
        <v>488.37897498475007</v>
      </c>
      <c r="J89" s="9">
        <f t="shared" si="9"/>
        <v>3013.2832784217599</v>
      </c>
      <c r="K89" s="9">
        <f t="shared" si="10"/>
        <v>488.37897498475007</v>
      </c>
      <c r="L89" s="10">
        <f t="shared" si="7"/>
        <v>0.16207536094666278</v>
      </c>
      <c r="M89" s="10">
        <f t="shared" si="11"/>
        <v>0.17010470411365322</v>
      </c>
      <c r="P89" s="8">
        <f t="shared" si="12"/>
        <v>4.914612363024264</v>
      </c>
      <c r="U89" s="8">
        <v>153</v>
      </c>
      <c r="V89" s="10">
        <f t="shared" si="13"/>
        <v>0.17356097890558475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3042.5405735203999</v>
      </c>
      <c r="E90">
        <v>594.22452715070006</v>
      </c>
      <c r="F90">
        <v>152.69818181817999</v>
      </c>
      <c r="G90">
        <v>124.11636363636001</v>
      </c>
      <c r="I90" s="9">
        <f t="shared" si="8"/>
        <v>470.10816351434005</v>
      </c>
      <c r="J90" s="9">
        <f t="shared" si="9"/>
        <v>2889.8423917022201</v>
      </c>
      <c r="K90" s="9">
        <f t="shared" si="10"/>
        <v>470.10816351434005</v>
      </c>
      <c r="L90" s="10">
        <f t="shared" si="7"/>
        <v>0.16267605626666359</v>
      </c>
      <c r="M90" s="10">
        <f t="shared" si="11"/>
        <v>0.17079769073442405</v>
      </c>
      <c r="P90" s="8">
        <f t="shared" si="12"/>
        <v>5.3420221931625145</v>
      </c>
      <c r="U90" s="8">
        <v>153.5</v>
      </c>
      <c r="V90" s="10">
        <f t="shared" si="13"/>
        <v>0.17308235440092162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3071.0382978723001</v>
      </c>
      <c r="E91">
        <v>607.80668693009</v>
      </c>
      <c r="F91">
        <v>152.44787878788</v>
      </c>
      <c r="G91">
        <v>123.87333333333</v>
      </c>
      <c r="I91" s="9">
        <f t="shared" si="8"/>
        <v>483.93335359676001</v>
      </c>
      <c r="J91" s="9">
        <f t="shared" si="9"/>
        <v>2918.5904190844199</v>
      </c>
      <c r="K91" s="9">
        <f t="shared" si="10"/>
        <v>483.93335359676001</v>
      </c>
      <c r="L91" s="10">
        <f t="shared" si="7"/>
        <v>0.16581064284743763</v>
      </c>
      <c r="M91" s="10">
        <f t="shared" si="11"/>
        <v>0.17402456861596807</v>
      </c>
      <c r="P91" s="8">
        <f t="shared" si="12"/>
        <v>7.3322472363148332</v>
      </c>
      <c r="U91" s="8">
        <v>154</v>
      </c>
      <c r="V91" s="10">
        <f t="shared" si="13"/>
        <v>0.17378807679221894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3079.1240121581</v>
      </c>
      <c r="E92">
        <v>615</v>
      </c>
      <c r="F92">
        <v>152.7896969697</v>
      </c>
      <c r="G92">
        <v>123.71757575757999</v>
      </c>
      <c r="I92" s="9">
        <f t="shared" si="8"/>
        <v>491.28242424242001</v>
      </c>
      <c r="J92" s="9">
        <f t="shared" si="9"/>
        <v>2926.3343151884001</v>
      </c>
      <c r="K92" s="9">
        <f t="shared" si="10"/>
        <v>491.28242424242001</v>
      </c>
      <c r="L92" s="10">
        <f t="shared" si="7"/>
        <v>0.16788321884227053</v>
      </c>
      <c r="M92" s="10">
        <f t="shared" si="11"/>
        <v>0.17618943591157099</v>
      </c>
      <c r="P92" s="8">
        <f t="shared" si="12"/>
        <v>8.6674614170103741</v>
      </c>
      <c r="U92" s="8">
        <v>154.5</v>
      </c>
      <c r="V92" s="10">
        <f t="shared" si="13"/>
        <v>0.17355071884668863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3079.6547112461999</v>
      </c>
      <c r="E93">
        <v>621.14589665654</v>
      </c>
      <c r="F93">
        <v>152.49636363636</v>
      </c>
      <c r="G93">
        <v>123.94303030303</v>
      </c>
      <c r="I93" s="9">
        <f t="shared" si="8"/>
        <v>497.20286635350999</v>
      </c>
      <c r="J93" s="9">
        <f t="shared" si="9"/>
        <v>2927.1583476098399</v>
      </c>
      <c r="K93" s="9">
        <f t="shared" si="10"/>
        <v>497.20286635350999</v>
      </c>
      <c r="L93" s="10">
        <f t="shared" si="7"/>
        <v>0.16985854788467428</v>
      </c>
      <c r="M93" s="10">
        <f t="shared" si="11"/>
        <v>0.17825705625474475</v>
      </c>
      <c r="P93" s="8">
        <f t="shared" si="12"/>
        <v>9.9426970899347609</v>
      </c>
      <c r="U93" s="8">
        <v>155</v>
      </c>
      <c r="V93" s="10">
        <f t="shared" si="13"/>
        <v>0.17383509660393415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3046.7865443424998</v>
      </c>
      <c r="E94">
        <v>619.86666666666997</v>
      </c>
      <c r="F94">
        <v>152.21151515151999</v>
      </c>
      <c r="G94">
        <v>123.79212121211999</v>
      </c>
      <c r="I94" s="9">
        <f t="shared" si="8"/>
        <v>496.07454545454999</v>
      </c>
      <c r="J94" s="9">
        <f t="shared" si="9"/>
        <v>2894.5750291909799</v>
      </c>
      <c r="K94" s="9">
        <f t="shared" si="10"/>
        <v>496.07454545454999</v>
      </c>
      <c r="L94" s="10">
        <f t="shared" si="7"/>
        <v>0.17138078662732073</v>
      </c>
      <c r="M94" s="10">
        <f t="shared" si="11"/>
        <v>0.17987158629816119</v>
      </c>
      <c r="P94" s="8">
        <f t="shared" si="12"/>
        <v>10.938482565334184</v>
      </c>
      <c r="U94" s="8">
        <v>155.5</v>
      </c>
      <c r="V94" s="10">
        <f t="shared" si="13"/>
        <v>0.17556188437326456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3044.1198776758001</v>
      </c>
      <c r="E95">
        <v>619.40122324158995</v>
      </c>
      <c r="F95">
        <v>152.26181818181999</v>
      </c>
      <c r="G95">
        <v>123.99333333333</v>
      </c>
      <c r="I95" s="9">
        <f t="shared" si="8"/>
        <v>495.40788990825996</v>
      </c>
      <c r="J95" s="9">
        <f t="shared" si="9"/>
        <v>2891.8580594939804</v>
      </c>
      <c r="K95" s="9">
        <f t="shared" si="10"/>
        <v>495.40788990825996</v>
      </c>
      <c r="L95" s="10">
        <f t="shared" si="7"/>
        <v>0.17131127452187153</v>
      </c>
      <c r="M95" s="10">
        <f t="shared" si="11"/>
        <v>0.17989436549348201</v>
      </c>
      <c r="P95" s="8">
        <f t="shared" si="12"/>
        <v>10.952531973664644</v>
      </c>
      <c r="U95" s="8">
        <v>156</v>
      </c>
      <c r="V95" s="10">
        <f t="shared" si="13"/>
        <v>0.17560823564939304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3066.9174311927</v>
      </c>
      <c r="E96">
        <v>629.56513761468</v>
      </c>
      <c r="F96">
        <v>152.17393939394</v>
      </c>
      <c r="G96">
        <v>123.79757575758001</v>
      </c>
      <c r="I96" s="9">
        <f t="shared" si="8"/>
        <v>505.76756185709996</v>
      </c>
      <c r="J96" s="9">
        <f t="shared" si="9"/>
        <v>2914.7434917987598</v>
      </c>
      <c r="K96" s="9">
        <f t="shared" si="10"/>
        <v>505.76756185709996</v>
      </c>
      <c r="L96" s="10">
        <f t="shared" si="7"/>
        <v>0.17352043611390941</v>
      </c>
      <c r="M96" s="10">
        <f t="shared" si="11"/>
        <v>0.1821958183862899</v>
      </c>
      <c r="P96" s="8">
        <f t="shared" si="12"/>
        <v>12.371987357798968</v>
      </c>
      <c r="U96" s="8">
        <v>156.5</v>
      </c>
      <c r="V96" s="10">
        <f t="shared" si="13"/>
        <v>0.17719878807376949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2963.9685039370002</v>
      </c>
      <c r="E97">
        <v>611.92428831012001</v>
      </c>
      <c r="F97">
        <v>152.22424242424</v>
      </c>
      <c r="G97">
        <v>123.59575757576</v>
      </c>
      <c r="I97" s="9">
        <f t="shared" si="8"/>
        <v>488.32853073436002</v>
      </c>
      <c r="J97" s="9">
        <f t="shared" si="9"/>
        <v>2811.7442615127602</v>
      </c>
      <c r="K97" s="9">
        <f t="shared" si="10"/>
        <v>488.32853073436002</v>
      </c>
      <c r="L97" s="10">
        <f t="shared" si="7"/>
        <v>0.17367458961990803</v>
      </c>
      <c r="M97" s="10">
        <f t="shared" si="11"/>
        <v>0.18244226319305851</v>
      </c>
      <c r="P97" s="8">
        <f t="shared" si="12"/>
        <v>12.523985866633467</v>
      </c>
      <c r="U97" s="8">
        <v>157</v>
      </c>
      <c r="V97" s="10">
        <f t="shared" si="13"/>
        <v>0.18166482019499508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2941.3069427526998</v>
      </c>
      <c r="E98">
        <v>614.04141291107999</v>
      </c>
      <c r="F98">
        <v>152.17878787878999</v>
      </c>
      <c r="G98">
        <v>123.77636363636</v>
      </c>
      <c r="I98" s="9">
        <f t="shared" si="8"/>
        <v>490.26504927472001</v>
      </c>
      <c r="J98" s="9">
        <f t="shared" si="9"/>
        <v>2789.1281548739098</v>
      </c>
      <c r="K98" s="9">
        <f t="shared" si="10"/>
        <v>490.26504927472001</v>
      </c>
      <c r="L98" s="10">
        <f t="shared" si="7"/>
        <v>0.17577716836639362</v>
      </c>
      <c r="M98" s="10">
        <f t="shared" si="11"/>
        <v>0.18463713324031411</v>
      </c>
      <c r="P98" s="8">
        <f t="shared" si="12"/>
        <v>13.877704691723572</v>
      </c>
      <c r="U98" s="8">
        <v>157.5</v>
      </c>
      <c r="V98" s="10">
        <f t="shared" si="13"/>
        <v>0.18092113349389638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3058.8593179049999</v>
      </c>
      <c r="E99">
        <v>634.60170523752004</v>
      </c>
      <c r="F99">
        <v>151.81696969697001</v>
      </c>
      <c r="G99">
        <v>123.8896969697</v>
      </c>
      <c r="I99" s="9">
        <f t="shared" si="8"/>
        <v>510.71200826782001</v>
      </c>
      <c r="J99" s="9">
        <f t="shared" si="9"/>
        <v>2907.04234820803</v>
      </c>
      <c r="K99" s="9">
        <f t="shared" si="10"/>
        <v>510.71200826782001</v>
      </c>
      <c r="L99" s="10">
        <f t="shared" si="7"/>
        <v>0.1756809661141108</v>
      </c>
      <c r="M99" s="10">
        <f t="shared" si="11"/>
        <v>0.1846332222888013</v>
      </c>
      <c r="P99" s="8">
        <f t="shared" si="12"/>
        <v>13.875292554069443</v>
      </c>
      <c r="U99" s="8">
        <v>158</v>
      </c>
      <c r="V99" s="10">
        <f t="shared" si="13"/>
        <v>0.18256944475473291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3017.9470158344002</v>
      </c>
      <c r="E100">
        <v>625.11449451887995</v>
      </c>
      <c r="F100">
        <v>152.26969696969999</v>
      </c>
      <c r="G100">
        <v>123.94848484849</v>
      </c>
      <c r="I100" s="9">
        <f t="shared" si="8"/>
        <v>501.16600967038994</v>
      </c>
      <c r="J100" s="9">
        <f t="shared" si="9"/>
        <v>2865.6773188647003</v>
      </c>
      <c r="K100" s="9">
        <f t="shared" si="10"/>
        <v>501.16600967038994</v>
      </c>
      <c r="L100" s="10">
        <f t="shared" si="7"/>
        <v>0.17488570899843589</v>
      </c>
      <c r="M100" s="10">
        <f t="shared" si="11"/>
        <v>0.18393025647389638</v>
      </c>
      <c r="P100" s="8">
        <f t="shared" si="12"/>
        <v>13.441727907168605</v>
      </c>
      <c r="U100" s="8">
        <v>158.5</v>
      </c>
      <c r="V100" s="10">
        <f t="shared" si="13"/>
        <v>0.18153060202370208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3110.6794637416001</v>
      </c>
      <c r="E101">
        <v>645.22242535040004</v>
      </c>
      <c r="F101">
        <v>152.37636363636</v>
      </c>
      <c r="G101">
        <v>123.39515151515</v>
      </c>
      <c r="I101" s="9">
        <f t="shared" si="8"/>
        <v>521.82727383525003</v>
      </c>
      <c r="J101" s="9">
        <f t="shared" si="9"/>
        <v>2958.30310010524</v>
      </c>
      <c r="K101" s="9">
        <f t="shared" si="10"/>
        <v>521.82727383525003</v>
      </c>
      <c r="L101" s="10">
        <f t="shared" si="7"/>
        <v>0.17639412060808993</v>
      </c>
      <c r="M101" s="10">
        <f t="shared" si="11"/>
        <v>0.18553095938432043</v>
      </c>
      <c r="P101" s="8">
        <f t="shared" si="12"/>
        <v>14.428985292145443</v>
      </c>
      <c r="U101" s="8">
        <v>159</v>
      </c>
      <c r="V101" s="10">
        <f t="shared" si="13"/>
        <v>0.18274580006973745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3182.3168799513001</v>
      </c>
      <c r="E102">
        <v>664.35405240706996</v>
      </c>
      <c r="F102">
        <v>152.01939393939</v>
      </c>
      <c r="G102">
        <v>123.9703030303</v>
      </c>
      <c r="I102" s="9">
        <f t="shared" si="8"/>
        <v>540.38374937676997</v>
      </c>
      <c r="J102" s="9">
        <f t="shared" si="9"/>
        <v>3030.2974860119102</v>
      </c>
      <c r="K102" s="9">
        <f t="shared" si="10"/>
        <v>540.38374937676997</v>
      </c>
      <c r="L102" s="10">
        <f t="shared" si="7"/>
        <v>0.17832696356421227</v>
      </c>
      <c r="M102" s="10">
        <f t="shared" si="11"/>
        <v>0.18755609364121278</v>
      </c>
      <c r="P102" s="8">
        <f t="shared" si="12"/>
        <v>15.678017037928241</v>
      </c>
      <c r="U102" s="8">
        <v>159.5</v>
      </c>
      <c r="V102" s="10">
        <f t="shared" si="13"/>
        <v>0.18439090610105935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3140.9506398538001</v>
      </c>
      <c r="E103">
        <v>660.38695917124005</v>
      </c>
      <c r="F103">
        <v>151.85393939394001</v>
      </c>
      <c r="G103">
        <v>123.57090909091001</v>
      </c>
      <c r="I103" s="9">
        <f t="shared" si="8"/>
        <v>536.81605008033</v>
      </c>
      <c r="J103" s="9">
        <f t="shared" si="9"/>
        <v>2989.0967004598601</v>
      </c>
      <c r="K103" s="9">
        <f t="shared" si="10"/>
        <v>536.81605008033</v>
      </c>
      <c r="L103" s="10">
        <f t="shared" si="7"/>
        <v>0.17959139628963597</v>
      </c>
      <c r="M103" s="10">
        <f t="shared" si="11"/>
        <v>0.18891281766740647</v>
      </c>
      <c r="P103" s="8">
        <f t="shared" si="12"/>
        <v>16.514796808560625</v>
      </c>
      <c r="U103" s="8">
        <v>160</v>
      </c>
      <c r="V103" s="10">
        <f t="shared" si="13"/>
        <v>0.18656190752759994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3037.2811171827998</v>
      </c>
      <c r="E104">
        <v>637.33819064966997</v>
      </c>
      <c r="F104">
        <v>152.43272727273001</v>
      </c>
      <c r="G104">
        <v>123.61878787879</v>
      </c>
      <c r="I104" s="9">
        <f t="shared" si="8"/>
        <v>513.71940277087992</v>
      </c>
      <c r="J104" s="9">
        <f t="shared" si="9"/>
        <v>2884.8483899100697</v>
      </c>
      <c r="K104" s="9">
        <f t="shared" si="10"/>
        <v>513.71940277087992</v>
      </c>
      <c r="L104" s="10">
        <f t="shared" si="7"/>
        <v>0.1780750089216627</v>
      </c>
      <c r="M104" s="10">
        <f t="shared" si="11"/>
        <v>0.18748872160020322</v>
      </c>
      <c r="P104" s="8">
        <f t="shared" si="12"/>
        <v>15.636464327181912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3007.4414086216998</v>
      </c>
      <c r="E105">
        <v>633.45658773527998</v>
      </c>
      <c r="F105">
        <v>152.46848484848999</v>
      </c>
      <c r="G105">
        <v>123.83090909091</v>
      </c>
      <c r="I105" s="9">
        <f t="shared" si="8"/>
        <v>509.62567864437</v>
      </c>
      <c r="J105" s="9">
        <f t="shared" si="9"/>
        <v>2854.9729237732099</v>
      </c>
      <c r="K105" s="9">
        <f t="shared" si="10"/>
        <v>509.62567864437</v>
      </c>
      <c r="L105" s="10">
        <f t="shared" si="7"/>
        <v>0.1785045575741695</v>
      </c>
      <c r="M105" s="10">
        <f t="shared" si="11"/>
        <v>0.18801056155348003</v>
      </c>
      <c r="P105" s="8">
        <f t="shared" si="12"/>
        <v>15.958316898507608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3026.2908318154</v>
      </c>
      <c r="E106">
        <v>640.41894353370003</v>
      </c>
      <c r="F106">
        <v>151.99878787879001</v>
      </c>
      <c r="G106">
        <v>123.37212121212001</v>
      </c>
      <c r="I106" s="9">
        <f t="shared" si="8"/>
        <v>517.04682232158007</v>
      </c>
      <c r="J106" s="9">
        <f t="shared" si="9"/>
        <v>2874.2920439366098</v>
      </c>
      <c r="K106" s="9">
        <f t="shared" si="10"/>
        <v>517.04682232158007</v>
      </c>
      <c r="L106" s="10">
        <f t="shared" si="7"/>
        <v>0.17988666927993735</v>
      </c>
      <c r="M106" s="10">
        <f t="shared" si="11"/>
        <v>0.18948496456001787</v>
      </c>
      <c r="P106" s="8">
        <f t="shared" si="12"/>
        <v>16.867676934750008</v>
      </c>
      <c r="X106" s="8">
        <v>-13</v>
      </c>
    </row>
    <row r="107" spans="1:25" x14ac:dyDescent="0.2">
      <c r="A107" s="8">
        <v>52.5</v>
      </c>
      <c r="B107" s="8">
        <v>105</v>
      </c>
      <c r="D107">
        <v>3110.8737097754001</v>
      </c>
      <c r="E107">
        <v>647.94353369762996</v>
      </c>
      <c r="F107">
        <v>152.28303030302999</v>
      </c>
      <c r="G107">
        <v>123.40060606061</v>
      </c>
      <c r="I107" s="9">
        <f t="shared" si="8"/>
        <v>524.54292763701994</v>
      </c>
      <c r="J107" s="9">
        <f t="shared" si="9"/>
        <v>2958.5906794723701</v>
      </c>
      <c r="K107" s="9">
        <f t="shared" si="10"/>
        <v>524.54292763701994</v>
      </c>
      <c r="L107" s="10">
        <f t="shared" si="7"/>
        <v>0.17729486247505047</v>
      </c>
      <c r="M107" s="10">
        <f t="shared" si="11"/>
        <v>0.186985449055901</v>
      </c>
      <c r="P107" s="8">
        <f t="shared" si="12"/>
        <v>15.326063482163885</v>
      </c>
      <c r="X107" s="8">
        <v>-13</v>
      </c>
    </row>
    <row r="108" spans="1:25" x14ac:dyDescent="0.2">
      <c r="A108" s="8">
        <v>53</v>
      </c>
      <c r="B108" s="8">
        <v>106</v>
      </c>
      <c r="D108">
        <v>3184.9542403905002</v>
      </c>
      <c r="E108">
        <v>660.27699816962001</v>
      </c>
      <c r="F108">
        <v>151.98545454545999</v>
      </c>
      <c r="G108">
        <v>123.56424242424001</v>
      </c>
      <c r="I108" s="9">
        <f t="shared" si="8"/>
        <v>536.71275574538004</v>
      </c>
      <c r="J108" s="9">
        <f t="shared" si="9"/>
        <v>3032.9687858450402</v>
      </c>
      <c r="K108" s="9">
        <f t="shared" si="10"/>
        <v>536.71275574538004</v>
      </c>
      <c r="L108" s="10">
        <f t="shared" si="7"/>
        <v>0.17695953820897703</v>
      </c>
      <c r="M108" s="10">
        <f t="shared" si="11"/>
        <v>0.18674241609059758</v>
      </c>
      <c r="P108" s="8">
        <f t="shared" si="12"/>
        <v>15.176169277420378</v>
      </c>
      <c r="X108" s="8">
        <v>-13</v>
      </c>
    </row>
    <row r="109" spans="1:25" x14ac:dyDescent="0.2">
      <c r="A109" s="8">
        <v>53.5</v>
      </c>
      <c r="B109" s="8">
        <v>107</v>
      </c>
      <c r="D109">
        <v>3260.0933496033999</v>
      </c>
      <c r="E109">
        <v>673.41793776692998</v>
      </c>
      <c r="F109">
        <v>152.63878787879</v>
      </c>
      <c r="G109">
        <v>123.34727272727</v>
      </c>
      <c r="I109" s="9">
        <f t="shared" si="8"/>
        <v>550.07066503965996</v>
      </c>
      <c r="J109" s="9">
        <f t="shared" si="9"/>
        <v>3107.4545617246099</v>
      </c>
      <c r="K109" s="9">
        <f t="shared" si="10"/>
        <v>550.07066503965996</v>
      </c>
      <c r="L109" s="10">
        <f t="shared" si="7"/>
        <v>0.17701647895838438</v>
      </c>
      <c r="M109" s="10">
        <f t="shared" si="11"/>
        <v>0.18689164814077491</v>
      </c>
      <c r="P109" s="8">
        <f t="shared" si="12"/>
        <v>15.268210369276566</v>
      </c>
      <c r="X109" s="8">
        <v>-13</v>
      </c>
    </row>
    <row r="110" spans="1:25" x14ac:dyDescent="0.2">
      <c r="A110" s="8">
        <v>54</v>
      </c>
      <c r="B110" s="8">
        <v>108</v>
      </c>
      <c r="D110">
        <v>3196.8207147183998</v>
      </c>
      <c r="E110">
        <v>655.10660205935994</v>
      </c>
      <c r="F110">
        <v>151.74787878788001</v>
      </c>
      <c r="G110">
        <v>123.4296969697</v>
      </c>
      <c r="I110" s="9">
        <f t="shared" si="8"/>
        <v>531.67690508965995</v>
      </c>
      <c r="J110" s="9">
        <f t="shared" si="9"/>
        <v>3045.0728359305199</v>
      </c>
      <c r="K110" s="9">
        <f t="shared" si="10"/>
        <v>531.67690508965995</v>
      </c>
      <c r="L110" s="10">
        <f t="shared" si="7"/>
        <v>0.17460236051371461</v>
      </c>
      <c r="M110" s="10">
        <f t="shared" si="11"/>
        <v>0.18456982099687516</v>
      </c>
      <c r="P110" s="8">
        <f t="shared" si="12"/>
        <v>13.836188862020446</v>
      </c>
      <c r="X110" s="8">
        <v>-13</v>
      </c>
    </row>
    <row r="111" spans="1:25" x14ac:dyDescent="0.2">
      <c r="A111" s="8">
        <v>54.5</v>
      </c>
      <c r="B111" s="8">
        <v>109</v>
      </c>
      <c r="D111">
        <v>3076.7153240460002</v>
      </c>
      <c r="E111">
        <v>633.83161720170006</v>
      </c>
      <c r="F111">
        <v>151.89939393939</v>
      </c>
      <c r="G111">
        <v>123.33696969697</v>
      </c>
      <c r="I111" s="9">
        <f t="shared" si="8"/>
        <v>510.49464750473004</v>
      </c>
      <c r="J111" s="9">
        <f t="shared" si="9"/>
        <v>2924.8159301066103</v>
      </c>
      <c r="K111" s="9">
        <f t="shared" si="10"/>
        <v>510.49464750473004</v>
      </c>
      <c r="L111" s="10">
        <f t="shared" si="7"/>
        <v>0.17453906833929286</v>
      </c>
      <c r="M111" s="10">
        <f t="shared" si="11"/>
        <v>0.18459882012322343</v>
      </c>
      <c r="P111" s="8">
        <f t="shared" si="12"/>
        <v>13.8540745055454</v>
      </c>
      <c r="X111" s="8">
        <v>-13</v>
      </c>
    </row>
    <row r="112" spans="1:25" x14ac:dyDescent="0.2">
      <c r="A112" s="8">
        <v>55</v>
      </c>
      <c r="B112" s="8">
        <v>110</v>
      </c>
      <c r="D112">
        <v>3033.6377952756002</v>
      </c>
      <c r="E112">
        <v>627.16777710479005</v>
      </c>
      <c r="F112">
        <v>151.69636363635999</v>
      </c>
      <c r="G112">
        <v>123.69272727273</v>
      </c>
      <c r="I112" s="9">
        <f t="shared" si="8"/>
        <v>503.47504983206005</v>
      </c>
      <c r="J112" s="9">
        <f t="shared" si="9"/>
        <v>2881.9414316392404</v>
      </c>
      <c r="K112" s="9">
        <f t="shared" si="10"/>
        <v>503.47504983206005</v>
      </c>
      <c r="L112" s="10">
        <f t="shared" si="7"/>
        <v>0.17469995895984772</v>
      </c>
      <c r="M112" s="10">
        <f t="shared" si="11"/>
        <v>0.18485200204454827</v>
      </c>
      <c r="P112" s="8">
        <f t="shared" si="12"/>
        <v>14.01022823022649</v>
      </c>
      <c r="X112" s="8">
        <v>-13</v>
      </c>
    </row>
    <row r="113" spans="1:24" x14ac:dyDescent="0.2">
      <c r="A113" s="8">
        <v>55.5</v>
      </c>
      <c r="B113" s="8">
        <v>111</v>
      </c>
      <c r="D113">
        <v>3222.9109630527</v>
      </c>
      <c r="E113">
        <v>657.23258631133001</v>
      </c>
      <c r="F113">
        <v>151.91878787879</v>
      </c>
      <c r="G113">
        <v>123.40484848485001</v>
      </c>
      <c r="I113" s="9">
        <f t="shared" si="8"/>
        <v>533.82773782647996</v>
      </c>
      <c r="J113" s="9">
        <f t="shared" si="9"/>
        <v>3070.9921751739103</v>
      </c>
      <c r="K113" s="9">
        <f t="shared" si="10"/>
        <v>533.82773782647996</v>
      </c>
      <c r="L113" s="10">
        <f t="shared" si="7"/>
        <v>0.17382907782767285</v>
      </c>
      <c r="M113" s="10">
        <f t="shared" si="11"/>
        <v>0.18407341221314341</v>
      </c>
      <c r="P113" s="8">
        <f t="shared" si="12"/>
        <v>13.530021343666457</v>
      </c>
      <c r="X113" s="8">
        <v>-13</v>
      </c>
    </row>
    <row r="114" spans="1:24" x14ac:dyDescent="0.2">
      <c r="A114" s="8">
        <v>56</v>
      </c>
      <c r="B114" s="8">
        <v>112</v>
      </c>
      <c r="D114">
        <v>3119.8933979406002</v>
      </c>
      <c r="E114">
        <v>638.61477892186997</v>
      </c>
      <c r="F114">
        <v>151.62363636364</v>
      </c>
      <c r="G114">
        <v>123.30545454545999</v>
      </c>
      <c r="I114" s="9">
        <f t="shared" si="8"/>
        <v>515.30932437641002</v>
      </c>
      <c r="J114" s="9">
        <f t="shared" si="9"/>
        <v>2968.2697615769603</v>
      </c>
      <c r="K114" s="9">
        <f t="shared" si="10"/>
        <v>515.30932437641002</v>
      </c>
      <c r="L114" s="10">
        <f t="shared" si="7"/>
        <v>0.17360596096988176</v>
      </c>
      <c r="M114" s="10">
        <f t="shared" si="11"/>
        <v>0.18394258665612234</v>
      </c>
      <c r="P114" s="8">
        <f t="shared" si="12"/>
        <v>13.449332730887873</v>
      </c>
      <c r="X114" s="8">
        <v>-13</v>
      </c>
    </row>
    <row r="115" spans="1:24" x14ac:dyDescent="0.2">
      <c r="A115" s="8">
        <v>56.5</v>
      </c>
      <c r="B115" s="8">
        <v>113</v>
      </c>
      <c r="D115">
        <v>3018.6208358570998</v>
      </c>
      <c r="E115">
        <v>624.15687462144001</v>
      </c>
      <c r="F115">
        <v>151.72303030302999</v>
      </c>
      <c r="G115">
        <v>123.57636363636</v>
      </c>
      <c r="I115" s="9">
        <f t="shared" si="8"/>
        <v>500.58051098508002</v>
      </c>
      <c r="J115" s="9">
        <f t="shared" si="9"/>
        <v>2866.8978055540697</v>
      </c>
      <c r="K115" s="9">
        <f t="shared" si="10"/>
        <v>500.58051098508002</v>
      </c>
      <c r="L115" s="10">
        <f t="shared" si="7"/>
        <v>0.17460702994550431</v>
      </c>
      <c r="M115" s="10">
        <f t="shared" si="11"/>
        <v>0.18503594693251488</v>
      </c>
      <c r="P115" s="8">
        <f t="shared" si="12"/>
        <v>14.123678982324931</v>
      </c>
      <c r="X115" s="8">
        <v>-13</v>
      </c>
    </row>
    <row r="116" spans="1:24" x14ac:dyDescent="0.2">
      <c r="A116" s="8">
        <v>57</v>
      </c>
      <c r="B116" s="8">
        <v>114</v>
      </c>
      <c r="D116">
        <v>2947.3888552393</v>
      </c>
      <c r="E116">
        <v>613.95457298607005</v>
      </c>
      <c r="F116">
        <v>151.78787878788</v>
      </c>
      <c r="G116">
        <v>123.66060606060999</v>
      </c>
      <c r="I116" s="9">
        <f t="shared" si="8"/>
        <v>490.29396692546004</v>
      </c>
      <c r="J116" s="9">
        <f t="shared" si="9"/>
        <v>2795.6009764514201</v>
      </c>
      <c r="K116" s="9">
        <f t="shared" si="10"/>
        <v>490.29396692546004</v>
      </c>
      <c r="L116" s="10">
        <f t="shared" si="7"/>
        <v>0.17538052499459769</v>
      </c>
      <c r="M116" s="10">
        <f t="shared" si="11"/>
        <v>0.18590173328237827</v>
      </c>
      <c r="P116" s="8">
        <f t="shared" si="12"/>
        <v>14.657665621662233</v>
      </c>
      <c r="X116" s="8">
        <v>-13</v>
      </c>
    </row>
    <row r="117" spans="1:24" x14ac:dyDescent="0.2">
      <c r="A117" s="8">
        <v>57.5</v>
      </c>
      <c r="B117" s="8">
        <v>115</v>
      </c>
      <c r="D117">
        <v>3020.0629921260002</v>
      </c>
      <c r="E117">
        <v>626.23500908539995</v>
      </c>
      <c r="F117">
        <v>151.32909090909001</v>
      </c>
      <c r="G117">
        <v>123.20787878788001</v>
      </c>
      <c r="I117" s="9">
        <f t="shared" si="8"/>
        <v>503.02713029751993</v>
      </c>
      <c r="J117" s="9">
        <f t="shared" si="9"/>
        <v>2868.73390121691</v>
      </c>
      <c r="K117" s="9">
        <f t="shared" si="10"/>
        <v>503.02713029751993</v>
      </c>
      <c r="L117" s="10">
        <f t="shared" si="7"/>
        <v>0.17534813183060899</v>
      </c>
      <c r="M117" s="10">
        <f t="shared" si="11"/>
        <v>0.18596163141915958</v>
      </c>
      <c r="P117" s="8">
        <f t="shared" si="12"/>
        <v>14.694608690546913</v>
      </c>
      <c r="X117" s="8">
        <v>-13</v>
      </c>
    </row>
    <row r="118" spans="1:24" x14ac:dyDescent="0.2">
      <c r="A118" s="8">
        <v>58</v>
      </c>
      <c r="B118" s="8">
        <v>116</v>
      </c>
      <c r="D118">
        <v>3101.8907870653002</v>
      </c>
      <c r="E118">
        <v>643.28431970713996</v>
      </c>
      <c r="F118">
        <v>152.04303030303001</v>
      </c>
      <c r="G118">
        <v>123.53212121212</v>
      </c>
      <c r="I118" s="9">
        <f t="shared" si="8"/>
        <v>519.75219849501991</v>
      </c>
      <c r="J118" s="9">
        <f t="shared" si="9"/>
        <v>2949.8477567622704</v>
      </c>
      <c r="K118" s="9">
        <f t="shared" si="10"/>
        <v>519.75219849501991</v>
      </c>
      <c r="L118" s="10">
        <f t="shared" si="7"/>
        <v>0.17619627904644672</v>
      </c>
      <c r="M118" s="10">
        <f t="shared" si="11"/>
        <v>0.1869020699357673</v>
      </c>
      <c r="P118" s="8">
        <f t="shared" si="12"/>
        <v>15.274638166717269</v>
      </c>
      <c r="X118" s="8">
        <v>-13</v>
      </c>
    </row>
    <row r="119" spans="1:24" x14ac:dyDescent="0.2">
      <c r="A119" s="8">
        <v>58.5</v>
      </c>
      <c r="B119" s="8">
        <v>117</v>
      </c>
      <c r="D119">
        <v>3047.9389871873</v>
      </c>
      <c r="E119">
        <v>628.65954850518995</v>
      </c>
      <c r="F119">
        <v>152.11878787878999</v>
      </c>
      <c r="G119">
        <v>123.43272727273001</v>
      </c>
      <c r="I119" s="9">
        <f t="shared" si="8"/>
        <v>505.22682123245994</v>
      </c>
      <c r="J119" s="9">
        <f t="shared" si="9"/>
        <v>2895.8201993085099</v>
      </c>
      <c r="K119" s="9">
        <f t="shared" si="10"/>
        <v>505.22682123245994</v>
      </c>
      <c r="L119" s="10">
        <f t="shared" si="7"/>
        <v>0.17446760726135641</v>
      </c>
      <c r="M119" s="10">
        <f t="shared" si="11"/>
        <v>0.185265689451447</v>
      </c>
      <c r="P119" s="8">
        <f t="shared" si="12"/>
        <v>14.265376106120897</v>
      </c>
      <c r="X119" s="8">
        <v>-13</v>
      </c>
    </row>
    <row r="120" spans="1:24" x14ac:dyDescent="0.2">
      <c r="A120" s="8">
        <v>59</v>
      </c>
      <c r="B120" s="8">
        <v>118</v>
      </c>
      <c r="D120">
        <v>3078.6863941428001</v>
      </c>
      <c r="E120">
        <v>634.52104942038</v>
      </c>
      <c r="F120">
        <v>151.9903030303</v>
      </c>
      <c r="G120">
        <v>123.31939393939</v>
      </c>
      <c r="I120" s="9">
        <f t="shared" si="8"/>
        <v>511.20165548098998</v>
      </c>
      <c r="J120" s="9">
        <f t="shared" si="9"/>
        <v>2926.6960911125002</v>
      </c>
      <c r="K120" s="9">
        <f t="shared" si="10"/>
        <v>511.20165548098998</v>
      </c>
      <c r="L120" s="10">
        <f t="shared" si="7"/>
        <v>0.17466851342486717</v>
      </c>
      <c r="M120" s="10">
        <f t="shared" si="11"/>
        <v>0.18555888691572778</v>
      </c>
      <c r="P120" s="8">
        <f t="shared" si="12"/>
        <v>14.446210013514115</v>
      </c>
      <c r="X120" s="8">
        <v>-13</v>
      </c>
    </row>
    <row r="121" spans="1:24" x14ac:dyDescent="0.2">
      <c r="A121" s="8">
        <v>59.5</v>
      </c>
      <c r="B121" s="8">
        <v>119</v>
      </c>
      <c r="D121">
        <v>3135.0610128127</v>
      </c>
      <c r="E121">
        <v>637.48261134838003</v>
      </c>
      <c r="F121">
        <v>151.69757575758001</v>
      </c>
      <c r="G121">
        <v>123.07212121212</v>
      </c>
      <c r="I121" s="9">
        <f t="shared" si="8"/>
        <v>514.41049013626002</v>
      </c>
      <c r="J121" s="9">
        <f t="shared" si="9"/>
        <v>2983.3634370551199</v>
      </c>
      <c r="K121" s="9">
        <f t="shared" si="10"/>
        <v>514.41049013626002</v>
      </c>
      <c r="L121" s="10">
        <f t="shared" si="7"/>
        <v>0.17242635736128581</v>
      </c>
      <c r="M121" s="10">
        <f t="shared" si="11"/>
        <v>0.18340902215291641</v>
      </c>
      <c r="P121" s="8">
        <f t="shared" si="12"/>
        <v>13.120248868591394</v>
      </c>
      <c r="X121" s="8">
        <v>-13</v>
      </c>
    </row>
    <row r="122" spans="1:24" x14ac:dyDescent="0.2">
      <c r="A122" s="8">
        <v>60</v>
      </c>
      <c r="B122" s="8">
        <v>120</v>
      </c>
      <c r="D122">
        <v>3089.6137888957001</v>
      </c>
      <c r="E122">
        <v>626.42830994508995</v>
      </c>
      <c r="F122">
        <v>151.55090909091001</v>
      </c>
      <c r="G122">
        <v>123.47636363636001</v>
      </c>
      <c r="I122" s="9">
        <f t="shared" si="8"/>
        <v>502.95194630872993</v>
      </c>
      <c r="J122" s="9">
        <f t="shared" si="9"/>
        <v>2938.0628798047901</v>
      </c>
      <c r="K122" s="9">
        <f t="shared" si="10"/>
        <v>502.95194630872993</v>
      </c>
      <c r="L122" s="10">
        <f t="shared" si="7"/>
        <v>0.17118488163267184</v>
      </c>
      <c r="M122" s="10">
        <f t="shared" si="11"/>
        <v>0.18225983772507245</v>
      </c>
      <c r="P122" s="8">
        <f t="shared" si="12"/>
        <v>12.411472239461155</v>
      </c>
      <c r="X122" s="8">
        <v>-13</v>
      </c>
    </row>
    <row r="123" spans="1:24" x14ac:dyDescent="0.2">
      <c r="A123" s="8">
        <v>60.5</v>
      </c>
      <c r="B123" s="8">
        <v>121</v>
      </c>
      <c r="D123">
        <v>2917.7846339988</v>
      </c>
      <c r="E123">
        <v>596.41137326073999</v>
      </c>
      <c r="F123">
        <v>151.74909090909</v>
      </c>
      <c r="G123">
        <v>123.48242424242</v>
      </c>
      <c r="I123" s="9">
        <f t="shared" si="8"/>
        <v>472.92894901832</v>
      </c>
      <c r="J123" s="9">
        <f t="shared" si="9"/>
        <v>2766.0355430897098</v>
      </c>
      <c r="K123" s="9">
        <f t="shared" si="10"/>
        <v>472.92894901832</v>
      </c>
      <c r="L123" s="10">
        <f t="shared" si="7"/>
        <v>0.17097717713708413</v>
      </c>
      <c r="M123" s="10">
        <f t="shared" si="11"/>
        <v>0.18214442453025476</v>
      </c>
      <c r="P123" s="8">
        <f t="shared" si="12"/>
        <v>12.340289430855304</v>
      </c>
      <c r="X123" s="8">
        <v>-13</v>
      </c>
    </row>
    <row r="124" spans="1:24" x14ac:dyDescent="0.2">
      <c r="A124" s="8">
        <v>61</v>
      </c>
      <c r="B124" s="8">
        <v>122</v>
      </c>
      <c r="D124">
        <v>2945.0405323653999</v>
      </c>
      <c r="E124">
        <v>599.22444041136998</v>
      </c>
      <c r="F124">
        <v>151.56424242424001</v>
      </c>
      <c r="G124">
        <v>123.56848484849</v>
      </c>
      <c r="I124" s="9">
        <f t="shared" si="8"/>
        <v>475.65595556287997</v>
      </c>
      <c r="J124" s="9">
        <f t="shared" si="9"/>
        <v>2793.4762899411598</v>
      </c>
      <c r="K124" s="9">
        <f t="shared" si="10"/>
        <v>475.65595556287997</v>
      </c>
      <c r="L124" s="10">
        <f t="shared" si="7"/>
        <v>0.17027384741930238</v>
      </c>
      <c r="M124" s="10">
        <f t="shared" si="11"/>
        <v>0.18153338611324299</v>
      </c>
      <c r="P124" s="8">
        <f t="shared" si="12"/>
        <v>11.963422377155993</v>
      </c>
      <c r="X124" s="8">
        <v>-13</v>
      </c>
    </row>
    <row r="125" spans="1:24" x14ac:dyDescent="0.2">
      <c r="A125" s="8">
        <v>61.5</v>
      </c>
      <c r="B125" s="8">
        <v>123</v>
      </c>
      <c r="D125">
        <v>2895.536600121</v>
      </c>
      <c r="E125">
        <v>590.44827586206998</v>
      </c>
      <c r="F125">
        <v>151.37333333333001</v>
      </c>
      <c r="G125">
        <v>123.12545454546</v>
      </c>
      <c r="I125" s="9">
        <f t="shared" si="8"/>
        <v>467.32282131660997</v>
      </c>
      <c r="J125" s="9">
        <f t="shared" si="9"/>
        <v>2744.1632667876702</v>
      </c>
      <c r="K125" s="9">
        <f t="shared" si="10"/>
        <v>467.32282131660997</v>
      </c>
      <c r="L125" s="10">
        <f t="shared" si="7"/>
        <v>0.17029701802825317</v>
      </c>
      <c r="M125" s="10">
        <f t="shared" si="11"/>
        <v>0.1816488480229638</v>
      </c>
      <c r="P125" s="8">
        <f t="shared" si="12"/>
        <v>12.034635231404632</v>
      </c>
      <c r="X125" s="8">
        <v>-13</v>
      </c>
    </row>
    <row r="126" spans="1:24" x14ac:dyDescent="0.2">
      <c r="A126" s="8">
        <v>62</v>
      </c>
      <c r="B126" s="8">
        <v>124</v>
      </c>
      <c r="D126">
        <v>2981.6721511274</v>
      </c>
      <c r="E126">
        <v>609.86106032907003</v>
      </c>
      <c r="F126">
        <v>151.20484848485</v>
      </c>
      <c r="G126">
        <v>122.96606060606</v>
      </c>
      <c r="I126" s="9">
        <f t="shared" si="8"/>
        <v>486.89499972301002</v>
      </c>
      <c r="J126" s="9">
        <f t="shared" si="9"/>
        <v>2830.4673026425498</v>
      </c>
      <c r="K126" s="9">
        <f t="shared" si="10"/>
        <v>486.89499972301002</v>
      </c>
      <c r="L126" s="10">
        <f t="shared" si="7"/>
        <v>0.17201929846299246</v>
      </c>
      <c r="M126" s="10">
        <f t="shared" si="11"/>
        <v>0.18346341975847308</v>
      </c>
      <c r="P126" s="8">
        <f t="shared" si="12"/>
        <v>13.153799402835539</v>
      </c>
      <c r="X126" s="8">
        <v>-13</v>
      </c>
    </row>
    <row r="127" spans="1:24" x14ac:dyDescent="0.2">
      <c r="A127" s="8">
        <v>62.5</v>
      </c>
      <c r="B127" s="8">
        <v>125</v>
      </c>
      <c r="D127">
        <v>2974.7848872639001</v>
      </c>
      <c r="E127">
        <v>607.57586837294002</v>
      </c>
      <c r="F127">
        <v>151.93212121211999</v>
      </c>
      <c r="G127">
        <v>123.24484848485</v>
      </c>
      <c r="I127" s="9">
        <f t="shared" si="8"/>
        <v>484.33101988809005</v>
      </c>
      <c r="J127" s="9">
        <f t="shared" si="9"/>
        <v>2822.8527660517802</v>
      </c>
      <c r="K127" s="9">
        <f t="shared" si="10"/>
        <v>484.33101988809005</v>
      </c>
      <c r="L127" s="10">
        <f t="shared" si="7"/>
        <v>0.17157502003390207</v>
      </c>
      <c r="M127" s="10">
        <f t="shared" si="11"/>
        <v>0.1831114326301527</v>
      </c>
      <c r="P127" s="8">
        <f t="shared" si="12"/>
        <v>12.936706093647373</v>
      </c>
      <c r="X127" s="8">
        <v>-13</v>
      </c>
    </row>
    <row r="128" spans="1:24" x14ac:dyDescent="0.2">
      <c r="A128" s="8">
        <v>63</v>
      </c>
      <c r="B128" s="8">
        <v>126</v>
      </c>
      <c r="D128">
        <v>2978.2620353442999</v>
      </c>
      <c r="E128">
        <v>603.11578305910996</v>
      </c>
      <c r="F128">
        <v>152.14666666667</v>
      </c>
      <c r="G128">
        <v>123.22909090909</v>
      </c>
      <c r="I128" s="9">
        <f t="shared" si="8"/>
        <v>479.88669215001994</v>
      </c>
      <c r="J128" s="9">
        <f t="shared" si="9"/>
        <v>2826.1153686776297</v>
      </c>
      <c r="K128" s="9">
        <f t="shared" si="10"/>
        <v>479.88669215001994</v>
      </c>
      <c r="L128" s="10">
        <f t="shared" si="7"/>
        <v>0.1698043531657252</v>
      </c>
      <c r="M128" s="10">
        <f t="shared" si="11"/>
        <v>0.18143305706274584</v>
      </c>
      <c r="P128" s="8">
        <f t="shared" si="12"/>
        <v>11.901542939450231</v>
      </c>
      <c r="X128" s="8">
        <v>-13</v>
      </c>
    </row>
    <row r="129" spans="1:24" x14ac:dyDescent="0.2">
      <c r="A129" s="8">
        <v>63.5</v>
      </c>
      <c r="B129" s="8">
        <v>127</v>
      </c>
      <c r="D129">
        <v>2928.3209726444002</v>
      </c>
      <c r="E129">
        <v>587.19635258359006</v>
      </c>
      <c r="F129">
        <v>151.30666666667</v>
      </c>
      <c r="G129">
        <v>123.33636363636001</v>
      </c>
      <c r="I129" s="9">
        <f t="shared" si="8"/>
        <v>463.85998894723002</v>
      </c>
      <c r="J129" s="9">
        <f t="shared" si="9"/>
        <v>2777.0143059777301</v>
      </c>
      <c r="K129" s="9">
        <f t="shared" si="10"/>
        <v>463.85998894723002</v>
      </c>
      <c r="L129" s="10">
        <f t="shared" si="7"/>
        <v>0.16703550570435913</v>
      </c>
      <c r="M129" s="10">
        <f t="shared" si="11"/>
        <v>0.17875650090214978</v>
      </c>
      <c r="P129" s="8">
        <f t="shared" si="12"/>
        <v>10.250737022471116</v>
      </c>
      <c r="X129" s="8">
        <v>-13</v>
      </c>
    </row>
    <row r="130" spans="1:24" x14ac:dyDescent="0.2">
      <c r="A130" s="8">
        <v>64</v>
      </c>
      <c r="B130" s="8">
        <v>128</v>
      </c>
      <c r="D130">
        <v>2894.2012158054999</v>
      </c>
      <c r="E130">
        <v>578.96048632219004</v>
      </c>
      <c r="F130">
        <v>150.92484848485</v>
      </c>
      <c r="G130">
        <v>122.92303030303</v>
      </c>
      <c r="I130" s="9">
        <f t="shared" si="8"/>
        <v>456.03745601916</v>
      </c>
      <c r="J130" s="9">
        <f t="shared" si="9"/>
        <v>2743.27636732065</v>
      </c>
      <c r="K130" s="9">
        <f t="shared" si="10"/>
        <v>456.03745601916</v>
      </c>
      <c r="L130" s="10">
        <f t="shared" ref="L130:L193" si="14">K130/J130</f>
        <v>0.16623824761213193</v>
      </c>
      <c r="M130" s="10">
        <f t="shared" si="11"/>
        <v>0.17805153411069258</v>
      </c>
      <c r="P130" s="8">
        <f t="shared" si="12"/>
        <v>9.815938243448981</v>
      </c>
      <c r="X130" s="8">
        <v>-13</v>
      </c>
    </row>
    <row r="131" spans="1:24" x14ac:dyDescent="0.2">
      <c r="A131" s="8">
        <v>64.5</v>
      </c>
      <c r="B131" s="8">
        <v>129</v>
      </c>
      <c r="D131">
        <v>2868.0850546779998</v>
      </c>
      <c r="E131">
        <v>580.91859052248003</v>
      </c>
      <c r="F131">
        <v>151.16424242424</v>
      </c>
      <c r="G131">
        <v>123.10484848485</v>
      </c>
      <c r="I131" s="9">
        <f t="shared" ref="I131:I194" si="15">E131-G131</f>
        <v>457.81374203763005</v>
      </c>
      <c r="J131" s="9">
        <f t="shared" ref="J131:J194" si="16">D131-F131</f>
        <v>2716.9208122537598</v>
      </c>
      <c r="K131" s="9">
        <f t="shared" ref="K131:K194" si="17">I131*1</f>
        <v>457.81374203763005</v>
      </c>
      <c r="L131" s="10">
        <f t="shared" si="14"/>
        <v>0.16850463214563147</v>
      </c>
      <c r="M131" s="10">
        <f t="shared" ref="M131:M181" si="18">L131+ABS($N$2)*A131</f>
        <v>0.18041020994496212</v>
      </c>
      <c r="P131" s="8">
        <f t="shared" ref="P131:P194" si="19">(M131-$O$2)/$O$2*100</f>
        <v>11.270686729869942</v>
      </c>
      <c r="X131" s="8">
        <v>-13</v>
      </c>
    </row>
    <row r="132" spans="1:24" x14ac:dyDescent="0.2">
      <c r="A132" s="8">
        <v>65</v>
      </c>
      <c r="B132" s="8">
        <v>130</v>
      </c>
      <c r="D132">
        <v>2894.9291819291998</v>
      </c>
      <c r="E132">
        <v>599.13797313796999</v>
      </c>
      <c r="F132">
        <v>150.63272727272999</v>
      </c>
      <c r="G132">
        <v>123.23333333332999</v>
      </c>
      <c r="I132" s="9">
        <f t="shared" si="15"/>
        <v>475.90463980464</v>
      </c>
      <c r="J132" s="9">
        <f t="shared" si="16"/>
        <v>2744.2964546564699</v>
      </c>
      <c r="K132" s="9">
        <f t="shared" si="17"/>
        <v>475.90463980464</v>
      </c>
      <c r="L132" s="10">
        <f t="shared" si="14"/>
        <v>0.17341590009240221</v>
      </c>
      <c r="M132" s="10">
        <f t="shared" si="18"/>
        <v>0.18541376919250285</v>
      </c>
      <c r="P132" s="8">
        <f t="shared" si="19"/>
        <v>14.356706494146565</v>
      </c>
      <c r="X132" s="8">
        <v>-13</v>
      </c>
    </row>
    <row r="133" spans="1:24" x14ac:dyDescent="0.2">
      <c r="A133" s="8">
        <v>65.5</v>
      </c>
      <c r="B133" s="8">
        <v>131</v>
      </c>
      <c r="D133">
        <v>2916.7894417476</v>
      </c>
      <c r="E133">
        <v>602.86529126213998</v>
      </c>
      <c r="F133">
        <v>151.34848484848999</v>
      </c>
      <c r="G133">
        <v>123.16363636363999</v>
      </c>
      <c r="I133" s="9">
        <f t="shared" si="15"/>
        <v>479.70165489850001</v>
      </c>
      <c r="J133" s="9">
        <f t="shared" si="16"/>
        <v>2765.44095689911</v>
      </c>
      <c r="K133" s="9">
        <f t="shared" si="17"/>
        <v>479.70165489850001</v>
      </c>
      <c r="L133" s="10">
        <f t="shared" si="14"/>
        <v>0.17346298922121617</v>
      </c>
      <c r="M133" s="10">
        <f t="shared" si="18"/>
        <v>0.18555314962208683</v>
      </c>
      <c r="P133" s="8">
        <f t="shared" si="19"/>
        <v>14.442671452123415</v>
      </c>
      <c r="X133" s="8">
        <v>-13</v>
      </c>
    </row>
    <row r="134" spans="1:24" x14ac:dyDescent="0.2">
      <c r="A134" s="8">
        <v>66</v>
      </c>
      <c r="B134" s="8">
        <v>132</v>
      </c>
      <c r="D134">
        <v>2970.4039975771998</v>
      </c>
      <c r="E134">
        <v>611.57662023015996</v>
      </c>
      <c r="F134">
        <v>151.24606060606001</v>
      </c>
      <c r="G134">
        <v>123.18909090909</v>
      </c>
      <c r="I134" s="9">
        <f t="shared" si="15"/>
        <v>488.38752932106996</v>
      </c>
      <c r="J134" s="9">
        <f t="shared" si="16"/>
        <v>2819.1579369711399</v>
      </c>
      <c r="K134" s="9">
        <f t="shared" si="17"/>
        <v>488.38752932106996</v>
      </c>
      <c r="L134" s="10">
        <f t="shared" si="14"/>
        <v>0.17323879691741784</v>
      </c>
      <c r="M134" s="10">
        <f t="shared" si="18"/>
        <v>0.18542124861905851</v>
      </c>
      <c r="P134" s="8">
        <f t="shared" si="19"/>
        <v>14.361319541985972</v>
      </c>
      <c r="X134" s="8">
        <v>-13</v>
      </c>
    </row>
    <row r="135" spans="1:24" x14ac:dyDescent="0.2">
      <c r="A135" s="8">
        <v>66.5</v>
      </c>
      <c r="B135" s="8">
        <v>133</v>
      </c>
      <c r="D135">
        <v>2949.3603876439001</v>
      </c>
      <c r="E135">
        <v>607.16656571775002</v>
      </c>
      <c r="F135">
        <v>150.93575757575999</v>
      </c>
      <c r="G135">
        <v>123.23696969696999</v>
      </c>
      <c r="I135" s="9">
        <f t="shared" si="15"/>
        <v>483.92959602078002</v>
      </c>
      <c r="J135" s="9">
        <f t="shared" si="16"/>
        <v>2798.4246300681402</v>
      </c>
      <c r="K135" s="9">
        <f t="shared" si="17"/>
        <v>483.92959602078002</v>
      </c>
      <c r="L135" s="10">
        <f t="shared" si="14"/>
        <v>0.17292929415397426</v>
      </c>
      <c r="M135" s="10">
        <f t="shared" si="18"/>
        <v>0.18520403715638495</v>
      </c>
      <c r="P135" s="8">
        <f t="shared" si="19"/>
        <v>14.227351133963722</v>
      </c>
      <c r="X135" s="8">
        <v>-13</v>
      </c>
    </row>
    <row r="136" spans="1:24" x14ac:dyDescent="0.2">
      <c r="A136" s="8">
        <v>67</v>
      </c>
      <c r="B136" s="8">
        <v>134</v>
      </c>
      <c r="D136">
        <v>2952.0738946093002</v>
      </c>
      <c r="E136">
        <v>603.29012719564003</v>
      </c>
      <c r="F136">
        <v>150.87333333333001</v>
      </c>
      <c r="G136">
        <v>123.01878787878999</v>
      </c>
      <c r="I136" s="9">
        <f t="shared" si="15"/>
        <v>480.27133931685</v>
      </c>
      <c r="J136" s="9">
        <f t="shared" si="16"/>
        <v>2801.2005612759704</v>
      </c>
      <c r="K136" s="9">
        <f t="shared" si="17"/>
        <v>480.27133931685</v>
      </c>
      <c r="L136" s="10">
        <f t="shared" si="14"/>
        <v>0.17145196454554557</v>
      </c>
      <c r="M136" s="10">
        <f t="shared" si="18"/>
        <v>0.18381899884872624</v>
      </c>
      <c r="P136" s="8">
        <f t="shared" si="19"/>
        <v>13.373108108098517</v>
      </c>
      <c r="X136" s="8">
        <v>-13</v>
      </c>
    </row>
    <row r="137" spans="1:24" x14ac:dyDescent="0.2">
      <c r="A137" s="8">
        <v>67.5</v>
      </c>
      <c r="B137" s="8">
        <v>135</v>
      </c>
      <c r="D137">
        <v>2921.3979406419999</v>
      </c>
      <c r="E137">
        <v>600.27256208358995</v>
      </c>
      <c r="F137">
        <v>151.69757575758001</v>
      </c>
      <c r="G137">
        <v>122.79696969697</v>
      </c>
      <c r="I137" s="9">
        <f t="shared" si="15"/>
        <v>477.47559238661995</v>
      </c>
      <c r="J137" s="9">
        <f t="shared" si="16"/>
        <v>2769.7003648844197</v>
      </c>
      <c r="K137" s="9">
        <f t="shared" si="17"/>
        <v>477.47559238661995</v>
      </c>
      <c r="L137" s="10">
        <f t="shared" si="14"/>
        <v>0.17239250802732414</v>
      </c>
      <c r="M137" s="10">
        <f t="shared" si="18"/>
        <v>0.18485183363127483</v>
      </c>
      <c r="P137" s="8">
        <f t="shared" si="19"/>
        <v>14.010124358829213</v>
      </c>
      <c r="X137" s="8">
        <v>-13</v>
      </c>
    </row>
    <row r="138" spans="1:24" x14ac:dyDescent="0.2">
      <c r="A138" s="8">
        <v>68</v>
      </c>
      <c r="B138" s="8">
        <v>136</v>
      </c>
      <c r="D138">
        <v>2916.0327074500001</v>
      </c>
      <c r="E138">
        <v>600.36281041792995</v>
      </c>
      <c r="F138">
        <v>150.88484848485001</v>
      </c>
      <c r="G138">
        <v>122.73454545455</v>
      </c>
      <c r="I138" s="9">
        <f t="shared" si="15"/>
        <v>477.62826496337993</v>
      </c>
      <c r="J138" s="9">
        <f t="shared" si="16"/>
        <v>2765.1478589651501</v>
      </c>
      <c r="K138" s="9">
        <f t="shared" si="17"/>
        <v>477.62826496337993</v>
      </c>
      <c r="L138" s="10">
        <f t="shared" si="14"/>
        <v>0.17273154613226765</v>
      </c>
      <c r="M138" s="10">
        <f t="shared" si="18"/>
        <v>0.18528316303698833</v>
      </c>
      <c r="P138" s="8">
        <f t="shared" si="19"/>
        <v>14.276153200518213</v>
      </c>
      <c r="X138" s="8">
        <v>-13</v>
      </c>
    </row>
    <row r="139" spans="1:24" x14ac:dyDescent="0.2">
      <c r="A139" s="8">
        <v>68.5</v>
      </c>
      <c r="B139" s="8">
        <v>137</v>
      </c>
      <c r="D139">
        <v>2903.4179285281998</v>
      </c>
      <c r="E139">
        <v>602.95517867958995</v>
      </c>
      <c r="F139">
        <v>151.27333333332999</v>
      </c>
      <c r="G139">
        <v>122.94484848485</v>
      </c>
      <c r="I139" s="9">
        <f t="shared" si="15"/>
        <v>480.01033019473994</v>
      </c>
      <c r="J139" s="9">
        <f t="shared" si="16"/>
        <v>2752.1445951948699</v>
      </c>
      <c r="K139" s="9">
        <f t="shared" si="17"/>
        <v>480.01033019473994</v>
      </c>
      <c r="L139" s="10">
        <f t="shared" si="14"/>
        <v>0.17441319436225045</v>
      </c>
      <c r="M139" s="10">
        <f t="shared" si="18"/>
        <v>0.18705710256774113</v>
      </c>
      <c r="P139" s="8">
        <f t="shared" si="19"/>
        <v>15.37025685387766</v>
      </c>
      <c r="X139" s="8">
        <v>-13</v>
      </c>
    </row>
    <row r="140" spans="1:24" x14ac:dyDescent="0.2">
      <c r="A140" s="8">
        <v>69</v>
      </c>
      <c r="B140" s="8">
        <v>138</v>
      </c>
      <c r="D140">
        <v>2912.8437310721001</v>
      </c>
      <c r="E140">
        <v>604.04603270744997</v>
      </c>
      <c r="F140">
        <v>151.42787878787999</v>
      </c>
      <c r="G140">
        <v>123.07878787879</v>
      </c>
      <c r="I140" s="9">
        <f t="shared" si="15"/>
        <v>480.96724482866</v>
      </c>
      <c r="J140" s="9">
        <f t="shared" si="16"/>
        <v>2761.4158522842199</v>
      </c>
      <c r="K140" s="9">
        <f t="shared" si="17"/>
        <v>480.96724482866</v>
      </c>
      <c r="L140" s="10">
        <f t="shared" si="14"/>
        <v>0.17417414491584379</v>
      </c>
      <c r="M140" s="10">
        <f t="shared" si="18"/>
        <v>0.1869103444221045</v>
      </c>
      <c r="P140" s="8">
        <f t="shared" si="19"/>
        <v>15.279741579530533</v>
      </c>
      <c r="X140" s="8">
        <v>-13</v>
      </c>
    </row>
    <row r="141" spans="1:24" x14ac:dyDescent="0.2">
      <c r="A141" s="8">
        <v>69.5</v>
      </c>
      <c r="B141" s="8">
        <v>139</v>
      </c>
      <c r="D141">
        <v>2897.5336159902999</v>
      </c>
      <c r="E141">
        <v>605.70684433677002</v>
      </c>
      <c r="F141">
        <v>151.80000000000001</v>
      </c>
      <c r="G141">
        <v>122.84909090908999</v>
      </c>
      <c r="I141" s="9">
        <f t="shared" si="15"/>
        <v>482.85775342768</v>
      </c>
      <c r="J141" s="9">
        <f t="shared" si="16"/>
        <v>2745.7336159902998</v>
      </c>
      <c r="K141" s="9">
        <f t="shared" si="17"/>
        <v>482.85775342768</v>
      </c>
      <c r="L141" s="10">
        <f t="shared" si="14"/>
        <v>0.17585746505621172</v>
      </c>
      <c r="M141" s="10">
        <f t="shared" si="18"/>
        <v>0.18868595586324244</v>
      </c>
      <c r="P141" s="8">
        <f t="shared" si="19"/>
        <v>16.374876408546623</v>
      </c>
      <c r="X141" s="8">
        <v>-13</v>
      </c>
    </row>
    <row r="142" spans="1:24" x14ac:dyDescent="0.2">
      <c r="A142" s="8">
        <v>70</v>
      </c>
      <c r="B142" s="8">
        <v>140</v>
      </c>
      <c r="D142">
        <v>2869.0720775288</v>
      </c>
      <c r="E142">
        <v>600.77225923683</v>
      </c>
      <c r="F142">
        <v>150.75757575758001</v>
      </c>
      <c r="G142">
        <v>123.20363636364</v>
      </c>
      <c r="I142" s="9">
        <f t="shared" si="15"/>
        <v>477.56862287319001</v>
      </c>
      <c r="J142" s="9">
        <f t="shared" si="16"/>
        <v>2718.31450177122</v>
      </c>
      <c r="K142" s="9">
        <f t="shared" si="17"/>
        <v>477.56862287319001</v>
      </c>
      <c r="L142" s="10">
        <f t="shared" si="14"/>
        <v>0.175685566391237</v>
      </c>
      <c r="M142" s="10">
        <f t="shared" si="18"/>
        <v>0.18860634849903771</v>
      </c>
      <c r="P142" s="8">
        <f t="shared" si="19"/>
        <v>16.325777379802531</v>
      </c>
      <c r="X142" s="8">
        <v>-13</v>
      </c>
    </row>
    <row r="143" spans="1:24" x14ac:dyDescent="0.2">
      <c r="A143" s="8">
        <v>70.5</v>
      </c>
      <c r="B143" s="8">
        <v>141</v>
      </c>
      <c r="D143">
        <v>2922.1578313252999</v>
      </c>
      <c r="E143">
        <v>613.03614457830997</v>
      </c>
      <c r="F143">
        <v>151.17636363636001</v>
      </c>
      <c r="G143">
        <v>122.78484848485</v>
      </c>
      <c r="I143" s="9">
        <f t="shared" si="15"/>
        <v>490.25129609345998</v>
      </c>
      <c r="J143" s="9">
        <f t="shared" si="16"/>
        <v>2770.98146768894</v>
      </c>
      <c r="K143" s="9">
        <f t="shared" si="17"/>
        <v>490.25129609345998</v>
      </c>
      <c r="L143" s="10">
        <f t="shared" si="14"/>
        <v>0.1769233399104399</v>
      </c>
      <c r="M143" s="10">
        <f t="shared" si="18"/>
        <v>0.18993641331901062</v>
      </c>
      <c r="P143" s="8">
        <f t="shared" si="19"/>
        <v>17.146114687534599</v>
      </c>
      <c r="X143" s="8">
        <v>-13</v>
      </c>
    </row>
    <row r="144" spans="1:24" x14ac:dyDescent="0.2">
      <c r="A144" s="8">
        <v>71</v>
      </c>
      <c r="B144" s="8">
        <v>142</v>
      </c>
      <c r="D144">
        <v>2949.1849397589999</v>
      </c>
      <c r="E144">
        <v>619.96626506023995</v>
      </c>
      <c r="F144">
        <v>151.17696969696999</v>
      </c>
      <c r="G144">
        <v>122.82545454546</v>
      </c>
      <c r="I144" s="9">
        <f t="shared" si="15"/>
        <v>497.14081051477996</v>
      </c>
      <c r="J144" s="9">
        <f t="shared" si="16"/>
        <v>2798.0079700620299</v>
      </c>
      <c r="K144" s="9">
        <f t="shared" si="17"/>
        <v>497.14081051477996</v>
      </c>
      <c r="L144" s="10">
        <f t="shared" si="14"/>
        <v>0.17767669564706734</v>
      </c>
      <c r="M144" s="10">
        <f t="shared" si="18"/>
        <v>0.19078206035640805</v>
      </c>
      <c r="P144" s="8">
        <f t="shared" si="19"/>
        <v>17.66768010565033</v>
      </c>
    </row>
    <row r="145" spans="1:16" x14ac:dyDescent="0.2">
      <c r="A145" s="8">
        <v>71.5</v>
      </c>
      <c r="B145" s="8">
        <v>143</v>
      </c>
      <c r="D145">
        <v>2952.6897590361</v>
      </c>
      <c r="E145">
        <v>623.86626506024004</v>
      </c>
      <c r="F145">
        <v>151.28303030302999</v>
      </c>
      <c r="G145">
        <v>123.11939393938999</v>
      </c>
      <c r="I145" s="9">
        <f t="shared" si="15"/>
        <v>500.74687112085007</v>
      </c>
      <c r="J145" s="9">
        <f t="shared" si="16"/>
        <v>2801.4067287330699</v>
      </c>
      <c r="K145" s="9">
        <f t="shared" si="17"/>
        <v>500.74687112085007</v>
      </c>
      <c r="L145" s="10">
        <f t="shared" si="14"/>
        <v>0.17874836452160295</v>
      </c>
      <c r="M145" s="10">
        <f t="shared" si="18"/>
        <v>0.19194602053171367</v>
      </c>
      <c r="P145" s="8">
        <f t="shared" si="19"/>
        <v>18.385569897320035</v>
      </c>
    </row>
    <row r="146" spans="1:16" x14ac:dyDescent="0.2">
      <c r="A146" s="8">
        <v>72</v>
      </c>
      <c r="B146" s="8">
        <v>144</v>
      </c>
      <c r="D146">
        <v>2958.1680722892002</v>
      </c>
      <c r="E146">
        <v>629.69156626506003</v>
      </c>
      <c r="F146">
        <v>150.71757575757999</v>
      </c>
      <c r="G146">
        <v>122.82424242424</v>
      </c>
      <c r="I146" s="9">
        <f t="shared" si="15"/>
        <v>506.86732384082006</v>
      </c>
      <c r="J146" s="9">
        <f t="shared" si="16"/>
        <v>2807.45049653162</v>
      </c>
      <c r="K146" s="9">
        <f t="shared" si="17"/>
        <v>506.86732384082006</v>
      </c>
      <c r="L146" s="10">
        <f t="shared" si="14"/>
        <v>0.18054363717793565</v>
      </c>
      <c r="M146" s="10">
        <f t="shared" si="18"/>
        <v>0.19383358448881638</v>
      </c>
      <c r="P146" s="8">
        <f t="shared" si="19"/>
        <v>19.549753109663968</v>
      </c>
    </row>
    <row r="147" spans="1:16" x14ac:dyDescent="0.2">
      <c r="A147" s="8">
        <v>72.5</v>
      </c>
      <c r="B147" s="8">
        <v>145</v>
      </c>
      <c r="D147">
        <v>2914.1686819831002</v>
      </c>
      <c r="E147">
        <v>619.94860943167998</v>
      </c>
      <c r="F147">
        <v>151.05454545455001</v>
      </c>
      <c r="G147">
        <v>122.78606060606</v>
      </c>
      <c r="I147" s="9">
        <f t="shared" si="15"/>
        <v>497.16254882561998</v>
      </c>
      <c r="J147" s="9">
        <f t="shared" si="16"/>
        <v>2763.1141365285503</v>
      </c>
      <c r="K147" s="9">
        <f t="shared" si="17"/>
        <v>497.16254882561998</v>
      </c>
      <c r="L147" s="10">
        <f t="shared" si="14"/>
        <v>0.17992834326063425</v>
      </c>
      <c r="M147" s="10">
        <f t="shared" si="18"/>
        <v>0.193310581872285</v>
      </c>
      <c r="P147" s="8">
        <f t="shared" si="19"/>
        <v>19.22718344844181</v>
      </c>
    </row>
    <row r="148" spans="1:16" x14ac:dyDescent="0.2">
      <c r="A148" s="8">
        <v>73</v>
      </c>
      <c r="B148" s="8">
        <v>146</v>
      </c>
      <c r="D148">
        <v>2849.0350665054002</v>
      </c>
      <c r="E148">
        <v>610.01692865780001</v>
      </c>
      <c r="F148">
        <v>150.84606060606001</v>
      </c>
      <c r="G148">
        <v>122.65272727273</v>
      </c>
      <c r="I148" s="9">
        <f t="shared" si="15"/>
        <v>487.36420138507003</v>
      </c>
      <c r="J148" s="9">
        <f t="shared" si="16"/>
        <v>2698.1890058993404</v>
      </c>
      <c r="K148" s="9">
        <f t="shared" si="17"/>
        <v>487.36420138507003</v>
      </c>
      <c r="L148" s="10">
        <f t="shared" si="14"/>
        <v>0.18062641287155695</v>
      </c>
      <c r="M148" s="10">
        <f t="shared" si="18"/>
        <v>0.19410094278397769</v>
      </c>
      <c r="P148" s="8">
        <f t="shared" si="19"/>
        <v>19.714650324265079</v>
      </c>
    </row>
    <row r="149" spans="1:16" x14ac:dyDescent="0.2">
      <c r="A149" s="8">
        <v>73.5</v>
      </c>
      <c r="B149" s="8">
        <v>147</v>
      </c>
      <c r="D149">
        <v>2893.7043530833998</v>
      </c>
      <c r="E149">
        <v>621.31197097944005</v>
      </c>
      <c r="F149">
        <v>151.32303030303001</v>
      </c>
      <c r="G149">
        <v>122.72909090909</v>
      </c>
      <c r="I149" s="9">
        <f t="shared" si="15"/>
        <v>498.58288007035003</v>
      </c>
      <c r="J149" s="9">
        <f t="shared" si="16"/>
        <v>2742.3813227803698</v>
      </c>
      <c r="K149" s="9">
        <f t="shared" si="17"/>
        <v>498.58288007035003</v>
      </c>
      <c r="L149" s="10">
        <f t="shared" si="14"/>
        <v>0.1818065474442703</v>
      </c>
      <c r="M149" s="10">
        <f t="shared" si="18"/>
        <v>0.19537336865746105</v>
      </c>
      <c r="P149" s="8">
        <f t="shared" si="19"/>
        <v>20.499437952407305</v>
      </c>
    </row>
    <row r="150" spans="1:16" x14ac:dyDescent="0.2">
      <c r="A150" s="8">
        <v>74</v>
      </c>
      <c r="B150" s="8">
        <v>148</v>
      </c>
      <c r="D150">
        <v>2882.7146311971001</v>
      </c>
      <c r="E150">
        <v>621.16021765416997</v>
      </c>
      <c r="F150">
        <v>151.06727272726999</v>
      </c>
      <c r="G150">
        <v>122.75151515152</v>
      </c>
      <c r="I150" s="9">
        <f t="shared" si="15"/>
        <v>498.40870250264999</v>
      </c>
      <c r="J150" s="9">
        <f t="shared" si="16"/>
        <v>2731.6473584698301</v>
      </c>
      <c r="K150" s="9">
        <f t="shared" si="17"/>
        <v>498.40870250264999</v>
      </c>
      <c r="L150" s="10">
        <f t="shared" si="14"/>
        <v>0.18245719051445955</v>
      </c>
      <c r="M150" s="10">
        <f t="shared" si="18"/>
        <v>0.19611630302842031</v>
      </c>
      <c r="P150" s="8">
        <f t="shared" si="19"/>
        <v>20.957653802148187</v>
      </c>
    </row>
    <row r="151" spans="1:16" x14ac:dyDescent="0.2">
      <c r="A151" s="8">
        <v>74.5</v>
      </c>
      <c r="B151" s="8">
        <v>149</v>
      </c>
      <c r="D151">
        <v>2921.0640870616999</v>
      </c>
      <c r="E151">
        <v>630.70193470375</v>
      </c>
      <c r="F151">
        <v>151.55696969696999</v>
      </c>
      <c r="G151">
        <v>122.63393939394</v>
      </c>
      <c r="I151" s="9">
        <f t="shared" si="15"/>
        <v>508.06799530980999</v>
      </c>
      <c r="J151" s="9">
        <f t="shared" si="16"/>
        <v>2769.5071173647298</v>
      </c>
      <c r="K151" s="9">
        <f t="shared" si="17"/>
        <v>508.06799530980999</v>
      </c>
      <c r="L151" s="10">
        <f t="shared" si="14"/>
        <v>0.18345069132490699</v>
      </c>
      <c r="M151" s="10">
        <f t="shared" si="18"/>
        <v>0.19720209513963774</v>
      </c>
      <c r="P151" s="8">
        <f t="shared" si="19"/>
        <v>21.627332274879283</v>
      </c>
    </row>
    <row r="152" spans="1:16" x14ac:dyDescent="0.2">
      <c r="A152" s="8">
        <v>75</v>
      </c>
      <c r="B152" s="8">
        <v>150</v>
      </c>
      <c r="D152">
        <v>2938.1577992745001</v>
      </c>
      <c r="E152">
        <v>640.49334945586997</v>
      </c>
      <c r="F152">
        <v>151.00181818182</v>
      </c>
      <c r="G152">
        <v>122.81696969697001</v>
      </c>
      <c r="I152" s="9">
        <f t="shared" si="15"/>
        <v>517.6763797589</v>
      </c>
      <c r="J152" s="9">
        <f t="shared" si="16"/>
        <v>2787.1559810926801</v>
      </c>
      <c r="K152" s="9">
        <f t="shared" si="17"/>
        <v>517.6763797589</v>
      </c>
      <c r="L152" s="10">
        <f t="shared" si="14"/>
        <v>0.1857364220986116</v>
      </c>
      <c r="M152" s="10">
        <f t="shared" si="18"/>
        <v>0.19958011721411237</v>
      </c>
      <c r="P152" s="8">
        <f t="shared" si="19"/>
        <v>23.094012843380945</v>
      </c>
    </row>
    <row r="153" spans="1:16" x14ac:dyDescent="0.2">
      <c r="A153" s="8">
        <v>75.5</v>
      </c>
      <c r="B153" s="8">
        <v>151</v>
      </c>
      <c r="D153">
        <v>2935.2829504232</v>
      </c>
      <c r="E153">
        <v>646.86880290206</v>
      </c>
      <c r="F153">
        <v>150.95515151514999</v>
      </c>
      <c r="G153">
        <v>122.92</v>
      </c>
      <c r="I153" s="9">
        <f t="shared" si="15"/>
        <v>523.94880290206004</v>
      </c>
      <c r="J153" s="9">
        <f t="shared" si="16"/>
        <v>2784.3277989080498</v>
      </c>
      <c r="K153" s="9">
        <f t="shared" si="17"/>
        <v>523.94880290206004</v>
      </c>
      <c r="L153" s="10">
        <f t="shared" si="14"/>
        <v>0.18817784425653505</v>
      </c>
      <c r="M153" s="10">
        <f t="shared" si="18"/>
        <v>0.20211383067280581</v>
      </c>
      <c r="P153" s="8">
        <f t="shared" si="19"/>
        <v>24.656718394311465</v>
      </c>
    </row>
    <row r="154" spans="1:16" x14ac:dyDescent="0.2">
      <c r="A154" s="8">
        <v>76</v>
      </c>
      <c r="B154" s="8">
        <v>152</v>
      </c>
      <c r="D154">
        <v>2907.6118500604998</v>
      </c>
      <c r="E154">
        <v>646.52841596130997</v>
      </c>
      <c r="F154">
        <v>150.48060606061</v>
      </c>
      <c r="G154">
        <v>122.92484848485</v>
      </c>
      <c r="I154" s="9">
        <f t="shared" si="15"/>
        <v>523.60356747645994</v>
      </c>
      <c r="J154" s="9">
        <f t="shared" si="16"/>
        <v>2757.1312439998896</v>
      </c>
      <c r="K154" s="9">
        <f t="shared" si="17"/>
        <v>523.60356747645994</v>
      </c>
      <c r="L154" s="10">
        <f t="shared" si="14"/>
        <v>0.18990882955460822</v>
      </c>
      <c r="M154" s="10">
        <f t="shared" si="18"/>
        <v>0.20393710727164899</v>
      </c>
      <c r="P154" s="8">
        <f t="shared" si="19"/>
        <v>25.781251419984869</v>
      </c>
    </row>
    <row r="155" spans="1:16" x14ac:dyDescent="0.2">
      <c r="A155" s="8">
        <v>76.5</v>
      </c>
      <c r="B155" s="8">
        <v>153</v>
      </c>
      <c r="D155">
        <v>2909.8694074969999</v>
      </c>
      <c r="E155">
        <v>656.75513905682999</v>
      </c>
      <c r="F155">
        <v>150.54727272727001</v>
      </c>
      <c r="G155">
        <v>123.01878787878999</v>
      </c>
      <c r="I155" s="9">
        <f t="shared" si="15"/>
        <v>533.73635117803997</v>
      </c>
      <c r="J155" s="9">
        <f t="shared" si="16"/>
        <v>2759.3221347697299</v>
      </c>
      <c r="K155" s="9">
        <f t="shared" si="17"/>
        <v>533.73635117803997</v>
      </c>
      <c r="L155" s="10">
        <f t="shared" si="14"/>
        <v>0.19343024304865411</v>
      </c>
      <c r="M155" s="10">
        <f t="shared" si="18"/>
        <v>0.20755081206646489</v>
      </c>
      <c r="P155" s="8">
        <f t="shared" si="19"/>
        <v>28.010057729122572</v>
      </c>
    </row>
    <row r="156" spans="1:16" x14ac:dyDescent="0.2">
      <c r="A156" s="8">
        <v>77</v>
      </c>
      <c r="B156" s="8">
        <v>154</v>
      </c>
      <c r="D156">
        <v>2913.6336154776</v>
      </c>
      <c r="E156">
        <v>664.08343409915005</v>
      </c>
      <c r="F156">
        <v>150.75030303029999</v>
      </c>
      <c r="G156">
        <v>122.47272727273</v>
      </c>
      <c r="I156" s="9">
        <f t="shared" si="15"/>
        <v>541.61070682642003</v>
      </c>
      <c r="J156" s="9">
        <f t="shared" si="16"/>
        <v>2762.8833124472999</v>
      </c>
      <c r="K156" s="9">
        <f t="shared" si="17"/>
        <v>541.61070682642003</v>
      </c>
      <c r="L156" s="10">
        <f t="shared" si="14"/>
        <v>0.19603097401412636</v>
      </c>
      <c r="M156" s="10">
        <f t="shared" si="18"/>
        <v>0.21024383433270716</v>
      </c>
      <c r="P156" s="8">
        <f t="shared" si="19"/>
        <v>29.671019362253116</v>
      </c>
    </row>
    <row r="157" spans="1:16" x14ac:dyDescent="0.2">
      <c r="A157" s="8">
        <v>77.5</v>
      </c>
      <c r="B157" s="8">
        <v>155</v>
      </c>
      <c r="D157">
        <v>2886.8718258766999</v>
      </c>
      <c r="E157">
        <v>662.75997581620004</v>
      </c>
      <c r="F157">
        <v>151.16848484849001</v>
      </c>
      <c r="G157">
        <v>122.56181818182</v>
      </c>
      <c r="I157" s="9">
        <f t="shared" si="15"/>
        <v>540.1981576343801</v>
      </c>
      <c r="J157" s="9">
        <f t="shared" si="16"/>
        <v>2735.7033410282097</v>
      </c>
      <c r="K157" s="9">
        <f t="shared" si="17"/>
        <v>540.1981576343801</v>
      </c>
      <c r="L157" s="10">
        <f t="shared" si="14"/>
        <v>0.19746225752363467</v>
      </c>
      <c r="M157" s="10">
        <f t="shared" si="18"/>
        <v>0.21176740914298545</v>
      </c>
      <c r="P157" s="8">
        <f t="shared" si="19"/>
        <v>30.610706841557722</v>
      </c>
    </row>
    <row r="158" spans="1:16" x14ac:dyDescent="0.2">
      <c r="A158" s="8">
        <v>78</v>
      </c>
      <c r="B158" s="8">
        <v>156</v>
      </c>
      <c r="D158">
        <v>2912.5586457074</v>
      </c>
      <c r="E158">
        <v>675.29987908101998</v>
      </c>
      <c r="F158">
        <v>150.0503030303</v>
      </c>
      <c r="G158">
        <v>122.62848484849</v>
      </c>
      <c r="I158" s="9">
        <f t="shared" si="15"/>
        <v>552.67139423253002</v>
      </c>
      <c r="J158" s="9">
        <f t="shared" si="16"/>
        <v>2762.5083426771002</v>
      </c>
      <c r="K158" s="9">
        <f t="shared" si="17"/>
        <v>552.67139423253002</v>
      </c>
      <c r="L158" s="10">
        <f t="shared" si="14"/>
        <v>0.20006143898083054</v>
      </c>
      <c r="M158" s="10">
        <f t="shared" si="18"/>
        <v>0.21445888190095133</v>
      </c>
      <c r="P158" s="8">
        <f t="shared" si="19"/>
        <v>32.270712792357095</v>
      </c>
    </row>
    <row r="159" spans="1:16" x14ac:dyDescent="0.2">
      <c r="A159" s="8">
        <v>78.5</v>
      </c>
      <c r="B159" s="8">
        <v>157</v>
      </c>
      <c r="D159">
        <v>2912.1916565901001</v>
      </c>
      <c r="E159">
        <v>680.44074969769997</v>
      </c>
      <c r="F159">
        <v>150.25575757575999</v>
      </c>
      <c r="G159">
        <v>122.65696969696999</v>
      </c>
      <c r="I159" s="9">
        <f t="shared" si="15"/>
        <v>557.78378000072996</v>
      </c>
      <c r="J159" s="9">
        <f t="shared" si="16"/>
        <v>2761.9358990143401</v>
      </c>
      <c r="K159" s="9">
        <f t="shared" si="17"/>
        <v>557.78378000072996</v>
      </c>
      <c r="L159" s="10">
        <f t="shared" si="14"/>
        <v>0.20195391942289023</v>
      </c>
      <c r="M159" s="10">
        <f t="shared" si="18"/>
        <v>0.21644365364378104</v>
      </c>
      <c r="P159" s="8">
        <f t="shared" si="19"/>
        <v>33.494850355824681</v>
      </c>
    </row>
    <row r="160" spans="1:16" x14ac:dyDescent="0.2">
      <c r="A160" s="8">
        <v>79</v>
      </c>
      <c r="B160" s="8">
        <v>158</v>
      </c>
      <c r="D160">
        <v>2907.7182587665998</v>
      </c>
      <c r="E160">
        <v>681.45163240628995</v>
      </c>
      <c r="F160">
        <v>151.07515151515</v>
      </c>
      <c r="G160">
        <v>122.76727272727</v>
      </c>
      <c r="I160" s="9">
        <f t="shared" si="15"/>
        <v>558.68435967901996</v>
      </c>
      <c r="J160" s="9">
        <f t="shared" si="16"/>
        <v>2756.6431072514497</v>
      </c>
      <c r="K160" s="9">
        <f t="shared" si="17"/>
        <v>558.68435967901996</v>
      </c>
      <c r="L160" s="10">
        <f t="shared" si="14"/>
        <v>0.20266836799053911</v>
      </c>
      <c r="M160" s="10">
        <f t="shared" si="18"/>
        <v>0.21725039351219991</v>
      </c>
      <c r="P160" s="8">
        <f t="shared" si="19"/>
        <v>33.992419197403642</v>
      </c>
    </row>
    <row r="161" spans="1:16" x14ac:dyDescent="0.2">
      <c r="A161" s="8">
        <v>79.5</v>
      </c>
      <c r="B161" s="8">
        <v>159</v>
      </c>
      <c r="D161">
        <v>2921.6039903265</v>
      </c>
      <c r="E161">
        <v>684.52237001209005</v>
      </c>
      <c r="F161">
        <v>150.99515151515001</v>
      </c>
      <c r="G161">
        <v>122.67636363635999</v>
      </c>
      <c r="I161" s="9">
        <f t="shared" si="15"/>
        <v>561.8460063757301</v>
      </c>
      <c r="J161" s="9">
        <f t="shared" si="16"/>
        <v>2770.6088388113499</v>
      </c>
      <c r="K161" s="9">
        <f t="shared" si="17"/>
        <v>561.8460063757301</v>
      </c>
      <c r="L161" s="10">
        <f t="shared" si="14"/>
        <v>0.20278792101766843</v>
      </c>
      <c r="M161" s="10">
        <f t="shared" si="18"/>
        <v>0.21746223784009924</v>
      </c>
      <c r="P161" s="8">
        <f t="shared" si="19"/>
        <v>34.123077345034972</v>
      </c>
    </row>
    <row r="162" spans="1:16" x14ac:dyDescent="0.2">
      <c r="A162" s="8">
        <v>80</v>
      </c>
      <c r="B162" s="4">
        <v>160</v>
      </c>
      <c r="C162" s="4" t="s">
        <v>6</v>
      </c>
      <c r="D162">
        <v>2906.6795646916999</v>
      </c>
      <c r="E162">
        <v>682.33252720677001</v>
      </c>
      <c r="F162">
        <v>150.24606060606001</v>
      </c>
      <c r="G162">
        <v>122.56545454546</v>
      </c>
      <c r="H162" s="4"/>
      <c r="I162" s="5">
        <f t="shared" si="15"/>
        <v>559.76707266131007</v>
      </c>
      <c r="J162" s="5">
        <f t="shared" si="16"/>
        <v>2756.4335040856399</v>
      </c>
      <c r="K162" s="9">
        <f t="shared" si="17"/>
        <v>559.76707266131007</v>
      </c>
      <c r="L162" s="6">
        <f t="shared" si="14"/>
        <v>0.2030765740699394</v>
      </c>
      <c r="M162" s="6">
        <f t="shared" si="18"/>
        <v>0.21784318219314019</v>
      </c>
      <c r="N162" s="4"/>
      <c r="O162" s="4"/>
      <c r="P162" s="4">
        <f t="shared" si="19"/>
        <v>34.3580304542945</v>
      </c>
    </row>
    <row r="163" spans="1:16" x14ac:dyDescent="0.2">
      <c r="A163" s="8">
        <v>80.5</v>
      </c>
      <c r="B163" s="8">
        <v>161</v>
      </c>
      <c r="D163">
        <v>2910.6825876663002</v>
      </c>
      <c r="E163">
        <v>683.65840386940999</v>
      </c>
      <c r="F163">
        <v>151.11272727273001</v>
      </c>
      <c r="G163">
        <v>122.63575757576</v>
      </c>
      <c r="I163" s="9">
        <f t="shared" si="15"/>
        <v>561.02264629365004</v>
      </c>
      <c r="J163" s="9">
        <f t="shared" si="16"/>
        <v>2759.5698603935703</v>
      </c>
      <c r="K163" s="9">
        <f t="shared" si="17"/>
        <v>561.02264629365004</v>
      </c>
      <c r="L163" s="10">
        <f t="shared" si="14"/>
        <v>0.20330075869637049</v>
      </c>
      <c r="M163" s="10">
        <f t="shared" si="18"/>
        <v>0.2181596581203413</v>
      </c>
      <c r="P163" s="8">
        <f t="shared" si="19"/>
        <v>34.553221700753781</v>
      </c>
    </row>
    <row r="164" spans="1:16" x14ac:dyDescent="0.2">
      <c r="A164" s="8">
        <v>81</v>
      </c>
      <c r="B164" s="8">
        <v>162</v>
      </c>
      <c r="D164">
        <v>2921.9885126965</v>
      </c>
      <c r="E164">
        <v>689.13301088270998</v>
      </c>
      <c r="F164">
        <v>150.63999999999999</v>
      </c>
      <c r="G164">
        <v>122.50303030303</v>
      </c>
      <c r="I164" s="9">
        <f t="shared" si="15"/>
        <v>566.62998057968002</v>
      </c>
      <c r="J164" s="9">
        <f t="shared" si="16"/>
        <v>2771.3485126965002</v>
      </c>
      <c r="K164" s="9">
        <f t="shared" si="17"/>
        <v>566.62998057968002</v>
      </c>
      <c r="L164" s="10">
        <f t="shared" si="14"/>
        <v>0.20446002297572943</v>
      </c>
      <c r="M164" s="10">
        <f t="shared" si="18"/>
        <v>0.21941121370047026</v>
      </c>
      <c r="P164" s="8">
        <f t="shared" si="19"/>
        <v>35.32513726431327</v>
      </c>
    </row>
    <row r="165" spans="1:16" x14ac:dyDescent="0.2">
      <c r="A165" s="8">
        <v>81.5</v>
      </c>
      <c r="B165" s="8">
        <v>163</v>
      </c>
      <c r="D165">
        <v>2888.3923821039998</v>
      </c>
      <c r="E165">
        <v>680.88754534461998</v>
      </c>
      <c r="F165">
        <v>150.77696969697001</v>
      </c>
      <c r="G165">
        <v>122.54727272727</v>
      </c>
      <c r="I165" s="9">
        <f t="shared" si="15"/>
        <v>558.34027261735002</v>
      </c>
      <c r="J165" s="9">
        <f t="shared" si="16"/>
        <v>2737.6154124070299</v>
      </c>
      <c r="K165" s="9">
        <f t="shared" si="17"/>
        <v>558.34027261735002</v>
      </c>
      <c r="L165" s="10">
        <f t="shared" si="14"/>
        <v>0.20395131839443917</v>
      </c>
      <c r="M165" s="10">
        <f t="shared" si="18"/>
        <v>0.21899480041995001</v>
      </c>
      <c r="P165" s="8">
        <f t="shared" si="19"/>
        <v>35.068308165222582</v>
      </c>
    </row>
    <row r="166" spans="1:16" x14ac:dyDescent="0.2">
      <c r="A166" s="8">
        <v>82</v>
      </c>
      <c r="B166" s="8">
        <v>164</v>
      </c>
      <c r="D166">
        <v>2907.4111245466001</v>
      </c>
      <c r="E166">
        <v>690.13542926238995</v>
      </c>
      <c r="F166">
        <v>150.65090909091001</v>
      </c>
      <c r="G166">
        <v>122.55575757576</v>
      </c>
      <c r="I166" s="9">
        <f t="shared" si="15"/>
        <v>567.57967168662992</v>
      </c>
      <c r="J166" s="9">
        <f t="shared" si="16"/>
        <v>2756.7602154556903</v>
      </c>
      <c r="K166" s="9">
        <f t="shared" si="17"/>
        <v>567.57967168662992</v>
      </c>
      <c r="L166" s="10">
        <f t="shared" si="14"/>
        <v>0.20588648534047763</v>
      </c>
      <c r="M166" s="10">
        <f t="shared" si="18"/>
        <v>0.22102225866675845</v>
      </c>
      <c r="P166" s="8">
        <f t="shared" si="19"/>
        <v>36.318773266434626</v>
      </c>
    </row>
    <row r="167" spans="1:16" x14ac:dyDescent="0.2">
      <c r="A167" s="8">
        <v>82.5</v>
      </c>
      <c r="B167" s="8">
        <v>165</v>
      </c>
      <c r="D167">
        <v>2917.5586457074</v>
      </c>
      <c r="E167">
        <v>692.53627569527998</v>
      </c>
      <c r="F167">
        <v>150.74</v>
      </c>
      <c r="G167">
        <v>122.69454545455</v>
      </c>
      <c r="I167" s="9">
        <f t="shared" si="15"/>
        <v>569.84173024072993</v>
      </c>
      <c r="J167" s="9">
        <f t="shared" si="16"/>
        <v>2766.8186457073998</v>
      </c>
      <c r="K167" s="9">
        <f t="shared" si="17"/>
        <v>569.84173024072993</v>
      </c>
      <c r="L167" s="10">
        <f t="shared" si="14"/>
        <v>0.20595557685893684</v>
      </c>
      <c r="M167" s="10">
        <f t="shared" si="18"/>
        <v>0.22118364148598768</v>
      </c>
      <c r="P167" s="8">
        <f t="shared" si="19"/>
        <v>36.418308526260098</v>
      </c>
    </row>
    <row r="168" spans="1:16" x14ac:dyDescent="0.2">
      <c r="A168" s="8">
        <v>83</v>
      </c>
      <c r="B168" s="8">
        <v>166</v>
      </c>
      <c r="D168">
        <v>2899.0133010883001</v>
      </c>
      <c r="E168">
        <v>691.06711003628004</v>
      </c>
      <c r="F168">
        <v>150.61090909091001</v>
      </c>
      <c r="G168">
        <v>122.51151515152</v>
      </c>
      <c r="I168" s="9">
        <f t="shared" si="15"/>
        <v>568.55559488476001</v>
      </c>
      <c r="J168" s="9">
        <f t="shared" si="16"/>
        <v>2748.4023919973902</v>
      </c>
      <c r="K168" s="9">
        <f t="shared" si="17"/>
        <v>568.55559488476001</v>
      </c>
      <c r="L168" s="10">
        <f t="shared" si="14"/>
        <v>0.20686766848269425</v>
      </c>
      <c r="M168" s="10">
        <f t="shared" si="18"/>
        <v>0.22218802441051511</v>
      </c>
      <c r="P168" s="8">
        <f t="shared" si="19"/>
        <v>37.037776669365826</v>
      </c>
    </row>
    <row r="169" spans="1:16" x14ac:dyDescent="0.2">
      <c r="A169" s="8">
        <v>83.5</v>
      </c>
      <c r="B169" s="8">
        <v>167</v>
      </c>
      <c r="D169">
        <v>2938.3446191051999</v>
      </c>
      <c r="E169">
        <v>702.23700120919</v>
      </c>
      <c r="F169">
        <v>150.95757575758</v>
      </c>
      <c r="G169">
        <v>122.75636363636001</v>
      </c>
      <c r="I169" s="9">
        <f t="shared" si="15"/>
        <v>579.48063757283001</v>
      </c>
      <c r="J169" s="9">
        <f t="shared" si="16"/>
        <v>2787.38704334762</v>
      </c>
      <c r="K169" s="9">
        <f t="shared" si="17"/>
        <v>579.48063757283001</v>
      </c>
      <c r="L169" s="10">
        <f t="shared" si="14"/>
        <v>0.20789385491183182</v>
      </c>
      <c r="M169" s="10">
        <f t="shared" si="18"/>
        <v>0.22330650214042266</v>
      </c>
      <c r="P169" s="8">
        <f t="shared" si="19"/>
        <v>37.727614484735852</v>
      </c>
    </row>
    <row r="170" spans="1:16" x14ac:dyDescent="0.2">
      <c r="A170" s="8">
        <v>84</v>
      </c>
      <c r="B170" s="8">
        <v>168</v>
      </c>
      <c r="D170">
        <v>2964.9074969769999</v>
      </c>
      <c r="E170">
        <v>712.80652962515001</v>
      </c>
      <c r="F170">
        <v>150.83575757576</v>
      </c>
      <c r="G170">
        <v>122.45878787879001</v>
      </c>
      <c r="I170" s="9">
        <f t="shared" si="15"/>
        <v>590.34774174636004</v>
      </c>
      <c r="J170" s="9">
        <f t="shared" si="16"/>
        <v>2814.0717394012399</v>
      </c>
      <c r="K170" s="9">
        <f t="shared" si="17"/>
        <v>590.34774174636004</v>
      </c>
      <c r="L170" s="10">
        <f t="shared" si="14"/>
        <v>0.20978418335275648</v>
      </c>
      <c r="M170" s="10">
        <f t="shared" si="18"/>
        <v>0.22528912188211733</v>
      </c>
      <c r="P170" s="8">
        <f t="shared" si="19"/>
        <v>38.950424769419101</v>
      </c>
    </row>
    <row r="171" spans="1:16" x14ac:dyDescent="0.2">
      <c r="A171" s="8">
        <v>84.5</v>
      </c>
      <c r="B171" s="8">
        <v>169</v>
      </c>
      <c r="D171">
        <v>2970.5320435307999</v>
      </c>
      <c r="E171">
        <v>713.11910519952005</v>
      </c>
      <c r="F171">
        <v>150.94303030303001</v>
      </c>
      <c r="G171">
        <v>122.44363636364</v>
      </c>
      <c r="I171" s="9">
        <f t="shared" si="15"/>
        <v>590.67546883588011</v>
      </c>
      <c r="J171" s="9">
        <f t="shared" si="16"/>
        <v>2819.58901322777</v>
      </c>
      <c r="K171" s="9">
        <f t="shared" si="17"/>
        <v>590.67546883588011</v>
      </c>
      <c r="L171" s="10">
        <f t="shared" si="14"/>
        <v>0.20948991717047968</v>
      </c>
      <c r="M171" s="10">
        <f t="shared" si="18"/>
        <v>0.22508714700061055</v>
      </c>
      <c r="P171" s="8">
        <f t="shared" si="19"/>
        <v>38.825853749994536</v>
      </c>
    </row>
    <row r="172" spans="1:16" x14ac:dyDescent="0.2">
      <c r="A172" s="8">
        <v>85</v>
      </c>
      <c r="B172" s="8">
        <v>170</v>
      </c>
      <c r="D172">
        <v>2934.1299879080998</v>
      </c>
      <c r="E172">
        <v>707.67230955260004</v>
      </c>
      <c r="F172">
        <v>150.35272727272999</v>
      </c>
      <c r="G172">
        <v>122.36242424242</v>
      </c>
      <c r="I172" s="9">
        <f t="shared" si="15"/>
        <v>585.30988531017999</v>
      </c>
      <c r="J172" s="9">
        <f t="shared" si="16"/>
        <v>2783.7772606353697</v>
      </c>
      <c r="K172" s="9">
        <f t="shared" si="17"/>
        <v>585.30988531017999</v>
      </c>
      <c r="L172" s="10">
        <f t="shared" si="14"/>
        <v>0.21025744178131148</v>
      </c>
      <c r="M172" s="10">
        <f t="shared" si="18"/>
        <v>0.22594696291221233</v>
      </c>
      <c r="P172" s="8">
        <f t="shared" si="19"/>
        <v>39.356158032520376</v>
      </c>
    </row>
    <row r="173" spans="1:16" x14ac:dyDescent="0.2">
      <c r="A173" s="8">
        <v>85.5</v>
      </c>
      <c r="B173" s="8">
        <v>171</v>
      </c>
      <c r="D173">
        <v>2929.5090689238</v>
      </c>
      <c r="E173">
        <v>710.42261185005998</v>
      </c>
      <c r="F173">
        <v>150.51939393939</v>
      </c>
      <c r="G173">
        <v>122.47878787879</v>
      </c>
      <c r="I173" s="9">
        <f t="shared" si="15"/>
        <v>587.94382397126992</v>
      </c>
      <c r="J173" s="9">
        <f t="shared" si="16"/>
        <v>2778.9896749844102</v>
      </c>
      <c r="K173" s="9">
        <f t="shared" si="17"/>
        <v>587.94382397126992</v>
      </c>
      <c r="L173" s="10">
        <f t="shared" si="14"/>
        <v>0.21156747333887385</v>
      </c>
      <c r="M173" s="10">
        <f t="shared" si="18"/>
        <v>0.22734928577054472</v>
      </c>
      <c r="P173" s="8">
        <f t="shared" si="19"/>
        <v>40.221061562709941</v>
      </c>
    </row>
    <row r="174" spans="1:16" x14ac:dyDescent="0.2">
      <c r="A174" s="8">
        <v>86</v>
      </c>
      <c r="B174" s="8">
        <v>172</v>
      </c>
      <c r="D174">
        <v>2936.4304715839999</v>
      </c>
      <c r="E174">
        <v>709.62031438936003</v>
      </c>
      <c r="F174">
        <v>150.46060606060999</v>
      </c>
      <c r="G174">
        <v>121.76545454546</v>
      </c>
      <c r="I174" s="9">
        <f t="shared" si="15"/>
        <v>587.85485984390004</v>
      </c>
      <c r="J174" s="9">
        <f t="shared" si="16"/>
        <v>2785.9698655233897</v>
      </c>
      <c r="K174" s="9">
        <f t="shared" si="17"/>
        <v>587.85485984390004</v>
      </c>
      <c r="L174" s="10">
        <f t="shared" si="14"/>
        <v>0.21100546244905702</v>
      </c>
      <c r="M174" s="10">
        <f t="shared" si="18"/>
        <v>0.2268795661814979</v>
      </c>
      <c r="P174" s="8">
        <f t="shared" si="19"/>
        <v>39.93135500308864</v>
      </c>
    </row>
    <row r="175" spans="1:16" x14ac:dyDescent="0.2">
      <c r="A175" s="8">
        <v>86.5</v>
      </c>
      <c r="B175" s="8">
        <v>173</v>
      </c>
      <c r="D175">
        <v>3000.2249093107998</v>
      </c>
      <c r="E175">
        <v>731.96795646916996</v>
      </c>
      <c r="F175">
        <v>150.51333333333</v>
      </c>
      <c r="G175">
        <v>122.50787878788</v>
      </c>
      <c r="I175" s="9">
        <f t="shared" si="15"/>
        <v>609.46007768128993</v>
      </c>
      <c r="J175" s="9">
        <f t="shared" si="16"/>
        <v>2849.7115759774697</v>
      </c>
      <c r="K175" s="9">
        <f t="shared" si="17"/>
        <v>609.46007768128993</v>
      </c>
      <c r="L175" s="10">
        <f t="shared" si="14"/>
        <v>0.21386728496277421</v>
      </c>
      <c r="M175" s="10">
        <f t="shared" si="18"/>
        <v>0.22983367999598509</v>
      </c>
      <c r="P175" s="8">
        <f t="shared" si="19"/>
        <v>41.753348741228315</v>
      </c>
    </row>
    <row r="176" spans="1:16" x14ac:dyDescent="0.2">
      <c r="A176" s="8">
        <v>87</v>
      </c>
      <c r="B176" s="8">
        <v>174</v>
      </c>
      <c r="D176">
        <v>2962.5030229745998</v>
      </c>
      <c r="E176">
        <v>718.35368802901996</v>
      </c>
      <c r="F176">
        <v>150.61272727273001</v>
      </c>
      <c r="G176">
        <v>122.39393939394</v>
      </c>
      <c r="I176" s="9">
        <f t="shared" si="15"/>
        <v>595.9597486350799</v>
      </c>
      <c r="J176" s="9">
        <f t="shared" si="16"/>
        <v>2811.8902957018699</v>
      </c>
      <c r="K176" s="9">
        <f t="shared" si="17"/>
        <v>595.9597486350799</v>
      </c>
      <c r="L176" s="10">
        <f t="shared" si="14"/>
        <v>0.21194274525789195</v>
      </c>
      <c r="M176" s="10">
        <f t="shared" si="18"/>
        <v>0.22800143159187283</v>
      </c>
      <c r="P176" s="8">
        <f t="shared" si="19"/>
        <v>40.623282220894041</v>
      </c>
    </row>
    <row r="177" spans="1:16" x14ac:dyDescent="0.2">
      <c r="A177" s="8">
        <v>87.5</v>
      </c>
      <c r="B177" s="8">
        <v>175</v>
      </c>
      <c r="D177">
        <v>2934.4304715839999</v>
      </c>
      <c r="E177">
        <v>715.16384522370004</v>
      </c>
      <c r="F177">
        <v>150.04363636363999</v>
      </c>
      <c r="G177">
        <v>122.47090909091</v>
      </c>
      <c r="I177" s="9">
        <f t="shared" si="15"/>
        <v>592.69293613279001</v>
      </c>
      <c r="J177" s="9">
        <f t="shared" si="16"/>
        <v>2784.3868352203599</v>
      </c>
      <c r="K177" s="9">
        <f t="shared" si="17"/>
        <v>592.69293613279001</v>
      </c>
      <c r="L177" s="10">
        <f t="shared" si="14"/>
        <v>0.21286300044077155</v>
      </c>
      <c r="M177" s="10">
        <f t="shared" si="18"/>
        <v>0.22901397807552243</v>
      </c>
      <c r="P177" s="8">
        <f t="shared" si="19"/>
        <v>41.247785360799355</v>
      </c>
    </row>
    <row r="178" spans="1:16" x14ac:dyDescent="0.2">
      <c r="A178" s="8">
        <v>88</v>
      </c>
      <c r="B178" s="8">
        <v>176</v>
      </c>
      <c r="D178">
        <v>2949.9250302298001</v>
      </c>
      <c r="E178">
        <v>723.12515114872997</v>
      </c>
      <c r="F178">
        <v>150.80545454546001</v>
      </c>
      <c r="G178">
        <v>122.07636363636</v>
      </c>
      <c r="I178" s="9">
        <f t="shared" si="15"/>
        <v>601.04878751236993</v>
      </c>
      <c r="J178" s="9">
        <f t="shared" si="16"/>
        <v>2799.1195756843399</v>
      </c>
      <c r="K178" s="9">
        <f t="shared" si="17"/>
        <v>601.04878751236993</v>
      </c>
      <c r="L178" s="10">
        <f t="shared" si="14"/>
        <v>0.21472779967444697</v>
      </c>
      <c r="M178" s="10">
        <f t="shared" si="18"/>
        <v>0.23097106860996786</v>
      </c>
      <c r="P178" s="8">
        <f t="shared" si="19"/>
        <v>42.454850126295199</v>
      </c>
    </row>
    <row r="179" spans="1:16" x14ac:dyDescent="0.2">
      <c r="A179" s="8">
        <v>88.5</v>
      </c>
      <c r="B179" s="8">
        <v>177</v>
      </c>
      <c r="D179">
        <v>2866.576783555</v>
      </c>
      <c r="E179">
        <v>703.15779927449</v>
      </c>
      <c r="F179">
        <v>150.08848484849</v>
      </c>
      <c r="G179">
        <v>122.54060606061</v>
      </c>
      <c r="I179" s="9">
        <f t="shared" si="15"/>
        <v>580.61719321388</v>
      </c>
      <c r="J179" s="9">
        <f t="shared" si="16"/>
        <v>2716.4882987065102</v>
      </c>
      <c r="K179" s="9">
        <f t="shared" si="17"/>
        <v>580.61719321388</v>
      </c>
      <c r="L179" s="10">
        <f t="shared" si="14"/>
        <v>0.21373815358981965</v>
      </c>
      <c r="M179" s="10">
        <f t="shared" si="18"/>
        <v>0.23007371382611055</v>
      </c>
      <c r="P179" s="8">
        <f t="shared" si="19"/>
        <v>41.901393184636532</v>
      </c>
    </row>
    <row r="180" spans="1:16" x14ac:dyDescent="0.2">
      <c r="A180" s="8">
        <v>89</v>
      </c>
      <c r="B180" s="8">
        <v>178</v>
      </c>
      <c r="D180">
        <v>2956.7654171704999</v>
      </c>
      <c r="E180">
        <v>721.16142684400995</v>
      </c>
      <c r="F180">
        <v>150.15696969697001</v>
      </c>
      <c r="G180">
        <v>122.33636363636001</v>
      </c>
      <c r="I180" s="9">
        <f t="shared" si="15"/>
        <v>598.82506320764992</v>
      </c>
      <c r="J180" s="9">
        <f t="shared" si="16"/>
        <v>2806.6084474735298</v>
      </c>
      <c r="K180" s="9">
        <f t="shared" si="17"/>
        <v>598.82506320764992</v>
      </c>
      <c r="L180" s="10">
        <f t="shared" si="14"/>
        <v>0.2133625243473859</v>
      </c>
      <c r="M180" s="10">
        <f t="shared" si="18"/>
        <v>0.22979037588444678</v>
      </c>
      <c r="P180" s="8">
        <f t="shared" si="19"/>
        <v>41.726640284813548</v>
      </c>
    </row>
    <row r="181" spans="1:16" x14ac:dyDescent="0.2">
      <c r="A181" s="8">
        <v>89.5</v>
      </c>
      <c r="B181" s="8">
        <v>179</v>
      </c>
      <c r="D181">
        <v>2997.9915356710999</v>
      </c>
      <c r="E181">
        <v>743.96916565900995</v>
      </c>
      <c r="F181">
        <v>150.64121212121</v>
      </c>
      <c r="G181">
        <v>122.41878787879</v>
      </c>
      <c r="I181" s="9">
        <f t="shared" si="15"/>
        <v>621.55037778021995</v>
      </c>
      <c r="J181" s="9">
        <f t="shared" si="16"/>
        <v>2847.3503235498897</v>
      </c>
      <c r="K181" s="9">
        <f t="shared" si="17"/>
        <v>621.55037778021995</v>
      </c>
      <c r="L181" s="10">
        <f t="shared" si="14"/>
        <v>0.21829079921760794</v>
      </c>
      <c r="M181" s="10">
        <f t="shared" si="18"/>
        <v>0.23481094205543884</v>
      </c>
      <c r="P181" s="8">
        <f t="shared" si="19"/>
        <v>44.823149322685993</v>
      </c>
    </row>
    <row r="182" spans="1:16" x14ac:dyDescent="0.2">
      <c r="A182" s="8">
        <v>90</v>
      </c>
      <c r="B182" s="8">
        <v>180</v>
      </c>
      <c r="D182">
        <v>2893.7513677811999</v>
      </c>
      <c r="E182">
        <v>709.32340425532004</v>
      </c>
      <c r="F182">
        <v>150.36363636364001</v>
      </c>
      <c r="G182">
        <v>122.18484848484999</v>
      </c>
      <c r="I182" s="9">
        <f t="shared" si="15"/>
        <v>587.13855577047002</v>
      </c>
      <c r="J182" s="9">
        <f t="shared" si="16"/>
        <v>2743.3877314175597</v>
      </c>
      <c r="K182" s="9">
        <f t="shared" si="17"/>
        <v>587.13855577047002</v>
      </c>
      <c r="L182" s="10">
        <f t="shared" si="14"/>
        <v>0.21401953105151658</v>
      </c>
      <c r="M182" s="10">
        <f>L182+ABS($N$2)*A182</f>
        <v>0.2306319651901175</v>
      </c>
      <c r="P182" s="8">
        <f t="shared" si="19"/>
        <v>42.245703036389877</v>
      </c>
    </row>
    <row r="183" spans="1:16" x14ac:dyDescent="0.2">
      <c r="A183" s="8">
        <v>90.5</v>
      </c>
      <c r="B183" s="8">
        <v>181</v>
      </c>
      <c r="D183">
        <v>2827.2650455927001</v>
      </c>
      <c r="E183">
        <v>692.64072948327998</v>
      </c>
      <c r="F183">
        <v>150.01151515152</v>
      </c>
      <c r="G183">
        <v>122.44666666667</v>
      </c>
      <c r="I183" s="9">
        <f t="shared" si="15"/>
        <v>570.19406281660997</v>
      </c>
      <c r="J183" s="9">
        <f t="shared" si="16"/>
        <v>2677.2535304411799</v>
      </c>
      <c r="K183" s="9">
        <f t="shared" si="17"/>
        <v>570.19406281660997</v>
      </c>
      <c r="L183" s="10">
        <f t="shared" si="14"/>
        <v>0.21297723817835387</v>
      </c>
      <c r="M183" s="10">
        <f t="shared" ref="M183:M241" si="20">L183+ABS($N$2)*A183</f>
        <v>0.2296819636177248</v>
      </c>
      <c r="P183" s="8">
        <f t="shared" si="19"/>
        <v>41.659775402987975</v>
      </c>
    </row>
    <row r="184" spans="1:16" x14ac:dyDescent="0.2">
      <c r="A184" s="8">
        <v>91</v>
      </c>
      <c r="B184" s="8">
        <v>182</v>
      </c>
      <c r="D184">
        <v>2890.8187919462998</v>
      </c>
      <c r="E184">
        <v>702.43563148261001</v>
      </c>
      <c r="F184">
        <v>150.35212121212001</v>
      </c>
      <c r="G184">
        <v>122.48242424242</v>
      </c>
      <c r="I184" s="9">
        <f t="shared" si="15"/>
        <v>579.95320724019007</v>
      </c>
      <c r="J184" s="9">
        <f t="shared" si="16"/>
        <v>2740.4666707341798</v>
      </c>
      <c r="K184" s="9">
        <f t="shared" si="17"/>
        <v>579.95320724019007</v>
      </c>
      <c r="L184" s="10">
        <f t="shared" si="14"/>
        <v>0.21162571084464923</v>
      </c>
      <c r="M184" s="10">
        <f t="shared" si="20"/>
        <v>0.22842272758479015</v>
      </c>
      <c r="P184" s="8">
        <f t="shared" si="19"/>
        <v>40.883122805652263</v>
      </c>
    </row>
    <row r="185" spans="1:16" x14ac:dyDescent="0.2">
      <c r="A185" s="8">
        <v>91.5</v>
      </c>
      <c r="B185" s="8">
        <v>183</v>
      </c>
      <c r="D185">
        <v>3097.6425970874002</v>
      </c>
      <c r="E185">
        <v>727.39199029125996</v>
      </c>
      <c r="F185">
        <v>150.20606060605999</v>
      </c>
      <c r="G185">
        <v>122.46363636364001</v>
      </c>
      <c r="I185" s="9">
        <f t="shared" si="15"/>
        <v>604.92835392761992</v>
      </c>
      <c r="J185" s="9">
        <f t="shared" si="16"/>
        <v>2947.4365364813402</v>
      </c>
      <c r="K185" s="9">
        <f t="shared" si="17"/>
        <v>604.92835392761992</v>
      </c>
      <c r="L185" s="10">
        <f t="shared" si="14"/>
        <v>0.20523880546374221</v>
      </c>
      <c r="M185" s="10">
        <f t="shared" si="20"/>
        <v>0.22212811350465314</v>
      </c>
      <c r="P185" s="8">
        <f t="shared" si="19"/>
        <v>37.000825724960286</v>
      </c>
    </row>
    <row r="186" spans="1:16" x14ac:dyDescent="0.2">
      <c r="A186" s="8">
        <v>92</v>
      </c>
      <c r="B186" s="8">
        <v>184</v>
      </c>
      <c r="D186">
        <v>3119.1650485436999</v>
      </c>
      <c r="E186">
        <v>721.07402912621001</v>
      </c>
      <c r="F186">
        <v>150.29696969697</v>
      </c>
      <c r="G186">
        <v>122.45151515152</v>
      </c>
      <c r="I186" s="9">
        <f t="shared" si="15"/>
        <v>598.62251397469004</v>
      </c>
      <c r="J186" s="9">
        <f t="shared" si="16"/>
        <v>2968.86807884673</v>
      </c>
      <c r="K186" s="9">
        <f t="shared" si="17"/>
        <v>598.62251397469004</v>
      </c>
      <c r="L186" s="10">
        <f t="shared" si="14"/>
        <v>0.20163324811900285</v>
      </c>
      <c r="M186" s="10">
        <f t="shared" si="20"/>
        <v>0.21861484746068377</v>
      </c>
      <c r="P186" s="8">
        <f t="shared" si="19"/>
        <v>34.83396651285436</v>
      </c>
    </row>
    <row r="187" spans="1:16" x14ac:dyDescent="0.2">
      <c r="A187" s="8">
        <v>92.5</v>
      </c>
      <c r="B187" s="8">
        <v>185</v>
      </c>
      <c r="D187">
        <v>3091.6140776698999</v>
      </c>
      <c r="E187">
        <v>716.00303398057997</v>
      </c>
      <c r="F187">
        <v>150.46181818182001</v>
      </c>
      <c r="G187">
        <v>122.22</v>
      </c>
      <c r="I187" s="9">
        <f t="shared" si="15"/>
        <v>593.78303398057994</v>
      </c>
      <c r="J187" s="9">
        <f t="shared" si="16"/>
        <v>2941.1522594880798</v>
      </c>
      <c r="K187" s="9">
        <f t="shared" si="17"/>
        <v>593.78303398057994</v>
      </c>
      <c r="L187" s="10">
        <f t="shared" si="14"/>
        <v>0.20188789344892005</v>
      </c>
      <c r="M187" s="10">
        <f t="shared" si="20"/>
        <v>0.21896178409137099</v>
      </c>
      <c r="P187" s="8">
        <f t="shared" si="19"/>
        <v>35.047944852329103</v>
      </c>
    </row>
    <row r="188" spans="1:16" x14ac:dyDescent="0.2">
      <c r="A188" s="8">
        <v>93</v>
      </c>
      <c r="B188" s="8">
        <v>186</v>
      </c>
      <c r="D188">
        <v>3149.4927184466001</v>
      </c>
      <c r="E188">
        <v>716.95449029125996</v>
      </c>
      <c r="F188">
        <v>149.72848484849001</v>
      </c>
      <c r="G188">
        <v>122.25878787879</v>
      </c>
      <c r="I188" s="9">
        <f t="shared" si="15"/>
        <v>594.69570241246993</v>
      </c>
      <c r="J188" s="9">
        <f t="shared" si="16"/>
        <v>2999.76423359811</v>
      </c>
      <c r="K188" s="9">
        <f t="shared" si="17"/>
        <v>594.69570241246993</v>
      </c>
      <c r="L188" s="10">
        <f t="shared" si="14"/>
        <v>0.19824748083590346</v>
      </c>
      <c r="M188" s="10">
        <f t="shared" si="20"/>
        <v>0.21541366277912441</v>
      </c>
      <c r="P188" s="8">
        <f t="shared" si="19"/>
        <v>32.85958813385399</v>
      </c>
    </row>
    <row r="189" spans="1:16" x14ac:dyDescent="0.2">
      <c r="A189" s="8">
        <v>93.5</v>
      </c>
      <c r="B189" s="8">
        <v>187</v>
      </c>
      <c r="D189">
        <v>2906.0978723404</v>
      </c>
      <c r="E189">
        <v>668.98601823707997</v>
      </c>
      <c r="F189">
        <v>149.98060606061</v>
      </c>
      <c r="G189">
        <v>122.31454545455</v>
      </c>
      <c r="I189" s="9">
        <f t="shared" si="15"/>
        <v>546.67147278252992</v>
      </c>
      <c r="J189" s="9">
        <f t="shared" si="16"/>
        <v>2756.1172662797899</v>
      </c>
      <c r="K189" s="9">
        <f t="shared" si="17"/>
        <v>546.67147278252992</v>
      </c>
      <c r="L189" s="10">
        <f t="shared" si="14"/>
        <v>0.19834840827379877</v>
      </c>
      <c r="M189" s="10">
        <f t="shared" si="20"/>
        <v>0.21560688151778973</v>
      </c>
      <c r="P189" s="8">
        <f t="shared" si="19"/>
        <v>32.978758671635241</v>
      </c>
    </row>
    <row r="190" spans="1:16" x14ac:dyDescent="0.2">
      <c r="A190" s="8">
        <v>94</v>
      </c>
      <c r="B190" s="8">
        <v>188</v>
      </c>
      <c r="D190">
        <v>2909.7319148935999</v>
      </c>
      <c r="E190">
        <v>667.50577507598996</v>
      </c>
      <c r="F190">
        <v>149.48787878787999</v>
      </c>
      <c r="G190">
        <v>121.90606060606</v>
      </c>
      <c r="I190" s="9">
        <f t="shared" si="15"/>
        <v>545.59971446992995</v>
      </c>
      <c r="J190" s="9">
        <f t="shared" si="16"/>
        <v>2760.2440361057197</v>
      </c>
      <c r="K190" s="9">
        <f t="shared" si="17"/>
        <v>545.59971446992995</v>
      </c>
      <c r="L190" s="10">
        <f t="shared" si="14"/>
        <v>0.19766357877533441</v>
      </c>
      <c r="M190" s="10">
        <f t="shared" si="20"/>
        <v>0.21501434332009536</v>
      </c>
      <c r="P190" s="8">
        <f t="shared" si="19"/>
        <v>32.613301904020787</v>
      </c>
    </row>
    <row r="191" spans="1:16" x14ac:dyDescent="0.2">
      <c r="A191" s="8">
        <v>94.5</v>
      </c>
      <c r="B191" s="8">
        <v>189</v>
      </c>
      <c r="D191">
        <v>3094.1354799514002</v>
      </c>
      <c r="E191">
        <v>690.94775212637001</v>
      </c>
      <c r="F191">
        <v>149.59757575757999</v>
      </c>
      <c r="G191">
        <v>121.99939393939</v>
      </c>
      <c r="I191" s="9">
        <f t="shared" si="15"/>
        <v>568.94835818698004</v>
      </c>
      <c r="J191" s="9">
        <f t="shared" si="16"/>
        <v>2944.5379041938204</v>
      </c>
      <c r="K191" s="9">
        <f t="shared" si="17"/>
        <v>568.94835818698004</v>
      </c>
      <c r="L191" s="10">
        <f t="shared" si="14"/>
        <v>0.19322161123368231</v>
      </c>
      <c r="M191" s="10">
        <f t="shared" si="20"/>
        <v>0.21066466707921327</v>
      </c>
      <c r="P191" s="8">
        <f t="shared" si="19"/>
        <v>29.930574232880659</v>
      </c>
    </row>
    <row r="192" spans="1:16" x14ac:dyDescent="0.2">
      <c r="A192" s="8">
        <v>95</v>
      </c>
      <c r="B192" s="8">
        <v>190</v>
      </c>
      <c r="D192">
        <v>3054.8359659780999</v>
      </c>
      <c r="E192">
        <v>681.76670716888998</v>
      </c>
      <c r="F192">
        <v>150.15030303029999</v>
      </c>
      <c r="G192">
        <v>122.17939393939</v>
      </c>
      <c r="I192" s="9">
        <f t="shared" si="15"/>
        <v>559.58731322949996</v>
      </c>
      <c r="J192" s="9">
        <f t="shared" si="16"/>
        <v>2904.6856629477998</v>
      </c>
      <c r="K192" s="9">
        <f t="shared" si="17"/>
        <v>559.58731322949996</v>
      </c>
      <c r="L192" s="10">
        <f t="shared" si="14"/>
        <v>0.19264986926730196</v>
      </c>
      <c r="M192" s="10">
        <f t="shared" si="20"/>
        <v>0.21018521641360294</v>
      </c>
      <c r="P192" s="8">
        <f t="shared" si="19"/>
        <v>29.634865886707619</v>
      </c>
    </row>
    <row r="193" spans="1:16" x14ac:dyDescent="0.2">
      <c r="A193" s="8">
        <v>95.5</v>
      </c>
      <c r="B193" s="8">
        <v>191</v>
      </c>
      <c r="D193">
        <v>3006.3815309841998</v>
      </c>
      <c r="E193">
        <v>666.00729040096996</v>
      </c>
      <c r="F193">
        <v>150.29757575758001</v>
      </c>
      <c r="G193">
        <v>121.89333333333001</v>
      </c>
      <c r="I193" s="9">
        <f t="shared" si="15"/>
        <v>544.11395706763994</v>
      </c>
      <c r="J193" s="9">
        <f t="shared" si="16"/>
        <v>2856.0839552266198</v>
      </c>
      <c r="K193" s="9">
        <f t="shared" si="17"/>
        <v>544.11395706763994</v>
      </c>
      <c r="L193" s="10">
        <f t="shared" si="14"/>
        <v>0.19051049114712262</v>
      </c>
      <c r="M193" s="10">
        <f t="shared" si="20"/>
        <v>0.20813812959419359</v>
      </c>
      <c r="P193" s="8">
        <f t="shared" si="19"/>
        <v>28.372294570700436</v>
      </c>
    </row>
    <row r="194" spans="1:16" x14ac:dyDescent="0.2">
      <c r="A194" s="8">
        <v>96</v>
      </c>
      <c r="B194" s="8">
        <v>192</v>
      </c>
      <c r="D194">
        <v>2921.7326852976998</v>
      </c>
      <c r="E194">
        <v>647.00850546779998</v>
      </c>
      <c r="F194">
        <v>150.21696969697001</v>
      </c>
      <c r="G194">
        <v>122.24545454546001</v>
      </c>
      <c r="I194" s="9">
        <f t="shared" si="15"/>
        <v>524.76305092233997</v>
      </c>
      <c r="J194" s="9">
        <f t="shared" si="16"/>
        <v>2771.5157156007299</v>
      </c>
      <c r="K194" s="9">
        <f t="shared" si="17"/>
        <v>524.76305092233997</v>
      </c>
      <c r="L194" s="10">
        <f t="shared" ref="L194:L257" si="21">K194/J194</f>
        <v>0.18934153898838593</v>
      </c>
      <c r="M194" s="10">
        <f t="shared" si="20"/>
        <v>0.20706146873622691</v>
      </c>
      <c r="P194" s="8">
        <f t="shared" si="19"/>
        <v>27.708247934550123</v>
      </c>
    </row>
    <row r="195" spans="1:16" x14ac:dyDescent="0.2">
      <c r="A195" s="8">
        <v>96.5</v>
      </c>
      <c r="B195" s="8">
        <v>193</v>
      </c>
      <c r="D195">
        <v>3038.0512975257002</v>
      </c>
      <c r="E195">
        <v>660.01025950512997</v>
      </c>
      <c r="F195">
        <v>149.90969696970001</v>
      </c>
      <c r="G195">
        <v>121.71696969697</v>
      </c>
      <c r="I195" s="9">
        <f t="shared" ref="I195:I241" si="22">E195-G195</f>
        <v>538.29328980816001</v>
      </c>
      <c r="J195" s="9">
        <f t="shared" ref="J195:J241" si="23">D195-F195</f>
        <v>2888.1416005560004</v>
      </c>
      <c r="K195" s="9">
        <f t="shared" ref="K195:K258" si="24">I195*1</f>
        <v>538.29328980816001</v>
      </c>
      <c r="L195" s="10">
        <f t="shared" si="21"/>
        <v>0.1863805049255661</v>
      </c>
      <c r="M195" s="10">
        <f t="shared" si="20"/>
        <v>0.20419272597417709</v>
      </c>
      <c r="P195" s="8">
        <f t="shared" ref="P195:P241" si="25">(M195-$O$2)/$O$2*100</f>
        <v>25.938908065803183</v>
      </c>
    </row>
    <row r="196" spans="1:16" x14ac:dyDescent="0.2">
      <c r="A196" s="8">
        <v>97</v>
      </c>
      <c r="B196" s="8">
        <v>194</v>
      </c>
      <c r="D196">
        <v>3055.6934218466999</v>
      </c>
      <c r="E196">
        <v>659.28304164151996</v>
      </c>
      <c r="F196">
        <v>149.92545454546001</v>
      </c>
      <c r="G196">
        <v>121.99393939394</v>
      </c>
      <c r="I196" s="9">
        <f t="shared" si="22"/>
        <v>537.28910224757999</v>
      </c>
      <c r="J196" s="9">
        <f t="shared" si="23"/>
        <v>2905.7679673012399</v>
      </c>
      <c r="K196" s="9">
        <f t="shared" si="24"/>
        <v>537.28910224757999</v>
      </c>
      <c r="L196" s="10">
        <f t="shared" si="21"/>
        <v>0.18490433795599737</v>
      </c>
      <c r="M196" s="10">
        <f t="shared" si="20"/>
        <v>0.20280885030537835</v>
      </c>
      <c r="P196" s="8">
        <f t="shared" si="25"/>
        <v>25.085382114788711</v>
      </c>
    </row>
    <row r="197" spans="1:16" x14ac:dyDescent="0.2">
      <c r="A197" s="8">
        <v>97.5</v>
      </c>
      <c r="B197" s="8">
        <v>195</v>
      </c>
      <c r="D197">
        <v>3125.9004854369</v>
      </c>
      <c r="E197">
        <v>660.33980582523998</v>
      </c>
      <c r="F197">
        <v>149.65878787879001</v>
      </c>
      <c r="G197">
        <v>121.97333333333</v>
      </c>
      <c r="I197" s="9">
        <f t="shared" si="22"/>
        <v>538.36647249190992</v>
      </c>
      <c r="J197" s="9">
        <f t="shared" si="23"/>
        <v>2976.24169755811</v>
      </c>
      <c r="K197" s="9">
        <f t="shared" si="24"/>
        <v>538.36647249190992</v>
      </c>
      <c r="L197" s="10">
        <f t="shared" si="21"/>
        <v>0.18088802160577838</v>
      </c>
      <c r="M197" s="10">
        <f t="shared" si="20"/>
        <v>0.19888482525592938</v>
      </c>
      <c r="P197" s="8">
        <f t="shared" si="25"/>
        <v>22.665181162023337</v>
      </c>
    </row>
    <row r="198" spans="1:16" x14ac:dyDescent="0.2">
      <c r="A198" s="8">
        <v>98</v>
      </c>
      <c r="B198" s="8">
        <v>196</v>
      </c>
      <c r="D198">
        <v>3200.9368932039001</v>
      </c>
      <c r="E198">
        <v>669.88956310679998</v>
      </c>
      <c r="F198">
        <v>149.69333333333</v>
      </c>
      <c r="G198">
        <v>122.17454545455</v>
      </c>
      <c r="I198" s="9">
        <f t="shared" si="22"/>
        <v>547.71501765225003</v>
      </c>
      <c r="J198" s="9">
        <f t="shared" si="23"/>
        <v>3051.2435598705702</v>
      </c>
      <c r="K198" s="9">
        <f t="shared" si="24"/>
        <v>547.71501765225003</v>
      </c>
      <c r="L198" s="10">
        <f t="shared" si="21"/>
        <v>0.17950550551116393</v>
      </c>
      <c r="M198" s="10">
        <f t="shared" si="20"/>
        <v>0.19759460046208493</v>
      </c>
      <c r="P198" s="8">
        <f t="shared" si="25"/>
        <v>21.869415784383271</v>
      </c>
    </row>
    <row r="199" spans="1:16" x14ac:dyDescent="0.2">
      <c r="A199" s="8">
        <v>98.5</v>
      </c>
      <c r="B199" s="8">
        <v>197</v>
      </c>
      <c r="D199">
        <v>3188.6359223301001</v>
      </c>
      <c r="E199">
        <v>663.20934466019003</v>
      </c>
      <c r="F199">
        <v>149.61333333332999</v>
      </c>
      <c r="G199">
        <v>121.96848484848999</v>
      </c>
      <c r="I199" s="9">
        <f t="shared" si="22"/>
        <v>541.24085981170003</v>
      </c>
      <c r="J199" s="9">
        <f t="shared" si="23"/>
        <v>3039.0225889967701</v>
      </c>
      <c r="K199" s="9">
        <f t="shared" si="24"/>
        <v>541.24085981170003</v>
      </c>
      <c r="L199" s="10">
        <f t="shared" si="21"/>
        <v>0.17809701769619696</v>
      </c>
      <c r="M199" s="10">
        <f t="shared" si="20"/>
        <v>0.19627840394788795</v>
      </c>
      <c r="P199" s="8">
        <f t="shared" si="25"/>
        <v>21.057631961001892</v>
      </c>
    </row>
    <row r="200" spans="1:16" x14ac:dyDescent="0.2">
      <c r="A200" s="8">
        <v>99</v>
      </c>
      <c r="B200" s="8">
        <v>198</v>
      </c>
      <c r="D200">
        <v>3084</v>
      </c>
      <c r="E200">
        <v>644.55109489050994</v>
      </c>
      <c r="F200">
        <v>149.53272727273</v>
      </c>
      <c r="G200">
        <v>121.96909090909</v>
      </c>
      <c r="I200" s="9">
        <f t="shared" si="22"/>
        <v>522.58200398141992</v>
      </c>
      <c r="J200" s="9">
        <f t="shared" si="23"/>
        <v>2934.46727272727</v>
      </c>
      <c r="K200" s="9">
        <f t="shared" si="24"/>
        <v>522.58200398141992</v>
      </c>
      <c r="L200" s="10">
        <f t="shared" si="21"/>
        <v>0.17808411388270023</v>
      </c>
      <c r="M200" s="10">
        <f t="shared" si="20"/>
        <v>0.19635779143516124</v>
      </c>
      <c r="P200" s="8">
        <f t="shared" si="25"/>
        <v>21.106595377370361</v>
      </c>
    </row>
    <row r="201" spans="1:16" x14ac:dyDescent="0.2">
      <c r="A201" s="8">
        <v>99.5</v>
      </c>
      <c r="B201" s="8">
        <v>199</v>
      </c>
      <c r="D201">
        <v>2992.6217522658999</v>
      </c>
      <c r="E201">
        <v>631.08036253776004</v>
      </c>
      <c r="F201">
        <v>149.45878787878999</v>
      </c>
      <c r="G201">
        <v>121.94787878788</v>
      </c>
      <c r="I201" s="9">
        <f t="shared" si="22"/>
        <v>509.13248374988007</v>
      </c>
      <c r="J201" s="9">
        <f t="shared" si="23"/>
        <v>2843.1629643871097</v>
      </c>
      <c r="K201" s="9">
        <f t="shared" si="24"/>
        <v>509.13248374988007</v>
      </c>
      <c r="L201" s="10">
        <f t="shared" si="21"/>
        <v>0.17907256464971288</v>
      </c>
      <c r="M201" s="10">
        <f t="shared" si="20"/>
        <v>0.19743853350294388</v>
      </c>
      <c r="P201" s="8">
        <f t="shared" si="25"/>
        <v>21.773159160521654</v>
      </c>
    </row>
    <row r="202" spans="1:16" x14ac:dyDescent="0.2">
      <c r="A202" s="8">
        <v>100</v>
      </c>
      <c r="B202" s="8">
        <v>200</v>
      </c>
      <c r="D202">
        <v>3189.6447129909002</v>
      </c>
      <c r="E202">
        <v>658.35891238671002</v>
      </c>
      <c r="F202">
        <v>149.39575757576</v>
      </c>
      <c r="G202">
        <v>122.29696969697</v>
      </c>
      <c r="I202" s="9">
        <f t="shared" si="22"/>
        <v>536.06194268974002</v>
      </c>
      <c r="J202" s="9">
        <f t="shared" si="23"/>
        <v>3040.2489554151402</v>
      </c>
      <c r="K202" s="9">
        <f t="shared" si="24"/>
        <v>536.06194268974002</v>
      </c>
      <c r="L202" s="10">
        <f t="shared" si="21"/>
        <v>0.17632172580305738</v>
      </c>
      <c r="M202" s="10">
        <f t="shared" si="20"/>
        <v>0.19477998595705839</v>
      </c>
      <c r="P202" s="8">
        <f t="shared" si="25"/>
        <v>20.133460325156772</v>
      </c>
    </row>
    <row r="203" spans="1:16" x14ac:dyDescent="0.2">
      <c r="A203" s="8">
        <v>100.5</v>
      </c>
      <c r="B203" s="8">
        <v>201</v>
      </c>
      <c r="D203">
        <v>3230.2362537764002</v>
      </c>
      <c r="E203">
        <v>660.19697885196001</v>
      </c>
      <c r="F203">
        <v>149.08909090909</v>
      </c>
      <c r="G203">
        <v>122.06</v>
      </c>
      <c r="I203" s="9">
        <f t="shared" si="22"/>
        <v>538.13697885196007</v>
      </c>
      <c r="J203" s="9">
        <f t="shared" si="23"/>
        <v>3081.1471628673103</v>
      </c>
      <c r="K203" s="9">
        <f t="shared" si="24"/>
        <v>538.13697885196007</v>
      </c>
      <c r="L203" s="10">
        <f t="shared" si="21"/>
        <v>0.17465474721148039</v>
      </c>
      <c r="M203" s="10">
        <f t="shared" si="20"/>
        <v>0.19320529866625141</v>
      </c>
      <c r="P203" s="8">
        <f t="shared" si="25"/>
        <v>19.162248461447149</v>
      </c>
    </row>
    <row r="204" spans="1:16" x14ac:dyDescent="0.2">
      <c r="A204" s="8">
        <v>101</v>
      </c>
      <c r="B204" s="8">
        <v>202</v>
      </c>
      <c r="D204">
        <v>3167.2507552870002</v>
      </c>
      <c r="E204">
        <v>646.60181268882002</v>
      </c>
      <c r="F204">
        <v>149.27151515151999</v>
      </c>
      <c r="G204">
        <v>122.24242424242</v>
      </c>
      <c r="I204" s="9">
        <f t="shared" si="22"/>
        <v>524.35938844639998</v>
      </c>
      <c r="J204" s="9">
        <f t="shared" si="23"/>
        <v>3017.9792401354803</v>
      </c>
      <c r="K204" s="9">
        <f t="shared" si="24"/>
        <v>524.35938844639998</v>
      </c>
      <c r="L204" s="10">
        <f t="shared" si="21"/>
        <v>0.17374519396059893</v>
      </c>
      <c r="M204" s="10">
        <f t="shared" si="20"/>
        <v>0.19238803671613994</v>
      </c>
      <c r="P204" s="8">
        <f t="shared" si="25"/>
        <v>18.658189969109941</v>
      </c>
    </row>
    <row r="205" spans="1:16" x14ac:dyDescent="0.2">
      <c r="A205" s="8">
        <v>101.5</v>
      </c>
      <c r="B205" s="8">
        <v>203</v>
      </c>
      <c r="D205">
        <v>3082.1782477340998</v>
      </c>
      <c r="E205">
        <v>626.94803625377995</v>
      </c>
      <c r="F205">
        <v>149.69575757576001</v>
      </c>
      <c r="G205">
        <v>121.88909090909</v>
      </c>
      <c r="I205" s="9">
        <f t="shared" si="22"/>
        <v>505.05894534468996</v>
      </c>
      <c r="J205" s="9">
        <f t="shared" si="23"/>
        <v>2932.4824901583397</v>
      </c>
      <c r="K205" s="9">
        <f t="shared" si="24"/>
        <v>505.05894534468996</v>
      </c>
      <c r="L205" s="10">
        <f t="shared" si="21"/>
        <v>0.17222914272794831</v>
      </c>
      <c r="M205" s="10">
        <f t="shared" si="20"/>
        <v>0.19096427678425934</v>
      </c>
      <c r="P205" s="8">
        <f t="shared" si="25"/>
        <v>17.78006480420294</v>
      </c>
    </row>
    <row r="206" spans="1:16" x14ac:dyDescent="0.2">
      <c r="A206" s="8">
        <v>102</v>
      </c>
      <c r="B206" s="8">
        <v>204</v>
      </c>
      <c r="D206">
        <v>2993.1746223565001</v>
      </c>
      <c r="E206">
        <v>619.57099697884996</v>
      </c>
      <c r="F206">
        <v>149.09696969697001</v>
      </c>
      <c r="G206">
        <v>121.92</v>
      </c>
      <c r="I206" s="9">
        <f t="shared" si="22"/>
        <v>497.65099697884995</v>
      </c>
      <c r="J206" s="9">
        <f t="shared" si="23"/>
        <v>2844.07765265953</v>
      </c>
      <c r="K206" s="9">
        <f t="shared" si="24"/>
        <v>497.65099697884995</v>
      </c>
      <c r="L206" s="10">
        <f t="shared" si="21"/>
        <v>0.17497799207890499</v>
      </c>
      <c r="M206" s="10">
        <f t="shared" si="20"/>
        <v>0.19380541743598603</v>
      </c>
      <c r="P206" s="8">
        <f t="shared" si="25"/>
        <v>19.532380659886623</v>
      </c>
    </row>
    <row r="207" spans="1:16" x14ac:dyDescent="0.2">
      <c r="A207" s="8">
        <v>102.5</v>
      </c>
      <c r="B207" s="8">
        <v>205</v>
      </c>
      <c r="D207">
        <v>2882.0912964089998</v>
      </c>
      <c r="E207">
        <v>610.64698721850004</v>
      </c>
      <c r="F207">
        <v>149.51757575758</v>
      </c>
      <c r="G207">
        <v>121.74363636363999</v>
      </c>
      <c r="I207" s="9">
        <f t="shared" si="22"/>
        <v>488.90335085486004</v>
      </c>
      <c r="J207" s="9">
        <f t="shared" si="23"/>
        <v>2732.57372065142</v>
      </c>
      <c r="K207" s="9">
        <f t="shared" si="24"/>
        <v>488.90335085486004</v>
      </c>
      <c r="L207" s="10">
        <f t="shared" si="21"/>
        <v>0.1789168018267811</v>
      </c>
      <c r="M207" s="10">
        <f t="shared" si="20"/>
        <v>0.19783651848463213</v>
      </c>
      <c r="P207" s="8">
        <f t="shared" si="25"/>
        <v>22.018622331559126</v>
      </c>
    </row>
    <row r="208" spans="1:16" x14ac:dyDescent="0.2">
      <c r="A208" s="8">
        <v>103</v>
      </c>
      <c r="B208" s="8">
        <v>206</v>
      </c>
      <c r="D208">
        <v>3082.0352155434002</v>
      </c>
      <c r="E208">
        <v>636.85792349727001</v>
      </c>
      <c r="F208">
        <v>149.53696969697</v>
      </c>
      <c r="G208">
        <v>122.08787878788</v>
      </c>
      <c r="I208" s="9">
        <f t="shared" si="22"/>
        <v>514.77004470939005</v>
      </c>
      <c r="J208" s="9">
        <f t="shared" si="23"/>
        <v>2932.4982458464301</v>
      </c>
      <c r="K208" s="9">
        <f t="shared" si="24"/>
        <v>514.77004470939005</v>
      </c>
      <c r="L208" s="10">
        <f t="shared" si="21"/>
        <v>0.17553976219372228</v>
      </c>
      <c r="M208" s="10">
        <f t="shared" si="20"/>
        <v>0.19455177015234332</v>
      </c>
      <c r="P208" s="8">
        <f t="shared" si="25"/>
        <v>19.992704825116039</v>
      </c>
    </row>
    <row r="209" spans="1:16" x14ac:dyDescent="0.2">
      <c r="A209" s="8">
        <v>103.5</v>
      </c>
      <c r="B209" s="8">
        <v>207</v>
      </c>
      <c r="D209">
        <v>3134.9751062537998</v>
      </c>
      <c r="E209">
        <v>642.22525804493</v>
      </c>
      <c r="F209">
        <v>149.29878787878999</v>
      </c>
      <c r="G209">
        <v>122.22424242424</v>
      </c>
      <c r="I209" s="9">
        <f t="shared" si="22"/>
        <v>520.00101562068994</v>
      </c>
      <c r="J209" s="9">
        <f t="shared" si="23"/>
        <v>2985.6763183750099</v>
      </c>
      <c r="K209" s="9">
        <f t="shared" si="24"/>
        <v>520.00101562068994</v>
      </c>
      <c r="L209" s="10">
        <f t="shared" si="21"/>
        <v>0.17416523432912068</v>
      </c>
      <c r="M209" s="10">
        <f t="shared" si="20"/>
        <v>0.19326953358851173</v>
      </c>
      <c r="P209" s="8">
        <f t="shared" si="25"/>
        <v>19.201866307433395</v>
      </c>
    </row>
    <row r="210" spans="1:16" x14ac:dyDescent="0.2">
      <c r="A210" s="8">
        <v>104</v>
      </c>
      <c r="B210" s="8">
        <v>208</v>
      </c>
      <c r="D210">
        <v>3127.3879781421001</v>
      </c>
      <c r="E210">
        <v>639.28111718276</v>
      </c>
      <c r="F210">
        <v>149.37090909091</v>
      </c>
      <c r="G210">
        <v>121.77636363636</v>
      </c>
      <c r="I210" s="9">
        <f t="shared" si="22"/>
        <v>517.50475354640002</v>
      </c>
      <c r="J210" s="9">
        <f t="shared" si="23"/>
        <v>2978.01706905119</v>
      </c>
      <c r="K210" s="9">
        <f t="shared" si="24"/>
        <v>517.50475354640002</v>
      </c>
      <c r="L210" s="10">
        <f t="shared" si="21"/>
        <v>0.17377494539051766</v>
      </c>
      <c r="M210" s="10">
        <f t="shared" si="20"/>
        <v>0.1929715359506787</v>
      </c>
      <c r="P210" s="8">
        <f t="shared" si="25"/>
        <v>19.018071821435754</v>
      </c>
    </row>
    <row r="211" spans="1:16" x14ac:dyDescent="0.2">
      <c r="A211" s="8">
        <v>104.5</v>
      </c>
      <c r="B211" s="8">
        <v>209</v>
      </c>
      <c r="D211">
        <v>3215.5057680631999</v>
      </c>
      <c r="E211">
        <v>647.21311475410005</v>
      </c>
      <c r="F211">
        <v>149.37212121211999</v>
      </c>
      <c r="G211">
        <v>121.8</v>
      </c>
      <c r="I211" s="9">
        <f t="shared" si="22"/>
        <v>525.41311475410009</v>
      </c>
      <c r="J211" s="9">
        <f t="shared" si="23"/>
        <v>3066.1336468510799</v>
      </c>
      <c r="K211" s="9">
        <f t="shared" si="24"/>
        <v>525.41311475410009</v>
      </c>
      <c r="L211" s="10">
        <f t="shared" si="21"/>
        <v>0.17136014775275679</v>
      </c>
      <c r="M211" s="10">
        <f t="shared" si="20"/>
        <v>0.19064902961368785</v>
      </c>
      <c r="P211" s="8">
        <f t="shared" si="25"/>
        <v>17.585631411714566</v>
      </c>
    </row>
    <row r="212" spans="1:16" x14ac:dyDescent="0.2">
      <c r="A212" s="8">
        <v>105</v>
      </c>
      <c r="B212" s="8">
        <v>210</v>
      </c>
      <c r="D212">
        <v>3088.7369696969999</v>
      </c>
      <c r="E212">
        <v>621.19454545455005</v>
      </c>
      <c r="F212">
        <v>149.08303030303</v>
      </c>
      <c r="G212">
        <v>121.89090909091</v>
      </c>
      <c r="I212" s="9">
        <f t="shared" si="22"/>
        <v>499.30363636364007</v>
      </c>
      <c r="J212" s="9">
        <f t="shared" si="23"/>
        <v>2939.6539393939702</v>
      </c>
      <c r="K212" s="9">
        <f t="shared" si="24"/>
        <v>499.30363636364007</v>
      </c>
      <c r="L212" s="10">
        <f t="shared" si="21"/>
        <v>0.16985116161889957</v>
      </c>
      <c r="M212" s="10">
        <f t="shared" si="20"/>
        <v>0.18923233478060064</v>
      </c>
      <c r="P212" s="8">
        <f t="shared" si="25"/>
        <v>16.711863751822357</v>
      </c>
    </row>
    <row r="213" spans="1:16" x14ac:dyDescent="0.2">
      <c r="A213" s="8">
        <v>105.5</v>
      </c>
      <c r="B213" s="8">
        <v>211</v>
      </c>
      <c r="D213">
        <v>3051.1734384474998</v>
      </c>
      <c r="E213">
        <v>620.51849605821997</v>
      </c>
      <c r="F213">
        <v>149.01090909090999</v>
      </c>
      <c r="G213">
        <v>121.85757575757999</v>
      </c>
      <c r="I213" s="9">
        <f t="shared" si="22"/>
        <v>498.66092030063999</v>
      </c>
      <c r="J213" s="9">
        <f t="shared" si="23"/>
        <v>2902.1625293565899</v>
      </c>
      <c r="K213" s="9">
        <f t="shared" si="24"/>
        <v>498.66092030063999</v>
      </c>
      <c r="L213" s="10">
        <f t="shared" si="21"/>
        <v>0.17182391242960235</v>
      </c>
      <c r="M213" s="10">
        <f t="shared" si="20"/>
        <v>0.19129737689207341</v>
      </c>
      <c r="P213" s="8">
        <f t="shared" si="25"/>
        <v>17.985509261906145</v>
      </c>
    </row>
    <row r="214" spans="1:16" x14ac:dyDescent="0.2">
      <c r="A214" s="8">
        <v>106</v>
      </c>
      <c r="B214" s="8">
        <v>212</v>
      </c>
      <c r="D214">
        <v>2979.1521212121002</v>
      </c>
      <c r="E214">
        <v>598.65393939394005</v>
      </c>
      <c r="F214">
        <v>149.24606060606001</v>
      </c>
      <c r="G214">
        <v>121.48181818182</v>
      </c>
      <c r="I214" s="9">
        <f t="shared" si="22"/>
        <v>477.17212121212003</v>
      </c>
      <c r="J214" s="9">
        <f t="shared" si="23"/>
        <v>2829.9060606060402</v>
      </c>
      <c r="K214" s="9">
        <f t="shared" si="24"/>
        <v>477.17212121212003</v>
      </c>
      <c r="L214" s="10">
        <f t="shared" si="21"/>
        <v>0.16861765408210438</v>
      </c>
      <c r="M214" s="10">
        <f t="shared" si="20"/>
        <v>0.18818340984534546</v>
      </c>
      <c r="P214" s="8">
        <f t="shared" si="25"/>
        <v>16.064923659520844</v>
      </c>
    </row>
    <row r="215" spans="1:16" x14ac:dyDescent="0.2">
      <c r="A215" s="8">
        <v>106.5</v>
      </c>
      <c r="B215" s="8">
        <v>213</v>
      </c>
      <c r="D215">
        <v>3090.5280830280999</v>
      </c>
      <c r="E215">
        <v>623.28815628816005</v>
      </c>
      <c r="F215">
        <v>149.68909090909</v>
      </c>
      <c r="G215">
        <v>121.72121212121</v>
      </c>
      <c r="I215" s="9">
        <f t="shared" si="22"/>
        <v>501.56694416695007</v>
      </c>
      <c r="J215" s="9">
        <f t="shared" si="23"/>
        <v>2940.8389921190101</v>
      </c>
      <c r="K215" s="9">
        <f t="shared" si="24"/>
        <v>501.56694416695007</v>
      </c>
      <c r="L215" s="10">
        <f t="shared" si="21"/>
        <v>0.17055233064818281</v>
      </c>
      <c r="M215" s="10">
        <f t="shared" si="20"/>
        <v>0.1902103777121939</v>
      </c>
      <c r="P215" s="8">
        <f t="shared" si="25"/>
        <v>17.31508631158146</v>
      </c>
    </row>
    <row r="216" spans="1:16" x14ac:dyDescent="0.2">
      <c r="A216" s="8">
        <v>107</v>
      </c>
      <c r="B216" s="8">
        <v>214</v>
      </c>
      <c r="D216">
        <v>3060.3186813186999</v>
      </c>
      <c r="E216">
        <v>616.23137973138</v>
      </c>
      <c r="F216">
        <v>148.84484848484999</v>
      </c>
      <c r="G216">
        <v>121.53515151515001</v>
      </c>
      <c r="I216" s="9">
        <f t="shared" si="22"/>
        <v>494.69622821623</v>
      </c>
      <c r="J216" s="9">
        <f t="shared" si="23"/>
        <v>2911.4738328338499</v>
      </c>
      <c r="K216" s="9">
        <f t="shared" si="24"/>
        <v>494.69622821623</v>
      </c>
      <c r="L216" s="10">
        <f t="shared" si="21"/>
        <v>0.16991264789583324</v>
      </c>
      <c r="M216" s="10">
        <f t="shared" si="20"/>
        <v>0.18966298626061431</v>
      </c>
      <c r="P216" s="8">
        <f t="shared" si="25"/>
        <v>16.977474472728755</v>
      </c>
    </row>
    <row r="217" spans="1:16" x14ac:dyDescent="0.2">
      <c r="A217" s="8">
        <v>107.5</v>
      </c>
      <c r="B217" s="8">
        <v>215</v>
      </c>
      <c r="D217">
        <v>3016.2237001209</v>
      </c>
      <c r="E217">
        <v>600.19407496976999</v>
      </c>
      <c r="F217">
        <v>149.38424242424</v>
      </c>
      <c r="G217">
        <v>121.7503030303</v>
      </c>
      <c r="I217" s="9">
        <f t="shared" si="22"/>
        <v>478.44377193946997</v>
      </c>
      <c r="J217" s="9">
        <f t="shared" si="23"/>
        <v>2866.8394576966602</v>
      </c>
      <c r="K217" s="9">
        <f t="shared" si="24"/>
        <v>478.44377193946997</v>
      </c>
      <c r="L217" s="10">
        <f t="shared" si="21"/>
        <v>0.16688893082414594</v>
      </c>
      <c r="M217" s="10">
        <f t="shared" si="20"/>
        <v>0.18673156048969702</v>
      </c>
      <c r="P217" s="8">
        <f t="shared" si="25"/>
        <v>15.169473923718177</v>
      </c>
    </row>
    <row r="218" spans="1:16" x14ac:dyDescent="0.2">
      <c r="A218" s="8">
        <v>108</v>
      </c>
      <c r="B218" s="8">
        <v>216</v>
      </c>
      <c r="D218">
        <v>2901.5519951632</v>
      </c>
      <c r="E218">
        <v>579.33434099153999</v>
      </c>
      <c r="F218">
        <v>149.38303030303001</v>
      </c>
      <c r="G218">
        <v>121.78303030303</v>
      </c>
      <c r="I218" s="9">
        <f t="shared" si="22"/>
        <v>457.55131068851</v>
      </c>
      <c r="J218" s="9">
        <f t="shared" si="23"/>
        <v>2752.16896486017</v>
      </c>
      <c r="K218" s="9">
        <f t="shared" si="24"/>
        <v>457.55131068851</v>
      </c>
      <c r="L218" s="10">
        <f t="shared" si="21"/>
        <v>0.16625117008822782</v>
      </c>
      <c r="M218" s="10">
        <f t="shared" si="20"/>
        <v>0.18618609105454892</v>
      </c>
      <c r="P218" s="8">
        <f t="shared" si="25"/>
        <v>14.833047517155043</v>
      </c>
    </row>
    <row r="219" spans="1:16" x14ac:dyDescent="0.2">
      <c r="A219" s="8">
        <v>108.5</v>
      </c>
      <c r="B219" s="8">
        <v>217</v>
      </c>
      <c r="D219">
        <v>2946.4177750907002</v>
      </c>
      <c r="E219">
        <v>585.47279322854001</v>
      </c>
      <c r="F219">
        <v>148.98909090909001</v>
      </c>
      <c r="G219">
        <v>122.09939393939</v>
      </c>
      <c r="I219" s="9">
        <f t="shared" si="22"/>
        <v>463.37339928915003</v>
      </c>
      <c r="J219" s="9">
        <f t="shared" si="23"/>
        <v>2797.4286841816102</v>
      </c>
      <c r="K219" s="9">
        <f t="shared" si="24"/>
        <v>463.37339928915003</v>
      </c>
      <c r="L219" s="10">
        <f t="shared" si="21"/>
        <v>0.16564261384368775</v>
      </c>
      <c r="M219" s="10">
        <f t="shared" si="20"/>
        <v>0.18566982611077884</v>
      </c>
      <c r="P219" s="8">
        <f t="shared" si="25"/>
        <v>14.514633416060772</v>
      </c>
    </row>
    <row r="220" spans="1:16" x14ac:dyDescent="0.2">
      <c r="A220" s="8">
        <v>109</v>
      </c>
      <c r="B220" s="8">
        <v>218</v>
      </c>
      <c r="D220">
        <v>2991.8010882709</v>
      </c>
      <c r="E220">
        <v>588.62091898428002</v>
      </c>
      <c r="F220">
        <v>149.86060606061</v>
      </c>
      <c r="G220">
        <v>121.7096969697</v>
      </c>
      <c r="I220" s="9">
        <f t="shared" si="22"/>
        <v>466.91122201458001</v>
      </c>
      <c r="J220" s="9">
        <f t="shared" si="23"/>
        <v>2841.9404822102902</v>
      </c>
      <c r="K220" s="9">
        <f t="shared" si="24"/>
        <v>466.91122201458001</v>
      </c>
      <c r="L220" s="10">
        <f t="shared" si="21"/>
        <v>0.16429310358091825</v>
      </c>
      <c r="M220" s="10">
        <f t="shared" si="20"/>
        <v>0.18441260714877936</v>
      </c>
      <c r="P220" s="8">
        <f t="shared" si="25"/>
        <v>13.739224877296952</v>
      </c>
    </row>
    <row r="221" spans="1:16" x14ac:dyDescent="0.2">
      <c r="A221" s="8">
        <v>109.5</v>
      </c>
      <c r="B221" s="8">
        <v>219</v>
      </c>
      <c r="D221">
        <v>2981.6021765416999</v>
      </c>
      <c r="E221">
        <v>588.51511487304003</v>
      </c>
      <c r="F221">
        <v>149.37272727273</v>
      </c>
      <c r="G221">
        <v>121.35636363636</v>
      </c>
      <c r="I221" s="9">
        <f t="shared" si="22"/>
        <v>467.15875123668002</v>
      </c>
      <c r="J221" s="9">
        <f t="shared" si="23"/>
        <v>2832.2294492689698</v>
      </c>
      <c r="K221" s="9">
        <f t="shared" si="24"/>
        <v>467.15875123668002</v>
      </c>
      <c r="L221" s="10">
        <f t="shared" si="21"/>
        <v>0.16494382238602134</v>
      </c>
      <c r="M221" s="10">
        <f t="shared" si="20"/>
        <v>0.18515561725465246</v>
      </c>
      <c r="P221" s="8">
        <f t="shared" si="25"/>
        <v>14.197487437675077</v>
      </c>
    </row>
    <row r="222" spans="1:16" x14ac:dyDescent="0.2">
      <c r="A222" s="8">
        <v>110</v>
      </c>
      <c r="B222" s="8">
        <v>220</v>
      </c>
      <c r="D222">
        <v>3048.3198307133998</v>
      </c>
      <c r="E222">
        <v>597.91717049577005</v>
      </c>
      <c r="F222">
        <v>149.02000000000001</v>
      </c>
      <c r="G222">
        <v>121.71090909090999</v>
      </c>
      <c r="I222" s="9">
        <f t="shared" si="22"/>
        <v>476.20626140486007</v>
      </c>
      <c r="J222" s="9">
        <f t="shared" si="23"/>
        <v>2899.2998307133998</v>
      </c>
      <c r="K222" s="9">
        <f t="shared" si="24"/>
        <v>476.20626140486007</v>
      </c>
      <c r="L222" s="10">
        <f t="shared" si="21"/>
        <v>0.16424871148551928</v>
      </c>
      <c r="M222" s="10">
        <f t="shared" si="20"/>
        <v>0.18455279765492039</v>
      </c>
      <c r="P222" s="8">
        <f t="shared" si="25"/>
        <v>13.825689462067842</v>
      </c>
    </row>
    <row r="223" spans="1:16" x14ac:dyDescent="0.2">
      <c r="A223" s="8">
        <v>110.5</v>
      </c>
      <c r="B223" s="8">
        <v>221</v>
      </c>
      <c r="D223">
        <v>3029.7019347037999</v>
      </c>
      <c r="E223">
        <v>591.33010882709004</v>
      </c>
      <c r="F223">
        <v>148.72242424242</v>
      </c>
      <c r="G223">
        <v>121.30484848485</v>
      </c>
      <c r="I223" s="9">
        <f t="shared" si="22"/>
        <v>470.02526034224002</v>
      </c>
      <c r="J223" s="9">
        <f t="shared" si="23"/>
        <v>2880.97951046138</v>
      </c>
      <c r="K223" s="9">
        <f t="shared" si="24"/>
        <v>470.02526034224002</v>
      </c>
      <c r="L223" s="10">
        <f t="shared" si="21"/>
        <v>0.16314772758205662</v>
      </c>
      <c r="M223" s="10">
        <f t="shared" si="20"/>
        <v>0.18354410505222774</v>
      </c>
      <c r="P223" s="8">
        <f t="shared" si="25"/>
        <v>13.203563260700459</v>
      </c>
    </row>
    <row r="224" spans="1:16" x14ac:dyDescent="0.2">
      <c r="A224" s="8">
        <v>111</v>
      </c>
      <c r="B224" s="8">
        <v>222</v>
      </c>
      <c r="D224">
        <v>2937.9135200974001</v>
      </c>
      <c r="E224">
        <v>588.36601705238002</v>
      </c>
      <c r="F224">
        <v>149.18787878788001</v>
      </c>
      <c r="G224">
        <v>121.55757575758</v>
      </c>
      <c r="I224" s="9">
        <f t="shared" si="22"/>
        <v>466.80844129479999</v>
      </c>
      <c r="J224" s="9">
        <f t="shared" si="23"/>
        <v>2788.7256413095201</v>
      </c>
      <c r="K224" s="9">
        <f t="shared" si="24"/>
        <v>466.80844129479999</v>
      </c>
      <c r="L224" s="10">
        <f t="shared" si="21"/>
        <v>0.16739131106335642</v>
      </c>
      <c r="M224" s="10">
        <f t="shared" si="20"/>
        <v>0.18787997983429755</v>
      </c>
      <c r="P224" s="8">
        <f t="shared" si="25"/>
        <v>15.877778676351365</v>
      </c>
    </row>
    <row r="225" spans="1:16" x14ac:dyDescent="0.2">
      <c r="A225" s="8">
        <v>111.5</v>
      </c>
      <c r="B225" s="8">
        <v>223</v>
      </c>
      <c r="D225">
        <v>2844.3391990291002</v>
      </c>
      <c r="E225">
        <v>579.27609223300999</v>
      </c>
      <c r="F225">
        <v>149.22666666667001</v>
      </c>
      <c r="G225">
        <v>121.38363636363999</v>
      </c>
      <c r="I225" s="9">
        <f t="shared" si="22"/>
        <v>457.89245586937</v>
      </c>
      <c r="J225" s="9">
        <f t="shared" si="23"/>
        <v>2695.1125323624301</v>
      </c>
      <c r="K225" s="9">
        <f t="shared" si="24"/>
        <v>457.89245586937</v>
      </c>
      <c r="L225" s="10">
        <f t="shared" si="21"/>
        <v>0.16989734208537829</v>
      </c>
      <c r="M225" s="10">
        <f t="shared" si="20"/>
        <v>0.19047830215708941</v>
      </c>
      <c r="P225" s="8">
        <f t="shared" si="25"/>
        <v>17.480332707471899</v>
      </c>
    </row>
    <row r="226" spans="1:16" x14ac:dyDescent="0.2">
      <c r="A226" s="8">
        <v>112</v>
      </c>
      <c r="B226" s="8">
        <v>224</v>
      </c>
      <c r="D226">
        <v>2886.9841463415</v>
      </c>
      <c r="E226">
        <v>584.72987804878005</v>
      </c>
      <c r="F226">
        <v>148.74424242424001</v>
      </c>
      <c r="G226">
        <v>121.46787878788</v>
      </c>
      <c r="I226" s="9">
        <f t="shared" si="22"/>
        <v>463.26199926090004</v>
      </c>
      <c r="J226" s="9">
        <f t="shared" si="23"/>
        <v>2738.2399039172601</v>
      </c>
      <c r="K226" s="9">
        <f t="shared" si="24"/>
        <v>463.26199926090004</v>
      </c>
      <c r="L226" s="10">
        <f t="shared" si="21"/>
        <v>0.16918240019735617</v>
      </c>
      <c r="M226" s="10">
        <f t="shared" si="20"/>
        <v>0.1898556515698373</v>
      </c>
      <c r="P226" s="8">
        <f t="shared" si="25"/>
        <v>17.096303674650336</v>
      </c>
    </row>
    <row r="227" spans="1:16" x14ac:dyDescent="0.2">
      <c r="A227" s="8">
        <v>112.5</v>
      </c>
      <c r="B227" s="8">
        <v>225</v>
      </c>
      <c r="D227">
        <v>2824.8201219511998</v>
      </c>
      <c r="E227">
        <v>569.46158536585006</v>
      </c>
      <c r="F227">
        <v>148.85636363635999</v>
      </c>
      <c r="G227">
        <v>121.41090909091</v>
      </c>
      <c r="I227" s="9">
        <f t="shared" si="22"/>
        <v>448.05067627494009</v>
      </c>
      <c r="J227" s="9">
        <f t="shared" si="23"/>
        <v>2675.9637583148397</v>
      </c>
      <c r="K227" s="9">
        <f t="shared" si="24"/>
        <v>448.05067627494009</v>
      </c>
      <c r="L227" s="10">
        <f t="shared" si="21"/>
        <v>0.16743525575888044</v>
      </c>
      <c r="M227" s="10">
        <f t="shared" si="20"/>
        <v>0.18820079843213158</v>
      </c>
      <c r="P227" s="8">
        <f t="shared" si="25"/>
        <v>16.075648329668642</v>
      </c>
    </row>
    <row r="228" spans="1:16" x14ac:dyDescent="0.2">
      <c r="A228" s="8">
        <v>113</v>
      </c>
      <c r="B228" s="8">
        <v>226</v>
      </c>
      <c r="D228">
        <v>2861.0085313833001</v>
      </c>
      <c r="E228">
        <v>571.21511273613999</v>
      </c>
      <c r="F228">
        <v>148.75212121211999</v>
      </c>
      <c r="G228">
        <v>121.82303030303</v>
      </c>
      <c r="I228" s="9">
        <f t="shared" si="22"/>
        <v>449.39208243310998</v>
      </c>
      <c r="J228" s="9">
        <f t="shared" si="23"/>
        <v>2712.2564101711801</v>
      </c>
      <c r="K228" s="9">
        <f t="shared" si="24"/>
        <v>449.39208243310998</v>
      </c>
      <c r="L228" s="10">
        <f t="shared" si="21"/>
        <v>0.16568937979014575</v>
      </c>
      <c r="M228" s="10">
        <f t="shared" si="20"/>
        <v>0.18654721376416689</v>
      </c>
      <c r="P228" s="8">
        <f t="shared" si="25"/>
        <v>15.055775332311411</v>
      </c>
    </row>
    <row r="229" spans="1:16" x14ac:dyDescent="0.2">
      <c r="A229" s="8">
        <v>113.5</v>
      </c>
      <c r="B229" s="8">
        <v>227</v>
      </c>
      <c r="D229">
        <v>2847.2687385740001</v>
      </c>
      <c r="E229">
        <v>563.58988421694005</v>
      </c>
      <c r="F229">
        <v>148.96303030303</v>
      </c>
      <c r="G229">
        <v>121.25393939394</v>
      </c>
      <c r="I229" s="9">
        <f t="shared" si="22"/>
        <v>442.33594482300003</v>
      </c>
      <c r="J229" s="9">
        <f t="shared" si="23"/>
        <v>2698.3057082709702</v>
      </c>
      <c r="K229" s="9">
        <f t="shared" si="24"/>
        <v>442.33594482300003</v>
      </c>
      <c r="L229" s="10">
        <f t="shared" si="21"/>
        <v>0.16393099694639182</v>
      </c>
      <c r="M229" s="10">
        <f t="shared" si="20"/>
        <v>0.18488112222118297</v>
      </c>
      <c r="P229" s="8">
        <f t="shared" si="25"/>
        <v>14.028188533320348</v>
      </c>
    </row>
    <row r="230" spans="1:16" x14ac:dyDescent="0.2">
      <c r="A230" s="8">
        <v>114</v>
      </c>
      <c r="B230" s="8">
        <v>228</v>
      </c>
      <c r="D230">
        <v>2969.2333942718001</v>
      </c>
      <c r="E230">
        <v>579.27239488117004</v>
      </c>
      <c r="F230">
        <v>148.85757575758001</v>
      </c>
      <c r="G230">
        <v>121.35393939394</v>
      </c>
      <c r="I230" s="9">
        <f t="shared" si="22"/>
        <v>457.91845548723006</v>
      </c>
      <c r="J230" s="9">
        <f t="shared" si="23"/>
        <v>2820.3758185142201</v>
      </c>
      <c r="K230" s="9">
        <f t="shared" si="24"/>
        <v>457.91845548723006</v>
      </c>
      <c r="L230" s="10">
        <f t="shared" si="21"/>
        <v>0.16236079336705647</v>
      </c>
      <c r="M230" s="10">
        <f t="shared" si="20"/>
        <v>0.18340320994261763</v>
      </c>
      <c r="P230" s="8">
        <f t="shared" si="25"/>
        <v>13.116664101235045</v>
      </c>
    </row>
    <row r="231" spans="1:16" x14ac:dyDescent="0.2">
      <c r="A231" s="8">
        <v>114.5</v>
      </c>
      <c r="B231" s="8">
        <v>229</v>
      </c>
      <c r="D231">
        <v>3043.0536912752</v>
      </c>
      <c r="E231">
        <v>582.69371568028998</v>
      </c>
      <c r="F231">
        <v>149.22121212120999</v>
      </c>
      <c r="G231">
        <v>121.57151515152</v>
      </c>
      <c r="I231" s="9">
        <f t="shared" si="22"/>
        <v>461.12220052877001</v>
      </c>
      <c r="J231" s="9">
        <f t="shared" si="23"/>
        <v>2893.8324791539899</v>
      </c>
      <c r="K231" s="9">
        <f t="shared" si="24"/>
        <v>461.12220052877001</v>
      </c>
      <c r="L231" s="10">
        <f t="shared" si="21"/>
        <v>0.15934654263870132</v>
      </c>
      <c r="M231" s="10">
        <f t="shared" si="20"/>
        <v>0.18048125051503247</v>
      </c>
      <c r="P231" s="8">
        <f t="shared" si="25"/>
        <v>11.314502060608818</v>
      </c>
    </row>
    <row r="232" spans="1:16" x14ac:dyDescent="0.2">
      <c r="A232" s="8">
        <v>115</v>
      </c>
      <c r="B232" s="8">
        <v>230</v>
      </c>
      <c r="D232">
        <v>3067.2117144600002</v>
      </c>
      <c r="E232">
        <v>587.57596095179997</v>
      </c>
      <c r="F232">
        <v>149.20606060605999</v>
      </c>
      <c r="G232">
        <v>121.16666666667</v>
      </c>
      <c r="I232" s="9">
        <f t="shared" si="22"/>
        <v>466.40929428512999</v>
      </c>
      <c r="J232" s="9">
        <f t="shared" si="23"/>
        <v>2918.0056538539402</v>
      </c>
      <c r="K232" s="9">
        <f t="shared" si="24"/>
        <v>466.40929428512999</v>
      </c>
      <c r="L232" s="10">
        <f t="shared" si="21"/>
        <v>0.15983837922627819</v>
      </c>
      <c r="M232" s="10">
        <f t="shared" si="20"/>
        <v>0.18106537840337936</v>
      </c>
      <c r="P232" s="8">
        <f t="shared" si="25"/>
        <v>11.674771644543428</v>
      </c>
    </row>
    <row r="233" spans="1:16" x14ac:dyDescent="0.2">
      <c r="A233" s="8">
        <v>115.5</v>
      </c>
      <c r="B233" s="8">
        <v>231</v>
      </c>
      <c r="D233">
        <v>3009.7431360586002</v>
      </c>
      <c r="E233">
        <v>574.25686394142997</v>
      </c>
      <c r="F233">
        <v>149.28545454546</v>
      </c>
      <c r="G233">
        <v>121.44303030303</v>
      </c>
      <c r="I233" s="9">
        <f t="shared" si="22"/>
        <v>452.81383363839996</v>
      </c>
      <c r="J233" s="9">
        <f t="shared" si="23"/>
        <v>2860.45768151314</v>
      </c>
      <c r="K233" s="9">
        <f t="shared" si="24"/>
        <v>452.81383363839996</v>
      </c>
      <c r="L233" s="10">
        <f t="shared" si="21"/>
        <v>0.15830118255721515</v>
      </c>
      <c r="M233" s="10">
        <f t="shared" si="20"/>
        <v>0.17962047303508633</v>
      </c>
      <c r="P233" s="8">
        <f t="shared" si="25"/>
        <v>10.783604716470514</v>
      </c>
    </row>
    <row r="234" spans="1:16" x14ac:dyDescent="0.2">
      <c r="A234" s="8">
        <v>116</v>
      </c>
      <c r="B234" s="8">
        <v>232</v>
      </c>
      <c r="D234">
        <v>2946.0641025640998</v>
      </c>
      <c r="E234">
        <v>562.95787545788005</v>
      </c>
      <c r="F234">
        <v>149.30121212121</v>
      </c>
      <c r="G234">
        <v>121.58</v>
      </c>
      <c r="I234" s="9">
        <f t="shared" si="22"/>
        <v>441.37787545788007</v>
      </c>
      <c r="J234" s="9">
        <f t="shared" si="23"/>
        <v>2796.7628904428898</v>
      </c>
      <c r="K234" s="9">
        <f t="shared" si="24"/>
        <v>441.37787545788007</v>
      </c>
      <c r="L234" s="10">
        <f t="shared" si="21"/>
        <v>0.15781740989418819</v>
      </c>
      <c r="M234" s="10">
        <f t="shared" si="20"/>
        <v>0.17922899167282935</v>
      </c>
      <c r="P234" s="8">
        <f t="shared" si="25"/>
        <v>10.542152749680124</v>
      </c>
    </row>
    <row r="235" spans="1:16" x14ac:dyDescent="0.2">
      <c r="A235" s="8">
        <v>116.5</v>
      </c>
      <c r="B235" s="8">
        <v>233</v>
      </c>
      <c r="D235">
        <v>2878.3516483517001</v>
      </c>
      <c r="E235">
        <v>553.00793650794003</v>
      </c>
      <c r="F235">
        <v>149.30060606060999</v>
      </c>
      <c r="G235">
        <v>121.90969696969999</v>
      </c>
      <c r="I235" s="9">
        <f t="shared" si="22"/>
        <v>431.09823953824002</v>
      </c>
      <c r="J235" s="9">
        <f t="shared" si="23"/>
        <v>2729.0510422910902</v>
      </c>
      <c r="K235" s="9">
        <f t="shared" si="24"/>
        <v>431.09823953824002</v>
      </c>
      <c r="L235" s="10">
        <f t="shared" si="21"/>
        <v>0.15796635272029388</v>
      </c>
      <c r="M235" s="10">
        <f t="shared" si="20"/>
        <v>0.17947022579970506</v>
      </c>
      <c r="P235" s="8">
        <f t="shared" si="25"/>
        <v>10.690937494004348</v>
      </c>
    </row>
    <row r="236" spans="1:16" x14ac:dyDescent="0.2">
      <c r="A236" s="8">
        <v>117</v>
      </c>
      <c r="B236" s="8">
        <v>234</v>
      </c>
      <c r="D236">
        <v>2927.9615384614999</v>
      </c>
      <c r="E236">
        <v>562.32967032966997</v>
      </c>
      <c r="F236">
        <v>149.00242424242001</v>
      </c>
      <c r="G236">
        <v>121.23333333332999</v>
      </c>
      <c r="I236" s="9">
        <f t="shared" si="22"/>
        <v>441.09633699633997</v>
      </c>
      <c r="J236" s="9">
        <f t="shared" si="23"/>
        <v>2778.9591142190798</v>
      </c>
      <c r="K236" s="9">
        <f t="shared" si="24"/>
        <v>441.09633699633997</v>
      </c>
      <c r="L236" s="10">
        <f t="shared" si="21"/>
        <v>0.1587271776469778</v>
      </c>
      <c r="M236" s="10">
        <f t="shared" si="20"/>
        <v>0.18032334202715899</v>
      </c>
      <c r="P236" s="8">
        <f t="shared" si="25"/>
        <v>11.217109646446023</v>
      </c>
    </row>
    <row r="237" spans="1:16" x14ac:dyDescent="0.2">
      <c r="A237" s="8">
        <v>117.5</v>
      </c>
      <c r="B237" s="8">
        <v>235</v>
      </c>
      <c r="D237">
        <v>2944.1208791209001</v>
      </c>
      <c r="E237">
        <v>566.13980463981</v>
      </c>
      <c r="F237">
        <v>149.19696969697</v>
      </c>
      <c r="G237">
        <v>121.57393939393999</v>
      </c>
      <c r="I237" s="9">
        <f t="shared" si="22"/>
        <v>444.56586524586999</v>
      </c>
      <c r="J237" s="9">
        <f t="shared" si="23"/>
        <v>2794.9239094239301</v>
      </c>
      <c r="K237" s="9">
        <f t="shared" si="24"/>
        <v>444.56586524586999</v>
      </c>
      <c r="L237" s="10">
        <f t="shared" si="21"/>
        <v>0.15906188492176188</v>
      </c>
      <c r="M237" s="10">
        <f t="shared" si="20"/>
        <v>0.18075034060271306</v>
      </c>
      <c r="P237" s="8">
        <f t="shared" si="25"/>
        <v>11.480467384065591</v>
      </c>
    </row>
    <row r="238" spans="1:16" x14ac:dyDescent="0.2">
      <c r="A238" s="8">
        <v>118</v>
      </c>
      <c r="B238" s="8">
        <v>236</v>
      </c>
      <c r="D238">
        <v>2898.6029143897999</v>
      </c>
      <c r="E238">
        <v>553.43290831815</v>
      </c>
      <c r="F238">
        <v>148.30909090909</v>
      </c>
      <c r="G238">
        <v>121.11878787879</v>
      </c>
      <c r="I238" s="9">
        <f t="shared" si="22"/>
        <v>432.31412043936001</v>
      </c>
      <c r="J238" s="9">
        <f t="shared" si="23"/>
        <v>2750.2938234807098</v>
      </c>
      <c r="K238" s="9">
        <f t="shared" si="24"/>
        <v>432.31412043936001</v>
      </c>
      <c r="L238" s="10">
        <f t="shared" si="21"/>
        <v>0.1571883399324342</v>
      </c>
      <c r="M238" s="10">
        <f t="shared" si="20"/>
        <v>0.17896908691415539</v>
      </c>
      <c r="P238" s="8">
        <f t="shared" si="25"/>
        <v>10.381852614832791</v>
      </c>
    </row>
    <row r="239" spans="1:16" x14ac:dyDescent="0.2">
      <c r="A239" s="8">
        <v>118.5</v>
      </c>
      <c r="B239" s="8">
        <v>237</v>
      </c>
      <c r="D239">
        <v>2901.4317904994</v>
      </c>
      <c r="E239">
        <v>553.19610231424997</v>
      </c>
      <c r="F239">
        <v>148.73333333332999</v>
      </c>
      <c r="G239">
        <v>121.93757575758001</v>
      </c>
      <c r="I239" s="9">
        <f t="shared" si="22"/>
        <v>431.25852655666995</v>
      </c>
      <c r="J239" s="9">
        <f t="shared" si="23"/>
        <v>2752.6984571660701</v>
      </c>
      <c r="K239" s="9">
        <f t="shared" si="24"/>
        <v>431.25852655666995</v>
      </c>
      <c r="L239" s="10">
        <f t="shared" si="21"/>
        <v>0.15666755122922357</v>
      </c>
      <c r="M239" s="10">
        <f t="shared" si="20"/>
        <v>0.17854058951171478</v>
      </c>
      <c r="P239" s="8">
        <f t="shared" si="25"/>
        <v>10.117570453384847</v>
      </c>
    </row>
    <row r="240" spans="1:16" x14ac:dyDescent="0.2">
      <c r="A240" s="8">
        <v>119</v>
      </c>
      <c r="B240" s="8">
        <v>238</v>
      </c>
      <c r="D240">
        <v>2902.8873325212999</v>
      </c>
      <c r="E240">
        <v>552.95980511570997</v>
      </c>
      <c r="F240">
        <v>148.92242424241999</v>
      </c>
      <c r="G240">
        <v>121.44060606060999</v>
      </c>
      <c r="I240" s="9">
        <f t="shared" si="22"/>
        <v>431.51919905509999</v>
      </c>
      <c r="J240" s="9">
        <f t="shared" si="23"/>
        <v>2753.9649082788801</v>
      </c>
      <c r="K240" s="9">
        <f t="shared" si="24"/>
        <v>431.51919905509999</v>
      </c>
      <c r="L240" s="10">
        <f t="shared" si="21"/>
        <v>0.15669015888978141</v>
      </c>
      <c r="M240" s="10">
        <f t="shared" si="20"/>
        <v>0.17865548847304261</v>
      </c>
      <c r="P240" s="8">
        <f t="shared" si="25"/>
        <v>10.188436100819082</v>
      </c>
    </row>
    <row r="241" spans="1:16" x14ac:dyDescent="0.2">
      <c r="A241" s="8">
        <v>119.5</v>
      </c>
      <c r="B241" s="8">
        <v>239</v>
      </c>
      <c r="D241">
        <v>2983.5316686966999</v>
      </c>
      <c r="E241">
        <v>561.63641900122002</v>
      </c>
      <c r="F241">
        <v>149.20909090909001</v>
      </c>
      <c r="G241">
        <v>121.59636363636</v>
      </c>
      <c r="I241" s="9">
        <f t="shared" si="22"/>
        <v>440.04005536486</v>
      </c>
      <c r="J241" s="9">
        <f t="shared" si="23"/>
        <v>2834.32257778761</v>
      </c>
      <c r="K241" s="9">
        <f t="shared" si="24"/>
        <v>440.04005536486</v>
      </c>
      <c r="L241" s="10">
        <f t="shared" si="21"/>
        <v>0.15525404864408288</v>
      </c>
      <c r="M241" s="10">
        <f t="shared" si="20"/>
        <v>0.17731166952811409</v>
      </c>
      <c r="P241" s="8">
        <f t="shared" si="25"/>
        <v>9.3596157314595967</v>
      </c>
    </row>
    <row r="242" spans="1:16" x14ac:dyDescent="0.2">
      <c r="A242" s="8">
        <v>120</v>
      </c>
      <c r="B242" s="8">
        <v>240</v>
      </c>
      <c r="D242">
        <v>2927.4450549450999</v>
      </c>
      <c r="E242">
        <v>543.90903540904003</v>
      </c>
      <c r="F242">
        <v>148.77696969697001</v>
      </c>
      <c r="G242">
        <v>121.69757575758</v>
      </c>
      <c r="I242" s="9">
        <f>E242-G242</f>
        <v>422.21145965146002</v>
      </c>
      <c r="J242" s="9">
        <f>D242-F242</f>
        <v>2778.66808524813</v>
      </c>
      <c r="K242" s="9">
        <f t="shared" si="24"/>
        <v>422.21145965146002</v>
      </c>
      <c r="L242" s="10">
        <f t="shared" si="21"/>
        <v>0.15194742470069336</v>
      </c>
      <c r="M242" s="10">
        <f>L242+ABS($N$2)*A242</f>
        <v>0.17409733688549459</v>
      </c>
      <c r="O242" s="11"/>
      <c r="P242" s="8">
        <f>(M242-$O$2)/$O$2*100</f>
        <v>7.3771281514516733</v>
      </c>
    </row>
    <row r="243" spans="1:16" x14ac:dyDescent="0.2">
      <c r="A243" s="8">
        <v>120.5</v>
      </c>
      <c r="B243" s="8">
        <v>241</v>
      </c>
      <c r="D243">
        <v>2786.3632478632999</v>
      </c>
      <c r="E243">
        <v>521.48412698412994</v>
      </c>
      <c r="F243">
        <v>148.96181818182001</v>
      </c>
      <c r="G243">
        <v>121.39454545455</v>
      </c>
      <c r="I243" s="9">
        <f t="shared" ref="I243:I274" si="26">E243-G243</f>
        <v>400.08958152957996</v>
      </c>
      <c r="J243" s="9">
        <f t="shared" ref="J243:J274" si="27">D243-F243</f>
        <v>2637.4014296814798</v>
      </c>
      <c r="K243" s="9">
        <f t="shared" si="24"/>
        <v>400.08958152957996</v>
      </c>
      <c r="L243" s="10">
        <f t="shared" si="21"/>
        <v>0.15169840170212501</v>
      </c>
      <c r="M243" s="10">
        <f t="shared" ref="M243:M274" si="28">L243+ABS($N$2)*A243</f>
        <v>0.17394060518769622</v>
      </c>
      <c r="P243" s="8">
        <f t="shared" ref="P243:P274" si="29">(M243-$O$2)/$O$2*100</f>
        <v>7.2804615401125305</v>
      </c>
    </row>
    <row r="244" spans="1:16" x14ac:dyDescent="0.2">
      <c r="A244" s="8">
        <v>121</v>
      </c>
      <c r="B244" s="8">
        <v>242</v>
      </c>
      <c r="D244">
        <v>2932.8770442156001</v>
      </c>
      <c r="E244">
        <v>547.58752271351</v>
      </c>
      <c r="F244">
        <v>148.97878787879</v>
      </c>
      <c r="G244">
        <v>121.44242424242</v>
      </c>
      <c r="I244" s="9">
        <f t="shared" si="26"/>
        <v>426.14509847109002</v>
      </c>
      <c r="J244" s="9">
        <f t="shared" si="27"/>
        <v>2783.8982563368099</v>
      </c>
      <c r="K244" s="9">
        <f t="shared" si="24"/>
        <v>426.14509847109002</v>
      </c>
      <c r="L244" s="10">
        <f t="shared" si="21"/>
        <v>0.15307495433824966</v>
      </c>
      <c r="M244" s="10">
        <f t="shared" si="28"/>
        <v>0.17540944912459089</v>
      </c>
      <c r="N244" s="1"/>
      <c r="P244" s="8">
        <f t="shared" si="29"/>
        <v>8.1863929372720161</v>
      </c>
    </row>
    <row r="245" spans="1:16" x14ac:dyDescent="0.2">
      <c r="A245" s="8">
        <v>121.5</v>
      </c>
      <c r="B245" s="8">
        <v>243</v>
      </c>
      <c r="D245">
        <v>2958.8558449425</v>
      </c>
      <c r="E245">
        <v>550.81708055724005</v>
      </c>
      <c r="F245">
        <v>148.84242424242001</v>
      </c>
      <c r="G245">
        <v>121.42909090908999</v>
      </c>
      <c r="I245" s="9">
        <f t="shared" si="26"/>
        <v>429.38798964815004</v>
      </c>
      <c r="J245" s="9">
        <f t="shared" si="27"/>
        <v>2810.0134207000801</v>
      </c>
      <c r="K245" s="9">
        <f t="shared" si="24"/>
        <v>429.38798964815004</v>
      </c>
      <c r="L245" s="10">
        <f t="shared" si="21"/>
        <v>0.15280638394288285</v>
      </c>
      <c r="M245" s="10">
        <f t="shared" si="28"/>
        <v>0.17523317002999408</v>
      </c>
      <c r="P245" s="8">
        <f t="shared" si="29"/>
        <v>8.0776701775241619</v>
      </c>
    </row>
    <row r="246" spans="1:16" x14ac:dyDescent="0.2">
      <c r="A246" s="8">
        <v>122</v>
      </c>
      <c r="B246" s="8">
        <v>244</v>
      </c>
      <c r="D246">
        <v>2886.0420219245002</v>
      </c>
      <c r="E246">
        <v>528.67600487210996</v>
      </c>
      <c r="F246">
        <v>148.66060606061001</v>
      </c>
      <c r="G246">
        <v>121.33757575758</v>
      </c>
      <c r="I246" s="9">
        <f t="shared" si="26"/>
        <v>407.33842911452996</v>
      </c>
      <c r="J246" s="9">
        <f t="shared" si="27"/>
        <v>2737.3814158638902</v>
      </c>
      <c r="K246" s="9">
        <f t="shared" si="24"/>
        <v>407.33842911452996</v>
      </c>
      <c r="L246" s="10">
        <f t="shared" si="21"/>
        <v>0.14880587219372862</v>
      </c>
      <c r="M246" s="10">
        <f t="shared" si="28"/>
        <v>0.17132494958160985</v>
      </c>
      <c r="P246" s="8">
        <f t="shared" si="29"/>
        <v>5.6672169480971775</v>
      </c>
    </row>
    <row r="247" spans="1:16" x14ac:dyDescent="0.2">
      <c r="A247" s="8">
        <v>122.5</v>
      </c>
      <c r="B247" s="8">
        <v>245</v>
      </c>
      <c r="D247">
        <v>2919.0828258222</v>
      </c>
      <c r="E247">
        <v>532.25700365407999</v>
      </c>
      <c r="F247">
        <v>148.30848484849</v>
      </c>
      <c r="G247">
        <v>121.40606060606</v>
      </c>
      <c r="I247" s="9">
        <f t="shared" si="26"/>
        <v>410.85094304801999</v>
      </c>
      <c r="J247" s="9">
        <f t="shared" si="27"/>
        <v>2770.77434097371</v>
      </c>
      <c r="K247" s="9">
        <f t="shared" si="24"/>
        <v>410.85094304801999</v>
      </c>
      <c r="L247" s="10">
        <f t="shared" si="21"/>
        <v>0.14828018903323542</v>
      </c>
      <c r="M247" s="10">
        <f t="shared" si="28"/>
        <v>0.17089155772188666</v>
      </c>
      <c r="P247" s="8">
        <f t="shared" si="29"/>
        <v>5.399916057148455</v>
      </c>
    </row>
    <row r="248" spans="1:16" x14ac:dyDescent="0.2">
      <c r="A248" s="8">
        <v>123</v>
      </c>
      <c r="B248" s="8">
        <v>246</v>
      </c>
      <c r="D248">
        <v>2957.1169305725002</v>
      </c>
      <c r="E248">
        <v>535.29963459195994</v>
      </c>
      <c r="F248">
        <v>148.82363636363999</v>
      </c>
      <c r="G248">
        <v>120.51030303029999</v>
      </c>
      <c r="I248" s="9">
        <f t="shared" si="26"/>
        <v>414.78933156165994</v>
      </c>
      <c r="J248" s="9">
        <f t="shared" si="27"/>
        <v>2808.2932942088601</v>
      </c>
      <c r="K248" s="9">
        <f t="shared" si="24"/>
        <v>414.78933156165994</v>
      </c>
      <c r="L248" s="10">
        <f t="shared" si="21"/>
        <v>0.14770157106347132</v>
      </c>
      <c r="M248" s="10">
        <f t="shared" si="28"/>
        <v>0.17040523105289257</v>
      </c>
      <c r="P248" s="8">
        <f t="shared" si="29"/>
        <v>5.0999668333737516</v>
      </c>
    </row>
    <row r="249" spans="1:16" x14ac:dyDescent="0.2">
      <c r="A249" s="8">
        <v>123.5</v>
      </c>
      <c r="B249" s="8">
        <v>247</v>
      </c>
      <c r="D249">
        <v>2835.9841656516001</v>
      </c>
      <c r="E249">
        <v>522.13946406821003</v>
      </c>
      <c r="F249">
        <v>148.69212121212001</v>
      </c>
      <c r="G249">
        <v>121.24424242424</v>
      </c>
      <c r="I249" s="9">
        <f t="shared" si="26"/>
        <v>400.89522164397005</v>
      </c>
      <c r="J249" s="9">
        <f t="shared" si="27"/>
        <v>2687.2920444394799</v>
      </c>
      <c r="K249" s="9">
        <f t="shared" si="24"/>
        <v>400.89522164397005</v>
      </c>
      <c r="L249" s="10">
        <f t="shared" si="21"/>
        <v>0.14918185854548216</v>
      </c>
      <c r="M249" s="10">
        <f t="shared" si="28"/>
        <v>0.1719778098356734</v>
      </c>
      <c r="P249" s="8">
        <f t="shared" si="29"/>
        <v>6.0698782433223792</v>
      </c>
    </row>
    <row r="250" spans="1:16" x14ac:dyDescent="0.2">
      <c r="A250" s="8">
        <v>124</v>
      </c>
      <c r="B250" s="8">
        <v>248</v>
      </c>
      <c r="D250">
        <v>2787.8003663004001</v>
      </c>
      <c r="E250">
        <v>521.50732600732999</v>
      </c>
      <c r="F250">
        <v>148.90606060606001</v>
      </c>
      <c r="G250">
        <v>121.04424242424</v>
      </c>
      <c r="I250" s="9">
        <f t="shared" si="26"/>
        <v>400.46308358309</v>
      </c>
      <c r="J250" s="9">
        <f t="shared" si="27"/>
        <v>2638.8943056943399</v>
      </c>
      <c r="K250" s="9">
        <f t="shared" si="24"/>
        <v>400.46308358309</v>
      </c>
      <c r="L250" s="10">
        <f t="shared" si="21"/>
        <v>0.15175412017031165</v>
      </c>
      <c r="M250" s="10">
        <f t="shared" si="28"/>
        <v>0.1746423627612729</v>
      </c>
      <c r="P250" s="8">
        <f t="shared" si="29"/>
        <v>7.7132809861604352</v>
      </c>
    </row>
    <row r="251" spans="1:16" x14ac:dyDescent="0.2">
      <c r="A251" s="8">
        <v>124.5</v>
      </c>
      <c r="B251" s="8">
        <v>249</v>
      </c>
      <c r="D251">
        <v>3004.6263736264</v>
      </c>
      <c r="E251">
        <v>546.47802197802002</v>
      </c>
      <c r="F251">
        <v>148.61575757576</v>
      </c>
      <c r="G251">
        <v>121.38484848485</v>
      </c>
      <c r="I251" s="9">
        <f t="shared" si="26"/>
        <v>425.09317349317001</v>
      </c>
      <c r="J251" s="9">
        <f t="shared" si="27"/>
        <v>2856.0106160506398</v>
      </c>
      <c r="K251" s="9">
        <f t="shared" si="24"/>
        <v>425.09317349317001</v>
      </c>
      <c r="L251" s="10">
        <f t="shared" si="21"/>
        <v>0.14884159432187233</v>
      </c>
      <c r="M251" s="10">
        <f t="shared" si="28"/>
        <v>0.1718221282136036</v>
      </c>
      <c r="P251" s="8">
        <f t="shared" si="29"/>
        <v>5.9738592818444678</v>
      </c>
    </row>
    <row r="252" spans="1:16" x14ac:dyDescent="0.2">
      <c r="A252" s="8">
        <v>125</v>
      </c>
      <c r="B252" s="8">
        <v>250</v>
      </c>
      <c r="D252">
        <v>3051.8968253968001</v>
      </c>
      <c r="E252">
        <v>553.23687423686999</v>
      </c>
      <c r="F252">
        <v>148.57696969697</v>
      </c>
      <c r="G252">
        <v>121.3096969697</v>
      </c>
      <c r="I252" s="9">
        <f t="shared" si="26"/>
        <v>431.92717726717001</v>
      </c>
      <c r="J252" s="9">
        <f t="shared" si="27"/>
        <v>2903.31985569983</v>
      </c>
      <c r="K252" s="9">
        <f t="shared" si="24"/>
        <v>431.92717726717001</v>
      </c>
      <c r="L252" s="10">
        <f t="shared" si="21"/>
        <v>0.14877009724547083</v>
      </c>
      <c r="M252" s="10">
        <f t="shared" si="28"/>
        <v>0.17184292243797208</v>
      </c>
      <c r="P252" s="8">
        <f t="shared" si="29"/>
        <v>5.9866844297460329</v>
      </c>
    </row>
    <row r="253" spans="1:16" x14ac:dyDescent="0.2">
      <c r="A253" s="8">
        <v>125.5</v>
      </c>
      <c r="B253" s="8">
        <v>251</v>
      </c>
      <c r="D253">
        <v>3009.7643504532002</v>
      </c>
      <c r="E253">
        <v>541.79879154079003</v>
      </c>
      <c r="F253">
        <v>148.43151515151999</v>
      </c>
      <c r="G253">
        <v>121.22666666667</v>
      </c>
      <c r="I253" s="9">
        <f t="shared" si="26"/>
        <v>420.57212487412005</v>
      </c>
      <c r="J253" s="9">
        <f t="shared" si="27"/>
        <v>2861.3328353016805</v>
      </c>
      <c r="K253" s="9">
        <f t="shared" si="24"/>
        <v>420.57212487412005</v>
      </c>
      <c r="L253" s="10">
        <f t="shared" si="21"/>
        <v>0.14698469177905954</v>
      </c>
      <c r="M253" s="10">
        <f t="shared" si="28"/>
        <v>0.17014980827233081</v>
      </c>
      <c r="P253" s="8">
        <f t="shared" si="29"/>
        <v>4.942431025349193</v>
      </c>
    </row>
    <row r="254" spans="1:16" x14ac:dyDescent="0.2">
      <c r="A254" s="8">
        <v>126</v>
      </c>
      <c r="B254" s="8">
        <v>252</v>
      </c>
      <c r="D254">
        <v>3029.1293051359999</v>
      </c>
      <c r="E254">
        <v>542.27552870090994</v>
      </c>
      <c r="F254">
        <v>148.71696969697001</v>
      </c>
      <c r="G254">
        <v>120.75212121212</v>
      </c>
      <c r="I254" s="9">
        <f t="shared" si="26"/>
        <v>421.52340748878993</v>
      </c>
      <c r="J254" s="9">
        <f t="shared" si="27"/>
        <v>2880.4123354390299</v>
      </c>
      <c r="K254" s="9">
        <f t="shared" si="24"/>
        <v>421.52340748878993</v>
      </c>
      <c r="L254" s="10">
        <f t="shared" si="21"/>
        <v>0.14634134228026827</v>
      </c>
      <c r="M254" s="10">
        <f t="shared" si="28"/>
        <v>0.16959875007430955</v>
      </c>
      <c r="P254" s="8">
        <f t="shared" si="29"/>
        <v>4.6025576659608518</v>
      </c>
    </row>
    <row r="255" spans="1:16" x14ac:dyDescent="0.2">
      <c r="A255" s="8">
        <v>126.5</v>
      </c>
      <c r="B255" s="8">
        <v>253</v>
      </c>
      <c r="D255">
        <v>2848.8537764350999</v>
      </c>
      <c r="E255">
        <v>519.90211480362996</v>
      </c>
      <c r="F255">
        <v>148.08181818182001</v>
      </c>
      <c r="G255">
        <v>121.17757575758</v>
      </c>
      <c r="I255" s="9">
        <f t="shared" si="26"/>
        <v>398.72453904604993</v>
      </c>
      <c r="J255" s="9">
        <f t="shared" si="27"/>
        <v>2700.77195825328</v>
      </c>
      <c r="K255" s="9">
        <f t="shared" si="24"/>
        <v>398.72453904604993</v>
      </c>
      <c r="L255" s="10">
        <f t="shared" si="21"/>
        <v>0.1476335452267967</v>
      </c>
      <c r="M255" s="10">
        <f t="shared" si="28"/>
        <v>0.17098324432160797</v>
      </c>
      <c r="P255" s="8">
        <f t="shared" si="29"/>
        <v>5.45646513448742</v>
      </c>
    </row>
    <row r="256" spans="1:16" x14ac:dyDescent="0.2">
      <c r="A256" s="8">
        <v>127</v>
      </c>
      <c r="B256" s="8">
        <v>254</v>
      </c>
      <c r="D256">
        <v>2849.2984894259998</v>
      </c>
      <c r="E256">
        <v>514.38489425982004</v>
      </c>
      <c r="F256">
        <v>148.7103030303</v>
      </c>
      <c r="G256">
        <v>121.03757575758</v>
      </c>
      <c r="I256" s="9">
        <f t="shared" si="26"/>
        <v>393.34731850224006</v>
      </c>
      <c r="J256" s="9">
        <f t="shared" si="27"/>
        <v>2700.5881863956997</v>
      </c>
      <c r="K256" s="9">
        <f t="shared" si="24"/>
        <v>393.34731850224006</v>
      </c>
      <c r="L256" s="10">
        <f t="shared" si="21"/>
        <v>0.14565246211315738</v>
      </c>
      <c r="M256" s="10">
        <f t="shared" si="28"/>
        <v>0.16909445250873867</v>
      </c>
      <c r="P256" s="8">
        <f t="shared" si="29"/>
        <v>4.2915246237932703</v>
      </c>
    </row>
    <row r="257" spans="1:16" x14ac:dyDescent="0.2">
      <c r="A257" s="8">
        <v>127.5</v>
      </c>
      <c r="B257" s="8">
        <v>255</v>
      </c>
      <c r="D257">
        <v>2789.7562008468999</v>
      </c>
      <c r="E257">
        <v>502.16999395038999</v>
      </c>
      <c r="F257">
        <v>148.49515151515001</v>
      </c>
      <c r="G257">
        <v>121.20060606061</v>
      </c>
      <c r="I257" s="9">
        <f t="shared" si="26"/>
        <v>380.96938788978002</v>
      </c>
      <c r="J257" s="9">
        <f t="shared" si="27"/>
        <v>2641.2610493317497</v>
      </c>
      <c r="K257" s="9">
        <f t="shared" si="24"/>
        <v>380.96938788978002</v>
      </c>
      <c r="L257" s="10">
        <f t="shared" si="21"/>
        <v>0.14423768827627503</v>
      </c>
      <c r="M257" s="10">
        <f t="shared" si="28"/>
        <v>0.16777196997262633</v>
      </c>
      <c r="P257" s="8">
        <f t="shared" si="29"/>
        <v>3.4758638026769275</v>
      </c>
    </row>
    <row r="258" spans="1:16" x14ac:dyDescent="0.2">
      <c r="A258" s="8">
        <v>128</v>
      </c>
      <c r="B258" s="8">
        <v>256</v>
      </c>
      <c r="D258">
        <v>2792.8088324259002</v>
      </c>
      <c r="E258">
        <v>504.56926799758003</v>
      </c>
      <c r="F258">
        <v>148.38363636363999</v>
      </c>
      <c r="G258">
        <v>120.89393939394</v>
      </c>
      <c r="I258" s="9">
        <f t="shared" si="26"/>
        <v>383.67532860364003</v>
      </c>
      <c r="J258" s="9">
        <f t="shared" si="27"/>
        <v>2644.4251960622601</v>
      </c>
      <c r="K258" s="9">
        <f t="shared" si="24"/>
        <v>383.67532860364003</v>
      </c>
      <c r="L258" s="10">
        <f t="shared" ref="L258:L321" si="30">K258/J258</f>
        <v>0.14508836520502083</v>
      </c>
      <c r="M258" s="10">
        <f t="shared" si="28"/>
        <v>0.16871493820214212</v>
      </c>
      <c r="P258" s="8">
        <f t="shared" si="29"/>
        <v>4.0574535169989741</v>
      </c>
    </row>
    <row r="259" spans="1:16" x14ac:dyDescent="0.2">
      <c r="A259" s="8">
        <v>128.5</v>
      </c>
      <c r="B259" s="8">
        <v>257</v>
      </c>
      <c r="D259">
        <v>2974.5562994522002</v>
      </c>
      <c r="E259">
        <v>534.30188679244998</v>
      </c>
      <c r="F259">
        <v>148.80424242423999</v>
      </c>
      <c r="G259">
        <v>121.36242424242</v>
      </c>
      <c r="I259" s="9">
        <f t="shared" si="26"/>
        <v>412.93946255002999</v>
      </c>
      <c r="J259" s="9">
        <f t="shared" si="27"/>
        <v>2825.7520570279603</v>
      </c>
      <c r="K259" s="9">
        <f t="shared" ref="K259:K321" si="31">I259*1</f>
        <v>412.93946255002999</v>
      </c>
      <c r="L259" s="10">
        <f t="shared" si="30"/>
        <v>0.14613435793950977</v>
      </c>
      <c r="M259" s="10">
        <f t="shared" si="28"/>
        <v>0.16985322223740107</v>
      </c>
      <c r="P259" s="8">
        <f t="shared" si="29"/>
        <v>4.7595071664878281</v>
      </c>
    </row>
    <row r="260" spans="1:16" x14ac:dyDescent="0.2">
      <c r="A260" s="8">
        <v>129</v>
      </c>
      <c r="B260" s="8">
        <v>258</v>
      </c>
      <c r="D260">
        <v>3048.2465003042998</v>
      </c>
      <c r="E260">
        <v>541.85027388923004</v>
      </c>
      <c r="F260">
        <v>148.32121212121001</v>
      </c>
      <c r="G260">
        <v>121.14848484849</v>
      </c>
      <c r="I260" s="9">
        <f t="shared" si="26"/>
        <v>420.70178904074004</v>
      </c>
      <c r="J260" s="9">
        <f t="shared" si="27"/>
        <v>2899.9252881830898</v>
      </c>
      <c r="K260" s="9">
        <f t="shared" si="31"/>
        <v>420.70178904074004</v>
      </c>
      <c r="L260" s="10">
        <f t="shared" si="30"/>
        <v>0.14507331990760536</v>
      </c>
      <c r="M260" s="10">
        <f t="shared" si="28"/>
        <v>0.16888447550626667</v>
      </c>
      <c r="P260" s="8">
        <f t="shared" si="29"/>
        <v>4.1620181769593225</v>
      </c>
    </row>
    <row r="261" spans="1:16" x14ac:dyDescent="0.2">
      <c r="A261" s="8">
        <v>129.5</v>
      </c>
      <c r="B261" s="8">
        <v>259</v>
      </c>
      <c r="D261">
        <v>3086.1259890443998</v>
      </c>
      <c r="E261">
        <v>546.54108338405001</v>
      </c>
      <c r="F261">
        <v>148.24666666667</v>
      </c>
      <c r="G261">
        <v>121.25878787879</v>
      </c>
      <c r="I261" s="9">
        <f t="shared" si="26"/>
        <v>425.28229550525998</v>
      </c>
      <c r="J261" s="9">
        <f t="shared" si="27"/>
        <v>2937.8793223777297</v>
      </c>
      <c r="K261" s="9">
        <f t="shared" si="31"/>
        <v>425.28229550525998</v>
      </c>
      <c r="L261" s="10">
        <f t="shared" si="30"/>
        <v>0.14475825887942326</v>
      </c>
      <c r="M261" s="10">
        <f t="shared" si="28"/>
        <v>0.16866170577885456</v>
      </c>
      <c r="P261" s="8">
        <f t="shared" si="29"/>
        <v>4.0246216262910774</v>
      </c>
    </row>
    <row r="262" spans="1:16" x14ac:dyDescent="0.2">
      <c r="A262" s="8">
        <v>130</v>
      </c>
      <c r="B262" s="8">
        <v>260</v>
      </c>
      <c r="D262">
        <v>2807.8058429702</v>
      </c>
      <c r="E262">
        <v>518.93122337188004</v>
      </c>
      <c r="F262">
        <v>148.39272727273001</v>
      </c>
      <c r="G262">
        <v>120.88484848485</v>
      </c>
      <c r="I262" s="9">
        <f t="shared" si="26"/>
        <v>398.04637488703003</v>
      </c>
      <c r="J262" s="9">
        <f t="shared" si="27"/>
        <v>2659.4131156974699</v>
      </c>
      <c r="K262" s="9">
        <f t="shared" si="31"/>
        <v>398.04637488703003</v>
      </c>
      <c r="L262" s="10">
        <f t="shared" si="30"/>
        <v>0.1496745174856508</v>
      </c>
      <c r="M262" s="10">
        <f t="shared" si="28"/>
        <v>0.17367025568585212</v>
      </c>
      <c r="P262" s="8">
        <f t="shared" si="29"/>
        <v>7.1137194541937347</v>
      </c>
    </row>
    <row r="263" spans="1:16" x14ac:dyDescent="0.2">
      <c r="A263" s="8">
        <v>130.5</v>
      </c>
      <c r="B263" s="8">
        <v>261</v>
      </c>
      <c r="D263">
        <v>2939.1010284332001</v>
      </c>
      <c r="E263">
        <v>545.30732002419995</v>
      </c>
      <c r="F263">
        <v>147.97151515152001</v>
      </c>
      <c r="G263">
        <v>121.29515151515</v>
      </c>
      <c r="I263" s="9">
        <f t="shared" si="26"/>
        <v>424.01216850904996</v>
      </c>
      <c r="J263" s="9">
        <f t="shared" si="27"/>
        <v>2791.1295132816799</v>
      </c>
      <c r="K263" s="9">
        <f t="shared" si="31"/>
        <v>424.01216850904996</v>
      </c>
      <c r="L263" s="10">
        <f t="shared" si="30"/>
        <v>0.15191418617135979</v>
      </c>
      <c r="M263" s="10">
        <f t="shared" si="28"/>
        <v>0.17600221567233112</v>
      </c>
      <c r="P263" s="8">
        <f t="shared" si="29"/>
        <v>8.5519905431817484</v>
      </c>
    </row>
    <row r="264" spans="1:16" x14ac:dyDescent="0.2">
      <c r="A264" s="8">
        <v>131</v>
      </c>
      <c r="B264" s="8">
        <v>262</v>
      </c>
      <c r="D264">
        <v>2692.7695099818998</v>
      </c>
      <c r="E264">
        <v>513.26194797337996</v>
      </c>
      <c r="F264">
        <v>148.05878787879001</v>
      </c>
      <c r="G264">
        <v>120.97575757576</v>
      </c>
      <c r="I264" s="9">
        <f t="shared" si="26"/>
        <v>392.28619039761998</v>
      </c>
      <c r="J264" s="9">
        <f t="shared" si="27"/>
        <v>2544.7107221031097</v>
      </c>
      <c r="K264" s="9">
        <f t="shared" si="31"/>
        <v>392.28619039761998</v>
      </c>
      <c r="L264" s="10">
        <f t="shared" si="30"/>
        <v>0.15415747927269702</v>
      </c>
      <c r="M264" s="10">
        <f t="shared" si="28"/>
        <v>0.17833780007443834</v>
      </c>
      <c r="P264" s="8">
        <f t="shared" si="29"/>
        <v>9.9924970445450825</v>
      </c>
    </row>
    <row r="265" spans="1:16" x14ac:dyDescent="0.2">
      <c r="A265" s="8">
        <v>131.5</v>
      </c>
      <c r="B265" s="8">
        <v>263</v>
      </c>
      <c r="D265">
        <v>2848.6650455927002</v>
      </c>
      <c r="E265">
        <v>534.87112462005996</v>
      </c>
      <c r="F265">
        <v>148.52484848485</v>
      </c>
      <c r="G265">
        <v>121.32121212121</v>
      </c>
      <c r="I265" s="9">
        <f t="shared" si="26"/>
        <v>413.54991249884995</v>
      </c>
      <c r="J265" s="9">
        <f t="shared" si="27"/>
        <v>2700.1401971078503</v>
      </c>
      <c r="K265" s="9">
        <f t="shared" si="31"/>
        <v>413.54991249884995</v>
      </c>
      <c r="L265" s="10">
        <f t="shared" si="30"/>
        <v>0.15315868151654044</v>
      </c>
      <c r="M265" s="10">
        <f t="shared" si="28"/>
        <v>0.17743129361905177</v>
      </c>
      <c r="P265" s="8">
        <f t="shared" si="29"/>
        <v>9.4333956730279453</v>
      </c>
    </row>
    <row r="266" spans="1:16" x14ac:dyDescent="0.2">
      <c r="A266" s="8">
        <v>132</v>
      </c>
      <c r="B266" s="8">
        <v>264</v>
      </c>
      <c r="D266">
        <v>2792.6772036473999</v>
      </c>
      <c r="E266">
        <v>529.67659574467996</v>
      </c>
      <c r="F266">
        <v>148.59757575757999</v>
      </c>
      <c r="G266">
        <v>120.87454545455</v>
      </c>
      <c r="I266" s="9">
        <f t="shared" si="26"/>
        <v>408.80205029012996</v>
      </c>
      <c r="J266" s="9">
        <f t="shared" si="27"/>
        <v>2644.0796278898197</v>
      </c>
      <c r="K266" s="9">
        <f t="shared" si="31"/>
        <v>408.80205029012996</v>
      </c>
      <c r="L266" s="10">
        <f t="shared" si="30"/>
        <v>0.15461034001324145</v>
      </c>
      <c r="M266" s="10">
        <f t="shared" si="28"/>
        <v>0.17897524341652279</v>
      </c>
      <c r="P266" s="8">
        <f t="shared" si="29"/>
        <v>10.38564972945554</v>
      </c>
    </row>
    <row r="267" spans="1:16" x14ac:dyDescent="0.2">
      <c r="A267" s="8">
        <v>132.5</v>
      </c>
      <c r="B267" s="8">
        <v>265</v>
      </c>
      <c r="D267">
        <v>2793.2613981763002</v>
      </c>
      <c r="E267">
        <v>528.31124620060996</v>
      </c>
      <c r="F267">
        <v>147.76545454545999</v>
      </c>
      <c r="G267">
        <v>121.28606060606</v>
      </c>
      <c r="I267" s="9">
        <f t="shared" si="26"/>
        <v>407.02518559454995</v>
      </c>
      <c r="J267" s="9">
        <f t="shared" si="27"/>
        <v>2645.49594363084</v>
      </c>
      <c r="K267" s="9">
        <f t="shared" si="31"/>
        <v>407.02518559454995</v>
      </c>
      <c r="L267" s="10">
        <f t="shared" si="30"/>
        <v>0.15385590991907694</v>
      </c>
      <c r="M267" s="10">
        <f t="shared" si="28"/>
        <v>0.17831310462312827</v>
      </c>
      <c r="P267" s="8">
        <f t="shared" si="29"/>
        <v>9.977265756763682</v>
      </c>
    </row>
    <row r="268" spans="1:16" x14ac:dyDescent="0.2">
      <c r="A268" s="8">
        <v>133</v>
      </c>
      <c r="B268" s="8">
        <v>266</v>
      </c>
      <c r="D268">
        <v>2787.7550151976002</v>
      </c>
      <c r="E268">
        <v>526.07841945288999</v>
      </c>
      <c r="F268">
        <v>147.96060606060999</v>
      </c>
      <c r="G268">
        <v>120.92</v>
      </c>
      <c r="I268" s="9">
        <f t="shared" si="26"/>
        <v>405.15841945288997</v>
      </c>
      <c r="J268" s="9">
        <f t="shared" si="27"/>
        <v>2639.79440913699</v>
      </c>
      <c r="K268" s="9">
        <f t="shared" si="31"/>
        <v>405.15841945288997</v>
      </c>
      <c r="L268" s="10">
        <f t="shared" si="30"/>
        <v>0.15348105066460296</v>
      </c>
      <c r="M268" s="10">
        <f t="shared" si="28"/>
        <v>0.17803053666942431</v>
      </c>
      <c r="P268" s="8">
        <f t="shared" si="29"/>
        <v>9.8029877584947052</v>
      </c>
    </row>
    <row r="269" spans="1:16" x14ac:dyDescent="0.2">
      <c r="A269" s="8">
        <v>133.5</v>
      </c>
      <c r="B269" s="8">
        <v>267</v>
      </c>
      <c r="D269">
        <v>2771.2285714285999</v>
      </c>
      <c r="E269">
        <v>522.26139817628996</v>
      </c>
      <c r="F269">
        <v>148.68606060606001</v>
      </c>
      <c r="G269">
        <v>121.44545454546</v>
      </c>
      <c r="I269" s="9">
        <f t="shared" si="26"/>
        <v>400.81594363082996</v>
      </c>
      <c r="J269" s="9">
        <f t="shared" si="27"/>
        <v>2622.54251082254</v>
      </c>
      <c r="K269" s="9">
        <f t="shared" si="31"/>
        <v>400.81594363082996</v>
      </c>
      <c r="L269" s="10">
        <f t="shared" si="30"/>
        <v>0.1528348699694165</v>
      </c>
      <c r="M269" s="10">
        <f t="shared" si="28"/>
        <v>0.17747664727500786</v>
      </c>
      <c r="P269" s="8">
        <f t="shared" si="29"/>
        <v>9.4613682165191602</v>
      </c>
    </row>
    <row r="270" spans="1:16" x14ac:dyDescent="0.2">
      <c r="A270" s="8">
        <v>134</v>
      </c>
      <c r="B270" s="8">
        <v>268</v>
      </c>
      <c r="D270">
        <v>2756.1118541033002</v>
      </c>
      <c r="E270">
        <v>523.02857142856999</v>
      </c>
      <c r="F270">
        <v>147.90787878788001</v>
      </c>
      <c r="G270">
        <v>120.55151515151999</v>
      </c>
      <c r="I270" s="9">
        <f t="shared" si="26"/>
        <v>402.47705627705</v>
      </c>
      <c r="J270" s="9">
        <f t="shared" si="27"/>
        <v>2608.2039753154204</v>
      </c>
      <c r="K270" s="9">
        <f t="shared" si="31"/>
        <v>402.47705627705</v>
      </c>
      <c r="L270" s="10">
        <f t="shared" si="30"/>
        <v>0.15431195569295031</v>
      </c>
      <c r="M270" s="10">
        <f t="shared" si="28"/>
        <v>0.17904602429931166</v>
      </c>
      <c r="P270" s="8">
        <f t="shared" si="29"/>
        <v>10.429304894191871</v>
      </c>
    </row>
    <row r="271" spans="1:16" x14ac:dyDescent="0.2">
      <c r="A271" s="8">
        <v>134.5</v>
      </c>
      <c r="B271" s="8">
        <v>269</v>
      </c>
      <c r="D271">
        <v>2753.6115501519998</v>
      </c>
      <c r="E271">
        <v>525.55136778116002</v>
      </c>
      <c r="F271">
        <v>148.14666666667</v>
      </c>
      <c r="G271">
        <v>121.02545454545999</v>
      </c>
      <c r="I271" s="9">
        <f t="shared" si="26"/>
        <v>404.52591323570005</v>
      </c>
      <c r="J271" s="9">
        <f t="shared" si="27"/>
        <v>2605.4648834853297</v>
      </c>
      <c r="K271" s="9">
        <f t="shared" si="31"/>
        <v>404.52591323570005</v>
      </c>
      <c r="L271" s="10">
        <f t="shared" si="30"/>
        <v>0.15526055092884838</v>
      </c>
      <c r="M271" s="10">
        <f t="shared" si="28"/>
        <v>0.18008691083597975</v>
      </c>
      <c r="P271" s="8">
        <f t="shared" si="29"/>
        <v>11.071287184319837</v>
      </c>
    </row>
    <row r="272" spans="1:16" x14ac:dyDescent="0.2">
      <c r="A272" s="8">
        <v>135</v>
      </c>
      <c r="B272" s="8">
        <v>270</v>
      </c>
      <c r="D272">
        <v>2753.5306990882</v>
      </c>
      <c r="E272">
        <v>528.73252279635005</v>
      </c>
      <c r="F272">
        <v>148.28</v>
      </c>
      <c r="G272">
        <v>120.7496969697</v>
      </c>
      <c r="I272" s="9">
        <f t="shared" si="26"/>
        <v>407.98282582665007</v>
      </c>
      <c r="J272" s="9">
        <f t="shared" si="27"/>
        <v>2605.2506990881998</v>
      </c>
      <c r="K272" s="9">
        <f t="shared" si="31"/>
        <v>407.98282582665007</v>
      </c>
      <c r="L272" s="10">
        <f t="shared" si="30"/>
        <v>0.15660021738769256</v>
      </c>
      <c r="M272" s="10">
        <f t="shared" si="28"/>
        <v>0.18151886859559394</v>
      </c>
      <c r="P272" s="8">
        <f t="shared" si="29"/>
        <v>11.954468481703424</v>
      </c>
    </row>
    <row r="273" spans="1:16" x14ac:dyDescent="0.2">
      <c r="A273" s="8">
        <v>135.5</v>
      </c>
      <c r="B273" s="8">
        <v>271</v>
      </c>
      <c r="D273">
        <v>2756.8462006078998</v>
      </c>
      <c r="E273">
        <v>529.07477203646999</v>
      </c>
      <c r="F273">
        <v>148.41333333333</v>
      </c>
      <c r="G273">
        <v>120.98787878788001</v>
      </c>
      <c r="I273" s="9">
        <f t="shared" si="26"/>
        <v>408.08689324859</v>
      </c>
      <c r="J273" s="9">
        <f t="shared" si="27"/>
        <v>2608.4328672745696</v>
      </c>
      <c r="K273" s="9">
        <f t="shared" si="31"/>
        <v>408.08689324859</v>
      </c>
      <c r="L273" s="10">
        <f t="shared" si="30"/>
        <v>0.15644906885220361</v>
      </c>
      <c r="M273" s="10">
        <f t="shared" si="28"/>
        <v>0.18146001136087497</v>
      </c>
      <c r="P273" s="8">
        <f t="shared" si="29"/>
        <v>11.918167404684569</v>
      </c>
    </row>
    <row r="274" spans="1:16" x14ac:dyDescent="0.2">
      <c r="A274" s="8">
        <v>136</v>
      </c>
      <c r="B274" s="8">
        <v>272</v>
      </c>
      <c r="D274">
        <v>2734.0382978723001</v>
      </c>
      <c r="E274">
        <v>530.51854103343999</v>
      </c>
      <c r="F274">
        <v>147.95515151514999</v>
      </c>
      <c r="G274">
        <v>121.01212121211999</v>
      </c>
      <c r="I274" s="9">
        <f t="shared" si="26"/>
        <v>409.50641982131998</v>
      </c>
      <c r="J274" s="9">
        <f t="shared" si="27"/>
        <v>2586.0831463571499</v>
      </c>
      <c r="K274" s="9">
        <f t="shared" si="31"/>
        <v>409.50641982131998</v>
      </c>
      <c r="L274" s="10">
        <f t="shared" si="30"/>
        <v>0.15835005939316588</v>
      </c>
      <c r="M274" s="10">
        <f t="shared" si="28"/>
        <v>0.18345329320260725</v>
      </c>
      <c r="P274" s="8">
        <f t="shared" si="29"/>
        <v>13.147553698527881</v>
      </c>
    </row>
    <row r="275" spans="1:16" x14ac:dyDescent="0.2">
      <c r="A275" s="8">
        <v>136.5</v>
      </c>
      <c r="B275" s="8">
        <v>273</v>
      </c>
      <c r="D275">
        <v>2738.9325227964</v>
      </c>
      <c r="E275">
        <v>532.87902735562</v>
      </c>
      <c r="F275">
        <v>147.82242424242</v>
      </c>
      <c r="G275">
        <v>120.67090909091</v>
      </c>
      <c r="I275" s="9">
        <f>E275-G275</f>
        <v>412.20811826470998</v>
      </c>
      <c r="J275" s="9">
        <f>D275-F275</f>
        <v>2591.1100985539802</v>
      </c>
      <c r="K275" s="9">
        <f t="shared" si="31"/>
        <v>412.20811826470998</v>
      </c>
      <c r="L275" s="10">
        <f t="shared" si="30"/>
        <v>0.15908552805021708</v>
      </c>
      <c r="M275" s="10">
        <f>L275+ABS($N$2)*A275</f>
        <v>0.18428105316042848</v>
      </c>
      <c r="O275" s="11"/>
      <c r="P275" s="8">
        <f>(M275-$O$2)/$O$2*100</f>
        <v>13.658086993635482</v>
      </c>
    </row>
    <row r="276" spans="1:16" x14ac:dyDescent="0.2">
      <c r="A276" s="8">
        <v>137</v>
      </c>
      <c r="B276" s="8">
        <v>274</v>
      </c>
      <c r="D276">
        <v>2732.5647416412999</v>
      </c>
      <c r="E276">
        <v>536.17689969604999</v>
      </c>
      <c r="F276">
        <v>148.47878787879</v>
      </c>
      <c r="G276">
        <v>120.57878787879</v>
      </c>
      <c r="I276" s="9">
        <f t="shared" ref="I276:I291" si="32">E276-G276</f>
        <v>415.59811181726002</v>
      </c>
      <c r="J276" s="9">
        <f t="shared" ref="J276:J291" si="33">D276-F276</f>
        <v>2584.0859537625097</v>
      </c>
      <c r="K276" s="9">
        <f t="shared" si="31"/>
        <v>415.59811181726002</v>
      </c>
      <c r="L276" s="10">
        <f t="shared" si="30"/>
        <v>0.1608298327739974</v>
      </c>
      <c r="M276" s="10">
        <f t="shared" ref="M276:M291" si="34">L276+ABS($N$2)*A276</f>
        <v>0.18611764918497878</v>
      </c>
      <c r="P276" s="8">
        <f t="shared" ref="P276:P291" si="35">(M276-$O$2)/$O$2*100</f>
        <v>14.790834973693844</v>
      </c>
    </row>
    <row r="277" spans="1:16" x14ac:dyDescent="0.2">
      <c r="A277" s="8">
        <v>137.5</v>
      </c>
      <c r="B277" s="8">
        <v>275</v>
      </c>
      <c r="D277">
        <v>2724.9951367781</v>
      </c>
      <c r="E277">
        <v>532.79513677811997</v>
      </c>
      <c r="F277">
        <v>148.03939393939001</v>
      </c>
      <c r="G277">
        <v>120.78787878788</v>
      </c>
      <c r="I277" s="9">
        <f t="shared" si="32"/>
        <v>412.00725799023996</v>
      </c>
      <c r="J277" s="9">
        <f t="shared" si="33"/>
        <v>2576.9557428387102</v>
      </c>
      <c r="K277" s="9">
        <f t="shared" si="31"/>
        <v>412.00725799023996</v>
      </c>
      <c r="L277" s="10">
        <f t="shared" si="30"/>
        <v>0.1598813868399552</v>
      </c>
      <c r="M277" s="10">
        <f t="shared" si="34"/>
        <v>0.1852614945517066</v>
      </c>
      <c r="N277" s="1"/>
      <c r="P277" s="8">
        <f t="shared" si="35"/>
        <v>14.262788839163997</v>
      </c>
    </row>
    <row r="278" spans="1:16" x14ac:dyDescent="0.2">
      <c r="A278" s="8">
        <v>138</v>
      </c>
      <c r="B278" s="8">
        <v>276</v>
      </c>
      <c r="D278">
        <v>2746.2431610941999</v>
      </c>
      <c r="E278">
        <v>536.02066869300995</v>
      </c>
      <c r="F278">
        <v>148.23272727272999</v>
      </c>
      <c r="G278">
        <v>120.70181818182</v>
      </c>
      <c r="I278" s="9">
        <f t="shared" si="32"/>
        <v>415.31885051118996</v>
      </c>
      <c r="J278" s="9">
        <f t="shared" si="33"/>
        <v>2598.0104338214701</v>
      </c>
      <c r="K278" s="9">
        <f t="shared" si="31"/>
        <v>415.31885051118996</v>
      </c>
      <c r="L278" s="10">
        <f t="shared" si="30"/>
        <v>0.15986034740448998</v>
      </c>
      <c r="M278" s="10">
        <f t="shared" si="34"/>
        <v>0.18533274641701139</v>
      </c>
      <c r="P278" s="8">
        <f t="shared" si="35"/>
        <v>14.306734489388933</v>
      </c>
    </row>
    <row r="279" spans="1:16" x14ac:dyDescent="0.2">
      <c r="A279" s="8">
        <v>138.5</v>
      </c>
      <c r="B279" s="8">
        <v>277</v>
      </c>
      <c r="D279">
        <v>2724.9234042552998</v>
      </c>
      <c r="E279">
        <v>537.08632218845003</v>
      </c>
      <c r="F279">
        <v>148.37636363636</v>
      </c>
      <c r="G279">
        <v>121.06848484849</v>
      </c>
      <c r="I279" s="9">
        <f t="shared" si="32"/>
        <v>416.01783733996001</v>
      </c>
      <c r="J279" s="9">
        <f t="shared" si="33"/>
        <v>2576.5470406189397</v>
      </c>
      <c r="K279" s="9">
        <f t="shared" si="31"/>
        <v>416.01783733996001</v>
      </c>
      <c r="L279" s="10">
        <f t="shared" si="30"/>
        <v>0.16146331923364532</v>
      </c>
      <c r="M279" s="10">
        <f t="shared" si="34"/>
        <v>0.18702800954693671</v>
      </c>
      <c r="P279" s="8">
        <f t="shared" si="35"/>
        <v>15.352313299546994</v>
      </c>
    </row>
    <row r="280" spans="1:16" x14ac:dyDescent="0.2">
      <c r="A280" s="8">
        <v>139</v>
      </c>
      <c r="B280" s="8">
        <v>278</v>
      </c>
      <c r="D280">
        <v>2728.2425531915001</v>
      </c>
      <c r="E280">
        <v>538.24072948328001</v>
      </c>
      <c r="F280">
        <v>148.09878787879001</v>
      </c>
      <c r="G280">
        <v>120.94424242424</v>
      </c>
      <c r="I280" s="9">
        <f t="shared" si="32"/>
        <v>417.29648705904003</v>
      </c>
      <c r="J280" s="9">
        <f t="shared" si="33"/>
        <v>2580.14376531271</v>
      </c>
      <c r="K280" s="9">
        <f t="shared" si="31"/>
        <v>417.29648705904003</v>
      </c>
      <c r="L280" s="10">
        <f t="shared" si="30"/>
        <v>0.1617338121499847</v>
      </c>
      <c r="M280" s="10">
        <f t="shared" si="34"/>
        <v>0.1873907937640461</v>
      </c>
      <c r="P280" s="8">
        <f t="shared" si="35"/>
        <v>15.576065874220207</v>
      </c>
    </row>
    <row r="281" spans="1:16" x14ac:dyDescent="0.2">
      <c r="A281" s="8">
        <v>139.5</v>
      </c>
      <c r="B281" s="8">
        <v>279</v>
      </c>
      <c r="D281">
        <v>2716.7227963526002</v>
      </c>
      <c r="E281">
        <v>539.54285714286004</v>
      </c>
      <c r="F281">
        <v>147.81454545455</v>
      </c>
      <c r="G281">
        <v>120.95272727273</v>
      </c>
      <c r="I281" s="9">
        <f t="shared" si="32"/>
        <v>418.59012987013006</v>
      </c>
      <c r="J281" s="9">
        <f t="shared" si="33"/>
        <v>2568.90825089805</v>
      </c>
      <c r="K281" s="9">
        <f t="shared" si="31"/>
        <v>418.59012987013006</v>
      </c>
      <c r="L281" s="10">
        <f t="shared" si="30"/>
        <v>0.1629447566777823</v>
      </c>
      <c r="M281" s="10">
        <f t="shared" si="34"/>
        <v>0.18869402959261372</v>
      </c>
      <c r="P281" s="8">
        <f t="shared" si="35"/>
        <v>16.37985600150806</v>
      </c>
    </row>
    <row r="282" spans="1:16" x14ac:dyDescent="0.2">
      <c r="A282" s="8">
        <v>140</v>
      </c>
      <c r="B282" s="8">
        <v>280</v>
      </c>
      <c r="D282">
        <v>2722.7173252279999</v>
      </c>
      <c r="E282">
        <v>541.03221884498998</v>
      </c>
      <c r="F282">
        <v>147.75090909091</v>
      </c>
      <c r="G282">
        <v>120.73454545455</v>
      </c>
      <c r="I282" s="9">
        <f t="shared" si="32"/>
        <v>420.29767339043997</v>
      </c>
      <c r="J282" s="9">
        <f t="shared" si="33"/>
        <v>2574.9664161370902</v>
      </c>
      <c r="K282" s="9">
        <f t="shared" si="31"/>
        <v>420.29767339043997</v>
      </c>
      <c r="L282" s="10">
        <f t="shared" si="30"/>
        <v>0.163224526252642</v>
      </c>
      <c r="M282" s="10">
        <f t="shared" si="34"/>
        <v>0.18906609046824341</v>
      </c>
      <c r="P282" s="8">
        <f t="shared" si="35"/>
        <v>16.609330093629911</v>
      </c>
    </row>
    <row r="283" spans="1:16" x14ac:dyDescent="0.2">
      <c r="A283" s="8">
        <v>140.5</v>
      </c>
      <c r="B283" s="8">
        <v>281</v>
      </c>
      <c r="D283">
        <v>2728.6808510638002</v>
      </c>
      <c r="E283">
        <v>541.72705167173001</v>
      </c>
      <c r="F283">
        <v>148.30909090909</v>
      </c>
      <c r="G283">
        <v>120.52606060606</v>
      </c>
      <c r="I283" s="9">
        <f t="shared" si="32"/>
        <v>421.20099106567</v>
      </c>
      <c r="J283" s="9">
        <f t="shared" si="33"/>
        <v>2580.37176015471</v>
      </c>
      <c r="K283" s="9">
        <f t="shared" si="31"/>
        <v>421.20099106567</v>
      </c>
      <c r="L283" s="10">
        <f t="shared" si="30"/>
        <v>0.16323267738770178</v>
      </c>
      <c r="M283" s="10">
        <f t="shared" si="34"/>
        <v>0.1891665329040732</v>
      </c>
      <c r="P283" s="8">
        <f t="shared" si="35"/>
        <v>16.671279463430054</v>
      </c>
    </row>
    <row r="284" spans="1:16" x14ac:dyDescent="0.2">
      <c r="A284" s="8">
        <v>141</v>
      </c>
      <c r="B284" s="8">
        <v>282</v>
      </c>
      <c r="D284">
        <v>2708.0662613981999</v>
      </c>
      <c r="E284">
        <v>544.19696048631999</v>
      </c>
      <c r="F284">
        <v>148.30848484849</v>
      </c>
      <c r="G284">
        <v>120.77333333333</v>
      </c>
      <c r="I284" s="9">
        <f t="shared" si="32"/>
        <v>423.42362715298998</v>
      </c>
      <c r="J284" s="9">
        <f t="shared" si="33"/>
        <v>2559.7577765497099</v>
      </c>
      <c r="K284" s="9">
        <f t="shared" si="31"/>
        <v>423.42362715298998</v>
      </c>
      <c r="L284" s="10">
        <f t="shared" si="30"/>
        <v>0.1654155057294997</v>
      </c>
      <c r="M284" s="10">
        <f t="shared" si="34"/>
        <v>0.19144165254664114</v>
      </c>
      <c r="P284" s="8">
        <f t="shared" si="35"/>
        <v>18.074493422874923</v>
      </c>
    </row>
    <row r="285" spans="1:16" x14ac:dyDescent="0.2">
      <c r="A285" s="8">
        <v>141.5</v>
      </c>
      <c r="B285" s="8">
        <v>283</v>
      </c>
      <c r="D285">
        <v>2754.9209726444001</v>
      </c>
      <c r="E285">
        <v>555.41458966565006</v>
      </c>
      <c r="F285">
        <v>147.96848484848999</v>
      </c>
      <c r="G285">
        <v>120.87030303029999</v>
      </c>
      <c r="I285" s="9">
        <f t="shared" si="32"/>
        <v>434.54428663535009</v>
      </c>
      <c r="J285" s="9">
        <f t="shared" si="33"/>
        <v>2606.9524877959102</v>
      </c>
      <c r="K285" s="9">
        <f t="shared" si="31"/>
        <v>434.54428663535009</v>
      </c>
      <c r="L285" s="10">
        <f t="shared" si="30"/>
        <v>0.1666866920933962</v>
      </c>
      <c r="M285" s="10">
        <f t="shared" si="34"/>
        <v>0.19280513021130763</v>
      </c>
      <c r="P285" s="8">
        <f t="shared" si="35"/>
        <v>18.9154386007258</v>
      </c>
    </row>
    <row r="286" spans="1:16" x14ac:dyDescent="0.2">
      <c r="A286" s="8">
        <v>142</v>
      </c>
      <c r="B286" s="8">
        <v>284</v>
      </c>
      <c r="D286">
        <v>2760.6674772036999</v>
      </c>
      <c r="E286">
        <v>558.77386018236996</v>
      </c>
      <c r="F286">
        <v>147.90484848484999</v>
      </c>
      <c r="G286">
        <v>120.59575757576</v>
      </c>
      <c r="I286" s="9">
        <f t="shared" si="32"/>
        <v>438.17810260660997</v>
      </c>
      <c r="J286" s="9">
        <f t="shared" si="33"/>
        <v>2612.76262871885</v>
      </c>
      <c r="K286" s="9">
        <f t="shared" si="31"/>
        <v>438.17810260660997</v>
      </c>
      <c r="L286" s="10">
        <f t="shared" si="30"/>
        <v>0.16770681645177524</v>
      </c>
      <c r="M286" s="10">
        <f t="shared" si="34"/>
        <v>0.19391754587045668</v>
      </c>
      <c r="P286" s="8">
        <f t="shared" si="35"/>
        <v>19.601537543575741</v>
      </c>
    </row>
    <row r="287" spans="1:16" x14ac:dyDescent="0.2">
      <c r="A287" s="8">
        <v>142.5</v>
      </c>
      <c r="B287" s="8">
        <v>285</v>
      </c>
      <c r="D287">
        <v>2768.1793313070002</v>
      </c>
      <c r="E287">
        <v>562.77629179330995</v>
      </c>
      <c r="F287">
        <v>148.26787878787999</v>
      </c>
      <c r="G287">
        <v>120.62666666667</v>
      </c>
      <c r="I287" s="9">
        <f t="shared" si="32"/>
        <v>442.14962512663993</v>
      </c>
      <c r="J287" s="9">
        <f t="shared" si="33"/>
        <v>2619.9114525191203</v>
      </c>
      <c r="K287" s="9">
        <f t="shared" si="31"/>
        <v>442.14962512663993</v>
      </c>
      <c r="L287" s="10">
        <f t="shared" si="30"/>
        <v>0.1687651026150141</v>
      </c>
      <c r="M287" s="10">
        <f t="shared" si="34"/>
        <v>0.19506812333446555</v>
      </c>
      <c r="P287" s="8">
        <f t="shared" si="35"/>
        <v>20.311173348529554</v>
      </c>
    </row>
    <row r="288" spans="1:16" x14ac:dyDescent="0.2">
      <c r="A288" s="8">
        <v>143</v>
      </c>
      <c r="B288" s="8">
        <v>286</v>
      </c>
      <c r="D288">
        <v>2771.7361702128001</v>
      </c>
      <c r="E288">
        <v>557.65896656535006</v>
      </c>
      <c r="F288">
        <v>148.14484848485</v>
      </c>
      <c r="G288">
        <v>120.78545454546</v>
      </c>
      <c r="I288" s="9">
        <f t="shared" si="32"/>
        <v>436.87351201989009</v>
      </c>
      <c r="J288" s="9">
        <f t="shared" si="33"/>
        <v>2623.5913217279499</v>
      </c>
      <c r="K288" s="9">
        <f t="shared" si="31"/>
        <v>436.87351201989009</v>
      </c>
      <c r="L288" s="10">
        <f t="shared" si="30"/>
        <v>0.16651736434779651</v>
      </c>
      <c r="M288" s="10">
        <f t="shared" si="34"/>
        <v>0.19291267636801795</v>
      </c>
      <c r="P288" s="8">
        <f t="shared" si="35"/>
        <v>18.981769296288796</v>
      </c>
    </row>
    <row r="289" spans="1:16" x14ac:dyDescent="0.2">
      <c r="A289" s="8">
        <v>143.5</v>
      </c>
      <c r="B289" s="8">
        <v>287</v>
      </c>
      <c r="D289">
        <v>2756.0541033435002</v>
      </c>
      <c r="E289">
        <v>557.05227963525999</v>
      </c>
      <c r="F289">
        <v>147.38727272726999</v>
      </c>
      <c r="G289">
        <v>120.65515151515</v>
      </c>
      <c r="I289" s="9">
        <f t="shared" si="32"/>
        <v>436.39712812010998</v>
      </c>
      <c r="J289" s="9">
        <f t="shared" si="33"/>
        <v>2608.6668306162301</v>
      </c>
      <c r="K289" s="9">
        <f t="shared" si="31"/>
        <v>436.39712812010998</v>
      </c>
      <c r="L289" s="10">
        <f t="shared" si="30"/>
        <v>0.16728741401485234</v>
      </c>
      <c r="M289" s="10">
        <f t="shared" si="34"/>
        <v>0.19377501733584379</v>
      </c>
      <c r="P289" s="8">
        <f t="shared" si="35"/>
        <v>19.513630944887034</v>
      </c>
    </row>
    <row r="290" spans="1:16" x14ac:dyDescent="0.2">
      <c r="A290" s="8">
        <v>144</v>
      </c>
      <c r="B290" s="8">
        <v>288</v>
      </c>
      <c r="D290">
        <v>2784.6711246200998</v>
      </c>
      <c r="E290">
        <v>565.20911854102997</v>
      </c>
      <c r="F290">
        <v>147.79757575758001</v>
      </c>
      <c r="G290">
        <v>120.67636363635999</v>
      </c>
      <c r="I290" s="9">
        <f t="shared" si="32"/>
        <v>444.53275490466996</v>
      </c>
      <c r="J290" s="9">
        <f t="shared" si="33"/>
        <v>2636.8735488625198</v>
      </c>
      <c r="K290" s="9">
        <f t="shared" si="31"/>
        <v>444.53275490466996</v>
      </c>
      <c r="L290" s="10">
        <f t="shared" si="30"/>
        <v>0.16858326600319157</v>
      </c>
      <c r="M290" s="10">
        <f t="shared" si="34"/>
        <v>0.19516316062495304</v>
      </c>
      <c r="P290" s="8">
        <f t="shared" si="35"/>
        <v>20.369789014354208</v>
      </c>
    </row>
    <row r="291" spans="1:16" x14ac:dyDescent="0.2">
      <c r="A291" s="8">
        <v>144.5</v>
      </c>
      <c r="B291" s="8">
        <v>289</v>
      </c>
      <c r="D291">
        <v>2778.0857142856999</v>
      </c>
      <c r="E291">
        <v>564.55440729482996</v>
      </c>
      <c r="F291">
        <v>147.63939393939</v>
      </c>
      <c r="G291">
        <v>120.33090909091</v>
      </c>
      <c r="I291" s="9">
        <f t="shared" si="32"/>
        <v>444.22349820391997</v>
      </c>
      <c r="J291" s="9">
        <f t="shared" si="33"/>
        <v>2630.4463203463097</v>
      </c>
      <c r="K291" s="9">
        <f t="shared" si="31"/>
        <v>444.22349820391997</v>
      </c>
      <c r="L291" s="10">
        <f t="shared" si="30"/>
        <v>0.16887761395010564</v>
      </c>
      <c r="M291" s="10">
        <f t="shared" si="34"/>
        <v>0.1955497998726371</v>
      </c>
      <c r="P291" s="8">
        <f t="shared" si="35"/>
        <v>20.608254534790387</v>
      </c>
    </row>
    <row r="292" spans="1:16" x14ac:dyDescent="0.2">
      <c r="A292" s="8">
        <v>145</v>
      </c>
      <c r="B292" s="8">
        <v>290</v>
      </c>
      <c r="D292">
        <v>2762.8401215806002</v>
      </c>
      <c r="E292">
        <v>558.14042553191996</v>
      </c>
      <c r="F292">
        <v>147.61818181818001</v>
      </c>
      <c r="G292">
        <v>120.49090909090999</v>
      </c>
      <c r="I292" s="9">
        <f>E292-G292</f>
        <v>437.64951644100995</v>
      </c>
      <c r="J292" s="9">
        <f>D292-F292</f>
        <v>2615.2219397624203</v>
      </c>
      <c r="K292" s="9">
        <f t="shared" si="31"/>
        <v>437.64951644100995</v>
      </c>
      <c r="L292" s="10">
        <f t="shared" si="30"/>
        <v>0.16734698871514064</v>
      </c>
      <c r="M292" s="10">
        <f>L292+ABS($N$2)*A292</f>
        <v>0.19411146593844211</v>
      </c>
      <c r="O292" s="11"/>
      <c r="P292" s="8">
        <f>(M292-$O$2)/$O$2*100</f>
        <v>19.721140636671336</v>
      </c>
    </row>
    <row r="293" spans="1:16" x14ac:dyDescent="0.2">
      <c r="A293" s="8">
        <v>145.5</v>
      </c>
      <c r="B293" s="8">
        <v>291</v>
      </c>
      <c r="D293">
        <v>2838.6346504559001</v>
      </c>
      <c r="E293">
        <v>580.45227963525997</v>
      </c>
      <c r="F293">
        <v>147.8296969697</v>
      </c>
      <c r="G293">
        <v>120.48303030303001</v>
      </c>
      <c r="I293" s="9">
        <f t="shared" ref="I293:I301" si="36">E293-G293</f>
        <v>459.96924933222999</v>
      </c>
      <c r="J293" s="9">
        <f t="shared" ref="J293:J301" si="37">D293-F293</f>
        <v>2690.8049534862002</v>
      </c>
      <c r="K293" s="9">
        <f t="shared" si="31"/>
        <v>459.96924933222999</v>
      </c>
      <c r="L293" s="10">
        <f t="shared" si="30"/>
        <v>0.17094113370658656</v>
      </c>
      <c r="M293" s="10">
        <f t="shared" ref="M293:M301" si="38">L293+ABS($N$2)*A293</f>
        <v>0.19779790223065805</v>
      </c>
      <c r="P293" s="8">
        <f t="shared" ref="P293:P301" si="39">(M293-$O$2)/$O$2*100</f>
        <v>21.994805181188635</v>
      </c>
    </row>
    <row r="294" spans="1:16" x14ac:dyDescent="0.2">
      <c r="A294" s="8">
        <v>146</v>
      </c>
      <c r="B294" s="8">
        <v>292</v>
      </c>
      <c r="D294">
        <v>2820.2950121654999</v>
      </c>
      <c r="E294">
        <v>574.06386861314002</v>
      </c>
      <c r="F294">
        <v>148.03696969697</v>
      </c>
      <c r="G294">
        <v>121.21090909090999</v>
      </c>
      <c r="I294" s="9">
        <f t="shared" si="36"/>
        <v>452.85295952223004</v>
      </c>
      <c r="J294" s="9">
        <f t="shared" si="37"/>
        <v>2672.2580424685298</v>
      </c>
      <c r="K294" s="9">
        <f t="shared" si="31"/>
        <v>452.85295952223004</v>
      </c>
      <c r="L294" s="10">
        <f t="shared" si="30"/>
        <v>0.16946453236376147</v>
      </c>
      <c r="M294" s="10">
        <f t="shared" si="38"/>
        <v>0.19641359218860294</v>
      </c>
      <c r="N294" s="1"/>
      <c r="P294" s="8">
        <f t="shared" si="39"/>
        <v>21.141011323992203</v>
      </c>
    </row>
    <row r="295" spans="1:16" x14ac:dyDescent="0.2">
      <c r="A295" s="8">
        <v>146.5</v>
      </c>
      <c r="B295" s="8">
        <v>293</v>
      </c>
      <c r="D295">
        <v>2763.3059610706</v>
      </c>
      <c r="E295">
        <v>565.19708029197</v>
      </c>
      <c r="F295">
        <v>147.79818181818001</v>
      </c>
      <c r="G295">
        <v>121.03272727273</v>
      </c>
      <c r="I295" s="9">
        <f t="shared" si="36"/>
        <v>444.16435301924002</v>
      </c>
      <c r="J295" s="9">
        <f t="shared" si="37"/>
        <v>2615.5077792524198</v>
      </c>
      <c r="K295" s="9">
        <f t="shared" si="31"/>
        <v>444.16435301924002</v>
      </c>
      <c r="L295" s="10">
        <f t="shared" si="30"/>
        <v>0.16981954958902618</v>
      </c>
      <c r="M295" s="10">
        <f t="shared" si="38"/>
        <v>0.19686090071463766</v>
      </c>
      <c r="P295" s="8">
        <f t="shared" si="39"/>
        <v>21.416895526372954</v>
      </c>
    </row>
    <row r="296" spans="1:16" x14ac:dyDescent="0.2">
      <c r="A296" s="8">
        <v>147</v>
      </c>
      <c r="B296" s="8">
        <v>294</v>
      </c>
      <c r="D296">
        <v>2751.4233576642</v>
      </c>
      <c r="E296">
        <v>563.56934306568996</v>
      </c>
      <c r="F296">
        <v>147.47393939393999</v>
      </c>
      <c r="G296">
        <v>120.56545454546</v>
      </c>
      <c r="I296" s="9">
        <f t="shared" si="36"/>
        <v>443.00388852022996</v>
      </c>
      <c r="J296" s="9">
        <f t="shared" si="37"/>
        <v>2603.9494182702601</v>
      </c>
      <c r="K296" s="9">
        <f t="shared" si="31"/>
        <v>443.00388852022996</v>
      </c>
      <c r="L296" s="10">
        <f t="shared" si="30"/>
        <v>0.17012768581906887</v>
      </c>
      <c r="M296" s="10">
        <f t="shared" si="38"/>
        <v>0.19726132824545037</v>
      </c>
      <c r="P296" s="8">
        <f t="shared" si="39"/>
        <v>21.663865175999039</v>
      </c>
    </row>
    <row r="297" spans="1:16" x14ac:dyDescent="0.2">
      <c r="A297" s="8">
        <v>147.5</v>
      </c>
      <c r="B297" s="8">
        <v>295</v>
      </c>
      <c r="D297">
        <v>2755.7816301703001</v>
      </c>
      <c r="E297">
        <v>567.60279805353002</v>
      </c>
      <c r="F297">
        <v>147.37515151515001</v>
      </c>
      <c r="G297">
        <v>120.46181818181999</v>
      </c>
      <c r="I297" s="9">
        <f t="shared" si="36"/>
        <v>447.14097987171004</v>
      </c>
      <c r="J297" s="9">
        <f t="shared" si="37"/>
        <v>2608.4064786551503</v>
      </c>
      <c r="K297" s="9">
        <f t="shared" si="31"/>
        <v>447.14097987171004</v>
      </c>
      <c r="L297" s="10">
        <f t="shared" si="30"/>
        <v>0.1714230445027296</v>
      </c>
      <c r="M297" s="10">
        <f t="shared" si="38"/>
        <v>0.19864897822988109</v>
      </c>
      <c r="P297" s="8">
        <f t="shared" si="39"/>
        <v>22.519718992451025</v>
      </c>
    </row>
    <row r="298" spans="1:16" x14ac:dyDescent="0.2">
      <c r="A298" s="8">
        <v>148</v>
      </c>
      <c r="B298" s="8">
        <v>296</v>
      </c>
      <c r="D298">
        <v>2774.4032846714999</v>
      </c>
      <c r="E298">
        <v>565.40571776156003</v>
      </c>
      <c r="F298">
        <v>147.61393939394</v>
      </c>
      <c r="G298">
        <v>120.75515151515</v>
      </c>
      <c r="I298" s="9">
        <f t="shared" si="36"/>
        <v>444.65056624640999</v>
      </c>
      <c r="J298" s="9">
        <f t="shared" si="37"/>
        <v>2626.7893452775597</v>
      </c>
      <c r="K298" s="9">
        <f t="shared" si="31"/>
        <v>444.65056624640999</v>
      </c>
      <c r="L298" s="10">
        <f t="shared" si="30"/>
        <v>0.16927530448751155</v>
      </c>
      <c r="M298" s="10">
        <f t="shared" si="38"/>
        <v>0.19659352951543305</v>
      </c>
      <c r="P298" s="8">
        <f t="shared" si="39"/>
        <v>21.251990353010743</v>
      </c>
    </row>
    <row r="299" spans="1:16" x14ac:dyDescent="0.2">
      <c r="A299" s="8">
        <v>148.5</v>
      </c>
      <c r="B299" s="8">
        <v>297</v>
      </c>
      <c r="D299">
        <v>2677.7731143552001</v>
      </c>
      <c r="E299">
        <v>552.92153284671997</v>
      </c>
      <c r="F299">
        <v>147.63757575758001</v>
      </c>
      <c r="G299">
        <v>120.61636363636001</v>
      </c>
      <c r="I299" s="9">
        <f t="shared" si="36"/>
        <v>432.30516921035996</v>
      </c>
      <c r="J299" s="9">
        <f t="shared" si="37"/>
        <v>2530.1355385976199</v>
      </c>
      <c r="K299" s="9">
        <f t="shared" si="31"/>
        <v>432.30516921035996</v>
      </c>
      <c r="L299" s="10">
        <f t="shared" si="30"/>
        <v>0.17086245484302159</v>
      </c>
      <c r="M299" s="10">
        <f t="shared" si="38"/>
        <v>0.19827297117171311</v>
      </c>
      <c r="P299" s="8">
        <f t="shared" si="39"/>
        <v>22.287811033414819</v>
      </c>
    </row>
    <row r="300" spans="1:16" x14ac:dyDescent="0.2">
      <c r="A300" s="8">
        <v>149</v>
      </c>
      <c r="B300" s="8">
        <v>298</v>
      </c>
      <c r="D300">
        <v>2707.7652068126999</v>
      </c>
      <c r="E300">
        <v>556.81265206812998</v>
      </c>
      <c r="F300">
        <v>147.42424242423999</v>
      </c>
      <c r="G300">
        <v>120.43333333333</v>
      </c>
      <c r="I300" s="9">
        <f t="shared" si="36"/>
        <v>436.37931873479999</v>
      </c>
      <c r="J300" s="9">
        <f t="shared" si="37"/>
        <v>2560.3409643884597</v>
      </c>
      <c r="K300" s="9">
        <f t="shared" si="31"/>
        <v>436.37931873479999</v>
      </c>
      <c r="L300" s="10">
        <f t="shared" si="30"/>
        <v>0.17043797088136253</v>
      </c>
      <c r="M300" s="10">
        <f t="shared" si="38"/>
        <v>0.19794077851082403</v>
      </c>
      <c r="P300" s="8">
        <f t="shared" si="39"/>
        <v>22.082926257131778</v>
      </c>
    </row>
    <row r="301" spans="1:16" x14ac:dyDescent="0.2">
      <c r="A301" s="8">
        <v>149.5</v>
      </c>
      <c r="B301" s="8">
        <v>299</v>
      </c>
      <c r="D301">
        <v>2768.5413625304</v>
      </c>
      <c r="E301">
        <v>572.62287104622999</v>
      </c>
      <c r="F301">
        <v>147.33151515151999</v>
      </c>
      <c r="G301">
        <v>120.84424242423999</v>
      </c>
      <c r="I301" s="9">
        <f t="shared" si="36"/>
        <v>451.77862862198998</v>
      </c>
      <c r="J301" s="9">
        <f t="shared" si="37"/>
        <v>2621.2098473788801</v>
      </c>
      <c r="K301" s="9">
        <f t="shared" si="31"/>
        <v>451.77862862198998</v>
      </c>
      <c r="L301" s="10">
        <f t="shared" si="30"/>
        <v>0.17235500205134399</v>
      </c>
      <c r="M301" s="10">
        <f t="shared" si="38"/>
        <v>0.19995010098157551</v>
      </c>
      <c r="P301" s="8">
        <f t="shared" si="39"/>
        <v>23.322205848073349</v>
      </c>
    </row>
    <row r="302" spans="1:16" x14ac:dyDescent="0.2">
      <c r="A302" s="8">
        <v>150</v>
      </c>
      <c r="B302" s="8">
        <v>300</v>
      </c>
      <c r="D302">
        <v>2781.5620437955999</v>
      </c>
      <c r="E302">
        <v>591.25060827251002</v>
      </c>
      <c r="F302">
        <v>147.68787878788001</v>
      </c>
      <c r="G302">
        <v>120.31939393939</v>
      </c>
      <c r="I302" s="9">
        <f>E302-G302</f>
        <v>470.93121433312001</v>
      </c>
      <c r="J302" s="9">
        <f>D302-F302</f>
        <v>2633.87416500772</v>
      </c>
      <c r="K302" s="9">
        <f t="shared" si="31"/>
        <v>470.93121433312001</v>
      </c>
      <c r="L302" s="10">
        <f t="shared" si="30"/>
        <v>0.1787979169960611</v>
      </c>
      <c r="M302" s="10">
        <f>L302+ABS($N$2)*A302</f>
        <v>0.20648530722706263</v>
      </c>
      <c r="O302" s="11"/>
      <c r="P302" s="8">
        <f>(M302-$O$2)/$O$2*100</f>
        <v>27.352891733747597</v>
      </c>
    </row>
    <row r="303" spans="1:16" x14ac:dyDescent="0.2">
      <c r="A303" s="8">
        <v>150.5</v>
      </c>
      <c r="B303" s="8">
        <v>301</v>
      </c>
      <c r="D303">
        <v>2810.4957420925002</v>
      </c>
      <c r="E303">
        <v>592.48114355230996</v>
      </c>
      <c r="F303">
        <v>147.08000000000001</v>
      </c>
      <c r="G303">
        <v>120.55575757576</v>
      </c>
      <c r="I303" s="9">
        <f t="shared" ref="I303:I309" si="40">E303-G303</f>
        <v>471.92538597654993</v>
      </c>
      <c r="J303" s="9">
        <f t="shared" ref="J303:J309" si="41">D303-F303</f>
        <v>2663.4157420925003</v>
      </c>
      <c r="K303" s="9">
        <f t="shared" si="31"/>
        <v>471.92538597654993</v>
      </c>
      <c r="L303" s="10">
        <f t="shared" si="30"/>
        <v>0.17718802908545697</v>
      </c>
      <c r="M303" s="10">
        <f t="shared" ref="M303:M309" si="42">L303+ABS($N$2)*A303</f>
        <v>0.20496771061722849</v>
      </c>
      <c r="P303" s="8">
        <f t="shared" ref="P303:P309" si="43">(M303-$O$2)/$O$2*100</f>
        <v>26.416891398696258</v>
      </c>
    </row>
    <row r="304" spans="1:16" x14ac:dyDescent="0.2">
      <c r="A304" s="8">
        <v>151</v>
      </c>
      <c r="B304" s="8">
        <v>302</v>
      </c>
      <c r="D304">
        <v>2684.0346715329001</v>
      </c>
      <c r="E304">
        <v>558.91605839416002</v>
      </c>
      <c r="F304">
        <v>147.81757575757999</v>
      </c>
      <c r="G304">
        <v>120.45575757576</v>
      </c>
      <c r="I304" s="9">
        <f t="shared" si="40"/>
        <v>438.46030081840001</v>
      </c>
      <c r="J304" s="9">
        <f t="shared" si="41"/>
        <v>2536.2170957753201</v>
      </c>
      <c r="K304" s="9">
        <f t="shared" si="31"/>
        <v>438.46030081840001</v>
      </c>
      <c r="L304" s="10">
        <f t="shared" si="30"/>
        <v>0.17287964092220701</v>
      </c>
      <c r="M304" s="10">
        <f t="shared" si="42"/>
        <v>0.20075161375474854</v>
      </c>
      <c r="N304" s="1"/>
      <c r="P304" s="8">
        <f t="shared" si="43"/>
        <v>23.816550800728372</v>
      </c>
    </row>
    <row r="305" spans="1:16" x14ac:dyDescent="0.2">
      <c r="A305" s="8">
        <v>151.5</v>
      </c>
      <c r="B305" s="8">
        <v>303</v>
      </c>
      <c r="D305">
        <v>2679.9787104623001</v>
      </c>
      <c r="E305">
        <v>560.16605839416002</v>
      </c>
      <c r="F305">
        <v>147.71818181818</v>
      </c>
      <c r="G305">
        <v>120.68545454546</v>
      </c>
      <c r="I305" s="9">
        <f t="shared" si="40"/>
        <v>439.48060384870001</v>
      </c>
      <c r="J305" s="9">
        <f t="shared" si="41"/>
        <v>2532.2605286441203</v>
      </c>
      <c r="K305" s="9">
        <f t="shared" si="31"/>
        <v>439.48060384870001</v>
      </c>
      <c r="L305" s="10">
        <f t="shared" si="30"/>
        <v>0.17355268104424332</v>
      </c>
      <c r="M305" s="10">
        <f t="shared" si="42"/>
        <v>0.20151694517755486</v>
      </c>
      <c r="P305" s="8">
        <f t="shared" si="43"/>
        <v>24.288580366114875</v>
      </c>
    </row>
    <row r="306" spans="1:16" x14ac:dyDescent="0.2">
      <c r="A306" s="8">
        <v>152</v>
      </c>
      <c r="B306" s="8">
        <v>304</v>
      </c>
      <c r="D306">
        <v>2702.197080292</v>
      </c>
      <c r="E306">
        <v>563.98905109488999</v>
      </c>
      <c r="F306">
        <v>147.19454545455</v>
      </c>
      <c r="G306">
        <v>120.15454545455</v>
      </c>
      <c r="I306" s="9">
        <f t="shared" si="40"/>
        <v>443.83450564034001</v>
      </c>
      <c r="J306" s="9">
        <f t="shared" si="41"/>
        <v>2555.0025348374502</v>
      </c>
      <c r="K306" s="9">
        <f t="shared" si="31"/>
        <v>443.83450564034001</v>
      </c>
      <c r="L306" s="10">
        <f t="shared" si="30"/>
        <v>0.17371196293884572</v>
      </c>
      <c r="M306" s="10">
        <f t="shared" si="42"/>
        <v>0.20176851837292725</v>
      </c>
      <c r="P306" s="8">
        <f t="shared" si="43"/>
        <v>24.443741885080204</v>
      </c>
    </row>
    <row r="307" spans="1:16" x14ac:dyDescent="0.2">
      <c r="A307" s="8">
        <v>152.5</v>
      </c>
      <c r="B307" s="8">
        <v>305</v>
      </c>
      <c r="D307">
        <v>2691.7189781021998</v>
      </c>
      <c r="E307">
        <v>562.49878345498996</v>
      </c>
      <c r="F307">
        <v>147.61272727273001</v>
      </c>
      <c r="G307">
        <v>120.94121212121</v>
      </c>
      <c r="I307" s="9">
        <f t="shared" si="40"/>
        <v>441.55757133377995</v>
      </c>
      <c r="J307" s="9">
        <f t="shared" si="41"/>
        <v>2544.1062508294699</v>
      </c>
      <c r="K307" s="9">
        <f t="shared" si="31"/>
        <v>441.55757133377995</v>
      </c>
      <c r="L307" s="10">
        <f t="shared" si="30"/>
        <v>0.17356097890558475</v>
      </c>
      <c r="M307" s="10">
        <f t="shared" si="42"/>
        <v>0.2017098256404363</v>
      </c>
      <c r="P307" s="8">
        <f t="shared" si="43"/>
        <v>24.407542267263043</v>
      </c>
    </row>
    <row r="308" spans="1:16" x14ac:dyDescent="0.2">
      <c r="A308" s="8">
        <v>153</v>
      </c>
      <c r="B308" s="8">
        <v>306</v>
      </c>
      <c r="D308">
        <v>2706.5358880778999</v>
      </c>
      <c r="E308">
        <v>563.44403892944001</v>
      </c>
      <c r="F308">
        <v>147.34545454546</v>
      </c>
      <c r="G308">
        <v>120.49333333333</v>
      </c>
      <c r="I308" s="9">
        <f t="shared" si="40"/>
        <v>442.95070559611003</v>
      </c>
      <c r="J308" s="9">
        <f t="shared" si="41"/>
        <v>2559.1904335324398</v>
      </c>
      <c r="K308" s="9">
        <f t="shared" si="31"/>
        <v>442.95070559611003</v>
      </c>
      <c r="L308" s="10">
        <f t="shared" si="30"/>
        <v>0.17308235440092162</v>
      </c>
      <c r="M308" s="10">
        <f t="shared" si="42"/>
        <v>0.20132349243654318</v>
      </c>
      <c r="P308" s="8">
        <f t="shared" si="43"/>
        <v>24.169265503897755</v>
      </c>
    </row>
    <row r="309" spans="1:16" x14ac:dyDescent="0.2">
      <c r="A309" s="8">
        <v>153.5</v>
      </c>
      <c r="B309" s="8">
        <v>307</v>
      </c>
      <c r="D309">
        <v>2729.3886861313999</v>
      </c>
      <c r="E309">
        <v>569.46472019465</v>
      </c>
      <c r="F309">
        <v>147.15696969697001</v>
      </c>
      <c r="G309">
        <v>120.70363636364</v>
      </c>
      <c r="I309" s="9">
        <f t="shared" si="40"/>
        <v>448.76108383101001</v>
      </c>
      <c r="J309" s="9">
        <f t="shared" si="41"/>
        <v>2582.2317164344299</v>
      </c>
      <c r="K309" s="9">
        <f t="shared" si="31"/>
        <v>448.76108383101001</v>
      </c>
      <c r="L309" s="10">
        <f t="shared" si="30"/>
        <v>0.17378807679221894</v>
      </c>
      <c r="M309" s="10">
        <f t="shared" si="42"/>
        <v>0.20212150612861049</v>
      </c>
      <c r="P309" s="8">
        <f t="shared" si="43"/>
        <v>24.661452346112821</v>
      </c>
    </row>
    <row r="310" spans="1:16" x14ac:dyDescent="0.2">
      <c r="A310" s="8">
        <v>154</v>
      </c>
      <c r="B310" s="8">
        <v>308</v>
      </c>
      <c r="D310">
        <v>2722.6484184914998</v>
      </c>
      <c r="E310">
        <v>567.35523114354999</v>
      </c>
      <c r="F310">
        <v>146.94121212120999</v>
      </c>
      <c r="G310">
        <v>120.33939393939001</v>
      </c>
      <c r="I310" s="9">
        <f>E310-G310</f>
        <v>447.01583720415999</v>
      </c>
      <c r="J310" s="9">
        <f>D310-F310</f>
        <v>2575.7072063702899</v>
      </c>
      <c r="K310" s="9">
        <f t="shared" si="31"/>
        <v>447.01583720415999</v>
      </c>
      <c r="L310" s="10">
        <f t="shared" si="30"/>
        <v>0.17355071884668863</v>
      </c>
      <c r="M310" s="10">
        <f>L310+ABS($N$2)*A310</f>
        <v>0.20197643948385019</v>
      </c>
      <c r="O310" s="11"/>
      <c r="P310" s="8">
        <f>(M310-$O$2)/$O$2*100</f>
        <v>24.571980330149863</v>
      </c>
    </row>
    <row r="311" spans="1:16" x14ac:dyDescent="0.2">
      <c r="A311" s="8">
        <v>154.5</v>
      </c>
      <c r="B311" s="8">
        <v>309</v>
      </c>
      <c r="D311">
        <v>2708.3716545011998</v>
      </c>
      <c r="E311">
        <v>565.88807785888002</v>
      </c>
      <c r="F311">
        <v>147.13090909091</v>
      </c>
      <c r="G311">
        <v>120.65454545455</v>
      </c>
      <c r="I311" s="9">
        <f t="shared" ref="I311:I319" si="44">E311-G311</f>
        <v>445.23353240433005</v>
      </c>
      <c r="J311" s="9">
        <f t="shared" ref="J311:J319" si="45">D311-F311</f>
        <v>2561.2407454102899</v>
      </c>
      <c r="K311" s="9">
        <f t="shared" si="31"/>
        <v>445.23353240433005</v>
      </c>
      <c r="L311" s="10">
        <f t="shared" si="30"/>
        <v>0.17383509660393415</v>
      </c>
      <c r="M311" s="10">
        <f t="shared" ref="M311:M319" si="46">L311+ABS($N$2)*A311</f>
        <v>0.20235310854186572</v>
      </c>
      <c r="P311" s="8">
        <f t="shared" ref="P311:P319" si="47">(M311-$O$2)/$O$2*100</f>
        <v>24.804296587461838</v>
      </c>
    </row>
    <row r="312" spans="1:16" x14ac:dyDescent="0.2">
      <c r="A312" s="8">
        <v>155</v>
      </c>
      <c r="B312" s="8">
        <v>310</v>
      </c>
      <c r="D312">
        <v>2661.2548661801002</v>
      </c>
      <c r="E312">
        <v>561.99695863747002</v>
      </c>
      <c r="F312">
        <v>146.97272727273</v>
      </c>
      <c r="G312">
        <v>120.58484848485</v>
      </c>
      <c r="I312" s="9">
        <f t="shared" si="44"/>
        <v>441.41211015262002</v>
      </c>
      <c r="J312" s="9">
        <f t="shared" si="45"/>
        <v>2514.2821389073702</v>
      </c>
      <c r="K312" s="9">
        <f t="shared" si="31"/>
        <v>441.41211015262002</v>
      </c>
      <c r="L312" s="10">
        <f t="shared" si="30"/>
        <v>0.17556188437326456</v>
      </c>
      <c r="M312" s="10">
        <f t="shared" si="46"/>
        <v>0.20417218761196612</v>
      </c>
      <c r="N312" s="1"/>
      <c r="P312" s="8">
        <f t="shared" si="47"/>
        <v>25.926240724701934</v>
      </c>
    </row>
    <row r="313" spans="1:16" x14ac:dyDescent="0.2">
      <c r="A313" s="8">
        <v>155.5</v>
      </c>
      <c r="B313" s="8">
        <v>311</v>
      </c>
      <c r="D313">
        <v>2688.6289537713001</v>
      </c>
      <c r="E313">
        <v>566.79014598540004</v>
      </c>
      <c r="F313">
        <v>147.31878787879</v>
      </c>
      <c r="G313">
        <v>120.51515151515</v>
      </c>
      <c r="I313" s="9">
        <f t="shared" si="44"/>
        <v>446.27499447025002</v>
      </c>
      <c r="J313" s="9">
        <f t="shared" si="45"/>
        <v>2541.3101658925102</v>
      </c>
      <c r="K313" s="9">
        <f t="shared" si="31"/>
        <v>446.27499447025002</v>
      </c>
      <c r="L313" s="10">
        <f t="shared" si="30"/>
        <v>0.17560823564939304</v>
      </c>
      <c r="M313" s="10">
        <f t="shared" si="46"/>
        <v>0.20431083018886462</v>
      </c>
      <c r="P313" s="8">
        <f t="shared" si="47"/>
        <v>26.011750601034322</v>
      </c>
    </row>
    <row r="314" spans="1:16" x14ac:dyDescent="0.2">
      <c r="A314" s="8">
        <v>156</v>
      </c>
      <c r="B314" s="8">
        <v>312</v>
      </c>
      <c r="D314">
        <v>2697.2268856447999</v>
      </c>
      <c r="E314">
        <v>572.40510948905001</v>
      </c>
      <c r="F314">
        <v>147.13272727272999</v>
      </c>
      <c r="G314">
        <v>120.53151515152</v>
      </c>
      <c r="I314" s="9">
        <f t="shared" si="44"/>
        <v>451.87359433752999</v>
      </c>
      <c r="J314" s="9">
        <f t="shared" si="45"/>
        <v>2550.0941583720701</v>
      </c>
      <c r="K314" s="9">
        <f t="shared" si="31"/>
        <v>451.87359433752999</v>
      </c>
      <c r="L314" s="10">
        <f t="shared" si="30"/>
        <v>0.17719878807376949</v>
      </c>
      <c r="M314" s="10">
        <f t="shared" si="46"/>
        <v>0.20599367391401108</v>
      </c>
      <c r="P314" s="8">
        <f t="shared" si="47"/>
        <v>27.049669558133395</v>
      </c>
    </row>
    <row r="315" spans="1:16" x14ac:dyDescent="0.2">
      <c r="A315" s="8">
        <v>156.5</v>
      </c>
      <c r="B315" s="8">
        <v>313</v>
      </c>
      <c r="D315">
        <v>2780.7518248175002</v>
      </c>
      <c r="E315">
        <v>598.57664233576998</v>
      </c>
      <c r="F315">
        <v>147.40242424242001</v>
      </c>
      <c r="G315">
        <v>120.18969696969999</v>
      </c>
      <c r="I315" s="9">
        <f t="shared" si="44"/>
        <v>478.38694536606999</v>
      </c>
      <c r="J315" s="9">
        <f t="shared" si="45"/>
        <v>2633.3494005750799</v>
      </c>
      <c r="K315" s="9">
        <f t="shared" si="31"/>
        <v>478.38694536606999</v>
      </c>
      <c r="L315" s="10">
        <f t="shared" si="30"/>
        <v>0.18166482019499508</v>
      </c>
      <c r="M315" s="10">
        <f t="shared" si="46"/>
        <v>0.21055199733600666</v>
      </c>
      <c r="P315" s="8">
        <f t="shared" si="47"/>
        <v>29.861083488958222</v>
      </c>
    </row>
    <row r="316" spans="1:16" x14ac:dyDescent="0.2">
      <c r="A316" s="8">
        <v>157</v>
      </c>
      <c r="B316" s="8">
        <v>314</v>
      </c>
      <c r="D316">
        <v>2695.0504559270998</v>
      </c>
      <c r="E316">
        <v>581.23039513677998</v>
      </c>
      <c r="F316">
        <v>147.61818181818001</v>
      </c>
      <c r="G316">
        <v>120.34606060606001</v>
      </c>
      <c r="I316" s="9">
        <f t="shared" si="44"/>
        <v>460.88433453071997</v>
      </c>
      <c r="J316" s="9">
        <f t="shared" si="45"/>
        <v>2547.43227410892</v>
      </c>
      <c r="K316" s="9">
        <f t="shared" si="31"/>
        <v>460.88433453071997</v>
      </c>
      <c r="L316" s="10">
        <f t="shared" si="30"/>
        <v>0.18092113349389638</v>
      </c>
      <c r="M316" s="10">
        <f t="shared" si="46"/>
        <v>0.20990060193567797</v>
      </c>
      <c r="P316" s="8">
        <f t="shared" si="47"/>
        <v>29.459325664113589</v>
      </c>
    </row>
    <row r="317" spans="1:16" x14ac:dyDescent="0.2">
      <c r="A317" s="8">
        <v>157.5</v>
      </c>
      <c r="B317" s="8">
        <v>315</v>
      </c>
      <c r="D317">
        <v>2540.5617021276998</v>
      </c>
      <c r="E317">
        <v>556.83890577507998</v>
      </c>
      <c r="F317">
        <v>147.71151515151999</v>
      </c>
      <c r="G317">
        <v>119.97757575758</v>
      </c>
      <c r="I317" s="9">
        <f t="shared" si="44"/>
        <v>436.86133001749999</v>
      </c>
      <c r="J317" s="9">
        <f t="shared" si="45"/>
        <v>2392.8501869761799</v>
      </c>
      <c r="K317" s="9">
        <f t="shared" si="31"/>
        <v>436.86133001749999</v>
      </c>
      <c r="L317" s="10">
        <f t="shared" si="30"/>
        <v>0.18256944475473291</v>
      </c>
      <c r="M317" s="10">
        <f t="shared" si="46"/>
        <v>0.21164120449728452</v>
      </c>
      <c r="P317" s="8">
        <f t="shared" si="47"/>
        <v>30.532868244729272</v>
      </c>
    </row>
    <row r="318" spans="1:16" x14ac:dyDescent="0.2">
      <c r="A318" s="8">
        <v>158</v>
      </c>
      <c r="B318" s="8">
        <v>316</v>
      </c>
      <c r="D318">
        <v>2683.5483282675</v>
      </c>
      <c r="E318">
        <v>580.69969604863002</v>
      </c>
      <c r="F318">
        <v>146.75090909091</v>
      </c>
      <c r="G318">
        <v>120.19333333333</v>
      </c>
      <c r="I318" s="9">
        <f t="shared" si="44"/>
        <v>460.50636271530004</v>
      </c>
      <c r="J318" s="9">
        <f t="shared" si="45"/>
        <v>2536.7974191765898</v>
      </c>
      <c r="K318" s="9">
        <f t="shared" si="31"/>
        <v>460.50636271530004</v>
      </c>
      <c r="L318" s="10">
        <f t="shared" si="30"/>
        <v>0.18153060202370208</v>
      </c>
      <c r="M318" s="10">
        <f t="shared" si="46"/>
        <v>0.21069465306702367</v>
      </c>
      <c r="P318" s="8">
        <f t="shared" si="47"/>
        <v>29.949068537925562</v>
      </c>
    </row>
    <row r="319" spans="1:16" x14ac:dyDescent="0.2">
      <c r="A319" s="8">
        <v>158.5</v>
      </c>
      <c r="B319" s="8">
        <v>317</v>
      </c>
      <c r="D319">
        <v>2714.7817629178999</v>
      </c>
      <c r="E319">
        <v>589.38115501519997</v>
      </c>
      <c r="F319">
        <v>147.16181818182</v>
      </c>
      <c r="G319">
        <v>120.15939393939</v>
      </c>
      <c r="I319" s="9">
        <f t="shared" si="44"/>
        <v>469.22176107580998</v>
      </c>
      <c r="J319" s="9">
        <f t="shared" si="45"/>
        <v>2567.61994473608</v>
      </c>
      <c r="K319" s="9">
        <f t="shared" si="31"/>
        <v>469.22176107580998</v>
      </c>
      <c r="L319" s="10">
        <f t="shared" si="30"/>
        <v>0.18274580006973745</v>
      </c>
      <c r="M319" s="10">
        <f t="shared" si="46"/>
        <v>0.21200214241382906</v>
      </c>
      <c r="P319" s="8">
        <f t="shared" si="47"/>
        <v>30.755482086002505</v>
      </c>
    </row>
    <row r="320" spans="1:16" x14ac:dyDescent="0.2">
      <c r="A320" s="8">
        <v>159</v>
      </c>
      <c r="B320" s="8">
        <v>318</v>
      </c>
      <c r="D320">
        <v>2759.3683890578</v>
      </c>
      <c r="E320">
        <v>601.72401215805996</v>
      </c>
      <c r="F320">
        <v>147.24121212121</v>
      </c>
      <c r="G320">
        <v>120.07151515152</v>
      </c>
      <c r="I320" s="9">
        <f>E320-G320</f>
        <v>481.65249700653999</v>
      </c>
      <c r="J320" s="9">
        <f>D320-F320</f>
        <v>2612.1271769365899</v>
      </c>
      <c r="K320" s="9">
        <f t="shared" si="31"/>
        <v>481.65249700653999</v>
      </c>
      <c r="L320" s="10">
        <f t="shared" si="30"/>
        <v>0.18439090610105935</v>
      </c>
      <c r="M320" s="10">
        <f>L320+ABS($N$2)*A320</f>
        <v>0.21373953974592097</v>
      </c>
      <c r="O320" s="11"/>
      <c r="P320" s="8">
        <f>(M320-$O$2)/$O$2*100</f>
        <v>31.827047793528084</v>
      </c>
    </row>
    <row r="321" spans="1:16" x14ac:dyDescent="0.2">
      <c r="A321" s="8">
        <v>159.5</v>
      </c>
      <c r="B321" s="8">
        <v>319</v>
      </c>
      <c r="D321">
        <v>2769.8474164134</v>
      </c>
      <c r="E321">
        <v>609.46504559271</v>
      </c>
      <c r="F321">
        <v>147.04</v>
      </c>
      <c r="G321">
        <v>120.14909090909001</v>
      </c>
      <c r="I321" s="9">
        <f t="shared" ref="I321:I322" si="48">E321-G321</f>
        <v>489.31595468362002</v>
      </c>
      <c r="J321" s="9">
        <f t="shared" ref="J321:J322" si="49">D321-F321</f>
        <v>2622.8074164134</v>
      </c>
      <c r="K321" s="9">
        <f t="shared" si="31"/>
        <v>489.31595468362002</v>
      </c>
      <c r="L321" s="10">
        <f t="shared" si="30"/>
        <v>0.18656190752759994</v>
      </c>
      <c r="M321" s="10">
        <f t="shared" ref="M321:M322" si="50">L321+ABS($N$2)*A321</f>
        <v>0.21600283247323154</v>
      </c>
      <c r="P321" s="8">
        <f t="shared" ref="P321:P322" si="51">(M321-$O$2)/$O$2*100</f>
        <v>33.222967326659806</v>
      </c>
    </row>
    <row r="322" spans="1:16" x14ac:dyDescent="0.2">
      <c r="A322" s="8">
        <v>160</v>
      </c>
      <c r="B322" s="8">
        <v>320</v>
      </c>
      <c r="D322">
        <v>2752.1130699087998</v>
      </c>
      <c r="E322">
        <v>594.88389057750999</v>
      </c>
      <c r="F322">
        <v>146.70484848485</v>
      </c>
      <c r="G322">
        <v>120.32060606061</v>
      </c>
      <c r="I322" s="9">
        <f t="shared" si="48"/>
        <v>474.56328451690001</v>
      </c>
      <c r="J322" s="9">
        <f t="shared" si="49"/>
        <v>2605.4082214239497</v>
      </c>
      <c r="K322" s="9">
        <f t="shared" ref="K322" si="52">I322*1</f>
        <v>474.56328451690001</v>
      </c>
      <c r="L322" s="10">
        <f t="shared" ref="L322" si="53">K322/J322</f>
        <v>0.18214546212552213</v>
      </c>
      <c r="M322" s="10">
        <f t="shared" si="50"/>
        <v>0.21167867837192375</v>
      </c>
      <c r="P322" s="8">
        <f t="shared" si="51"/>
        <v>30.555980815613193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FA94-F5CD-234C-A351-81E254FF4BD0}">
  <dimension ref="A1:Y798"/>
  <sheetViews>
    <sheetView topLeftCell="F1" zoomScale="75" zoomScaleNormal="70" workbookViewId="0">
      <selection activeCell="P2" sqref="P2:P321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1380.9677419355</v>
      </c>
      <c r="E2">
        <v>322.89802289281999</v>
      </c>
      <c r="F2">
        <v>133.55194123819999</v>
      </c>
      <c r="G2">
        <v>114.31689401889</v>
      </c>
      <c r="H2" s="4"/>
      <c r="I2" s="5">
        <f>E2-G2</f>
        <v>208.58112887393</v>
      </c>
      <c r="J2" s="5">
        <f>D2-F2</f>
        <v>1247.4158006973</v>
      </c>
      <c r="K2" s="9">
        <f>I2*1</f>
        <v>208.58112887393</v>
      </c>
      <c r="L2" s="6">
        <f t="shared" ref="L2:L65" si="0">K2/J2</f>
        <v>0.16721058748601234</v>
      </c>
      <c r="M2" s="6">
        <f>L2+ABS($N$2)*A2</f>
        <v>0.16721058748601234</v>
      </c>
      <c r="N2" s="4">
        <f>LINEST(V64:V103,U64:U103)</f>
        <v>-4.1166449390144534E-5</v>
      </c>
      <c r="O2" s="7">
        <f>AVERAGE(M62:M81)</f>
        <v>0.14034924389895403</v>
      </c>
      <c r="P2" s="4">
        <f>(M2-$O$2)/$O$2*100</f>
        <v>19.138930029717454</v>
      </c>
    </row>
    <row r="3" spans="1:16" x14ac:dyDescent="0.2">
      <c r="A3" s="8">
        <v>0.5</v>
      </c>
      <c r="B3" s="8">
        <v>1</v>
      </c>
      <c r="D3">
        <v>1373.5015608741001</v>
      </c>
      <c r="E3">
        <v>321.37148803330001</v>
      </c>
      <c r="F3">
        <v>132.95907660021001</v>
      </c>
      <c r="G3">
        <v>114.57187827912</v>
      </c>
      <c r="I3" s="9">
        <f t="shared" ref="I3:I66" si="1">E3-G3</f>
        <v>206.79960975418001</v>
      </c>
      <c r="J3" s="9">
        <f t="shared" ref="J3:J66" si="2">D3-F3</f>
        <v>1240.5424842738901</v>
      </c>
      <c r="K3" s="9">
        <f t="shared" ref="K3:K66" si="3">I3*1</f>
        <v>206.79960975418001</v>
      </c>
      <c r="L3" s="10">
        <f t="shared" si="0"/>
        <v>0.16670094928286414</v>
      </c>
      <c r="M3" s="10">
        <f t="shared" ref="M3:M66" si="4">L3+ABS($N$2)*A3</f>
        <v>0.16672153250755919</v>
      </c>
      <c r="P3" s="8">
        <f t="shared" ref="P3:P66" si="5">(M3-$O$2)/$O$2*100</f>
        <v>18.790474302513648</v>
      </c>
    </row>
    <row r="4" spans="1:16" ht="16" x14ac:dyDescent="0.2">
      <c r="A4" s="8">
        <v>1</v>
      </c>
      <c r="B4" s="8">
        <v>2</v>
      </c>
      <c r="D4">
        <v>1383.3548387097001</v>
      </c>
      <c r="E4">
        <v>320.8220603538</v>
      </c>
      <c r="F4">
        <v>132.97271773347001</v>
      </c>
      <c r="G4">
        <v>114.10703043021999</v>
      </c>
      <c r="I4" s="9">
        <f t="shared" si="1"/>
        <v>206.71502992358</v>
      </c>
      <c r="J4" s="9">
        <f t="shared" si="2"/>
        <v>1250.38212097623</v>
      </c>
      <c r="K4" s="9">
        <f t="shared" si="3"/>
        <v>206.71502992358</v>
      </c>
      <c r="L4" s="10">
        <f t="shared" si="0"/>
        <v>0.1653214856928602</v>
      </c>
      <c r="M4" s="10">
        <f t="shared" si="4"/>
        <v>0.16536265214225035</v>
      </c>
      <c r="N4" s="1" t="s">
        <v>7</v>
      </c>
      <c r="P4" s="8">
        <f t="shared" si="5"/>
        <v>17.822260774917311</v>
      </c>
    </row>
    <row r="5" spans="1:16" x14ac:dyDescent="0.2">
      <c r="A5" s="8">
        <v>1.5</v>
      </c>
      <c r="B5" s="8">
        <v>3</v>
      </c>
      <c r="D5">
        <v>1388.3277835588001</v>
      </c>
      <c r="E5">
        <v>323.49843912591001</v>
      </c>
      <c r="F5">
        <v>133.52885624344</v>
      </c>
      <c r="G5">
        <v>114.76705141658</v>
      </c>
      <c r="I5" s="9">
        <f t="shared" si="1"/>
        <v>208.73138770933002</v>
      </c>
      <c r="J5" s="9">
        <f t="shared" si="2"/>
        <v>1254.7989273153601</v>
      </c>
      <c r="K5" s="9">
        <f t="shared" si="3"/>
        <v>208.73138770933002</v>
      </c>
      <c r="L5" s="10">
        <f t="shared" si="0"/>
        <v>0.16634648242480604</v>
      </c>
      <c r="M5" s="10">
        <f t="shared" si="4"/>
        <v>0.16640823209889125</v>
      </c>
      <c r="N5" s="8">
        <f>RSQ(V64:V83,U64:U83)</f>
        <v>0.92020968912289414</v>
      </c>
      <c r="P5" s="8">
        <f t="shared" si="5"/>
        <v>18.567245163571144</v>
      </c>
    </row>
    <row r="6" spans="1:16" x14ac:dyDescent="0.2">
      <c r="A6" s="8">
        <v>2</v>
      </c>
      <c r="B6" s="8">
        <v>4</v>
      </c>
      <c r="D6">
        <v>1366.8022892819999</v>
      </c>
      <c r="E6">
        <v>318.91259105098999</v>
      </c>
      <c r="F6">
        <v>133.4333683106</v>
      </c>
      <c r="G6">
        <v>114.740818468</v>
      </c>
      <c r="I6" s="9">
        <f t="shared" si="1"/>
        <v>204.17177258299</v>
      </c>
      <c r="J6" s="9">
        <f t="shared" si="2"/>
        <v>1233.3689209714</v>
      </c>
      <c r="K6" s="9">
        <f t="shared" si="3"/>
        <v>204.17177258299</v>
      </c>
      <c r="L6" s="10">
        <f t="shared" si="0"/>
        <v>0.16553990384497813</v>
      </c>
      <c r="M6" s="10">
        <f t="shared" si="4"/>
        <v>0.16562223674375842</v>
      </c>
      <c r="P6" s="8">
        <f t="shared" si="5"/>
        <v>18.007216955867573</v>
      </c>
    </row>
    <row r="7" spans="1:16" x14ac:dyDescent="0.2">
      <c r="A7" s="8">
        <v>2.5</v>
      </c>
      <c r="B7" s="8">
        <v>5</v>
      </c>
      <c r="D7">
        <v>1386.4672216440999</v>
      </c>
      <c r="E7">
        <v>322.41831425598002</v>
      </c>
      <c r="F7">
        <v>133.12696747114001</v>
      </c>
      <c r="G7">
        <v>114.97271773347001</v>
      </c>
      <c r="I7" s="9">
        <f t="shared" si="1"/>
        <v>207.44559652251002</v>
      </c>
      <c r="J7" s="9">
        <f t="shared" si="2"/>
        <v>1253.3402541729599</v>
      </c>
      <c r="K7" s="9">
        <f t="shared" si="3"/>
        <v>207.44559652251002</v>
      </c>
      <c r="L7" s="10">
        <f t="shared" si="0"/>
        <v>0.16551418964788367</v>
      </c>
      <c r="M7" s="10">
        <f t="shared" si="4"/>
        <v>0.16561710577135902</v>
      </c>
      <c r="P7" s="8">
        <f t="shared" si="5"/>
        <v>18.003561095488948</v>
      </c>
    </row>
    <row r="8" spans="1:16" x14ac:dyDescent="0.2">
      <c r="A8" s="8">
        <v>3</v>
      </c>
      <c r="B8" s="8">
        <v>6</v>
      </c>
      <c r="D8">
        <v>1519.2976066597</v>
      </c>
      <c r="E8">
        <v>332.31217481789997</v>
      </c>
      <c r="F8">
        <v>132.94018887723001</v>
      </c>
      <c r="G8">
        <v>114.35362014691</v>
      </c>
      <c r="I8" s="9">
        <f t="shared" si="1"/>
        <v>217.95855467098997</v>
      </c>
      <c r="J8" s="9">
        <f t="shared" si="2"/>
        <v>1386.3574177824701</v>
      </c>
      <c r="K8" s="9">
        <f t="shared" si="3"/>
        <v>217.95855467098997</v>
      </c>
      <c r="L8" s="10">
        <f t="shared" si="0"/>
        <v>0.15721671184882663</v>
      </c>
      <c r="M8" s="10">
        <f t="shared" si="4"/>
        <v>0.15734021119699707</v>
      </c>
      <c r="P8" s="8">
        <f t="shared" si="5"/>
        <v>12.106205082426994</v>
      </c>
    </row>
    <row r="9" spans="1:16" x14ac:dyDescent="0.2">
      <c r="A9" s="8">
        <v>3.5</v>
      </c>
      <c r="B9" s="8">
        <v>7</v>
      </c>
      <c r="D9">
        <v>1486.05723205</v>
      </c>
      <c r="E9">
        <v>327.95733610821998</v>
      </c>
      <c r="F9">
        <v>133.05351521511</v>
      </c>
      <c r="G9">
        <v>114.60230849948</v>
      </c>
      <c r="I9" s="9">
        <f t="shared" si="1"/>
        <v>213.35502760873999</v>
      </c>
      <c r="J9" s="9">
        <f t="shared" si="2"/>
        <v>1353.0037168348899</v>
      </c>
      <c r="K9" s="9">
        <f t="shared" si="3"/>
        <v>213.35502760873999</v>
      </c>
      <c r="L9" s="10">
        <f t="shared" si="0"/>
        <v>0.15768990502690258</v>
      </c>
      <c r="M9" s="10">
        <f t="shared" si="4"/>
        <v>0.15783398759976808</v>
      </c>
      <c r="P9" s="8">
        <f t="shared" si="5"/>
        <v>12.458024863605518</v>
      </c>
    </row>
    <row r="10" spans="1:16" x14ac:dyDescent="0.2">
      <c r="A10" s="8">
        <v>4</v>
      </c>
      <c r="B10" s="8">
        <v>8</v>
      </c>
      <c r="D10">
        <v>1643.8535825545</v>
      </c>
      <c r="E10">
        <v>345.05919003115002</v>
      </c>
      <c r="F10">
        <v>132.95592864637999</v>
      </c>
      <c r="G10">
        <v>114.72193074502</v>
      </c>
      <c r="I10" s="9">
        <f t="shared" si="1"/>
        <v>230.33725928613001</v>
      </c>
      <c r="J10" s="9">
        <f t="shared" si="2"/>
        <v>1510.89765390812</v>
      </c>
      <c r="K10" s="9">
        <f t="shared" si="3"/>
        <v>230.33725928613001</v>
      </c>
      <c r="L10" s="10">
        <f t="shared" si="0"/>
        <v>0.152450603580153</v>
      </c>
      <c r="M10" s="10">
        <f t="shared" si="4"/>
        <v>0.15261526937771358</v>
      </c>
      <c r="P10" s="8">
        <f t="shared" si="5"/>
        <v>8.7396448587857041</v>
      </c>
    </row>
    <row r="11" spans="1:16" x14ac:dyDescent="0.2">
      <c r="A11" s="8">
        <v>4.5</v>
      </c>
      <c r="B11" s="8">
        <v>9</v>
      </c>
      <c r="D11">
        <v>1769.8326403326</v>
      </c>
      <c r="E11">
        <v>358.66008316007998</v>
      </c>
      <c r="F11">
        <v>133.60335781742</v>
      </c>
      <c r="G11">
        <v>114.5981112277</v>
      </c>
      <c r="I11" s="9">
        <f t="shared" si="1"/>
        <v>244.06197193237998</v>
      </c>
      <c r="J11" s="9">
        <f t="shared" si="2"/>
        <v>1636.2292825151801</v>
      </c>
      <c r="K11" s="9">
        <f t="shared" si="3"/>
        <v>244.06197193237998</v>
      </c>
      <c r="L11" s="10">
        <f t="shared" si="0"/>
        <v>0.14916122974966725</v>
      </c>
      <c r="M11" s="10">
        <f t="shared" si="4"/>
        <v>0.14934647877192289</v>
      </c>
      <c r="P11" s="8">
        <f t="shared" si="5"/>
        <v>6.4106044486043068</v>
      </c>
    </row>
    <row r="12" spans="1:16" x14ac:dyDescent="0.2">
      <c r="A12" s="8">
        <v>5</v>
      </c>
      <c r="B12" s="8">
        <v>10</v>
      </c>
      <c r="D12">
        <v>1835.9636174636</v>
      </c>
      <c r="E12">
        <v>359.16112266111998</v>
      </c>
      <c r="F12">
        <v>132.37250786989</v>
      </c>
      <c r="G12">
        <v>114.57292759706</v>
      </c>
      <c r="I12" s="9">
        <f t="shared" si="1"/>
        <v>244.58819506405996</v>
      </c>
      <c r="J12" s="9">
        <f t="shared" si="2"/>
        <v>1703.5911095937099</v>
      </c>
      <c r="K12" s="9">
        <f t="shared" si="3"/>
        <v>244.58819506405996</v>
      </c>
      <c r="L12" s="10">
        <f t="shared" si="0"/>
        <v>0.14357212460588145</v>
      </c>
      <c r="M12" s="10">
        <f t="shared" si="4"/>
        <v>0.14377795685283218</v>
      </c>
      <c r="P12" s="8">
        <f t="shared" si="5"/>
        <v>2.4429864092083622</v>
      </c>
    </row>
    <row r="13" spans="1:16" x14ac:dyDescent="0.2">
      <c r="A13" s="8">
        <v>5.5</v>
      </c>
      <c r="B13" s="8">
        <v>11</v>
      </c>
      <c r="D13">
        <v>1892.6383647799</v>
      </c>
      <c r="E13">
        <v>365.38679245282998</v>
      </c>
      <c r="F13">
        <v>133.32214060859999</v>
      </c>
      <c r="G13">
        <v>114.58132214061</v>
      </c>
      <c r="I13" s="9">
        <f t="shared" si="1"/>
        <v>250.80547031222</v>
      </c>
      <c r="J13" s="9">
        <f t="shared" si="2"/>
        <v>1759.3162241713001</v>
      </c>
      <c r="K13" s="9">
        <f t="shared" si="3"/>
        <v>250.80547031222</v>
      </c>
      <c r="L13" s="10">
        <f t="shared" si="0"/>
        <v>0.14255849338873586</v>
      </c>
      <c r="M13" s="10">
        <f t="shared" si="4"/>
        <v>0.14278490886038164</v>
      </c>
      <c r="P13" s="8">
        <f t="shared" si="5"/>
        <v>1.7354314806150233</v>
      </c>
    </row>
    <row r="14" spans="1:16" x14ac:dyDescent="0.2">
      <c r="A14" s="8">
        <v>6</v>
      </c>
      <c r="B14" s="8">
        <v>12</v>
      </c>
      <c r="D14">
        <v>1963.1602497399001</v>
      </c>
      <c r="E14">
        <v>376.28407908429</v>
      </c>
      <c r="F14">
        <v>133.25603357816999</v>
      </c>
      <c r="G14">
        <v>114.31899265477</v>
      </c>
      <c r="I14" s="9">
        <f t="shared" si="1"/>
        <v>261.96508642952</v>
      </c>
      <c r="J14" s="9">
        <f t="shared" si="2"/>
        <v>1829.9042161617301</v>
      </c>
      <c r="K14" s="9">
        <f t="shared" si="3"/>
        <v>261.96508642952</v>
      </c>
      <c r="L14" s="10">
        <f t="shared" si="0"/>
        <v>0.14315781346140527</v>
      </c>
      <c r="M14" s="10">
        <f t="shared" si="4"/>
        <v>0.14340481215774614</v>
      </c>
      <c r="P14" s="8">
        <f t="shared" si="5"/>
        <v>2.1771177199871468</v>
      </c>
    </row>
    <row r="15" spans="1:16" x14ac:dyDescent="0.2">
      <c r="A15" s="8">
        <v>6.5</v>
      </c>
      <c r="B15" s="8">
        <v>13</v>
      </c>
      <c r="D15">
        <v>1918.5460251045999</v>
      </c>
      <c r="E15">
        <v>372.08577405858</v>
      </c>
      <c r="F15">
        <v>133.20881427072001</v>
      </c>
      <c r="G15">
        <v>114.9611752361</v>
      </c>
      <c r="I15" s="9">
        <f t="shared" si="1"/>
        <v>257.12459882247998</v>
      </c>
      <c r="J15" s="9">
        <f t="shared" si="2"/>
        <v>1785.3372108338799</v>
      </c>
      <c r="K15" s="9">
        <f t="shared" si="3"/>
        <v>257.12459882247998</v>
      </c>
      <c r="L15" s="10">
        <f t="shared" si="0"/>
        <v>0.14402018692165411</v>
      </c>
      <c r="M15" s="10">
        <f t="shared" si="4"/>
        <v>0.14428776884269004</v>
      </c>
      <c r="P15" s="8">
        <f t="shared" si="5"/>
        <v>2.8062316791471913</v>
      </c>
    </row>
    <row r="16" spans="1:16" x14ac:dyDescent="0.2">
      <c r="A16" s="8">
        <v>7</v>
      </c>
      <c r="B16" s="8">
        <v>14</v>
      </c>
      <c r="D16">
        <v>1923.4006276150999</v>
      </c>
      <c r="E16">
        <v>366.95920502092002</v>
      </c>
      <c r="F16">
        <v>132.59496327387001</v>
      </c>
      <c r="G16">
        <v>114.29380902413</v>
      </c>
      <c r="I16" s="9">
        <f t="shared" si="1"/>
        <v>252.66539599679004</v>
      </c>
      <c r="J16" s="9">
        <f t="shared" si="2"/>
        <v>1790.8056643412299</v>
      </c>
      <c r="K16" s="9">
        <f t="shared" si="3"/>
        <v>252.66539599679004</v>
      </c>
      <c r="L16" s="10">
        <f t="shared" si="0"/>
        <v>0.14109034890155775</v>
      </c>
      <c r="M16" s="10">
        <f t="shared" si="4"/>
        <v>0.14137851404728877</v>
      </c>
      <c r="P16" s="8">
        <f t="shared" si="5"/>
        <v>0.73336351500102592</v>
      </c>
    </row>
    <row r="17" spans="1:16" x14ac:dyDescent="0.2">
      <c r="A17" s="8">
        <v>7.5</v>
      </c>
      <c r="B17" s="8">
        <v>15</v>
      </c>
      <c r="D17">
        <v>1986.6530398323</v>
      </c>
      <c r="E17">
        <v>377.55136268344</v>
      </c>
      <c r="F17">
        <v>133.67681007345001</v>
      </c>
      <c r="G17">
        <v>114.55823714586001</v>
      </c>
      <c r="I17" s="9">
        <f t="shared" si="1"/>
        <v>262.99312553758</v>
      </c>
      <c r="J17" s="9">
        <f t="shared" si="2"/>
        <v>1852.97622975885</v>
      </c>
      <c r="K17" s="9">
        <f t="shared" si="3"/>
        <v>262.99312553758</v>
      </c>
      <c r="L17" s="10">
        <f t="shared" si="0"/>
        <v>0.14193011292530527</v>
      </c>
      <c r="M17" s="10">
        <f t="shared" si="4"/>
        <v>0.14223886129573135</v>
      </c>
      <c r="P17" s="8">
        <f t="shared" si="5"/>
        <v>1.3463680631851256</v>
      </c>
    </row>
    <row r="18" spans="1:16" x14ac:dyDescent="0.2">
      <c r="A18" s="8">
        <v>8</v>
      </c>
      <c r="B18" s="8">
        <v>16</v>
      </c>
      <c r="D18">
        <v>1981.3993710692</v>
      </c>
      <c r="E18">
        <v>379.97798742138002</v>
      </c>
      <c r="F18">
        <v>133.62644281217001</v>
      </c>
      <c r="G18">
        <v>114.29275970619</v>
      </c>
      <c r="I18" s="9">
        <f t="shared" si="1"/>
        <v>265.68522771519002</v>
      </c>
      <c r="J18" s="9">
        <f t="shared" si="2"/>
        <v>1847.7729282570299</v>
      </c>
      <c r="K18" s="9">
        <f t="shared" si="3"/>
        <v>265.68522771519002</v>
      </c>
      <c r="L18" s="10">
        <f t="shared" si="0"/>
        <v>0.14378673031312672</v>
      </c>
      <c r="M18" s="10">
        <f t="shared" si="4"/>
        <v>0.14411606190824788</v>
      </c>
      <c r="P18" s="8">
        <f t="shared" si="5"/>
        <v>2.6838890646292404</v>
      </c>
    </row>
    <row r="19" spans="1:16" x14ac:dyDescent="0.2">
      <c r="A19" s="8">
        <v>8.5</v>
      </c>
      <c r="B19" s="8">
        <v>17</v>
      </c>
      <c r="D19">
        <v>1937.6058700210001</v>
      </c>
      <c r="E19">
        <v>379.28511530397998</v>
      </c>
      <c r="F19">
        <v>133.40293809024001</v>
      </c>
      <c r="G19">
        <v>114.65687303253</v>
      </c>
      <c r="I19" s="9">
        <f t="shared" si="1"/>
        <v>264.62824227144995</v>
      </c>
      <c r="J19" s="9">
        <f t="shared" si="2"/>
        <v>1804.2029319307601</v>
      </c>
      <c r="K19" s="9">
        <f t="shared" si="3"/>
        <v>264.62824227144995</v>
      </c>
      <c r="L19" s="10">
        <f t="shared" si="0"/>
        <v>0.14667321374334491</v>
      </c>
      <c r="M19" s="10">
        <f t="shared" si="4"/>
        <v>0.14702312856316113</v>
      </c>
      <c r="P19" s="8">
        <f t="shared" si="5"/>
        <v>4.7551981605344684</v>
      </c>
    </row>
    <row r="20" spans="1:16" x14ac:dyDescent="0.2">
      <c r="A20" s="8">
        <v>9</v>
      </c>
      <c r="B20" s="8">
        <v>18</v>
      </c>
      <c r="D20">
        <v>1964.7610062893</v>
      </c>
      <c r="E20">
        <v>374.98742138364997</v>
      </c>
      <c r="F20">
        <v>133.19517313745999</v>
      </c>
      <c r="G20">
        <v>114.38090241342999</v>
      </c>
      <c r="I20" s="9">
        <f t="shared" si="1"/>
        <v>260.60651897022001</v>
      </c>
      <c r="J20" s="9">
        <f t="shared" si="2"/>
        <v>1831.56583315184</v>
      </c>
      <c r="K20" s="9">
        <f t="shared" si="3"/>
        <v>260.60651897022001</v>
      </c>
      <c r="L20" s="10">
        <f t="shared" si="0"/>
        <v>0.14228618718102898</v>
      </c>
      <c r="M20" s="10">
        <f t="shared" si="4"/>
        <v>0.14265668522554029</v>
      </c>
      <c r="P20" s="8">
        <f t="shared" si="5"/>
        <v>1.644071077609452</v>
      </c>
    </row>
    <row r="21" spans="1:16" x14ac:dyDescent="0.2">
      <c r="A21" s="8">
        <v>9.5</v>
      </c>
      <c r="B21" s="8">
        <v>19</v>
      </c>
      <c r="D21">
        <v>1965.6362683438001</v>
      </c>
      <c r="E21">
        <v>375.87735849056997</v>
      </c>
      <c r="F21">
        <v>133.54459601259001</v>
      </c>
      <c r="G21">
        <v>114.33158447008999</v>
      </c>
      <c r="I21" s="9">
        <f t="shared" si="1"/>
        <v>261.54577402048</v>
      </c>
      <c r="J21" s="9">
        <f t="shared" si="2"/>
        <v>1832.09167233121</v>
      </c>
      <c r="K21" s="9">
        <f t="shared" si="3"/>
        <v>261.54577402048</v>
      </c>
      <c r="L21" s="10">
        <f t="shared" si="0"/>
        <v>0.14275801695429416</v>
      </c>
      <c r="M21" s="10">
        <f t="shared" si="4"/>
        <v>0.14314909822350053</v>
      </c>
      <c r="P21" s="8">
        <f t="shared" si="5"/>
        <v>1.9949194215554713</v>
      </c>
    </row>
    <row r="22" spans="1:16" x14ac:dyDescent="0.2">
      <c r="A22" s="8">
        <v>10</v>
      </c>
      <c r="B22" s="8">
        <v>20</v>
      </c>
      <c r="D22">
        <v>1907.1876310273001</v>
      </c>
      <c r="E22">
        <v>376.84381551362998</v>
      </c>
      <c r="F22">
        <v>133.27387198321</v>
      </c>
      <c r="G22">
        <v>114.50996852046001</v>
      </c>
      <c r="I22" s="9">
        <f t="shared" si="1"/>
        <v>262.33384699316997</v>
      </c>
      <c r="J22" s="9">
        <f t="shared" si="2"/>
        <v>1773.9137590440901</v>
      </c>
      <c r="K22" s="9">
        <f t="shared" si="3"/>
        <v>262.33384699316997</v>
      </c>
      <c r="L22" s="10">
        <f t="shared" si="0"/>
        <v>0.14788421683731343</v>
      </c>
      <c r="M22" s="10">
        <f t="shared" si="4"/>
        <v>0.14829588133121488</v>
      </c>
      <c r="P22" s="8">
        <f t="shared" si="5"/>
        <v>5.6620450609496071</v>
      </c>
    </row>
    <row r="23" spans="1:16" x14ac:dyDescent="0.2">
      <c r="A23" s="8">
        <v>10.5</v>
      </c>
      <c r="B23" s="8">
        <v>21</v>
      </c>
      <c r="D23">
        <v>1909.5031446541</v>
      </c>
      <c r="E23">
        <v>375.11320754717002</v>
      </c>
      <c r="F23">
        <v>133.4018887723</v>
      </c>
      <c r="G23">
        <v>114.50577124869</v>
      </c>
      <c r="I23" s="9">
        <f t="shared" si="1"/>
        <v>260.60743629848002</v>
      </c>
      <c r="J23" s="9">
        <f t="shared" si="2"/>
        <v>1776.1012558817999</v>
      </c>
      <c r="K23" s="9">
        <f t="shared" si="3"/>
        <v>260.60743629848002</v>
      </c>
      <c r="L23" s="10">
        <f t="shared" si="0"/>
        <v>0.14673005575298323</v>
      </c>
      <c r="M23" s="10">
        <f t="shared" si="4"/>
        <v>0.14716230347157974</v>
      </c>
      <c r="P23" s="8">
        <f t="shared" si="5"/>
        <v>4.8543614367675847</v>
      </c>
    </row>
    <row r="24" spans="1:16" x14ac:dyDescent="0.2">
      <c r="A24" s="8">
        <v>11</v>
      </c>
      <c r="B24" s="8">
        <v>22</v>
      </c>
      <c r="D24">
        <v>1930.5849056604</v>
      </c>
      <c r="E24">
        <v>377.06289308176002</v>
      </c>
      <c r="F24">
        <v>133.62119622245999</v>
      </c>
      <c r="G24">
        <v>114.57292759706</v>
      </c>
      <c r="I24" s="9">
        <f t="shared" si="1"/>
        <v>262.48996548470001</v>
      </c>
      <c r="J24" s="9">
        <f t="shared" si="2"/>
        <v>1796.96370943794</v>
      </c>
      <c r="K24" s="9">
        <f t="shared" si="3"/>
        <v>262.48996548470001</v>
      </c>
      <c r="L24" s="10">
        <f t="shared" si="0"/>
        <v>0.14607416059993913</v>
      </c>
      <c r="M24" s="10">
        <f t="shared" si="4"/>
        <v>0.14652699154323073</v>
      </c>
      <c r="P24" s="8">
        <f t="shared" si="5"/>
        <v>4.4016964200565525</v>
      </c>
    </row>
    <row r="25" spans="1:16" x14ac:dyDescent="0.2">
      <c r="A25" s="8">
        <v>11.5</v>
      </c>
      <c r="B25" s="8">
        <v>23</v>
      </c>
      <c r="D25">
        <v>1930.6227979275</v>
      </c>
      <c r="E25">
        <v>370.14093264248999</v>
      </c>
      <c r="F25">
        <v>133.88562434418</v>
      </c>
      <c r="G25">
        <v>114.33263378804</v>
      </c>
      <c r="I25" s="9">
        <f t="shared" si="1"/>
        <v>255.80829885444999</v>
      </c>
      <c r="J25" s="9">
        <f t="shared" si="2"/>
        <v>1796.7371735833199</v>
      </c>
      <c r="K25" s="9">
        <f t="shared" si="3"/>
        <v>255.80829885444999</v>
      </c>
      <c r="L25" s="10">
        <f t="shared" si="0"/>
        <v>0.14237379991658944</v>
      </c>
      <c r="M25" s="10">
        <f t="shared" si="4"/>
        <v>0.1428472140845761</v>
      </c>
      <c r="P25" s="8">
        <f t="shared" si="5"/>
        <v>1.7798244694645466</v>
      </c>
    </row>
    <row r="26" spans="1:16" x14ac:dyDescent="0.2">
      <c r="A26" s="8">
        <v>12</v>
      </c>
      <c r="B26" s="8">
        <v>24</v>
      </c>
      <c r="D26">
        <v>1876.5357512953001</v>
      </c>
      <c r="E26">
        <v>372.25284974093</v>
      </c>
      <c r="F26">
        <v>132.97901364113</v>
      </c>
      <c r="G26">
        <v>114.20986358867</v>
      </c>
      <c r="I26" s="9">
        <f t="shared" si="1"/>
        <v>258.04298615226003</v>
      </c>
      <c r="J26" s="9">
        <f t="shared" si="2"/>
        <v>1743.5567376541701</v>
      </c>
      <c r="K26" s="9">
        <f t="shared" si="3"/>
        <v>258.04298615226003</v>
      </c>
      <c r="L26" s="10">
        <f t="shared" si="0"/>
        <v>0.14799804364235275</v>
      </c>
      <c r="M26" s="10">
        <f t="shared" si="4"/>
        <v>0.14849204103503449</v>
      </c>
      <c r="P26" s="8">
        <f t="shared" si="5"/>
        <v>5.8018104764019638</v>
      </c>
    </row>
    <row r="27" spans="1:16" x14ac:dyDescent="0.2">
      <c r="A27" s="8">
        <v>12.5</v>
      </c>
      <c r="B27" s="8">
        <v>25</v>
      </c>
      <c r="D27">
        <v>1885.3305699482</v>
      </c>
      <c r="E27">
        <v>371.52020725389002</v>
      </c>
      <c r="F27">
        <v>133.43651626443</v>
      </c>
      <c r="G27">
        <v>114.63378803777999</v>
      </c>
      <c r="I27" s="9">
        <f t="shared" si="1"/>
        <v>256.88641921611003</v>
      </c>
      <c r="J27" s="9">
        <f t="shared" si="2"/>
        <v>1751.8940536837699</v>
      </c>
      <c r="K27" s="9">
        <f t="shared" si="3"/>
        <v>256.88641921611003</v>
      </c>
      <c r="L27" s="10">
        <f t="shared" si="0"/>
        <v>0.14663353567297396</v>
      </c>
      <c r="M27" s="10">
        <f t="shared" si="4"/>
        <v>0.14714811629035077</v>
      </c>
      <c r="P27" s="8">
        <f t="shared" si="5"/>
        <v>4.8442529525072855</v>
      </c>
    </row>
    <row r="28" spans="1:16" x14ac:dyDescent="0.2">
      <c r="A28" s="8">
        <v>13</v>
      </c>
      <c r="B28" s="8">
        <v>26</v>
      </c>
      <c r="D28">
        <v>1907.0932642487001</v>
      </c>
      <c r="E28">
        <v>363.9378238342</v>
      </c>
      <c r="F28">
        <v>133.22770199370001</v>
      </c>
      <c r="G28">
        <v>114.65267576076</v>
      </c>
      <c r="I28" s="9">
        <f t="shared" si="1"/>
        <v>249.28514807343998</v>
      </c>
      <c r="J28" s="9">
        <f t="shared" si="2"/>
        <v>1773.865562255</v>
      </c>
      <c r="K28" s="9">
        <f t="shared" si="3"/>
        <v>249.28514807343998</v>
      </c>
      <c r="L28" s="10">
        <f t="shared" si="0"/>
        <v>0.14053215383275156</v>
      </c>
      <c r="M28" s="10">
        <f t="shared" si="4"/>
        <v>0.14106731767482344</v>
      </c>
      <c r="P28" s="8">
        <f t="shared" si="5"/>
        <v>0.51163351929875378</v>
      </c>
    </row>
    <row r="29" spans="1:16" x14ac:dyDescent="0.2">
      <c r="A29" s="8">
        <v>13.5</v>
      </c>
      <c r="B29" s="8">
        <v>27</v>
      </c>
      <c r="D29">
        <v>1899.1803108808001</v>
      </c>
      <c r="E29">
        <v>360.44455958549003</v>
      </c>
      <c r="F29">
        <v>133.39769150052999</v>
      </c>
      <c r="G29">
        <v>114.65372507870001</v>
      </c>
      <c r="I29" s="9">
        <f t="shared" si="1"/>
        <v>245.79083450679002</v>
      </c>
      <c r="J29" s="9">
        <f t="shared" si="2"/>
        <v>1765.78261938027</v>
      </c>
      <c r="K29" s="9">
        <f t="shared" si="3"/>
        <v>245.79083450679002</v>
      </c>
      <c r="L29" s="10">
        <f t="shared" si="0"/>
        <v>0.13919654198037937</v>
      </c>
      <c r="M29" s="10">
        <f t="shared" si="4"/>
        <v>0.13975228904714632</v>
      </c>
      <c r="P29" s="8">
        <f t="shared" si="5"/>
        <v>-0.42533528163322526</v>
      </c>
    </row>
    <row r="30" spans="1:16" x14ac:dyDescent="0.2">
      <c r="A30" s="8">
        <v>14</v>
      </c>
      <c r="B30" s="8">
        <v>28</v>
      </c>
      <c r="D30">
        <v>1978.6353305785001</v>
      </c>
      <c r="E30">
        <v>364.35537190082999</v>
      </c>
      <c r="F30">
        <v>132.97481636936001</v>
      </c>
      <c r="G30">
        <v>114.47534102833001</v>
      </c>
      <c r="I30" s="9">
        <f t="shared" si="1"/>
        <v>249.88003087249999</v>
      </c>
      <c r="J30" s="9">
        <f t="shared" si="2"/>
        <v>1845.66051420914</v>
      </c>
      <c r="K30" s="9">
        <f t="shared" si="3"/>
        <v>249.88003087249999</v>
      </c>
      <c r="L30" s="10">
        <f t="shared" si="0"/>
        <v>0.13538786193276331</v>
      </c>
      <c r="M30" s="10">
        <f t="shared" si="4"/>
        <v>0.13596419222422534</v>
      </c>
      <c r="P30" s="8">
        <f t="shared" si="5"/>
        <v>-3.1243856774075365</v>
      </c>
    </row>
    <row r="31" spans="1:16" x14ac:dyDescent="0.2">
      <c r="A31" s="8">
        <v>14.5</v>
      </c>
      <c r="B31" s="8">
        <v>29</v>
      </c>
      <c r="D31">
        <v>1987.9710743802</v>
      </c>
      <c r="E31">
        <v>365.09710743801998</v>
      </c>
      <c r="F31">
        <v>133.50367261279999</v>
      </c>
      <c r="G31">
        <v>114.53934942287999</v>
      </c>
      <c r="I31" s="9">
        <f t="shared" si="1"/>
        <v>250.55775801514</v>
      </c>
      <c r="J31" s="9">
        <f t="shared" si="2"/>
        <v>1854.4674017673999</v>
      </c>
      <c r="K31" s="9">
        <f t="shared" si="3"/>
        <v>250.55775801514</v>
      </c>
      <c r="L31" s="10">
        <f t="shared" si="0"/>
        <v>0.13511035986739156</v>
      </c>
      <c r="M31" s="10">
        <f t="shared" si="4"/>
        <v>0.13570727338354865</v>
      </c>
      <c r="P31" s="8">
        <f t="shared" si="5"/>
        <v>-3.307442481661973</v>
      </c>
    </row>
    <row r="32" spans="1:16" x14ac:dyDescent="0.2">
      <c r="A32" s="8">
        <v>15</v>
      </c>
      <c r="B32" s="8">
        <v>30</v>
      </c>
      <c r="D32">
        <v>1987.3935950412999</v>
      </c>
      <c r="E32">
        <v>366.66528925620003</v>
      </c>
      <c r="F32">
        <v>133.18992654773999</v>
      </c>
      <c r="G32">
        <v>114.1962224554</v>
      </c>
      <c r="I32" s="9">
        <f t="shared" si="1"/>
        <v>252.46906680080002</v>
      </c>
      <c r="J32" s="9">
        <f t="shared" si="2"/>
        <v>1854.2036684935599</v>
      </c>
      <c r="K32" s="9">
        <f t="shared" si="3"/>
        <v>252.46906680080002</v>
      </c>
      <c r="L32" s="10">
        <f t="shared" si="0"/>
        <v>0.13616037498508321</v>
      </c>
      <c r="M32" s="10">
        <f t="shared" si="4"/>
        <v>0.13677787172593539</v>
      </c>
      <c r="P32" s="8">
        <f t="shared" si="5"/>
        <v>-2.544632285721391</v>
      </c>
    </row>
    <row r="33" spans="1:16" x14ac:dyDescent="0.2">
      <c r="A33" s="8">
        <v>15.5</v>
      </c>
      <c r="B33" s="8">
        <v>31</v>
      </c>
      <c r="D33">
        <v>1988.1973140496</v>
      </c>
      <c r="E33">
        <v>364.31921487603</v>
      </c>
      <c r="F33">
        <v>132.69150052466</v>
      </c>
      <c r="G33">
        <v>114.30220356768</v>
      </c>
      <c r="I33" s="9">
        <f t="shared" si="1"/>
        <v>250.01701130834999</v>
      </c>
      <c r="J33" s="9">
        <f t="shared" si="2"/>
        <v>1855.5058135249401</v>
      </c>
      <c r="K33" s="9">
        <f t="shared" si="3"/>
        <v>250.01701130834999</v>
      </c>
      <c r="L33" s="10">
        <f t="shared" si="0"/>
        <v>0.13474331876836745</v>
      </c>
      <c r="M33" s="10">
        <f t="shared" si="4"/>
        <v>0.13538139873391469</v>
      </c>
      <c r="P33" s="8">
        <f t="shared" si="5"/>
        <v>-3.5396308715535341</v>
      </c>
    </row>
    <row r="34" spans="1:16" x14ac:dyDescent="0.2">
      <c r="A34" s="8">
        <v>16</v>
      </c>
      <c r="B34" s="8">
        <v>32</v>
      </c>
      <c r="D34">
        <v>1994.4679752065999</v>
      </c>
      <c r="E34">
        <v>369.06921487603</v>
      </c>
      <c r="F34">
        <v>132.67681007345001</v>
      </c>
      <c r="G34">
        <v>114.4018887723</v>
      </c>
      <c r="I34" s="9">
        <f t="shared" si="1"/>
        <v>254.66732610373001</v>
      </c>
      <c r="J34" s="9">
        <f t="shared" si="2"/>
        <v>1861.7911651331499</v>
      </c>
      <c r="K34" s="9">
        <f t="shared" si="3"/>
        <v>254.66732610373001</v>
      </c>
      <c r="L34" s="10">
        <f t="shared" si="0"/>
        <v>0.13678619324929331</v>
      </c>
      <c r="M34" s="10">
        <f t="shared" si="4"/>
        <v>0.13744485643953563</v>
      </c>
      <c r="P34" s="8">
        <f t="shared" si="5"/>
        <v>-2.0694001469002896</v>
      </c>
    </row>
    <row r="35" spans="1:16" x14ac:dyDescent="0.2">
      <c r="A35" s="8">
        <v>16.5</v>
      </c>
      <c r="B35" s="8">
        <v>33</v>
      </c>
      <c r="D35">
        <v>1999.1900826445999</v>
      </c>
      <c r="E35">
        <v>368.22107438017002</v>
      </c>
      <c r="F35">
        <v>132.99790136410999</v>
      </c>
      <c r="G35">
        <v>114.30849947534</v>
      </c>
      <c r="I35" s="9">
        <f t="shared" si="1"/>
        <v>253.91257490483002</v>
      </c>
      <c r="J35" s="9">
        <f t="shared" si="2"/>
        <v>1866.1921812804899</v>
      </c>
      <c r="K35" s="9">
        <f t="shared" si="3"/>
        <v>253.91257490483002</v>
      </c>
      <c r="L35" s="10">
        <f t="shared" si="0"/>
        <v>0.13605917839105275</v>
      </c>
      <c r="M35" s="10">
        <f t="shared" si="4"/>
        <v>0.13673842480599013</v>
      </c>
      <c r="P35" s="8">
        <f t="shared" si="5"/>
        <v>-2.5727385432610883</v>
      </c>
    </row>
    <row r="36" spans="1:16" x14ac:dyDescent="0.2">
      <c r="A36" s="8">
        <v>17</v>
      </c>
      <c r="B36" s="8">
        <v>34</v>
      </c>
      <c r="D36">
        <v>1957.3791322314</v>
      </c>
      <c r="E36">
        <v>370.83780991736</v>
      </c>
      <c r="F36">
        <v>132.76495278069001</v>
      </c>
      <c r="G36">
        <v>114.46274921301</v>
      </c>
      <c r="I36" s="9">
        <f t="shared" si="1"/>
        <v>256.37506070435001</v>
      </c>
      <c r="J36" s="9">
        <f t="shared" si="2"/>
        <v>1824.61417945071</v>
      </c>
      <c r="K36" s="9">
        <f t="shared" si="3"/>
        <v>256.37506070435001</v>
      </c>
      <c r="L36" s="10">
        <f t="shared" si="0"/>
        <v>0.14050919015741195</v>
      </c>
      <c r="M36" s="10">
        <f t="shared" si="4"/>
        <v>0.14120901979704439</v>
      </c>
      <c r="P36" s="8">
        <f t="shared" si="5"/>
        <v>0.61259745632072238</v>
      </c>
    </row>
    <row r="37" spans="1:16" x14ac:dyDescent="0.2">
      <c r="A37" s="8">
        <v>17.5</v>
      </c>
      <c r="B37" s="8">
        <v>35</v>
      </c>
      <c r="D37">
        <v>1930.0687499999999</v>
      </c>
      <c r="E37">
        <v>363.84687500000001</v>
      </c>
      <c r="F37">
        <v>133.4575026233</v>
      </c>
      <c r="G37">
        <v>114.58551941237999</v>
      </c>
      <c r="I37" s="9">
        <f t="shared" si="1"/>
        <v>249.26135558762002</v>
      </c>
      <c r="J37" s="9">
        <f t="shared" si="2"/>
        <v>1796.6112473766998</v>
      </c>
      <c r="K37" s="9">
        <f t="shared" si="3"/>
        <v>249.26135558762002</v>
      </c>
      <c r="L37" s="10">
        <f t="shared" si="0"/>
        <v>0.13873972789137104</v>
      </c>
      <c r="M37" s="10">
        <f t="shared" si="4"/>
        <v>0.13946014075569857</v>
      </c>
      <c r="P37" s="8">
        <f t="shared" si="5"/>
        <v>-0.63349336167110715</v>
      </c>
    </row>
    <row r="38" spans="1:16" x14ac:dyDescent="0.2">
      <c r="A38" s="8">
        <v>18</v>
      </c>
      <c r="B38" s="8">
        <v>36</v>
      </c>
      <c r="D38">
        <v>1848.3125</v>
      </c>
      <c r="E38">
        <v>364.76354166666999</v>
      </c>
      <c r="F38">
        <v>133.34312696747</v>
      </c>
      <c r="G38">
        <v>114.43126967470999</v>
      </c>
      <c r="I38" s="9">
        <f t="shared" si="1"/>
        <v>250.33227199196</v>
      </c>
      <c r="J38" s="9">
        <f t="shared" si="2"/>
        <v>1714.96937303253</v>
      </c>
      <c r="K38" s="9">
        <f t="shared" si="3"/>
        <v>250.33227199196</v>
      </c>
      <c r="L38" s="10">
        <f t="shared" si="0"/>
        <v>0.14596894610969338</v>
      </c>
      <c r="M38" s="10">
        <f t="shared" si="4"/>
        <v>0.14670994219871597</v>
      </c>
      <c r="P38" s="8">
        <f t="shared" si="5"/>
        <v>4.5320502790463122</v>
      </c>
    </row>
    <row r="39" spans="1:16" x14ac:dyDescent="0.2">
      <c r="A39" s="8">
        <v>18.5</v>
      </c>
      <c r="B39" s="8">
        <v>37</v>
      </c>
      <c r="D39">
        <v>1826.8153526971</v>
      </c>
      <c r="E39">
        <v>354.00829875519003</v>
      </c>
      <c r="F39">
        <v>133.44071353620001</v>
      </c>
      <c r="G39">
        <v>114.42077649527999</v>
      </c>
      <c r="I39" s="9">
        <f t="shared" si="1"/>
        <v>239.58752225991003</v>
      </c>
      <c r="J39" s="9">
        <f t="shared" si="2"/>
        <v>1693.3746391609</v>
      </c>
      <c r="K39" s="9">
        <f t="shared" si="3"/>
        <v>239.58752225991003</v>
      </c>
      <c r="L39" s="10">
        <f t="shared" si="0"/>
        <v>0.14148524296940593</v>
      </c>
      <c r="M39" s="10">
        <f t="shared" si="4"/>
        <v>0.1422468222831236</v>
      </c>
      <c r="P39" s="8">
        <f t="shared" si="5"/>
        <v>1.3520403327115538</v>
      </c>
    </row>
    <row r="40" spans="1:16" x14ac:dyDescent="0.2">
      <c r="A40" s="8">
        <v>19</v>
      </c>
      <c r="B40" s="8">
        <v>38</v>
      </c>
      <c r="D40">
        <v>1924.1931818181999</v>
      </c>
      <c r="E40">
        <v>362.54648760331003</v>
      </c>
      <c r="F40">
        <v>133.61909758657001</v>
      </c>
      <c r="G40">
        <v>114.58027282267</v>
      </c>
      <c r="I40" s="9">
        <f t="shared" si="1"/>
        <v>247.96621478064003</v>
      </c>
      <c r="J40" s="9">
        <f t="shared" si="2"/>
        <v>1790.57408423163</v>
      </c>
      <c r="K40" s="9">
        <f t="shared" si="3"/>
        <v>247.96621478064003</v>
      </c>
      <c r="L40" s="10">
        <f t="shared" si="0"/>
        <v>0.13848419731096864</v>
      </c>
      <c r="M40" s="10">
        <f t="shared" si="4"/>
        <v>0.13926635984938138</v>
      </c>
      <c r="P40" s="8">
        <f t="shared" si="5"/>
        <v>-0.77156386417891343</v>
      </c>
    </row>
    <row r="41" spans="1:16" x14ac:dyDescent="0.2">
      <c r="A41" s="8">
        <v>19.5</v>
      </c>
      <c r="B41" s="8">
        <v>39</v>
      </c>
      <c r="D41">
        <v>1989.1548117155</v>
      </c>
      <c r="E41">
        <v>363.05334728034001</v>
      </c>
      <c r="F41">
        <v>133.31269674711001</v>
      </c>
      <c r="G41">
        <v>114.64428121720999</v>
      </c>
      <c r="I41" s="9">
        <f t="shared" si="1"/>
        <v>248.40906606313001</v>
      </c>
      <c r="J41" s="9">
        <f t="shared" si="2"/>
        <v>1855.84211496839</v>
      </c>
      <c r="K41" s="9">
        <f t="shared" si="3"/>
        <v>248.40906606313001</v>
      </c>
      <c r="L41" s="10">
        <f t="shared" si="0"/>
        <v>0.13385247810660936</v>
      </c>
      <c r="M41" s="10">
        <f t="shared" si="4"/>
        <v>0.13465522386971718</v>
      </c>
      <c r="P41" s="8">
        <f t="shared" si="5"/>
        <v>-4.0570364834571739</v>
      </c>
    </row>
    <row r="42" spans="1:16" x14ac:dyDescent="0.2">
      <c r="A42" s="8">
        <v>20</v>
      </c>
      <c r="B42" s="8">
        <v>40</v>
      </c>
      <c r="D42">
        <v>1990.0857740586</v>
      </c>
      <c r="E42">
        <v>363.74686192468999</v>
      </c>
      <c r="F42">
        <v>132.83315844700999</v>
      </c>
      <c r="G42">
        <v>114.32214060859999</v>
      </c>
      <c r="I42" s="9">
        <f t="shared" si="1"/>
        <v>249.42472131609</v>
      </c>
      <c r="J42" s="9">
        <f t="shared" si="2"/>
        <v>1857.25261561159</v>
      </c>
      <c r="K42" s="9">
        <f t="shared" si="3"/>
        <v>249.42472131609</v>
      </c>
      <c r="L42" s="10">
        <f t="shared" si="0"/>
        <v>0.13429768208131174</v>
      </c>
      <c r="M42" s="10">
        <f t="shared" si="4"/>
        <v>0.13512101106911462</v>
      </c>
      <c r="P42" s="8">
        <f t="shared" si="5"/>
        <v>-3.7251592417580399</v>
      </c>
    </row>
    <row r="43" spans="1:16" x14ac:dyDescent="0.2">
      <c r="A43" s="8">
        <v>20.5</v>
      </c>
      <c r="B43" s="8">
        <v>41</v>
      </c>
      <c r="D43">
        <v>1987.4884937239001</v>
      </c>
      <c r="E43">
        <v>368.78765690377003</v>
      </c>
      <c r="F43">
        <v>133.34522560336001</v>
      </c>
      <c r="G43">
        <v>114.54039874082</v>
      </c>
      <c r="I43" s="9">
        <f t="shared" si="1"/>
        <v>254.24725816295003</v>
      </c>
      <c r="J43" s="9">
        <f t="shared" si="2"/>
        <v>1854.1432681205401</v>
      </c>
      <c r="K43" s="9">
        <f t="shared" si="3"/>
        <v>254.24725816295003</v>
      </c>
      <c r="L43" s="10">
        <f t="shared" si="0"/>
        <v>0.13712384718828594</v>
      </c>
      <c r="M43" s="10">
        <f t="shared" si="4"/>
        <v>0.1379677594007839</v>
      </c>
      <c r="P43" s="8">
        <f t="shared" si="5"/>
        <v>-1.6968274513004922</v>
      </c>
    </row>
    <row r="44" spans="1:16" x14ac:dyDescent="0.2">
      <c r="A44" s="8">
        <v>21</v>
      </c>
      <c r="B44" s="8">
        <v>42</v>
      </c>
      <c r="D44">
        <v>1912.3881987578</v>
      </c>
      <c r="E44">
        <v>359.02691511387002</v>
      </c>
      <c r="F44">
        <v>132.58866736620999</v>
      </c>
      <c r="G44">
        <v>114.13221406085999</v>
      </c>
      <c r="I44" s="9">
        <f t="shared" si="1"/>
        <v>244.89470105301001</v>
      </c>
      <c r="J44" s="9">
        <f t="shared" si="2"/>
        <v>1779.7995313915899</v>
      </c>
      <c r="K44" s="9">
        <f t="shared" si="3"/>
        <v>244.89470105301001</v>
      </c>
      <c r="L44" s="10">
        <f t="shared" si="0"/>
        <v>0.13759678926397498</v>
      </c>
      <c r="M44" s="10">
        <f t="shared" si="4"/>
        <v>0.138461284701168</v>
      </c>
      <c r="P44" s="8">
        <f t="shared" si="5"/>
        <v>-1.3451865826546874</v>
      </c>
    </row>
    <row r="45" spans="1:16" x14ac:dyDescent="0.2">
      <c r="A45" s="8">
        <v>21.5</v>
      </c>
      <c r="B45" s="8">
        <v>43</v>
      </c>
      <c r="D45">
        <v>1914.1345755694001</v>
      </c>
      <c r="E45">
        <v>358.73188405796998</v>
      </c>
      <c r="F45">
        <v>133.13011542497</v>
      </c>
      <c r="G45">
        <v>114.32109129065999</v>
      </c>
      <c r="I45" s="9">
        <f t="shared" si="1"/>
        <v>244.41079276731</v>
      </c>
      <c r="J45" s="9">
        <f t="shared" si="2"/>
        <v>1781.0044601444301</v>
      </c>
      <c r="K45" s="9">
        <f t="shared" si="3"/>
        <v>244.41079276731</v>
      </c>
      <c r="L45" s="10">
        <f t="shared" si="0"/>
        <v>0.137231993651206</v>
      </c>
      <c r="M45" s="10">
        <f t="shared" si="4"/>
        <v>0.13811707231309411</v>
      </c>
      <c r="P45" s="8">
        <f t="shared" si="5"/>
        <v>-1.5904407632341773</v>
      </c>
    </row>
    <row r="46" spans="1:16" x14ac:dyDescent="0.2">
      <c r="A46" s="8">
        <v>22</v>
      </c>
      <c r="B46" s="8">
        <v>44</v>
      </c>
      <c r="D46">
        <v>1915.1200828157</v>
      </c>
      <c r="E46">
        <v>360.57039337473998</v>
      </c>
      <c r="F46">
        <v>133.38195173138001</v>
      </c>
      <c r="G46">
        <v>114.51416579223999</v>
      </c>
      <c r="I46" s="9">
        <f t="shared" si="1"/>
        <v>246.05622758249999</v>
      </c>
      <c r="J46" s="9">
        <f t="shared" si="2"/>
        <v>1781.73813108432</v>
      </c>
      <c r="K46" s="9">
        <f t="shared" si="3"/>
        <v>246.05622758249999</v>
      </c>
      <c r="L46" s="10">
        <f t="shared" si="0"/>
        <v>0.13809898508079663</v>
      </c>
      <c r="M46" s="10">
        <f t="shared" si="4"/>
        <v>0.1390046469673798</v>
      </c>
      <c r="P46" s="8">
        <f t="shared" si="5"/>
        <v>-0.95803646262768261</v>
      </c>
    </row>
    <row r="47" spans="1:16" x14ac:dyDescent="0.2">
      <c r="A47" s="8">
        <v>22.5</v>
      </c>
      <c r="B47" s="8">
        <v>45</v>
      </c>
      <c r="D47">
        <v>1914.2142857143001</v>
      </c>
      <c r="E47">
        <v>362.50931677019003</v>
      </c>
      <c r="F47">
        <v>133.30325288562</v>
      </c>
      <c r="G47">
        <v>114.66526757608</v>
      </c>
      <c r="I47" s="9">
        <f t="shared" si="1"/>
        <v>247.84404919411003</v>
      </c>
      <c r="J47" s="9">
        <f t="shared" si="2"/>
        <v>1780.9110328286802</v>
      </c>
      <c r="K47" s="9">
        <f t="shared" si="3"/>
        <v>247.84404919411003</v>
      </c>
      <c r="L47" s="10">
        <f t="shared" si="0"/>
        <v>0.13916700195879583</v>
      </c>
      <c r="M47" s="10">
        <f t="shared" si="4"/>
        <v>0.14009324707007409</v>
      </c>
      <c r="P47" s="8">
        <f t="shared" si="5"/>
        <v>-0.18239986320428841</v>
      </c>
    </row>
    <row r="48" spans="1:16" x14ac:dyDescent="0.2">
      <c r="A48" s="8">
        <v>23</v>
      </c>
      <c r="B48" s="8">
        <v>46</v>
      </c>
      <c r="D48">
        <v>1909.6625258798999</v>
      </c>
      <c r="E48">
        <v>360.22567287785</v>
      </c>
      <c r="F48">
        <v>133.56138509969</v>
      </c>
      <c r="G48">
        <v>114.47743966422</v>
      </c>
      <c r="I48" s="9">
        <f t="shared" si="1"/>
        <v>245.74823321362999</v>
      </c>
      <c r="J48" s="9">
        <f t="shared" si="2"/>
        <v>1776.10114078021</v>
      </c>
      <c r="K48" s="9">
        <f t="shared" si="3"/>
        <v>245.74823321362999</v>
      </c>
      <c r="L48" s="10">
        <f t="shared" si="0"/>
        <v>0.13836387330153793</v>
      </c>
      <c r="M48" s="10">
        <f t="shared" si="4"/>
        <v>0.13931070163751125</v>
      </c>
      <c r="P48" s="8">
        <f t="shared" si="5"/>
        <v>-0.73996997247131402</v>
      </c>
    </row>
    <row r="49" spans="1:25" x14ac:dyDescent="0.2">
      <c r="A49" s="8">
        <v>23.5</v>
      </c>
      <c r="B49" s="8">
        <v>47</v>
      </c>
      <c r="D49">
        <v>1914.6349372385</v>
      </c>
      <c r="E49">
        <v>359.98849372385001</v>
      </c>
      <c r="F49">
        <v>133.70514165792</v>
      </c>
      <c r="G49">
        <v>114.7869884575</v>
      </c>
      <c r="I49" s="9">
        <f t="shared" si="1"/>
        <v>245.20150526635001</v>
      </c>
      <c r="J49" s="9">
        <f t="shared" si="2"/>
        <v>1780.92979558058</v>
      </c>
      <c r="K49" s="9">
        <f t="shared" si="3"/>
        <v>245.20150526635001</v>
      </c>
      <c r="L49" s="10">
        <f t="shared" si="0"/>
        <v>0.13768173561631875</v>
      </c>
      <c r="M49" s="10">
        <f t="shared" si="4"/>
        <v>0.13864914717698715</v>
      </c>
      <c r="P49" s="8">
        <f t="shared" si="5"/>
        <v>-1.2113330109500913</v>
      </c>
    </row>
    <row r="50" spans="1:25" x14ac:dyDescent="0.2">
      <c r="A50" s="8">
        <v>24</v>
      </c>
      <c r="B50" s="8">
        <v>48</v>
      </c>
      <c r="D50">
        <v>1910.5596234310001</v>
      </c>
      <c r="E50">
        <v>360.37552301254999</v>
      </c>
      <c r="F50">
        <v>133.0314795383</v>
      </c>
      <c r="G50">
        <v>114.29800629591</v>
      </c>
      <c r="I50" s="9">
        <f t="shared" si="1"/>
        <v>246.07751671663999</v>
      </c>
      <c r="J50" s="9">
        <f t="shared" si="2"/>
        <v>1777.5281438927</v>
      </c>
      <c r="K50" s="9">
        <f t="shared" si="3"/>
        <v>246.07751671663999</v>
      </c>
      <c r="L50" s="10">
        <f t="shared" si="0"/>
        <v>0.13843804249295441</v>
      </c>
      <c r="M50" s="10">
        <f t="shared" si="4"/>
        <v>0.13942603727831787</v>
      </c>
      <c r="P50" s="8">
        <f t="shared" si="5"/>
        <v>-0.6577923720777834</v>
      </c>
    </row>
    <row r="51" spans="1:25" x14ac:dyDescent="0.2">
      <c r="A51" s="8">
        <v>24.5</v>
      </c>
      <c r="B51" s="8">
        <v>49</v>
      </c>
      <c r="D51">
        <v>1910.4006276150999</v>
      </c>
      <c r="E51">
        <v>358.45815899581999</v>
      </c>
      <c r="F51">
        <v>133.49422875131</v>
      </c>
      <c r="G51">
        <v>114.73557187828</v>
      </c>
      <c r="I51" s="9">
        <f t="shared" si="1"/>
        <v>243.72258711754</v>
      </c>
      <c r="J51" s="9">
        <f t="shared" si="2"/>
        <v>1776.9063988637899</v>
      </c>
      <c r="K51" s="9">
        <f t="shared" si="3"/>
        <v>243.72258711754</v>
      </c>
      <c r="L51" s="10">
        <f t="shared" si="0"/>
        <v>0.13716118489605525</v>
      </c>
      <c r="M51" s="10">
        <f t="shared" si="4"/>
        <v>0.1381697629061138</v>
      </c>
      <c r="P51" s="8">
        <f t="shared" si="5"/>
        <v>-1.5528982788175041</v>
      </c>
    </row>
    <row r="52" spans="1:25" x14ac:dyDescent="0.2">
      <c r="A52" s="8">
        <v>25</v>
      </c>
      <c r="B52" s="8">
        <v>50</v>
      </c>
      <c r="D52">
        <v>1925.4016736402</v>
      </c>
      <c r="E52">
        <v>359.75209205021002</v>
      </c>
      <c r="F52">
        <v>133.40503672612999</v>
      </c>
      <c r="G52">
        <v>114.36096537250999</v>
      </c>
      <c r="I52" s="9">
        <f t="shared" si="1"/>
        <v>245.39112667770002</v>
      </c>
      <c r="J52" s="9">
        <f t="shared" si="2"/>
        <v>1791.99663691407</v>
      </c>
      <c r="K52" s="9">
        <f t="shared" si="3"/>
        <v>245.39112667770002</v>
      </c>
      <c r="L52" s="10">
        <f t="shared" si="0"/>
        <v>0.13693726964816119</v>
      </c>
      <c r="M52" s="10">
        <f t="shared" si="4"/>
        <v>0.1379664308829148</v>
      </c>
      <c r="P52" s="8">
        <f t="shared" si="5"/>
        <v>-1.697774031297788</v>
      </c>
    </row>
    <row r="53" spans="1:25" x14ac:dyDescent="0.2">
      <c r="A53" s="8">
        <v>25.5</v>
      </c>
      <c r="B53" s="8">
        <v>51</v>
      </c>
      <c r="D53">
        <v>1927.2422360247999</v>
      </c>
      <c r="E53">
        <v>359.80745341615</v>
      </c>
      <c r="F53">
        <v>133.58132214061001</v>
      </c>
      <c r="G53">
        <v>115.00839454355</v>
      </c>
      <c r="I53" s="9">
        <f t="shared" si="1"/>
        <v>244.7990588726</v>
      </c>
      <c r="J53" s="9">
        <f t="shared" si="2"/>
        <v>1793.66091388419</v>
      </c>
      <c r="K53" s="9">
        <f t="shared" si="3"/>
        <v>244.7990588726</v>
      </c>
      <c r="L53" s="10">
        <f t="shared" si="0"/>
        <v>0.13648012117434463</v>
      </c>
      <c r="M53" s="10">
        <f t="shared" si="4"/>
        <v>0.13752986563379332</v>
      </c>
      <c r="P53" s="8">
        <f t="shared" si="5"/>
        <v>-2.0088303911281149</v>
      </c>
      <c r="S53" s="11"/>
      <c r="U53" s="12"/>
    </row>
    <row r="54" spans="1:25" x14ac:dyDescent="0.2">
      <c r="A54" s="8">
        <v>26</v>
      </c>
      <c r="B54" s="8">
        <v>52</v>
      </c>
      <c r="D54">
        <v>1937.0559006210999</v>
      </c>
      <c r="E54">
        <v>361.23809523810002</v>
      </c>
      <c r="F54">
        <v>133.39979013640999</v>
      </c>
      <c r="G54">
        <v>114.27072402938001</v>
      </c>
      <c r="I54" s="9">
        <f t="shared" si="1"/>
        <v>246.96737120872001</v>
      </c>
      <c r="J54" s="9">
        <f t="shared" si="2"/>
        <v>1803.6561104846899</v>
      </c>
      <c r="K54" s="9">
        <f t="shared" si="3"/>
        <v>246.96737120872001</v>
      </c>
      <c r="L54" s="10">
        <f t="shared" si="0"/>
        <v>0.13692597484248445</v>
      </c>
      <c r="M54" s="10">
        <f t="shared" si="4"/>
        <v>0.1379963025266282</v>
      </c>
      <c r="P54" s="8">
        <f t="shared" si="5"/>
        <v>-1.6764902374677986</v>
      </c>
      <c r="S54" s="11"/>
    </row>
    <row r="55" spans="1:25" x14ac:dyDescent="0.2">
      <c r="A55" s="8">
        <v>26.5</v>
      </c>
      <c r="B55" s="8">
        <v>53</v>
      </c>
      <c r="D55">
        <v>1898.2194616976999</v>
      </c>
      <c r="E55">
        <v>353.01552795031</v>
      </c>
      <c r="F55">
        <v>133.6149003148</v>
      </c>
      <c r="G55">
        <v>114.44700944386</v>
      </c>
      <c r="I55" s="9">
        <f t="shared" si="1"/>
        <v>238.56851850645</v>
      </c>
      <c r="J55" s="9">
        <f t="shared" si="2"/>
        <v>1764.6045613828999</v>
      </c>
      <c r="K55" s="9">
        <f t="shared" si="3"/>
        <v>238.56851850645</v>
      </c>
      <c r="L55" s="10">
        <f t="shared" si="0"/>
        <v>0.13519658949509156</v>
      </c>
      <c r="M55" s="10">
        <f t="shared" si="4"/>
        <v>0.13628750040393039</v>
      </c>
      <c r="P55" s="8">
        <f t="shared" si="5"/>
        <v>-2.8940259186205064</v>
      </c>
      <c r="S55" s="11"/>
    </row>
    <row r="56" spans="1:25" x14ac:dyDescent="0.2">
      <c r="A56" s="8">
        <v>27</v>
      </c>
      <c r="B56" s="8">
        <v>54</v>
      </c>
      <c r="D56">
        <v>1927.0510948905001</v>
      </c>
      <c r="E56">
        <v>355.16996871740997</v>
      </c>
      <c r="F56">
        <v>133.27072402938001</v>
      </c>
      <c r="G56">
        <v>114.94333683105999</v>
      </c>
      <c r="I56" s="9">
        <f t="shared" si="1"/>
        <v>240.22663188634999</v>
      </c>
      <c r="J56" s="9">
        <f t="shared" si="2"/>
        <v>1793.78037086112</v>
      </c>
      <c r="K56" s="9">
        <f t="shared" si="3"/>
        <v>240.22663188634999</v>
      </c>
      <c r="L56" s="10">
        <f t="shared" si="0"/>
        <v>0.13392198721130341</v>
      </c>
      <c r="M56" s="10">
        <f t="shared" si="4"/>
        <v>0.13503348134483731</v>
      </c>
      <c r="P56" s="8">
        <f t="shared" si="5"/>
        <v>-3.7875248960684589</v>
      </c>
      <c r="S56" s="11"/>
    </row>
    <row r="57" spans="1:25" x14ac:dyDescent="0.2">
      <c r="A57" s="8">
        <v>27.5</v>
      </c>
      <c r="B57" s="8">
        <v>55</v>
      </c>
      <c r="D57">
        <v>1913.4389989573001</v>
      </c>
      <c r="E57">
        <v>353.30969760167</v>
      </c>
      <c r="F57">
        <v>132.92654774396999</v>
      </c>
      <c r="G57">
        <v>114.43756558237</v>
      </c>
      <c r="I57" s="9">
        <f t="shared" si="1"/>
        <v>238.87213201930001</v>
      </c>
      <c r="J57" s="9">
        <f t="shared" si="2"/>
        <v>1780.5124512133302</v>
      </c>
      <c r="K57" s="9">
        <f t="shared" si="3"/>
        <v>238.87213201930001</v>
      </c>
      <c r="L57" s="10">
        <f t="shared" si="0"/>
        <v>0.13415920335548376</v>
      </c>
      <c r="M57" s="10">
        <f t="shared" si="4"/>
        <v>0.13529128071371274</v>
      </c>
      <c r="P57" s="8">
        <f t="shared" si="5"/>
        <v>-3.6038407081714166</v>
      </c>
      <c r="S57" s="11"/>
    </row>
    <row r="58" spans="1:25" x14ac:dyDescent="0.2">
      <c r="A58" s="8">
        <v>28</v>
      </c>
      <c r="B58" s="8">
        <v>56</v>
      </c>
      <c r="D58">
        <v>1894.4233576642</v>
      </c>
      <c r="E58">
        <v>349.83107403545</v>
      </c>
      <c r="F58">
        <v>133.47639034628</v>
      </c>
      <c r="G58">
        <v>114.52151101784</v>
      </c>
      <c r="I58" s="9">
        <f t="shared" si="1"/>
        <v>235.30956301761</v>
      </c>
      <c r="J58" s="9">
        <f t="shared" si="2"/>
        <v>1760.9469673179201</v>
      </c>
      <c r="K58" s="9">
        <f t="shared" si="3"/>
        <v>235.30956301761</v>
      </c>
      <c r="L58" s="10">
        <f t="shared" si="0"/>
        <v>0.13362671754732486</v>
      </c>
      <c r="M58" s="10">
        <f t="shared" si="4"/>
        <v>0.1347793781302489</v>
      </c>
      <c r="P58" s="8">
        <f t="shared" si="5"/>
        <v>-3.9685755433889045</v>
      </c>
      <c r="S58" s="11"/>
    </row>
    <row r="59" spans="1:25" x14ac:dyDescent="0.2">
      <c r="A59" s="8">
        <v>28.5</v>
      </c>
      <c r="B59" s="8">
        <v>57</v>
      </c>
      <c r="D59">
        <v>1884.3899895725001</v>
      </c>
      <c r="E59">
        <v>350.34306569342999</v>
      </c>
      <c r="F59">
        <v>133.60230849947999</v>
      </c>
      <c r="G59">
        <v>114.1962224554</v>
      </c>
      <c r="I59" s="9">
        <f t="shared" si="1"/>
        <v>236.14684323802999</v>
      </c>
      <c r="J59" s="9">
        <f t="shared" si="2"/>
        <v>1750.7876810730202</v>
      </c>
      <c r="K59" s="9">
        <f t="shared" si="3"/>
        <v>236.14684323802999</v>
      </c>
      <c r="L59" s="10">
        <f t="shared" si="0"/>
        <v>0.13488034316833933</v>
      </c>
      <c r="M59" s="10">
        <f t="shared" si="4"/>
        <v>0.13605358697595846</v>
      </c>
      <c r="P59" s="8">
        <f t="shared" si="5"/>
        <v>-3.0606911755707662</v>
      </c>
      <c r="R59" s="1"/>
      <c r="S59" s="11"/>
    </row>
    <row r="60" spans="1:25" x14ac:dyDescent="0.2">
      <c r="A60" s="8">
        <v>29</v>
      </c>
      <c r="B60" s="8">
        <v>58</v>
      </c>
      <c r="D60">
        <v>1877.0145985402</v>
      </c>
      <c r="E60">
        <v>348.19186652763</v>
      </c>
      <c r="F60">
        <v>133.58761804827</v>
      </c>
      <c r="G60">
        <v>114.88667366212</v>
      </c>
      <c r="I60" s="9">
        <f t="shared" si="1"/>
        <v>233.30519286550998</v>
      </c>
      <c r="J60" s="9">
        <f t="shared" si="2"/>
        <v>1743.42698049193</v>
      </c>
      <c r="K60" s="9">
        <f t="shared" si="3"/>
        <v>233.30519286550998</v>
      </c>
      <c r="L60" s="10">
        <f t="shared" si="0"/>
        <v>0.1338198820346809</v>
      </c>
      <c r="M60" s="10">
        <f t="shared" si="4"/>
        <v>0.13501370906699509</v>
      </c>
      <c r="P60" s="8">
        <f t="shared" si="5"/>
        <v>-3.8016128079751716</v>
      </c>
      <c r="S60" s="11"/>
    </row>
    <row r="61" spans="1:25" x14ac:dyDescent="0.2">
      <c r="A61" s="8">
        <v>29.5</v>
      </c>
      <c r="B61" s="8">
        <v>59</v>
      </c>
      <c r="C61" s="2"/>
      <c r="D61">
        <v>1864.4327424400001</v>
      </c>
      <c r="E61">
        <v>347.72888425443</v>
      </c>
      <c r="F61">
        <v>133.40083945436001</v>
      </c>
      <c r="G61">
        <v>114.98950682057</v>
      </c>
      <c r="I61" s="9">
        <f t="shared" si="1"/>
        <v>232.73937743386</v>
      </c>
      <c r="J61" s="9">
        <f t="shared" si="2"/>
        <v>1731.03190298564</v>
      </c>
      <c r="K61" s="9">
        <f t="shared" si="3"/>
        <v>232.73937743386</v>
      </c>
      <c r="L61" s="10">
        <f t="shared" si="0"/>
        <v>0.13445123514617899</v>
      </c>
      <c r="M61" s="10">
        <f t="shared" si="4"/>
        <v>0.13566564540318826</v>
      </c>
      <c r="P61" s="8">
        <f t="shared" si="5"/>
        <v>-3.3371027628319685</v>
      </c>
      <c r="S61" s="11"/>
    </row>
    <row r="62" spans="1:25" x14ac:dyDescent="0.2">
      <c r="A62" s="8">
        <v>30</v>
      </c>
      <c r="B62" s="8">
        <v>60</v>
      </c>
      <c r="D62">
        <v>1859.1501564129001</v>
      </c>
      <c r="E62">
        <v>346.69447340980003</v>
      </c>
      <c r="F62">
        <v>134.37670514166001</v>
      </c>
      <c r="G62">
        <v>114.38929695698</v>
      </c>
      <c r="I62" s="9">
        <f t="shared" si="1"/>
        <v>232.30517645282004</v>
      </c>
      <c r="J62" s="9">
        <f t="shared" si="2"/>
        <v>1724.77345127124</v>
      </c>
      <c r="K62" s="9">
        <f t="shared" si="3"/>
        <v>232.30517645282004</v>
      </c>
      <c r="L62" s="10">
        <f t="shared" si="0"/>
        <v>0.1346873563490904</v>
      </c>
      <c r="M62" s="10">
        <f t="shared" si="4"/>
        <v>0.13592234983079474</v>
      </c>
      <c r="P62" s="8">
        <f t="shared" si="5"/>
        <v>-3.1541987296678911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1847.6381647549999</v>
      </c>
      <c r="E63">
        <v>345.68925964546003</v>
      </c>
      <c r="F63">
        <v>133.59496327387001</v>
      </c>
      <c r="G63">
        <v>114.66316894019</v>
      </c>
      <c r="I63" s="9">
        <f t="shared" si="1"/>
        <v>231.02609070527001</v>
      </c>
      <c r="J63" s="9">
        <f t="shared" si="2"/>
        <v>1714.0432014811299</v>
      </c>
      <c r="K63" s="9">
        <f t="shared" si="3"/>
        <v>231.02609070527001</v>
      </c>
      <c r="L63" s="10">
        <f t="shared" si="0"/>
        <v>0.13478428694541478</v>
      </c>
      <c r="M63" s="10">
        <f t="shared" si="4"/>
        <v>0.1360398636518142</v>
      </c>
      <c r="P63" s="8">
        <f t="shared" si="5"/>
        <v>-3.0704691578120813</v>
      </c>
    </row>
    <row r="64" spans="1:25" x14ac:dyDescent="0.2">
      <c r="A64" s="8">
        <v>31</v>
      </c>
      <c r="B64" s="8">
        <v>62</v>
      </c>
      <c r="D64">
        <v>1845.0886339936999</v>
      </c>
      <c r="E64">
        <v>344.87799791448998</v>
      </c>
      <c r="F64">
        <v>133.99265477439999</v>
      </c>
      <c r="G64">
        <v>114.47848898216</v>
      </c>
      <c r="I64" s="9">
        <f t="shared" si="1"/>
        <v>230.39950893232998</v>
      </c>
      <c r="J64" s="9">
        <f t="shared" si="2"/>
        <v>1711.0959792192998</v>
      </c>
      <c r="K64" s="9">
        <f t="shared" si="3"/>
        <v>230.39950893232998</v>
      </c>
      <c r="L64" s="10">
        <f t="shared" si="0"/>
        <v>0.13465025441614997</v>
      </c>
      <c r="M64" s="10">
        <f t="shared" si="4"/>
        <v>0.13592641434724445</v>
      </c>
      <c r="P64" s="8">
        <f t="shared" si="5"/>
        <v>-3.151302727996061</v>
      </c>
      <c r="U64" s="8">
        <v>30.5</v>
      </c>
      <c r="V64" s="10">
        <f>L62</f>
        <v>0.1346873563490904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1850.3691345151001</v>
      </c>
      <c r="E65">
        <v>348.26381647549999</v>
      </c>
      <c r="F65">
        <v>133.70933892970001</v>
      </c>
      <c r="G65">
        <v>114.98950682057</v>
      </c>
      <c r="I65" s="9">
        <f t="shared" si="1"/>
        <v>233.27430965492999</v>
      </c>
      <c r="J65" s="9">
        <f t="shared" si="2"/>
        <v>1716.6597955854002</v>
      </c>
      <c r="K65" s="9">
        <f t="shared" si="3"/>
        <v>233.27430965492999</v>
      </c>
      <c r="L65" s="10">
        <f t="shared" si="0"/>
        <v>0.1358884912752214</v>
      </c>
      <c r="M65" s="10">
        <f t="shared" si="4"/>
        <v>0.13718523443101097</v>
      </c>
      <c r="P65" s="8">
        <f t="shared" si="5"/>
        <v>-2.2543829806600395</v>
      </c>
      <c r="U65" s="8">
        <v>31</v>
      </c>
      <c r="V65" s="10">
        <f t="shared" ref="V65:V83" si="6">L63</f>
        <v>0.13478428694541478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1829.2982273201001</v>
      </c>
      <c r="E66">
        <v>346.63920750782</v>
      </c>
      <c r="F66">
        <v>133.2444910808</v>
      </c>
      <c r="G66">
        <v>114.72402938090001</v>
      </c>
      <c r="I66" s="9">
        <f t="shared" si="1"/>
        <v>231.91517812692001</v>
      </c>
      <c r="J66" s="9">
        <f t="shared" si="2"/>
        <v>1696.0537362393002</v>
      </c>
      <c r="K66" s="9">
        <f t="shared" si="3"/>
        <v>231.91517812692001</v>
      </c>
      <c r="L66" s="10">
        <f t="shared" ref="L66:L129" si="7">K66/J66</f>
        <v>0.13673810750899379</v>
      </c>
      <c r="M66" s="10">
        <f t="shared" si="4"/>
        <v>0.13805543388947841</v>
      </c>
      <c r="P66" s="8">
        <f t="shared" si="5"/>
        <v>-1.6343586511424855</v>
      </c>
      <c r="U66" s="8">
        <v>31.5</v>
      </c>
      <c r="V66" s="10">
        <f t="shared" si="6"/>
        <v>0.13465025441614997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1871.8687500000001</v>
      </c>
      <c r="E67">
        <v>354.625</v>
      </c>
      <c r="F67">
        <v>133.426023085</v>
      </c>
      <c r="G67">
        <v>114.68835257083001</v>
      </c>
      <c r="I67" s="9">
        <f t="shared" ref="I67:I130" si="8">E67-G67</f>
        <v>239.93664742916999</v>
      </c>
      <c r="J67" s="9">
        <f t="shared" ref="J67:J130" si="9">D67-F67</f>
        <v>1738.4427269150001</v>
      </c>
      <c r="K67" s="9">
        <f t="shared" ref="K67:K130" si="10">I67*1</f>
        <v>239.93664742916999</v>
      </c>
      <c r="L67" s="10">
        <f t="shared" si="7"/>
        <v>0.13801814906779009</v>
      </c>
      <c r="M67" s="10">
        <f t="shared" ref="M67:M130" si="11">L67+ABS($N$2)*A67</f>
        <v>0.1393560586729698</v>
      </c>
      <c r="P67" s="8">
        <f t="shared" ref="P67:P130" si="12">(M67-$O$2)/$O$2*100</f>
        <v>-0.70765270862399043</v>
      </c>
      <c r="U67" s="8">
        <v>32</v>
      </c>
      <c r="V67" s="10">
        <f t="shared" si="6"/>
        <v>0.1358884912752214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1866.2750000000001</v>
      </c>
      <c r="E68">
        <v>353.15208333332998</v>
      </c>
      <c r="F68">
        <v>133.62644281217001</v>
      </c>
      <c r="G68">
        <v>114.55089192025</v>
      </c>
      <c r="I68" s="9">
        <f t="shared" si="8"/>
        <v>238.60119141307999</v>
      </c>
      <c r="J68" s="9">
        <f t="shared" si="9"/>
        <v>1732.6485571878302</v>
      </c>
      <c r="K68" s="9">
        <f t="shared" si="10"/>
        <v>238.60119141307999</v>
      </c>
      <c r="L68" s="10">
        <f t="shared" si="7"/>
        <v>0.13770893723557009</v>
      </c>
      <c r="M68" s="10">
        <f t="shared" si="11"/>
        <v>0.13906743006544486</v>
      </c>
      <c r="P68" s="8">
        <f t="shared" si="12"/>
        <v>-0.91330298468300042</v>
      </c>
      <c r="U68" s="8">
        <v>32.5</v>
      </c>
      <c r="V68" s="10">
        <f t="shared" si="6"/>
        <v>0.13673810750899379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1870.2510416667001</v>
      </c>
      <c r="E69">
        <v>353.94895833332998</v>
      </c>
      <c r="F69">
        <v>133.72822665268001</v>
      </c>
      <c r="G69">
        <v>115.14900314795</v>
      </c>
      <c r="I69" s="9">
        <f t="shared" si="8"/>
        <v>238.79995518537999</v>
      </c>
      <c r="J69" s="9">
        <f t="shared" si="9"/>
        <v>1736.5228150140201</v>
      </c>
      <c r="K69" s="9">
        <f t="shared" si="10"/>
        <v>238.79995518537999</v>
      </c>
      <c r="L69" s="10">
        <f t="shared" si="7"/>
        <v>0.13751616340465528</v>
      </c>
      <c r="M69" s="10">
        <f t="shared" si="11"/>
        <v>0.13889523945922513</v>
      </c>
      <c r="P69" s="8">
        <f t="shared" si="12"/>
        <v>-1.0359902193528931</v>
      </c>
      <c r="U69" s="8">
        <v>33</v>
      </c>
      <c r="V69" s="10">
        <f t="shared" si="6"/>
        <v>0.13801814906779009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1855.9906249999999</v>
      </c>
      <c r="E70">
        <v>351.48750000000001</v>
      </c>
      <c r="F70">
        <v>134.2130115425</v>
      </c>
      <c r="G70">
        <v>115.055613851</v>
      </c>
      <c r="I70" s="9">
        <f t="shared" si="8"/>
        <v>236.43188614900001</v>
      </c>
      <c r="J70" s="9">
        <f t="shared" si="9"/>
        <v>1721.7776134574999</v>
      </c>
      <c r="K70" s="9">
        <f t="shared" si="10"/>
        <v>236.43188614900001</v>
      </c>
      <c r="L70" s="10">
        <f t="shared" si="7"/>
        <v>0.13731848079626344</v>
      </c>
      <c r="M70" s="10">
        <f t="shared" si="11"/>
        <v>0.13871814007552835</v>
      </c>
      <c r="P70" s="8">
        <f t="shared" si="12"/>
        <v>-1.1621749986768826</v>
      </c>
      <c r="U70" s="8">
        <v>33.5</v>
      </c>
      <c r="V70" s="10">
        <f t="shared" si="6"/>
        <v>0.13770893723557009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1853.3864583333</v>
      </c>
      <c r="E71">
        <v>351.73541666667001</v>
      </c>
      <c r="F71">
        <v>133.90556138509999</v>
      </c>
      <c r="G71">
        <v>114.62539349423</v>
      </c>
      <c r="I71" s="9">
        <f t="shared" si="8"/>
        <v>237.11002317244001</v>
      </c>
      <c r="J71" s="9">
        <f t="shared" si="9"/>
        <v>1719.4808969482001</v>
      </c>
      <c r="K71" s="9">
        <f t="shared" si="10"/>
        <v>237.11002317244001</v>
      </c>
      <c r="L71" s="10">
        <f t="shared" si="7"/>
        <v>0.13789628229849593</v>
      </c>
      <c r="M71" s="10">
        <f t="shared" si="11"/>
        <v>0.1393165248024559</v>
      </c>
      <c r="P71" s="8">
        <f t="shared" si="12"/>
        <v>-0.73582091916479975</v>
      </c>
      <c r="U71" s="8">
        <v>34</v>
      </c>
      <c r="V71" s="10">
        <f t="shared" si="6"/>
        <v>0.13751616340465528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1849.5302083332999</v>
      </c>
      <c r="E72">
        <v>353.36562500000002</v>
      </c>
      <c r="F72">
        <v>133.97376705142</v>
      </c>
      <c r="G72">
        <v>114.95697796432</v>
      </c>
      <c r="I72" s="9">
        <f t="shared" si="8"/>
        <v>238.40864703568002</v>
      </c>
      <c r="J72" s="9">
        <f t="shared" si="9"/>
        <v>1715.5564412818799</v>
      </c>
      <c r="K72" s="9">
        <f t="shared" si="10"/>
        <v>238.40864703568002</v>
      </c>
      <c r="L72" s="10">
        <f t="shared" si="7"/>
        <v>0.13896869919216348</v>
      </c>
      <c r="M72" s="10">
        <f t="shared" si="11"/>
        <v>0.14040952492081854</v>
      </c>
      <c r="P72" s="8">
        <f t="shared" si="12"/>
        <v>4.2950727905527973E-2</v>
      </c>
      <c r="U72" s="8">
        <v>34.5</v>
      </c>
      <c r="V72" s="10">
        <f t="shared" si="6"/>
        <v>0.13731848079626344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1857.3520833333</v>
      </c>
      <c r="E73">
        <v>353.93020833332997</v>
      </c>
      <c r="F73">
        <v>133.52990556139</v>
      </c>
      <c r="G73">
        <v>114.6463798531</v>
      </c>
      <c r="I73" s="9">
        <f t="shared" si="8"/>
        <v>239.28382848022997</v>
      </c>
      <c r="J73" s="9">
        <f t="shared" si="9"/>
        <v>1723.82217777191</v>
      </c>
      <c r="K73" s="9">
        <f t="shared" si="10"/>
        <v>239.28382848022997</v>
      </c>
      <c r="L73" s="10">
        <f t="shared" si="7"/>
        <v>0.13881004175819994</v>
      </c>
      <c r="M73" s="10">
        <f t="shared" si="11"/>
        <v>0.14027145071155006</v>
      </c>
      <c r="P73" s="8">
        <f t="shared" si="12"/>
        <v>-5.5428291056546015E-2</v>
      </c>
      <c r="U73" s="8">
        <v>35</v>
      </c>
      <c r="V73" s="10">
        <f t="shared" si="6"/>
        <v>0.13789628229849593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1853.3989583333</v>
      </c>
      <c r="E74">
        <v>353.39687500000002</v>
      </c>
      <c r="F74">
        <v>133.70409233998001</v>
      </c>
      <c r="G74">
        <v>114.5278069255</v>
      </c>
      <c r="I74" s="9">
        <f t="shared" si="8"/>
        <v>238.86906807450003</v>
      </c>
      <c r="J74" s="9">
        <f t="shared" si="9"/>
        <v>1719.69486599332</v>
      </c>
      <c r="K74" s="9">
        <f t="shared" si="10"/>
        <v>238.86906807450003</v>
      </c>
      <c r="L74" s="10">
        <f t="shared" si="7"/>
        <v>0.13890200686069146</v>
      </c>
      <c r="M74" s="10">
        <f t="shared" si="11"/>
        <v>0.14038399903873666</v>
      </c>
      <c r="P74" s="8">
        <f t="shared" si="12"/>
        <v>2.4763325271384917E-2</v>
      </c>
      <c r="U74" s="8">
        <v>35.5</v>
      </c>
      <c r="V74" s="10">
        <f t="shared" si="6"/>
        <v>0.13896869919216348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1853.1114583333001</v>
      </c>
      <c r="E75">
        <v>356.84895833333002</v>
      </c>
      <c r="F75">
        <v>134.06190975865999</v>
      </c>
      <c r="G75">
        <v>114.84575026233</v>
      </c>
      <c r="I75" s="9">
        <f t="shared" si="8"/>
        <v>242.00320807100002</v>
      </c>
      <c r="J75" s="9">
        <f t="shared" si="9"/>
        <v>1719.0495485746401</v>
      </c>
      <c r="K75" s="9">
        <f t="shared" si="10"/>
        <v>242.00320807100002</v>
      </c>
      <c r="L75" s="10">
        <f t="shared" si="7"/>
        <v>0.14077733144554117</v>
      </c>
      <c r="M75" s="10">
        <f t="shared" si="11"/>
        <v>0.14227990684828143</v>
      </c>
      <c r="P75" s="8">
        <f t="shared" si="12"/>
        <v>1.375613359711005</v>
      </c>
      <c r="U75" s="8">
        <v>36</v>
      </c>
      <c r="V75" s="10">
        <f t="shared" si="6"/>
        <v>0.13881004175819994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1851.4729166667</v>
      </c>
      <c r="E76">
        <v>358.36562500000002</v>
      </c>
      <c r="F76">
        <v>133.77229800629999</v>
      </c>
      <c r="G76">
        <v>114.62854144806001</v>
      </c>
      <c r="I76" s="9">
        <f t="shared" si="8"/>
        <v>243.73708355194003</v>
      </c>
      <c r="J76" s="9">
        <f t="shared" si="9"/>
        <v>1717.7006186604001</v>
      </c>
      <c r="K76" s="9">
        <f t="shared" si="10"/>
        <v>243.73708355194003</v>
      </c>
      <c r="L76" s="10">
        <f t="shared" si="7"/>
        <v>0.14189730207003456</v>
      </c>
      <c r="M76" s="10">
        <f t="shared" si="11"/>
        <v>0.14342046069746991</v>
      </c>
      <c r="P76" s="8">
        <f t="shared" si="12"/>
        <v>2.1882674342920123</v>
      </c>
      <c r="U76" s="8">
        <v>36.5</v>
      </c>
      <c r="V76" s="10">
        <f t="shared" si="6"/>
        <v>0.13890200686069146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1855.1020833333</v>
      </c>
      <c r="E77">
        <v>360.77187500000002</v>
      </c>
      <c r="F77">
        <v>133.67890870933999</v>
      </c>
      <c r="G77">
        <v>115.07135362015001</v>
      </c>
      <c r="I77" s="9">
        <f t="shared" si="8"/>
        <v>245.70052137985002</v>
      </c>
      <c r="J77" s="9">
        <f t="shared" si="9"/>
        <v>1721.42317462396</v>
      </c>
      <c r="K77" s="9">
        <f t="shared" si="10"/>
        <v>245.70052137985002</v>
      </c>
      <c r="L77" s="10">
        <f t="shared" si="7"/>
        <v>0.14273104080495641</v>
      </c>
      <c r="M77" s="10">
        <f t="shared" si="11"/>
        <v>0.14427478265708682</v>
      </c>
      <c r="P77" s="8">
        <f t="shared" si="12"/>
        <v>2.7969789142284367</v>
      </c>
      <c r="U77" s="8">
        <v>37</v>
      </c>
      <c r="V77" s="10">
        <f t="shared" si="6"/>
        <v>0.14077733144554117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1853.1729166667001</v>
      </c>
      <c r="E78">
        <v>360.73750000000001</v>
      </c>
      <c r="F78">
        <v>134.03252885623999</v>
      </c>
      <c r="G78">
        <v>114.81636935992</v>
      </c>
      <c r="I78" s="9">
        <f t="shared" si="8"/>
        <v>245.92113064008001</v>
      </c>
      <c r="J78" s="9">
        <f t="shared" si="9"/>
        <v>1719.1403878104602</v>
      </c>
      <c r="K78" s="9">
        <f t="shared" si="10"/>
        <v>245.92113064008001</v>
      </c>
      <c r="L78" s="10">
        <f t="shared" si="7"/>
        <v>0.14304889372838903</v>
      </c>
      <c r="M78" s="10">
        <f t="shared" si="11"/>
        <v>0.14461321880521452</v>
      </c>
      <c r="P78" s="8">
        <f t="shared" si="12"/>
        <v>3.0381174759519061</v>
      </c>
      <c r="U78" s="8">
        <v>37.5</v>
      </c>
      <c r="V78" s="10">
        <f t="shared" si="6"/>
        <v>0.14189730207003456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1855.2916666666999</v>
      </c>
      <c r="E79">
        <v>361.30312500000002</v>
      </c>
      <c r="F79">
        <v>133.95697796432</v>
      </c>
      <c r="G79">
        <v>114.97376705142</v>
      </c>
      <c r="I79" s="9">
        <f t="shared" si="8"/>
        <v>246.32935794858003</v>
      </c>
      <c r="J79" s="9">
        <f t="shared" si="9"/>
        <v>1721.3346887023799</v>
      </c>
      <c r="K79" s="9">
        <f t="shared" si="10"/>
        <v>246.32935794858003</v>
      </c>
      <c r="L79" s="10">
        <f t="shared" si="7"/>
        <v>0.14310369712834536</v>
      </c>
      <c r="M79" s="10">
        <f t="shared" si="11"/>
        <v>0.14468860542986592</v>
      </c>
      <c r="P79" s="8">
        <f t="shared" si="12"/>
        <v>3.0918310710929475</v>
      </c>
      <c r="U79" s="8">
        <v>38</v>
      </c>
      <c r="V79" s="10">
        <f t="shared" si="6"/>
        <v>0.14273104080495641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1851.9989583332999</v>
      </c>
      <c r="E80">
        <v>360.54791666667001</v>
      </c>
      <c r="F80">
        <v>134.46589716683999</v>
      </c>
      <c r="G80">
        <v>114.48793284365</v>
      </c>
      <c r="I80" s="9">
        <f t="shared" si="8"/>
        <v>246.05998382301999</v>
      </c>
      <c r="J80" s="9">
        <f t="shared" si="9"/>
        <v>1717.5330611664599</v>
      </c>
      <c r="K80" s="9">
        <f t="shared" si="10"/>
        <v>246.05998382301999</v>
      </c>
      <c r="L80" s="10">
        <f t="shared" si="7"/>
        <v>0.14326360836158156</v>
      </c>
      <c r="M80" s="10">
        <f t="shared" si="11"/>
        <v>0.1448690998877972</v>
      </c>
      <c r="P80" s="8">
        <f t="shared" si="12"/>
        <v>3.2204348689596665</v>
      </c>
      <c r="U80" s="8">
        <v>38.5</v>
      </c>
      <c r="V80" s="10">
        <f t="shared" si="6"/>
        <v>0.14304889372838903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1872.9010416666999</v>
      </c>
      <c r="E81">
        <v>361.28645833333002</v>
      </c>
      <c r="F81">
        <v>134.58132214061001</v>
      </c>
      <c r="G81">
        <v>115.02728226652999</v>
      </c>
      <c r="I81" s="9">
        <f t="shared" si="8"/>
        <v>246.25917606680002</v>
      </c>
      <c r="J81" s="9">
        <f t="shared" si="9"/>
        <v>1738.31971952609</v>
      </c>
      <c r="K81" s="9">
        <f t="shared" si="10"/>
        <v>246.25917606680002</v>
      </c>
      <c r="L81" s="10">
        <f t="shared" si="7"/>
        <v>0.14166506500538148</v>
      </c>
      <c r="M81" s="10">
        <f t="shared" si="11"/>
        <v>0.14329113975629218</v>
      </c>
      <c r="P81" s="8">
        <f t="shared" si="12"/>
        <v>2.0961251914233285</v>
      </c>
      <c r="U81" s="8">
        <v>39</v>
      </c>
      <c r="V81" s="10">
        <f t="shared" si="6"/>
        <v>0.14310369712834536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1866.0385416667</v>
      </c>
      <c r="E82">
        <v>363.22708333332997</v>
      </c>
      <c r="F82">
        <v>133.64847848898</v>
      </c>
      <c r="G82">
        <v>114.70304302204001</v>
      </c>
      <c r="H82" s="13"/>
      <c r="I82" s="14">
        <f t="shared" si="8"/>
        <v>248.52404031128998</v>
      </c>
      <c r="J82" s="14">
        <f t="shared" si="9"/>
        <v>1732.3900631777201</v>
      </c>
      <c r="K82" s="9">
        <f t="shared" si="10"/>
        <v>248.52404031128998</v>
      </c>
      <c r="L82" s="15">
        <f t="shared" si="7"/>
        <v>0.14345732268599068</v>
      </c>
      <c r="M82" s="15">
        <f t="shared" si="11"/>
        <v>0.14510398066159647</v>
      </c>
      <c r="N82" s="13"/>
      <c r="O82" s="13"/>
      <c r="P82" s="13">
        <f t="shared" si="12"/>
        <v>3.3877893678327582</v>
      </c>
      <c r="U82" s="8">
        <v>39.5</v>
      </c>
      <c r="V82" s="10">
        <f t="shared" si="6"/>
        <v>0.14326360836158156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1842.675</v>
      </c>
      <c r="E83">
        <v>359.44583333332997</v>
      </c>
      <c r="F83">
        <v>134.24658971668001</v>
      </c>
      <c r="G83">
        <v>114.74816369360001</v>
      </c>
      <c r="I83" s="9">
        <f t="shared" si="8"/>
        <v>244.69766963972995</v>
      </c>
      <c r="J83" s="9">
        <f t="shared" si="9"/>
        <v>1708.4284102833199</v>
      </c>
      <c r="K83" s="9">
        <f t="shared" si="10"/>
        <v>244.69766963972995</v>
      </c>
      <c r="L83" s="10">
        <f t="shared" si="7"/>
        <v>0.14322968885722881</v>
      </c>
      <c r="M83" s="10">
        <f t="shared" si="11"/>
        <v>0.14489693005752965</v>
      </c>
      <c r="P83" s="8">
        <f t="shared" si="12"/>
        <v>3.2402640956511144</v>
      </c>
      <c r="U83" s="8">
        <v>40</v>
      </c>
      <c r="V83" s="10">
        <f t="shared" si="6"/>
        <v>0.14166506500538148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1811.0635416667001</v>
      </c>
      <c r="E84">
        <v>355.234375</v>
      </c>
      <c r="F84">
        <v>133.95278069254999</v>
      </c>
      <c r="G84">
        <v>114.67890870934001</v>
      </c>
      <c r="I84" s="9">
        <f t="shared" si="8"/>
        <v>240.55546629065998</v>
      </c>
      <c r="J84" s="9">
        <f t="shared" si="9"/>
        <v>1677.11076097415</v>
      </c>
      <c r="K84" s="9">
        <f t="shared" si="10"/>
        <v>240.55546629065998</v>
      </c>
      <c r="L84" s="10">
        <f t="shared" si="7"/>
        <v>0.14343445399571184</v>
      </c>
      <c r="M84" s="10">
        <f t="shared" si="11"/>
        <v>0.14512227842070777</v>
      </c>
      <c r="P84" s="8">
        <f t="shared" si="12"/>
        <v>3.4008266729175478</v>
      </c>
      <c r="U84" s="8">
        <v>150.5</v>
      </c>
      <c r="V84" s="10">
        <f>L302</f>
        <v>0.13348379211045877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1829.1375</v>
      </c>
      <c r="E85">
        <v>358.53958333332997</v>
      </c>
      <c r="F85">
        <v>134.31689401889</v>
      </c>
      <c r="G85">
        <v>115.28016789087</v>
      </c>
      <c r="I85" s="9">
        <f t="shared" si="8"/>
        <v>243.25941544245995</v>
      </c>
      <c r="J85" s="9">
        <f t="shared" si="9"/>
        <v>1694.82060598111</v>
      </c>
      <c r="K85" s="9">
        <f t="shared" si="10"/>
        <v>243.25941544245995</v>
      </c>
      <c r="L85" s="10">
        <f t="shared" si="7"/>
        <v>0.14353107024069972</v>
      </c>
      <c r="M85" s="10">
        <f t="shared" si="11"/>
        <v>0.14523947789039071</v>
      </c>
      <c r="P85" s="8">
        <f t="shared" si="12"/>
        <v>3.4843322668396093</v>
      </c>
      <c r="U85" s="8">
        <v>151</v>
      </c>
      <c r="V85" s="10">
        <f t="shared" ref="V85:V103" si="13">L303</f>
        <v>0.13389807156292216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1838.515625</v>
      </c>
      <c r="E86">
        <v>355.44270833333002</v>
      </c>
      <c r="F86">
        <v>133.90451206716</v>
      </c>
      <c r="G86">
        <v>115.11227701994</v>
      </c>
      <c r="I86" s="9">
        <f t="shared" si="8"/>
        <v>240.33043131339002</v>
      </c>
      <c r="J86" s="9">
        <f t="shared" si="9"/>
        <v>1704.6111129328401</v>
      </c>
      <c r="K86" s="9">
        <f t="shared" si="10"/>
        <v>240.33043131339002</v>
      </c>
      <c r="L86" s="10">
        <f t="shared" si="7"/>
        <v>0.14098842222135555</v>
      </c>
      <c r="M86" s="10">
        <f t="shared" si="11"/>
        <v>0.14271741309574162</v>
      </c>
      <c r="P86" s="8">
        <f t="shared" si="12"/>
        <v>1.6873401886600679</v>
      </c>
      <c r="U86" s="8">
        <v>151.5</v>
      </c>
      <c r="V86" s="10">
        <f t="shared" si="13"/>
        <v>0.13354467075341245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1836.0510416667</v>
      </c>
      <c r="E87">
        <v>355.46354166666998</v>
      </c>
      <c r="F87">
        <v>134.18363064008</v>
      </c>
      <c r="G87">
        <v>115.27911857293</v>
      </c>
      <c r="I87" s="9">
        <f t="shared" si="8"/>
        <v>240.18442309373998</v>
      </c>
      <c r="J87" s="9">
        <f t="shared" si="9"/>
        <v>1701.8674110266199</v>
      </c>
      <c r="K87" s="9">
        <f t="shared" si="10"/>
        <v>240.18442309373998</v>
      </c>
      <c r="L87" s="10">
        <f t="shared" si="7"/>
        <v>0.14112992677194117</v>
      </c>
      <c r="M87" s="10">
        <f t="shared" si="11"/>
        <v>0.1428795008710223</v>
      </c>
      <c r="P87" s="8">
        <f t="shared" si="12"/>
        <v>1.8028290725170943</v>
      </c>
      <c r="U87" s="8">
        <v>152</v>
      </c>
      <c r="V87" s="10">
        <f t="shared" si="13"/>
        <v>0.13368869030631672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1840.5875000000001</v>
      </c>
      <c r="E88">
        <v>356.21770833332999</v>
      </c>
      <c r="F88">
        <v>134.46065057713</v>
      </c>
      <c r="G88">
        <v>115.42707240294</v>
      </c>
      <c r="I88" s="9">
        <f t="shared" si="8"/>
        <v>240.79063593039001</v>
      </c>
      <c r="J88" s="9">
        <f t="shared" si="9"/>
        <v>1706.12684942287</v>
      </c>
      <c r="K88" s="9">
        <f t="shared" si="10"/>
        <v>240.79063593039001</v>
      </c>
      <c r="L88" s="10">
        <f t="shared" si="7"/>
        <v>0.14113290346016302</v>
      </c>
      <c r="M88" s="10">
        <f t="shared" si="11"/>
        <v>0.14290306078393925</v>
      </c>
      <c r="P88" s="8">
        <f t="shared" si="12"/>
        <v>1.8196157058201601</v>
      </c>
      <c r="U88" s="8">
        <v>152.5</v>
      </c>
      <c r="V88" s="10">
        <f t="shared" si="13"/>
        <v>0.13284085829840162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1839.8187499999999</v>
      </c>
      <c r="E89">
        <v>356.86041666667001</v>
      </c>
      <c r="F89">
        <v>134.68520461700001</v>
      </c>
      <c r="G89">
        <v>115.11122770199</v>
      </c>
      <c r="I89" s="9">
        <f t="shared" si="8"/>
        <v>241.74918896468</v>
      </c>
      <c r="J89" s="9">
        <f t="shared" si="9"/>
        <v>1705.133545383</v>
      </c>
      <c r="K89" s="9">
        <f t="shared" si="10"/>
        <v>241.74918896468</v>
      </c>
      <c r="L89" s="10">
        <f t="shared" si="7"/>
        <v>0.14177727581471006</v>
      </c>
      <c r="M89" s="10">
        <f t="shared" si="11"/>
        <v>0.14356801636318134</v>
      </c>
      <c r="P89" s="8">
        <f t="shared" si="12"/>
        <v>2.2934020695862776</v>
      </c>
      <c r="U89" s="8">
        <v>153</v>
      </c>
      <c r="V89" s="10">
        <f t="shared" si="13"/>
        <v>0.13264574030229459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1839.4697916667001</v>
      </c>
      <c r="E90">
        <v>356.28437500000001</v>
      </c>
      <c r="F90">
        <v>134.57712486884</v>
      </c>
      <c r="G90">
        <v>115.63588667366</v>
      </c>
      <c r="I90" s="9">
        <f t="shared" si="8"/>
        <v>240.64848832634001</v>
      </c>
      <c r="J90" s="9">
        <f t="shared" si="9"/>
        <v>1704.8926667978601</v>
      </c>
      <c r="K90" s="9">
        <f t="shared" si="10"/>
        <v>240.64848832634001</v>
      </c>
      <c r="L90" s="10">
        <f t="shared" si="7"/>
        <v>0.14115169418748658</v>
      </c>
      <c r="M90" s="10">
        <f t="shared" si="11"/>
        <v>0.14296301796065294</v>
      </c>
      <c r="P90" s="8">
        <f t="shared" si="12"/>
        <v>1.8623356913705387</v>
      </c>
      <c r="U90" s="8">
        <v>153.5</v>
      </c>
      <c r="V90" s="10">
        <f t="shared" si="13"/>
        <v>0.13420884596709345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1828.6010416667</v>
      </c>
      <c r="E91">
        <v>353.98333333332999</v>
      </c>
      <c r="F91">
        <v>135.24134312697001</v>
      </c>
      <c r="G91">
        <v>115.44700944386</v>
      </c>
      <c r="I91" s="9">
        <f t="shared" si="8"/>
        <v>238.53632388947</v>
      </c>
      <c r="J91" s="9">
        <f t="shared" si="9"/>
        <v>1693.3596985397301</v>
      </c>
      <c r="K91" s="9">
        <f t="shared" si="10"/>
        <v>238.53632388947</v>
      </c>
      <c r="L91" s="10">
        <f t="shared" si="7"/>
        <v>0.14086571452903476</v>
      </c>
      <c r="M91" s="10">
        <f t="shared" si="11"/>
        <v>0.14269762152689619</v>
      </c>
      <c r="P91" s="8">
        <f t="shared" si="12"/>
        <v>1.6732385317536129</v>
      </c>
      <c r="U91" s="8">
        <v>154</v>
      </c>
      <c r="V91" s="10">
        <f t="shared" si="13"/>
        <v>0.13608163447988528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1837.6375</v>
      </c>
      <c r="E92">
        <v>354.03854166667003</v>
      </c>
      <c r="F92">
        <v>134.28016789086999</v>
      </c>
      <c r="G92">
        <v>114.92025183631</v>
      </c>
      <c r="I92" s="9">
        <f t="shared" si="8"/>
        <v>239.11828983036003</v>
      </c>
      <c r="J92" s="9">
        <f t="shared" si="9"/>
        <v>1703.3573321091301</v>
      </c>
      <c r="K92" s="9">
        <f t="shared" si="10"/>
        <v>239.11828983036003</v>
      </c>
      <c r="L92" s="10">
        <f t="shared" si="7"/>
        <v>0.14038057976612525</v>
      </c>
      <c r="M92" s="10">
        <f t="shared" si="11"/>
        <v>0.14223306998868177</v>
      </c>
      <c r="P92" s="8">
        <f t="shared" si="12"/>
        <v>1.3422417088930039</v>
      </c>
      <c r="U92" s="8">
        <v>154.5</v>
      </c>
      <c r="V92" s="10">
        <f t="shared" si="13"/>
        <v>0.13561546074912989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1830.2927083333</v>
      </c>
      <c r="E93">
        <v>351.73333333332999</v>
      </c>
      <c r="F93">
        <v>134.88667366211999</v>
      </c>
      <c r="G93">
        <v>115.41028331584999</v>
      </c>
      <c r="I93" s="9">
        <f t="shared" si="8"/>
        <v>236.32305001748</v>
      </c>
      <c r="J93" s="9">
        <f t="shared" si="9"/>
        <v>1695.4060346711799</v>
      </c>
      <c r="K93" s="9">
        <f t="shared" si="10"/>
        <v>236.32305001748</v>
      </c>
      <c r="L93" s="10">
        <f t="shared" si="7"/>
        <v>0.13939023760954958</v>
      </c>
      <c r="M93" s="10">
        <f t="shared" si="11"/>
        <v>0.14126331105680115</v>
      </c>
      <c r="P93" s="8">
        <f t="shared" si="12"/>
        <v>0.65128042905967309</v>
      </c>
      <c r="U93" s="8">
        <v>155</v>
      </c>
      <c r="V93" s="10">
        <f t="shared" si="13"/>
        <v>0.13486150762528565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1832.79375</v>
      </c>
      <c r="E94">
        <v>352.68541666666999</v>
      </c>
      <c r="F94">
        <v>134.33053515214999</v>
      </c>
      <c r="G94">
        <v>115.54249737671</v>
      </c>
      <c r="I94" s="9">
        <f t="shared" si="8"/>
        <v>237.14291928995999</v>
      </c>
      <c r="J94" s="9">
        <f t="shared" si="9"/>
        <v>1698.4632148478499</v>
      </c>
      <c r="K94" s="9">
        <f t="shared" si="10"/>
        <v>237.14291928995999</v>
      </c>
      <c r="L94" s="10">
        <f t="shared" si="7"/>
        <v>0.13962205199198471</v>
      </c>
      <c r="M94" s="10">
        <f t="shared" si="11"/>
        <v>0.14151570866393137</v>
      </c>
      <c r="P94" s="8">
        <f t="shared" si="12"/>
        <v>0.83111581692392056</v>
      </c>
      <c r="U94" s="8">
        <v>155.5</v>
      </c>
      <c r="V94" s="10">
        <f t="shared" si="13"/>
        <v>0.13423470286607514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1822.6052083333</v>
      </c>
      <c r="E95">
        <v>352.05416666667003</v>
      </c>
      <c r="F95">
        <v>135.63273871983</v>
      </c>
      <c r="G95">
        <v>115.61909758657001</v>
      </c>
      <c r="I95" s="9">
        <f t="shared" si="8"/>
        <v>236.43506908010002</v>
      </c>
      <c r="J95" s="9">
        <f t="shared" si="9"/>
        <v>1686.9724696134699</v>
      </c>
      <c r="K95" s="9">
        <f t="shared" si="10"/>
        <v>236.43506908010002</v>
      </c>
      <c r="L95" s="10">
        <f t="shared" si="7"/>
        <v>0.14015348403063954</v>
      </c>
      <c r="M95" s="10">
        <f t="shared" si="11"/>
        <v>0.14206772392728126</v>
      </c>
      <c r="P95" s="8">
        <f t="shared" si="12"/>
        <v>1.224431269159143</v>
      </c>
      <c r="U95" s="8">
        <v>156</v>
      </c>
      <c r="V95" s="10">
        <f t="shared" si="13"/>
        <v>0.13477565304458827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1839.690625</v>
      </c>
      <c r="E96">
        <v>355.92291666667001</v>
      </c>
      <c r="F96">
        <v>134.95592864637999</v>
      </c>
      <c r="G96">
        <v>114.79748163694001</v>
      </c>
      <c r="I96" s="9">
        <f t="shared" si="8"/>
        <v>241.12543502973</v>
      </c>
      <c r="J96" s="9">
        <f t="shared" si="9"/>
        <v>1704.7346963536199</v>
      </c>
      <c r="K96" s="9">
        <f t="shared" si="10"/>
        <v>241.12543502973</v>
      </c>
      <c r="L96" s="10">
        <f t="shared" si="7"/>
        <v>0.14144455178010432</v>
      </c>
      <c r="M96" s="10">
        <f t="shared" si="11"/>
        <v>0.14337937490144112</v>
      </c>
      <c r="P96" s="8">
        <f t="shared" si="12"/>
        <v>2.1589934639538644</v>
      </c>
      <c r="U96" s="8">
        <v>156.5</v>
      </c>
      <c r="V96" s="10">
        <f t="shared" si="13"/>
        <v>0.13212869937484634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1822.6822916666999</v>
      </c>
      <c r="E97">
        <v>354.77916666666999</v>
      </c>
      <c r="F97">
        <v>135.26862539349</v>
      </c>
      <c r="G97">
        <v>115.29485834208</v>
      </c>
      <c r="I97" s="9">
        <f t="shared" si="8"/>
        <v>239.48430832458999</v>
      </c>
      <c r="J97" s="9">
        <f t="shared" si="9"/>
        <v>1687.4136662732099</v>
      </c>
      <c r="K97" s="9">
        <f t="shared" si="10"/>
        <v>239.48430832458999</v>
      </c>
      <c r="L97" s="10">
        <f t="shared" si="7"/>
        <v>0.14192388808460379</v>
      </c>
      <c r="M97" s="10">
        <f t="shared" si="11"/>
        <v>0.14387929443063566</v>
      </c>
      <c r="P97" s="8">
        <f t="shared" si="12"/>
        <v>2.5151902736455929</v>
      </c>
      <c r="U97" s="8">
        <v>157</v>
      </c>
      <c r="V97" s="10">
        <f t="shared" si="13"/>
        <v>0.1329046868124345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1817.3114583332999</v>
      </c>
      <c r="E98">
        <v>352.83749999999998</v>
      </c>
      <c r="F98">
        <v>134.65687303253</v>
      </c>
      <c r="G98">
        <v>115.48268625394</v>
      </c>
      <c r="I98" s="9">
        <f t="shared" si="8"/>
        <v>237.35481374605996</v>
      </c>
      <c r="J98" s="9">
        <f t="shared" si="9"/>
        <v>1682.6545853007699</v>
      </c>
      <c r="K98" s="9">
        <f t="shared" si="10"/>
        <v>237.35481374605996</v>
      </c>
      <c r="L98" s="10">
        <f t="shared" si="7"/>
        <v>0.14105973728626747</v>
      </c>
      <c r="M98" s="10">
        <f t="shared" si="11"/>
        <v>0.14303572685699442</v>
      </c>
      <c r="P98" s="8">
        <f t="shared" si="12"/>
        <v>1.9141413828880687</v>
      </c>
      <c r="U98" s="8">
        <v>157.5</v>
      </c>
      <c r="V98" s="10">
        <f t="shared" si="13"/>
        <v>0.13362522639485763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1803.4239583333001</v>
      </c>
      <c r="E99">
        <v>353.83437500000002</v>
      </c>
      <c r="F99">
        <v>135.22350472193</v>
      </c>
      <c r="G99">
        <v>115.35886673662</v>
      </c>
      <c r="I99" s="9">
        <f t="shared" si="8"/>
        <v>238.47550826338002</v>
      </c>
      <c r="J99" s="9">
        <f t="shared" si="9"/>
        <v>1668.20045361137</v>
      </c>
      <c r="K99" s="9">
        <f t="shared" si="10"/>
        <v>238.47550826338002</v>
      </c>
      <c r="L99" s="10">
        <f t="shared" si="7"/>
        <v>0.14295374860204668</v>
      </c>
      <c r="M99" s="10">
        <f t="shared" si="11"/>
        <v>0.14495032139746869</v>
      </c>
      <c r="P99" s="8">
        <f t="shared" si="12"/>
        <v>3.2783058680581498</v>
      </c>
      <c r="U99" s="8">
        <v>158</v>
      </c>
      <c r="V99" s="10">
        <f t="shared" si="13"/>
        <v>0.13350263950694385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1791.5677083333001</v>
      </c>
      <c r="E100">
        <v>350.90416666666999</v>
      </c>
      <c r="F100">
        <v>135.16998950682</v>
      </c>
      <c r="G100">
        <v>115.49737670514</v>
      </c>
      <c r="I100" s="9">
        <f t="shared" si="8"/>
        <v>235.40678996153</v>
      </c>
      <c r="J100" s="9">
        <f t="shared" si="9"/>
        <v>1656.3977188264801</v>
      </c>
      <c r="K100" s="9">
        <f t="shared" si="10"/>
        <v>235.40678996153</v>
      </c>
      <c r="L100" s="10">
        <f t="shared" si="7"/>
        <v>0.14211972600898673</v>
      </c>
      <c r="M100" s="10">
        <f t="shared" si="11"/>
        <v>0.14413688202910382</v>
      </c>
      <c r="P100" s="8">
        <f t="shared" si="12"/>
        <v>2.6987235733715398</v>
      </c>
      <c r="U100" s="8">
        <v>158.5</v>
      </c>
      <c r="V100" s="10">
        <f t="shared" si="13"/>
        <v>0.13264437817941521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1805.7072916667</v>
      </c>
      <c r="E101">
        <v>355.07083333332997</v>
      </c>
      <c r="F101">
        <v>134.81951731375</v>
      </c>
      <c r="G101">
        <v>115.00314795382999</v>
      </c>
      <c r="I101" s="9">
        <f t="shared" si="8"/>
        <v>240.06768537949998</v>
      </c>
      <c r="J101" s="9">
        <f t="shared" si="9"/>
        <v>1670.8877743529501</v>
      </c>
      <c r="K101" s="9">
        <f t="shared" si="10"/>
        <v>240.06768537949998</v>
      </c>
      <c r="L101" s="10">
        <f t="shared" si="7"/>
        <v>0.14367672626754718</v>
      </c>
      <c r="M101" s="10">
        <f t="shared" si="11"/>
        <v>0.14571446551235934</v>
      </c>
      <c r="P101" s="8">
        <f t="shared" si="12"/>
        <v>3.8227648859070817</v>
      </c>
      <c r="U101" s="8">
        <v>159</v>
      </c>
      <c r="V101" s="10">
        <f t="shared" si="13"/>
        <v>0.1342766228267096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1803.1677083333</v>
      </c>
      <c r="E102">
        <v>355.74062500000002</v>
      </c>
      <c r="F102">
        <v>134.99895068206001</v>
      </c>
      <c r="G102">
        <v>115.90346274920999</v>
      </c>
      <c r="I102" s="9">
        <f t="shared" si="8"/>
        <v>239.83716225079002</v>
      </c>
      <c r="J102" s="9">
        <f t="shared" si="9"/>
        <v>1668.16875765124</v>
      </c>
      <c r="K102" s="9">
        <f t="shared" si="10"/>
        <v>239.83716225079002</v>
      </c>
      <c r="L102" s="10">
        <f t="shared" si="7"/>
        <v>0.1437727215251757</v>
      </c>
      <c r="M102" s="10">
        <f t="shared" si="11"/>
        <v>0.14583104399468294</v>
      </c>
      <c r="P102" s="8">
        <f t="shared" si="12"/>
        <v>3.9058280211866245</v>
      </c>
      <c r="U102" s="8">
        <v>159.5</v>
      </c>
      <c r="V102" s="10">
        <f t="shared" si="13"/>
        <v>0.13361305956499017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1808.0791666667001</v>
      </c>
      <c r="E103">
        <v>356.65208333332998</v>
      </c>
      <c r="F103">
        <v>135.57397691501001</v>
      </c>
      <c r="G103">
        <v>115.57187827912</v>
      </c>
      <c r="I103" s="9">
        <f t="shared" si="8"/>
        <v>241.08020505420998</v>
      </c>
      <c r="J103" s="9">
        <f t="shared" si="9"/>
        <v>1672.5051897516901</v>
      </c>
      <c r="K103" s="9">
        <f t="shared" si="10"/>
        <v>241.08020505420998</v>
      </c>
      <c r="L103" s="10">
        <f t="shared" si="7"/>
        <v>0.14414317308635805</v>
      </c>
      <c r="M103" s="10">
        <f t="shared" si="11"/>
        <v>0.14622207878056034</v>
      </c>
      <c r="P103" s="8">
        <f t="shared" si="12"/>
        <v>4.1844435484344471</v>
      </c>
      <c r="U103" s="8">
        <v>160</v>
      </c>
      <c r="V103" s="10">
        <f t="shared" si="13"/>
        <v>0.13418290546362918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1800.1520833333</v>
      </c>
      <c r="E104">
        <v>357.30624999999998</v>
      </c>
      <c r="F104">
        <v>134.86358866737001</v>
      </c>
      <c r="G104">
        <v>115.32948583421</v>
      </c>
      <c r="I104" s="9">
        <f t="shared" si="8"/>
        <v>241.97676416578997</v>
      </c>
      <c r="J104" s="9">
        <f t="shared" si="9"/>
        <v>1665.2884946659299</v>
      </c>
      <c r="K104" s="9">
        <f t="shared" si="10"/>
        <v>241.97676416578997</v>
      </c>
      <c r="L104" s="10">
        <f t="shared" si="7"/>
        <v>0.1453062126717764</v>
      </c>
      <c r="M104" s="10">
        <f t="shared" si="11"/>
        <v>0.14740570159067379</v>
      </c>
      <c r="P104" s="8">
        <f t="shared" si="12"/>
        <v>5.0277846147857606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1802.628125</v>
      </c>
      <c r="E105">
        <v>355.31354166667001</v>
      </c>
      <c r="F105">
        <v>135.31689401889</v>
      </c>
      <c r="G105">
        <v>115.22560335782001</v>
      </c>
      <c r="I105" s="9">
        <f t="shared" si="8"/>
        <v>240.08793830885</v>
      </c>
      <c r="J105" s="9">
        <f t="shared" si="9"/>
        <v>1667.3112309811099</v>
      </c>
      <c r="K105" s="9">
        <f t="shared" si="10"/>
        <v>240.08793830885</v>
      </c>
      <c r="L105" s="10">
        <f t="shared" si="7"/>
        <v>0.14399707376023194</v>
      </c>
      <c r="M105" s="10">
        <f t="shared" si="11"/>
        <v>0.14611714590382438</v>
      </c>
      <c r="P105" s="8">
        <f t="shared" si="12"/>
        <v>4.1096780036969847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1798.3052083333</v>
      </c>
      <c r="E106">
        <v>353.09375</v>
      </c>
      <c r="F106">
        <v>134.85099685205</v>
      </c>
      <c r="G106">
        <v>115.85729275971001</v>
      </c>
      <c r="I106" s="9">
        <f t="shared" si="8"/>
        <v>237.23645724029001</v>
      </c>
      <c r="J106" s="9">
        <f t="shared" si="9"/>
        <v>1663.45421148125</v>
      </c>
      <c r="K106" s="9">
        <f t="shared" si="10"/>
        <v>237.23645724029001</v>
      </c>
      <c r="L106" s="10">
        <f t="shared" si="7"/>
        <v>0.14261676432261933</v>
      </c>
      <c r="M106" s="10">
        <f t="shared" si="11"/>
        <v>0.14475741969090683</v>
      </c>
      <c r="P106" s="8">
        <f t="shared" si="12"/>
        <v>3.1408618026660049</v>
      </c>
      <c r="X106" s="8">
        <v>-13</v>
      </c>
    </row>
    <row r="107" spans="1:25" x14ac:dyDescent="0.2">
      <c r="A107" s="8">
        <v>52.5</v>
      </c>
      <c r="B107" s="8">
        <v>105</v>
      </c>
      <c r="D107">
        <v>1795.98125</v>
      </c>
      <c r="E107">
        <v>349.40104166666998</v>
      </c>
      <c r="F107">
        <v>135.50052465896999</v>
      </c>
      <c r="G107">
        <v>115.44491080797999</v>
      </c>
      <c r="I107" s="9">
        <f t="shared" si="8"/>
        <v>233.95613085868999</v>
      </c>
      <c r="J107" s="9">
        <f t="shared" si="9"/>
        <v>1660.4807253410299</v>
      </c>
      <c r="K107" s="9">
        <f t="shared" si="10"/>
        <v>233.95613085868999</v>
      </c>
      <c r="L107" s="10">
        <f t="shared" si="7"/>
        <v>0.14089662547009693</v>
      </c>
      <c r="M107" s="10">
        <f t="shared" si="11"/>
        <v>0.14305786406307952</v>
      </c>
      <c r="P107" s="8">
        <f t="shared" si="12"/>
        <v>1.9299143257769071</v>
      </c>
      <c r="X107" s="8">
        <v>-13</v>
      </c>
    </row>
    <row r="108" spans="1:25" x14ac:dyDescent="0.2">
      <c r="A108" s="8">
        <v>53</v>
      </c>
      <c r="B108" s="8">
        <v>106</v>
      </c>
      <c r="D108">
        <v>1791.8625</v>
      </c>
      <c r="E108">
        <v>349.76354166666999</v>
      </c>
      <c r="F108">
        <v>135.42077649527999</v>
      </c>
      <c r="G108">
        <v>115.50052465896999</v>
      </c>
      <c r="I108" s="9">
        <f t="shared" si="8"/>
        <v>234.2630170077</v>
      </c>
      <c r="J108" s="9">
        <f t="shared" si="9"/>
        <v>1656.4417235047199</v>
      </c>
      <c r="K108" s="9">
        <f t="shared" si="10"/>
        <v>234.2630170077</v>
      </c>
      <c r="L108" s="10">
        <f t="shared" si="7"/>
        <v>0.14142545052055525</v>
      </c>
      <c r="M108" s="10">
        <f t="shared" si="11"/>
        <v>0.14360727233823289</v>
      </c>
      <c r="P108" s="8">
        <f t="shared" si="12"/>
        <v>2.32137227730597</v>
      </c>
      <c r="X108" s="8">
        <v>-13</v>
      </c>
    </row>
    <row r="109" spans="1:25" x14ac:dyDescent="0.2">
      <c r="A109" s="8">
        <v>53.5</v>
      </c>
      <c r="B109" s="8">
        <v>107</v>
      </c>
      <c r="D109">
        <v>1794.6385416666999</v>
      </c>
      <c r="E109">
        <v>350.24687499999999</v>
      </c>
      <c r="F109">
        <v>136.04931794333999</v>
      </c>
      <c r="G109">
        <v>115.84365162644001</v>
      </c>
      <c r="I109" s="9">
        <f t="shared" si="8"/>
        <v>234.40322337355997</v>
      </c>
      <c r="J109" s="9">
        <f t="shared" si="9"/>
        <v>1658.58922372336</v>
      </c>
      <c r="K109" s="9">
        <f t="shared" si="10"/>
        <v>234.40322337355997</v>
      </c>
      <c r="L109" s="10">
        <f t="shared" si="7"/>
        <v>0.14132686986072968</v>
      </c>
      <c r="M109" s="10">
        <f t="shared" si="11"/>
        <v>0.14352927490310241</v>
      </c>
      <c r="P109" s="8">
        <f t="shared" si="12"/>
        <v>2.2657984580507424</v>
      </c>
      <c r="X109" s="8">
        <v>-13</v>
      </c>
    </row>
    <row r="110" spans="1:25" x14ac:dyDescent="0.2">
      <c r="A110" s="8">
        <v>54</v>
      </c>
      <c r="B110" s="8">
        <v>108</v>
      </c>
      <c r="D110">
        <v>1785.315625</v>
      </c>
      <c r="E110">
        <v>349.08645833332997</v>
      </c>
      <c r="F110">
        <v>135.85204616998999</v>
      </c>
      <c r="G110">
        <v>115.30954879328</v>
      </c>
      <c r="I110" s="9">
        <f t="shared" si="8"/>
        <v>233.77690954004999</v>
      </c>
      <c r="J110" s="9">
        <f t="shared" si="9"/>
        <v>1649.46357883001</v>
      </c>
      <c r="K110" s="9">
        <f t="shared" si="10"/>
        <v>233.77690954004999</v>
      </c>
      <c r="L110" s="10">
        <f t="shared" si="7"/>
        <v>0.14172905212364348</v>
      </c>
      <c r="M110" s="10">
        <f t="shared" si="11"/>
        <v>0.14395204039071127</v>
      </c>
      <c r="P110" s="8">
        <f t="shared" si="12"/>
        <v>2.5670223733810138</v>
      </c>
      <c r="X110" s="8">
        <v>-13</v>
      </c>
    </row>
    <row r="111" spans="1:25" x14ac:dyDescent="0.2">
      <c r="A111" s="8">
        <v>54.5</v>
      </c>
      <c r="B111" s="8">
        <v>109</v>
      </c>
      <c r="D111">
        <v>1794.5145833332999</v>
      </c>
      <c r="E111">
        <v>350.9375</v>
      </c>
      <c r="F111">
        <v>135.84470094439001</v>
      </c>
      <c r="G111">
        <v>115.9296956978</v>
      </c>
      <c r="I111" s="9">
        <f t="shared" si="8"/>
        <v>235.00780430219999</v>
      </c>
      <c r="J111" s="9">
        <f t="shared" si="9"/>
        <v>1658.6698823889099</v>
      </c>
      <c r="K111" s="9">
        <f t="shared" si="10"/>
        <v>235.00780430219999</v>
      </c>
      <c r="L111" s="10">
        <f t="shared" si="7"/>
        <v>0.14168449478550157</v>
      </c>
      <c r="M111" s="10">
        <f t="shared" si="11"/>
        <v>0.14392806627726445</v>
      </c>
      <c r="P111" s="8">
        <f t="shared" si="12"/>
        <v>2.5499406187660205</v>
      </c>
      <c r="X111" s="8">
        <v>-13</v>
      </c>
    </row>
    <row r="112" spans="1:25" x14ac:dyDescent="0.2">
      <c r="A112" s="8">
        <v>55</v>
      </c>
      <c r="B112" s="8">
        <v>110</v>
      </c>
      <c r="D112">
        <v>1801.3364583333</v>
      </c>
      <c r="E112">
        <v>350.98333333332999</v>
      </c>
      <c r="F112">
        <v>134.9685204617</v>
      </c>
      <c r="G112">
        <v>115.78384050367001</v>
      </c>
      <c r="I112" s="9">
        <f t="shared" si="8"/>
        <v>235.19949282965999</v>
      </c>
      <c r="J112" s="9">
        <f t="shared" si="9"/>
        <v>1666.3679378716001</v>
      </c>
      <c r="K112" s="9">
        <f t="shared" si="10"/>
        <v>235.19949282965999</v>
      </c>
      <c r="L112" s="10">
        <f t="shared" si="7"/>
        <v>0.14114499414221385</v>
      </c>
      <c r="M112" s="10">
        <f t="shared" si="11"/>
        <v>0.14340914885867179</v>
      </c>
      <c r="P112" s="8">
        <f t="shared" si="12"/>
        <v>2.1802076553549257</v>
      </c>
      <c r="X112" s="8">
        <v>-13</v>
      </c>
    </row>
    <row r="113" spans="1:24" x14ac:dyDescent="0.2">
      <c r="A113" s="8">
        <v>55.5</v>
      </c>
      <c r="B113" s="8">
        <v>111</v>
      </c>
      <c r="D113">
        <v>1804.7322916666999</v>
      </c>
      <c r="E113">
        <v>351.85416666666998</v>
      </c>
      <c r="F113">
        <v>135.47114375656</v>
      </c>
      <c r="G113">
        <v>115.64428121720999</v>
      </c>
      <c r="I113" s="9">
        <f t="shared" si="8"/>
        <v>236.20988544945999</v>
      </c>
      <c r="J113" s="9">
        <f t="shared" si="9"/>
        <v>1669.2611479101399</v>
      </c>
      <c r="K113" s="9">
        <f t="shared" si="10"/>
        <v>236.20988544945999</v>
      </c>
      <c r="L113" s="10">
        <f t="shared" si="7"/>
        <v>0.1415056510152333</v>
      </c>
      <c r="M113" s="10">
        <f t="shared" si="11"/>
        <v>0.14379038895638632</v>
      </c>
      <c r="P113" s="8">
        <f t="shared" si="12"/>
        <v>2.4518443860729153</v>
      </c>
      <c r="X113" s="8">
        <v>-13</v>
      </c>
    </row>
    <row r="114" spans="1:24" x14ac:dyDescent="0.2">
      <c r="A114" s="8">
        <v>56</v>
      </c>
      <c r="B114" s="8">
        <v>112</v>
      </c>
      <c r="D114">
        <v>1798.3114583332999</v>
      </c>
      <c r="E114">
        <v>351.91458333332997</v>
      </c>
      <c r="F114">
        <v>135.93074501574</v>
      </c>
      <c r="G114">
        <v>115.68100734523</v>
      </c>
      <c r="I114" s="9">
        <f t="shared" si="8"/>
        <v>236.23357598809997</v>
      </c>
      <c r="J114" s="9">
        <f t="shared" si="9"/>
        <v>1662.3807133175599</v>
      </c>
      <c r="K114" s="9">
        <f t="shared" si="10"/>
        <v>236.23357598809997</v>
      </c>
      <c r="L114" s="10">
        <f t="shared" si="7"/>
        <v>0.14210558032561399</v>
      </c>
      <c r="M114" s="10">
        <f t="shared" si="11"/>
        <v>0.14441090149146207</v>
      </c>
      <c r="P114" s="8">
        <f t="shared" si="12"/>
        <v>2.8939647123658703</v>
      </c>
      <c r="X114" s="8">
        <v>-13</v>
      </c>
    </row>
    <row r="115" spans="1:24" x14ac:dyDescent="0.2">
      <c r="A115" s="8">
        <v>56.5</v>
      </c>
      <c r="B115" s="8">
        <v>113</v>
      </c>
      <c r="D115">
        <v>1801.26875</v>
      </c>
      <c r="E115">
        <v>350.73750000000001</v>
      </c>
      <c r="F115">
        <v>136.24658971668001</v>
      </c>
      <c r="G115">
        <v>115.46065057713</v>
      </c>
      <c r="I115" s="9">
        <f t="shared" si="8"/>
        <v>235.27684942287001</v>
      </c>
      <c r="J115" s="9">
        <f t="shared" si="9"/>
        <v>1665.0221602833199</v>
      </c>
      <c r="K115" s="9">
        <f t="shared" si="10"/>
        <v>235.27684942287001</v>
      </c>
      <c r="L115" s="10">
        <f t="shared" si="7"/>
        <v>0.14130553636765733</v>
      </c>
      <c r="M115" s="10">
        <f t="shared" si="11"/>
        <v>0.1436314407582005</v>
      </c>
      <c r="P115" s="8">
        <f t="shared" si="12"/>
        <v>2.3385924769281408</v>
      </c>
      <c r="X115" s="8">
        <v>-13</v>
      </c>
    </row>
    <row r="116" spans="1:24" x14ac:dyDescent="0.2">
      <c r="A116" s="8">
        <v>57</v>
      </c>
      <c r="B116" s="8">
        <v>114</v>
      </c>
      <c r="D116">
        <v>1806.3541666666999</v>
      </c>
      <c r="E116">
        <v>353.08854166666998</v>
      </c>
      <c r="F116">
        <v>136.30430220356999</v>
      </c>
      <c r="G116">
        <v>115.94963273872</v>
      </c>
      <c r="I116" s="9">
        <f t="shared" si="8"/>
        <v>237.13890892794998</v>
      </c>
      <c r="J116" s="9">
        <f t="shared" si="9"/>
        <v>1670.04986446313</v>
      </c>
      <c r="K116" s="9">
        <f t="shared" si="10"/>
        <v>237.13890892794998</v>
      </c>
      <c r="L116" s="10">
        <f t="shared" si="7"/>
        <v>0.14199510683723382</v>
      </c>
      <c r="M116" s="10">
        <f t="shared" si="11"/>
        <v>0.14434159445247205</v>
      </c>
      <c r="P116" s="8">
        <f t="shared" si="12"/>
        <v>2.8445828724181452</v>
      </c>
      <c r="X116" s="8">
        <v>-13</v>
      </c>
    </row>
    <row r="117" spans="1:24" x14ac:dyDescent="0.2">
      <c r="A117" s="8">
        <v>57.5</v>
      </c>
      <c r="B117" s="8">
        <v>115</v>
      </c>
      <c r="D117">
        <v>1804.3479166667</v>
      </c>
      <c r="E117">
        <v>350.71770833332999</v>
      </c>
      <c r="F117">
        <v>135.69884575026001</v>
      </c>
      <c r="G117">
        <v>116.11647429171001</v>
      </c>
      <c r="I117" s="9">
        <f t="shared" si="8"/>
        <v>234.60123404161999</v>
      </c>
      <c r="J117" s="9">
        <f t="shared" si="9"/>
        <v>1668.64907091644</v>
      </c>
      <c r="K117" s="9">
        <f t="shared" si="10"/>
        <v>234.60123404161999</v>
      </c>
      <c r="L117" s="10">
        <f t="shared" si="7"/>
        <v>0.14059351251894711</v>
      </c>
      <c r="M117" s="10">
        <f t="shared" si="11"/>
        <v>0.14296058335888043</v>
      </c>
      <c r="P117" s="8">
        <f t="shared" si="12"/>
        <v>1.8606010174208383</v>
      </c>
      <c r="X117" s="8">
        <v>-13</v>
      </c>
    </row>
    <row r="118" spans="1:24" x14ac:dyDescent="0.2">
      <c r="A118" s="8">
        <v>58</v>
      </c>
      <c r="B118" s="8">
        <v>116</v>
      </c>
      <c r="D118">
        <v>1797.3104166666999</v>
      </c>
      <c r="E118">
        <v>354.77812499999999</v>
      </c>
      <c r="F118">
        <v>135.95383001049001</v>
      </c>
      <c r="G118">
        <v>115.88037775446</v>
      </c>
      <c r="I118" s="9">
        <f t="shared" si="8"/>
        <v>238.89774724553999</v>
      </c>
      <c r="J118" s="9">
        <f t="shared" si="9"/>
        <v>1661.3565866562099</v>
      </c>
      <c r="K118" s="9">
        <f t="shared" si="10"/>
        <v>238.89774724553999</v>
      </c>
      <c r="L118" s="10">
        <f t="shared" si="7"/>
        <v>0.14379679182924016</v>
      </c>
      <c r="M118" s="10">
        <f t="shared" si="11"/>
        <v>0.14618444589386853</v>
      </c>
      <c r="P118" s="8">
        <f t="shared" si="12"/>
        <v>4.1576298046290958</v>
      </c>
      <c r="X118" s="8">
        <v>-13</v>
      </c>
    </row>
    <row r="119" spans="1:24" x14ac:dyDescent="0.2">
      <c r="A119" s="8">
        <v>58.5</v>
      </c>
      <c r="B119" s="8">
        <v>117</v>
      </c>
      <c r="D119">
        <v>1794.9583333333001</v>
      </c>
      <c r="E119">
        <v>350.14791666667003</v>
      </c>
      <c r="F119">
        <v>135.57817418677999</v>
      </c>
      <c r="G119">
        <v>115.98635886674001</v>
      </c>
      <c r="I119" s="9">
        <f t="shared" si="8"/>
        <v>234.16155779993002</v>
      </c>
      <c r="J119" s="9">
        <f t="shared" si="9"/>
        <v>1659.3801591465201</v>
      </c>
      <c r="K119" s="9">
        <f t="shared" si="10"/>
        <v>234.16155779993002</v>
      </c>
      <c r="L119" s="10">
        <f t="shared" si="7"/>
        <v>0.14111387104951759</v>
      </c>
      <c r="M119" s="10">
        <f t="shared" si="11"/>
        <v>0.14352210833884105</v>
      </c>
      <c r="P119" s="8">
        <f t="shared" si="12"/>
        <v>2.2606922215921244</v>
      </c>
      <c r="X119" s="8">
        <v>-13</v>
      </c>
    </row>
    <row r="120" spans="1:24" x14ac:dyDescent="0.2">
      <c r="A120" s="8">
        <v>59</v>
      </c>
      <c r="B120" s="8">
        <v>118</v>
      </c>
      <c r="D120">
        <v>1796.20625</v>
      </c>
      <c r="E120">
        <v>352.09062499999999</v>
      </c>
      <c r="F120">
        <v>135.94543546694999</v>
      </c>
      <c r="G120">
        <v>115.94543546695</v>
      </c>
      <c r="I120" s="9">
        <f t="shared" si="8"/>
        <v>236.14518953304997</v>
      </c>
      <c r="J120" s="9">
        <f t="shared" si="9"/>
        <v>1660.2608145330501</v>
      </c>
      <c r="K120" s="9">
        <f t="shared" si="10"/>
        <v>236.14518953304997</v>
      </c>
      <c r="L120" s="10">
        <f t="shared" si="7"/>
        <v>0.14223379089957383</v>
      </c>
      <c r="M120" s="10">
        <f t="shared" si="11"/>
        <v>0.14466261141359235</v>
      </c>
      <c r="P120" s="8">
        <f t="shared" si="12"/>
        <v>3.0733101189656371</v>
      </c>
      <c r="X120" s="8">
        <v>-13</v>
      </c>
    </row>
    <row r="121" spans="1:24" x14ac:dyDescent="0.2">
      <c r="A121" s="8">
        <v>59.5</v>
      </c>
      <c r="B121" s="8">
        <v>119</v>
      </c>
      <c r="D121">
        <v>1778.1229166666999</v>
      </c>
      <c r="E121">
        <v>349.22604166667003</v>
      </c>
      <c r="F121">
        <v>136.20041972717999</v>
      </c>
      <c r="G121">
        <v>116.14585519412</v>
      </c>
      <c r="I121" s="9">
        <f t="shared" si="8"/>
        <v>233.08018647255003</v>
      </c>
      <c r="J121" s="9">
        <f t="shared" si="9"/>
        <v>1641.92249693952</v>
      </c>
      <c r="K121" s="9">
        <f t="shared" si="10"/>
        <v>233.08018647255003</v>
      </c>
      <c r="L121" s="10">
        <f t="shared" si="7"/>
        <v>0.14195565680292613</v>
      </c>
      <c r="M121" s="10">
        <f t="shared" si="11"/>
        <v>0.14440506054163973</v>
      </c>
      <c r="P121" s="8">
        <f t="shared" si="12"/>
        <v>2.8898029871865427</v>
      </c>
      <c r="X121" s="8">
        <v>-13</v>
      </c>
    </row>
    <row r="122" spans="1:24" x14ac:dyDescent="0.2">
      <c r="A122" s="8">
        <v>60</v>
      </c>
      <c r="B122" s="8">
        <v>120</v>
      </c>
      <c r="D122">
        <v>1765.7708333333001</v>
      </c>
      <c r="E122">
        <v>346.94791666666998</v>
      </c>
      <c r="F122">
        <v>135.98635886674001</v>
      </c>
      <c r="G122">
        <v>115.97166841553</v>
      </c>
      <c r="I122" s="9">
        <f t="shared" si="8"/>
        <v>230.97624825113996</v>
      </c>
      <c r="J122" s="9">
        <f t="shared" si="9"/>
        <v>1629.7844744665601</v>
      </c>
      <c r="K122" s="9">
        <f t="shared" si="10"/>
        <v>230.97624825113996</v>
      </c>
      <c r="L122" s="10">
        <f t="shared" si="7"/>
        <v>0.1417219588662115</v>
      </c>
      <c r="M122" s="10">
        <f t="shared" si="11"/>
        <v>0.14419194582962017</v>
      </c>
      <c r="P122" s="8">
        <f t="shared" si="12"/>
        <v>2.7379569878073062</v>
      </c>
      <c r="X122" s="8">
        <v>-13</v>
      </c>
    </row>
    <row r="123" spans="1:24" x14ac:dyDescent="0.2">
      <c r="A123" s="8">
        <v>60.5</v>
      </c>
      <c r="B123" s="8">
        <v>121</v>
      </c>
      <c r="D123">
        <v>1786.1197916666999</v>
      </c>
      <c r="E123">
        <v>350.765625</v>
      </c>
      <c r="F123">
        <v>136.04092339978999</v>
      </c>
      <c r="G123">
        <v>116.15424973767</v>
      </c>
      <c r="I123" s="9">
        <f t="shared" si="8"/>
        <v>234.61137526233</v>
      </c>
      <c r="J123" s="9">
        <f t="shared" si="9"/>
        <v>1650.0788682669099</v>
      </c>
      <c r="K123" s="9">
        <f t="shared" si="10"/>
        <v>234.61137526233</v>
      </c>
      <c r="L123" s="10">
        <f t="shared" si="7"/>
        <v>0.14218191613395065</v>
      </c>
      <c r="M123" s="10">
        <f t="shared" si="11"/>
        <v>0.1446724863220544</v>
      </c>
      <c r="P123" s="8">
        <f t="shared" si="12"/>
        <v>3.0803460731237928</v>
      </c>
      <c r="X123" s="8">
        <v>-13</v>
      </c>
    </row>
    <row r="124" spans="1:24" x14ac:dyDescent="0.2">
      <c r="A124" s="8">
        <v>61</v>
      </c>
      <c r="B124" s="8">
        <v>122</v>
      </c>
      <c r="D124">
        <v>1782.3885416666999</v>
      </c>
      <c r="E124">
        <v>350.34791666667002</v>
      </c>
      <c r="F124">
        <v>136.00734522560001</v>
      </c>
      <c r="G124">
        <v>115.97901364113</v>
      </c>
      <c r="I124" s="9">
        <f t="shared" si="8"/>
        <v>234.36890302554002</v>
      </c>
      <c r="J124" s="9">
        <f t="shared" si="9"/>
        <v>1646.3811964411</v>
      </c>
      <c r="K124" s="9">
        <f t="shared" si="10"/>
        <v>234.36890302554002</v>
      </c>
      <c r="L124" s="10">
        <f t="shared" si="7"/>
        <v>0.14235397217373691</v>
      </c>
      <c r="M124" s="10">
        <f t="shared" si="11"/>
        <v>0.14486512558653572</v>
      </c>
      <c r="P124" s="8">
        <f t="shared" si="12"/>
        <v>3.2176031463574848</v>
      </c>
      <c r="X124" s="8">
        <v>-13</v>
      </c>
    </row>
    <row r="125" spans="1:24" x14ac:dyDescent="0.2">
      <c r="A125" s="8">
        <v>61.5</v>
      </c>
      <c r="B125" s="8">
        <v>123</v>
      </c>
      <c r="D125">
        <v>1787.3333333333001</v>
      </c>
      <c r="E125">
        <v>353.49374999999998</v>
      </c>
      <c r="F125">
        <v>136.32633788038001</v>
      </c>
      <c r="G125">
        <v>115.75131164743</v>
      </c>
      <c r="I125" s="9">
        <f t="shared" si="8"/>
        <v>237.74243835256999</v>
      </c>
      <c r="J125" s="9">
        <f t="shared" si="9"/>
        <v>1651.0069954529201</v>
      </c>
      <c r="K125" s="9">
        <f t="shared" si="10"/>
        <v>237.74243835256999</v>
      </c>
      <c r="L125" s="10">
        <f t="shared" si="7"/>
        <v>0.14399844398439401</v>
      </c>
      <c r="M125" s="10">
        <f t="shared" si="11"/>
        <v>0.14653018062188791</v>
      </c>
      <c r="P125" s="8">
        <f t="shared" si="12"/>
        <v>4.4039686650424068</v>
      </c>
      <c r="X125" s="8">
        <v>-13</v>
      </c>
    </row>
    <row r="126" spans="1:24" x14ac:dyDescent="0.2">
      <c r="A126" s="8">
        <v>62</v>
      </c>
      <c r="B126" s="8">
        <v>124</v>
      </c>
      <c r="D126">
        <v>1778.8760416667001</v>
      </c>
      <c r="E126">
        <v>353.88958333332999</v>
      </c>
      <c r="F126">
        <v>136.58971668416001</v>
      </c>
      <c r="G126">
        <v>116.14480587618</v>
      </c>
      <c r="I126" s="9">
        <f t="shared" si="8"/>
        <v>237.74477745715001</v>
      </c>
      <c r="J126" s="9">
        <f t="shared" si="9"/>
        <v>1642.28632498254</v>
      </c>
      <c r="K126" s="9">
        <f t="shared" si="10"/>
        <v>237.74477745715001</v>
      </c>
      <c r="L126" s="10">
        <f t="shared" si="7"/>
        <v>0.14476451142566604</v>
      </c>
      <c r="M126" s="10">
        <f t="shared" si="11"/>
        <v>0.147316831287855</v>
      </c>
      <c r="P126" s="8">
        <f t="shared" si="12"/>
        <v>4.9644637871489747</v>
      </c>
      <c r="X126" s="8">
        <v>-13</v>
      </c>
    </row>
    <row r="127" spans="1:24" x14ac:dyDescent="0.2">
      <c r="A127" s="8">
        <v>62.5</v>
      </c>
      <c r="B127" s="8">
        <v>125</v>
      </c>
      <c r="D127">
        <v>1788.3940020683001</v>
      </c>
      <c r="E127">
        <v>352.44053774561002</v>
      </c>
      <c r="F127">
        <v>136.62539349423</v>
      </c>
      <c r="G127">
        <v>116.16264428122</v>
      </c>
      <c r="I127" s="9">
        <f t="shared" si="8"/>
        <v>236.27789346439002</v>
      </c>
      <c r="J127" s="9">
        <f t="shared" si="9"/>
        <v>1651.7686085740702</v>
      </c>
      <c r="K127" s="9">
        <f t="shared" si="10"/>
        <v>236.27789346439002</v>
      </c>
      <c r="L127" s="10">
        <f t="shared" si="7"/>
        <v>0.14304539524356424</v>
      </c>
      <c r="M127" s="10">
        <f t="shared" si="11"/>
        <v>0.14561829833044829</v>
      </c>
      <c r="P127" s="8">
        <f t="shared" si="12"/>
        <v>3.7542449714141424</v>
      </c>
      <c r="X127" s="8">
        <v>-13</v>
      </c>
    </row>
    <row r="128" spans="1:24" x14ac:dyDescent="0.2">
      <c r="A128" s="8">
        <v>63</v>
      </c>
      <c r="B128" s="8">
        <v>126</v>
      </c>
      <c r="D128">
        <v>1771.1840744571</v>
      </c>
      <c r="E128">
        <v>348.37642192348</v>
      </c>
      <c r="F128">
        <v>136.17628541447999</v>
      </c>
      <c r="G128">
        <v>116.2444910808</v>
      </c>
      <c r="I128" s="9">
        <f t="shared" si="8"/>
        <v>232.13193084267999</v>
      </c>
      <c r="J128" s="9">
        <f t="shared" si="9"/>
        <v>1635.0077890426201</v>
      </c>
      <c r="K128" s="9">
        <f t="shared" si="10"/>
        <v>232.13193084267999</v>
      </c>
      <c r="L128" s="10">
        <f t="shared" si="7"/>
        <v>0.14197603974633358</v>
      </c>
      <c r="M128" s="10">
        <f t="shared" si="11"/>
        <v>0.14456952605791268</v>
      </c>
      <c r="P128" s="8">
        <f t="shared" si="12"/>
        <v>3.0069860312158729</v>
      </c>
      <c r="X128" s="8">
        <v>-13</v>
      </c>
    </row>
    <row r="129" spans="1:24" x14ac:dyDescent="0.2">
      <c r="A129" s="8">
        <v>63.5</v>
      </c>
      <c r="B129" s="8">
        <v>127</v>
      </c>
      <c r="D129">
        <v>1711.734229576</v>
      </c>
      <c r="E129">
        <v>338.26680455015997</v>
      </c>
      <c r="F129">
        <v>137.34627492129999</v>
      </c>
      <c r="G129">
        <v>116.34312696747</v>
      </c>
      <c r="I129" s="9">
        <f t="shared" si="8"/>
        <v>221.92367758268998</v>
      </c>
      <c r="J129" s="9">
        <f t="shared" si="9"/>
        <v>1574.3879546547</v>
      </c>
      <c r="K129" s="9">
        <f t="shared" si="10"/>
        <v>221.92367758268998</v>
      </c>
      <c r="L129" s="10">
        <f t="shared" si="7"/>
        <v>0.14095869885600276</v>
      </c>
      <c r="M129" s="10">
        <f t="shared" si="11"/>
        <v>0.14357276839227695</v>
      </c>
      <c r="P129" s="8">
        <f t="shared" si="12"/>
        <v>2.2967879297188998</v>
      </c>
      <c r="X129" s="8">
        <v>-13</v>
      </c>
    </row>
    <row r="130" spans="1:24" x14ac:dyDescent="0.2">
      <c r="A130" s="8">
        <v>64</v>
      </c>
      <c r="B130" s="8">
        <v>128</v>
      </c>
      <c r="D130">
        <v>1758.2349272348999</v>
      </c>
      <c r="E130">
        <v>342.84407484408001</v>
      </c>
      <c r="F130">
        <v>136.76180482685999</v>
      </c>
      <c r="G130">
        <v>115.86044071354</v>
      </c>
      <c r="I130" s="9">
        <f t="shared" si="8"/>
        <v>226.98363413054</v>
      </c>
      <c r="J130" s="9">
        <f t="shared" si="9"/>
        <v>1621.4731224080399</v>
      </c>
      <c r="K130" s="9">
        <f t="shared" si="10"/>
        <v>226.98363413054</v>
      </c>
      <c r="L130" s="10">
        <f t="shared" ref="L130:L193" si="14">K130/J130</f>
        <v>0.13998606020274204</v>
      </c>
      <c r="M130" s="10">
        <f t="shared" si="11"/>
        <v>0.14262071296371129</v>
      </c>
      <c r="P130" s="8">
        <f t="shared" si="12"/>
        <v>1.6184405427881194</v>
      </c>
      <c r="X130" s="8">
        <v>-13</v>
      </c>
    </row>
    <row r="131" spans="1:24" x14ac:dyDescent="0.2">
      <c r="A131" s="8">
        <v>64.5</v>
      </c>
      <c r="B131" s="8">
        <v>129</v>
      </c>
      <c r="D131">
        <v>1760.2016632017001</v>
      </c>
      <c r="E131">
        <v>341.15176715177</v>
      </c>
      <c r="F131">
        <v>136.35991605456999</v>
      </c>
      <c r="G131">
        <v>116.22455403987</v>
      </c>
      <c r="I131" s="9">
        <f t="shared" ref="I131:I194" si="15">E131-G131</f>
        <v>224.92721311190002</v>
      </c>
      <c r="J131" s="9">
        <f t="shared" ref="J131:J194" si="16">D131-F131</f>
        <v>1623.84174714713</v>
      </c>
      <c r="K131" s="9">
        <f t="shared" ref="K131:K194" si="17">I131*1</f>
        <v>224.92721311190002</v>
      </c>
      <c r="L131" s="10">
        <f t="shared" si="14"/>
        <v>0.13851547634310218</v>
      </c>
      <c r="M131" s="10">
        <f t="shared" ref="M131:M181" si="18">L131+ABS($N$2)*A131</f>
        <v>0.14117071232876652</v>
      </c>
      <c r="P131" s="8">
        <f t="shared" ref="P131:P194" si="19">(M131-$O$2)/$O$2*100</f>
        <v>0.58530306754192996</v>
      </c>
      <c r="X131" s="8">
        <v>-13</v>
      </c>
    </row>
    <row r="132" spans="1:24" x14ac:dyDescent="0.2">
      <c r="A132" s="8">
        <v>65</v>
      </c>
      <c r="B132" s="8">
        <v>130</v>
      </c>
      <c r="D132">
        <v>1852.665615142</v>
      </c>
      <c r="E132">
        <v>346.74132492114001</v>
      </c>
      <c r="F132">
        <v>136.16264428122</v>
      </c>
      <c r="G132">
        <v>116.37355718783</v>
      </c>
      <c r="I132" s="9">
        <f t="shared" si="15"/>
        <v>230.36776773331002</v>
      </c>
      <c r="J132" s="9">
        <f t="shared" si="16"/>
        <v>1716.5029708607799</v>
      </c>
      <c r="K132" s="9">
        <f t="shared" si="17"/>
        <v>230.36776773331002</v>
      </c>
      <c r="L132" s="10">
        <f t="shared" si="14"/>
        <v>0.13420761376124318</v>
      </c>
      <c r="M132" s="10">
        <f t="shared" si="18"/>
        <v>0.13688343297160258</v>
      </c>
      <c r="P132" s="8">
        <f t="shared" si="19"/>
        <v>-2.4694190229102393</v>
      </c>
      <c r="X132" s="8">
        <v>-13</v>
      </c>
    </row>
    <row r="133" spans="1:24" x14ac:dyDescent="0.2">
      <c r="A133" s="8">
        <v>65.5</v>
      </c>
      <c r="B133" s="8">
        <v>131</v>
      </c>
      <c r="D133">
        <v>1838.9779179811001</v>
      </c>
      <c r="E133">
        <v>343.29232386961002</v>
      </c>
      <c r="F133">
        <v>136.97691500524999</v>
      </c>
      <c r="G133">
        <v>116.21511017838</v>
      </c>
      <c r="I133" s="9">
        <f t="shared" si="15"/>
        <v>227.07721369123001</v>
      </c>
      <c r="J133" s="9">
        <f t="shared" si="16"/>
        <v>1702.00100297585</v>
      </c>
      <c r="K133" s="9">
        <f t="shared" si="17"/>
        <v>227.07721369123001</v>
      </c>
      <c r="L133" s="10">
        <f t="shared" si="14"/>
        <v>0.13341779076169677</v>
      </c>
      <c r="M133" s="10">
        <f t="shared" si="18"/>
        <v>0.13611419319675125</v>
      </c>
      <c r="P133" s="8">
        <f t="shared" si="19"/>
        <v>-3.0175087407324099</v>
      </c>
      <c r="X133" s="8">
        <v>-13</v>
      </c>
    </row>
    <row r="134" spans="1:24" x14ac:dyDescent="0.2">
      <c r="A134" s="8">
        <v>66</v>
      </c>
      <c r="B134" s="8">
        <v>132</v>
      </c>
      <c r="D134">
        <v>1826.6519453207</v>
      </c>
      <c r="E134">
        <v>338.79179810725998</v>
      </c>
      <c r="F134">
        <v>136.02518363063999</v>
      </c>
      <c r="G134">
        <v>116.18782791186</v>
      </c>
      <c r="I134" s="9">
        <f t="shared" si="15"/>
        <v>222.6039701954</v>
      </c>
      <c r="J134" s="9">
        <f t="shared" si="16"/>
        <v>1690.62676169006</v>
      </c>
      <c r="K134" s="9">
        <f t="shared" si="17"/>
        <v>222.6039701954</v>
      </c>
      <c r="L134" s="10">
        <f t="shared" si="14"/>
        <v>0.13166949396499003</v>
      </c>
      <c r="M134" s="10">
        <f t="shared" si="18"/>
        <v>0.13438647962473957</v>
      </c>
      <c r="P134" s="8">
        <f t="shared" si="19"/>
        <v>-4.2485189863277233</v>
      </c>
      <c r="X134" s="8">
        <v>-13</v>
      </c>
    </row>
    <row r="135" spans="1:24" x14ac:dyDescent="0.2">
      <c r="A135" s="8">
        <v>66.5</v>
      </c>
      <c r="B135" s="8">
        <v>133</v>
      </c>
      <c r="D135">
        <v>1836.960042061</v>
      </c>
      <c r="E135">
        <v>339.83491062040002</v>
      </c>
      <c r="F135">
        <v>136.38405036725999</v>
      </c>
      <c r="G135">
        <v>116.47848898216</v>
      </c>
      <c r="I135" s="9">
        <f t="shared" si="15"/>
        <v>223.35642163824002</v>
      </c>
      <c r="J135" s="9">
        <f t="shared" si="16"/>
        <v>1700.57599169374</v>
      </c>
      <c r="K135" s="9">
        <f t="shared" si="17"/>
        <v>223.35642163824002</v>
      </c>
      <c r="L135" s="10">
        <f t="shared" si="14"/>
        <v>0.13134162938274899</v>
      </c>
      <c r="M135" s="10">
        <f t="shared" si="18"/>
        <v>0.13407919826719361</v>
      </c>
      <c r="P135" s="8">
        <f t="shared" si="19"/>
        <v>-4.4674595014381486</v>
      </c>
      <c r="X135" s="8">
        <v>-13</v>
      </c>
    </row>
    <row r="136" spans="1:24" x14ac:dyDescent="0.2">
      <c r="A136" s="8">
        <v>67</v>
      </c>
      <c r="B136" s="8">
        <v>134</v>
      </c>
      <c r="D136">
        <v>1785.8464773922001</v>
      </c>
      <c r="E136">
        <v>331.42586750789002</v>
      </c>
      <c r="F136">
        <v>136.46799580273</v>
      </c>
      <c r="G136">
        <v>116.10912906611</v>
      </c>
      <c r="I136" s="9">
        <f t="shared" si="15"/>
        <v>215.31673844178002</v>
      </c>
      <c r="J136" s="9">
        <f t="shared" si="16"/>
        <v>1649.3784815894701</v>
      </c>
      <c r="K136" s="9">
        <f t="shared" si="17"/>
        <v>215.31673844178002</v>
      </c>
      <c r="L136" s="10">
        <f t="shared" si="14"/>
        <v>0.13054416608750952</v>
      </c>
      <c r="M136" s="10">
        <f t="shared" si="18"/>
        <v>0.1333023181966492</v>
      </c>
      <c r="P136" s="8">
        <f t="shared" si="19"/>
        <v>-5.0209929932920376</v>
      </c>
      <c r="X136" s="8">
        <v>-13</v>
      </c>
    </row>
    <row r="137" spans="1:24" x14ac:dyDescent="0.2">
      <c r="A137" s="8">
        <v>67.5</v>
      </c>
      <c r="B137" s="8">
        <v>135</v>
      </c>
      <c r="D137">
        <v>1819.1195426195</v>
      </c>
      <c r="E137">
        <v>336.09355509355998</v>
      </c>
      <c r="F137">
        <v>137.15005246589999</v>
      </c>
      <c r="G137">
        <v>116.39979013641</v>
      </c>
      <c r="I137" s="9">
        <f t="shared" si="15"/>
        <v>219.69376495714999</v>
      </c>
      <c r="J137" s="9">
        <f t="shared" si="16"/>
        <v>1681.9694901536</v>
      </c>
      <c r="K137" s="9">
        <f t="shared" si="17"/>
        <v>219.69376495714999</v>
      </c>
      <c r="L137" s="10">
        <f t="shared" si="14"/>
        <v>0.13061697387690857</v>
      </c>
      <c r="M137" s="10">
        <f t="shared" si="18"/>
        <v>0.13339570921074334</v>
      </c>
      <c r="P137" s="8">
        <f t="shared" si="19"/>
        <v>-4.9544511213875628</v>
      </c>
      <c r="X137" s="8">
        <v>-13</v>
      </c>
    </row>
    <row r="138" spans="1:24" x14ac:dyDescent="0.2">
      <c r="A138" s="8">
        <v>68</v>
      </c>
      <c r="B138" s="8">
        <v>136</v>
      </c>
      <c r="D138">
        <v>1828.9033264033001</v>
      </c>
      <c r="E138">
        <v>338.41476091476</v>
      </c>
      <c r="F138">
        <v>137.05666316893999</v>
      </c>
      <c r="G138">
        <v>116.26128016789001</v>
      </c>
      <c r="I138" s="9">
        <f t="shared" si="15"/>
        <v>222.15348074687</v>
      </c>
      <c r="J138" s="9">
        <f t="shared" si="16"/>
        <v>1691.84666323436</v>
      </c>
      <c r="K138" s="9">
        <f t="shared" si="17"/>
        <v>222.15348074687</v>
      </c>
      <c r="L138" s="10">
        <f t="shared" si="14"/>
        <v>0.13130828317630852</v>
      </c>
      <c r="M138" s="10">
        <f t="shared" si="18"/>
        <v>0.13410760173483835</v>
      </c>
      <c r="P138" s="8">
        <f t="shared" si="19"/>
        <v>-4.4472217952306341</v>
      </c>
      <c r="X138" s="8">
        <v>-13</v>
      </c>
    </row>
    <row r="139" spans="1:24" x14ac:dyDescent="0.2">
      <c r="A139" s="8">
        <v>68.5</v>
      </c>
      <c r="B139" s="8">
        <v>137</v>
      </c>
      <c r="D139">
        <v>1815.4324324324</v>
      </c>
      <c r="E139">
        <v>340.80145530146001</v>
      </c>
      <c r="F139">
        <v>136.99580272822999</v>
      </c>
      <c r="G139">
        <v>116.48478488982001</v>
      </c>
      <c r="I139" s="9">
        <f t="shared" si="15"/>
        <v>224.31667041164002</v>
      </c>
      <c r="J139" s="9">
        <f t="shared" si="16"/>
        <v>1678.4366297041699</v>
      </c>
      <c r="K139" s="9">
        <f t="shared" si="17"/>
        <v>224.31667041164002</v>
      </c>
      <c r="L139" s="10">
        <f t="shared" si="14"/>
        <v>0.13364619577634967</v>
      </c>
      <c r="M139" s="10">
        <f t="shared" si="18"/>
        <v>0.13646609755957456</v>
      </c>
      <c r="P139" s="8">
        <f t="shared" si="19"/>
        <v>-2.7667739643650568</v>
      </c>
      <c r="X139" s="8">
        <v>-13</v>
      </c>
    </row>
    <row r="140" spans="1:24" x14ac:dyDescent="0.2">
      <c r="A140" s="8">
        <v>69</v>
      </c>
      <c r="B140" s="8">
        <v>138</v>
      </c>
      <c r="D140">
        <v>1807.3659043659</v>
      </c>
      <c r="E140">
        <v>338.03430353430002</v>
      </c>
      <c r="F140">
        <v>137.16054564532999</v>
      </c>
      <c r="G140">
        <v>116.81951731375</v>
      </c>
      <c r="I140" s="9">
        <f t="shared" si="15"/>
        <v>221.21478622055002</v>
      </c>
      <c r="J140" s="9">
        <f t="shared" si="16"/>
        <v>1670.2053587205701</v>
      </c>
      <c r="K140" s="9">
        <f t="shared" si="17"/>
        <v>221.21478622055002</v>
      </c>
      <c r="L140" s="10">
        <f t="shared" si="14"/>
        <v>0.13244765684981846</v>
      </c>
      <c r="M140" s="10">
        <f t="shared" si="18"/>
        <v>0.13528814185773844</v>
      </c>
      <c r="P140" s="8">
        <f t="shared" si="19"/>
        <v>-3.6060771690792963</v>
      </c>
      <c r="X140" s="8">
        <v>-13</v>
      </c>
    </row>
    <row r="141" spans="1:24" x14ac:dyDescent="0.2">
      <c r="A141" s="8">
        <v>69.5</v>
      </c>
      <c r="B141" s="8">
        <v>139</v>
      </c>
      <c r="D141">
        <v>1749.7401247401001</v>
      </c>
      <c r="E141">
        <v>337.81912681913002</v>
      </c>
      <c r="F141">
        <v>137.64847848898</v>
      </c>
      <c r="G141">
        <v>116.55299055614</v>
      </c>
      <c r="I141" s="9">
        <f t="shared" si="15"/>
        <v>221.26613626299002</v>
      </c>
      <c r="J141" s="9">
        <f t="shared" si="16"/>
        <v>1612.09164625112</v>
      </c>
      <c r="K141" s="9">
        <f t="shared" si="17"/>
        <v>221.26613626299002</v>
      </c>
      <c r="L141" s="10">
        <f t="shared" si="14"/>
        <v>0.13725406789219399</v>
      </c>
      <c r="M141" s="10">
        <f t="shared" si="18"/>
        <v>0.14011513612480903</v>
      </c>
      <c r="P141" s="8">
        <f t="shared" si="19"/>
        <v>-0.16680373021001646</v>
      </c>
      <c r="X141" s="8">
        <v>-13</v>
      </c>
    </row>
    <row r="142" spans="1:24" x14ac:dyDescent="0.2">
      <c r="A142" s="8">
        <v>70</v>
      </c>
      <c r="B142" s="8">
        <v>140</v>
      </c>
      <c r="D142">
        <v>1737.8596673597001</v>
      </c>
      <c r="E142">
        <v>338.00519750519999</v>
      </c>
      <c r="F142">
        <v>136.41552990555999</v>
      </c>
      <c r="G142">
        <v>116.49737670514</v>
      </c>
      <c r="I142" s="9">
        <f t="shared" si="15"/>
        <v>221.50782080005999</v>
      </c>
      <c r="J142" s="9">
        <f t="shared" si="16"/>
        <v>1601.4441374541402</v>
      </c>
      <c r="K142" s="9">
        <f t="shared" si="17"/>
        <v>221.50782080005999</v>
      </c>
      <c r="L142" s="10">
        <f t="shared" si="14"/>
        <v>0.13831754453339662</v>
      </c>
      <c r="M142" s="10">
        <f t="shared" si="18"/>
        <v>0.14119919599070674</v>
      </c>
      <c r="P142" s="8">
        <f t="shared" si="19"/>
        <v>0.60559791284991593</v>
      </c>
      <c r="X142" s="8">
        <v>-13</v>
      </c>
    </row>
    <row r="143" spans="1:24" x14ac:dyDescent="0.2">
      <c r="A143" s="8">
        <v>70.5</v>
      </c>
      <c r="B143" s="8">
        <v>141</v>
      </c>
      <c r="D143">
        <v>1752.7286902287001</v>
      </c>
      <c r="E143">
        <v>337.25987525988</v>
      </c>
      <c r="F143">
        <v>137.18258132214001</v>
      </c>
      <c r="G143">
        <v>116.49317943337</v>
      </c>
      <c r="I143" s="9">
        <f t="shared" si="15"/>
        <v>220.76669582650999</v>
      </c>
      <c r="J143" s="9">
        <f t="shared" si="16"/>
        <v>1615.54610890656</v>
      </c>
      <c r="K143" s="9">
        <f t="shared" si="17"/>
        <v>220.76669582650999</v>
      </c>
      <c r="L143" s="10">
        <f t="shared" si="14"/>
        <v>0.1366514360744121</v>
      </c>
      <c r="M143" s="10">
        <f t="shared" si="18"/>
        <v>0.13955367075641728</v>
      </c>
      <c r="P143" s="8">
        <f t="shared" si="19"/>
        <v>-0.56685246064420236</v>
      </c>
      <c r="X143" s="8">
        <v>-13</v>
      </c>
    </row>
    <row r="144" spans="1:24" x14ac:dyDescent="0.2">
      <c r="A144" s="8">
        <v>71</v>
      </c>
      <c r="B144" s="8">
        <v>142</v>
      </c>
      <c r="D144">
        <v>1773.7525987526001</v>
      </c>
      <c r="E144">
        <v>332.25363825364002</v>
      </c>
      <c r="F144">
        <v>136.83315844700999</v>
      </c>
      <c r="G144">
        <v>116.45540398740999</v>
      </c>
      <c r="I144" s="9">
        <f t="shared" si="15"/>
        <v>215.79823426623003</v>
      </c>
      <c r="J144" s="9">
        <f t="shared" si="16"/>
        <v>1636.9194403055901</v>
      </c>
      <c r="K144" s="9">
        <f t="shared" si="17"/>
        <v>215.79823426623003</v>
      </c>
      <c r="L144" s="10">
        <f t="shared" si="14"/>
        <v>0.13183192095631993</v>
      </c>
      <c r="M144" s="10">
        <f t="shared" si="18"/>
        <v>0.1347547388630202</v>
      </c>
      <c r="P144" s="8">
        <f t="shared" si="19"/>
        <v>-3.986131225588692</v>
      </c>
    </row>
    <row r="145" spans="1:16" x14ac:dyDescent="0.2">
      <c r="A145" s="8">
        <v>71.5</v>
      </c>
      <c r="B145" s="8">
        <v>143</v>
      </c>
      <c r="D145">
        <v>1770.5498960499001</v>
      </c>
      <c r="E145">
        <v>326.87318087317999</v>
      </c>
      <c r="F145">
        <v>137.18992654773999</v>
      </c>
      <c r="G145">
        <v>116.46379853096001</v>
      </c>
      <c r="I145" s="9">
        <f t="shared" si="15"/>
        <v>210.40938234222</v>
      </c>
      <c r="J145" s="9">
        <f t="shared" si="16"/>
        <v>1633.3599695021601</v>
      </c>
      <c r="K145" s="9">
        <f t="shared" si="17"/>
        <v>210.40938234222</v>
      </c>
      <c r="L145" s="10">
        <f t="shared" si="14"/>
        <v>0.12881997004392837</v>
      </c>
      <c r="M145" s="10">
        <f t="shared" si="18"/>
        <v>0.13176337117532369</v>
      </c>
      <c r="P145" s="8">
        <f t="shared" si="19"/>
        <v>-6.1175055063437584</v>
      </c>
    </row>
    <row r="146" spans="1:16" x14ac:dyDescent="0.2">
      <c r="A146" s="8">
        <v>72</v>
      </c>
      <c r="B146" s="8">
        <v>144</v>
      </c>
      <c r="D146">
        <v>1776.3367983368</v>
      </c>
      <c r="E146">
        <v>324.20790020790002</v>
      </c>
      <c r="F146">
        <v>137.03043022035999</v>
      </c>
      <c r="G146">
        <v>116.08604407135</v>
      </c>
      <c r="I146" s="9">
        <f t="shared" si="15"/>
        <v>208.12185613655004</v>
      </c>
      <c r="J146" s="9">
        <f t="shared" si="16"/>
        <v>1639.3063681164401</v>
      </c>
      <c r="K146" s="9">
        <f t="shared" si="17"/>
        <v>208.12185613655004</v>
      </c>
      <c r="L146" s="10">
        <f t="shared" si="14"/>
        <v>0.12695726691752052</v>
      </c>
      <c r="M146" s="10">
        <f t="shared" si="18"/>
        <v>0.12992125127361093</v>
      </c>
      <c r="P146" s="8">
        <f t="shared" si="19"/>
        <v>-7.4300312104644144</v>
      </c>
    </row>
    <row r="147" spans="1:16" x14ac:dyDescent="0.2">
      <c r="A147" s="8">
        <v>72.5</v>
      </c>
      <c r="B147" s="8">
        <v>145</v>
      </c>
      <c r="D147">
        <v>1841.71278826</v>
      </c>
      <c r="E147">
        <v>331.80083857442003</v>
      </c>
      <c r="F147">
        <v>136.84994753410001</v>
      </c>
      <c r="G147">
        <v>116.23294858342</v>
      </c>
      <c r="I147" s="9">
        <f t="shared" si="15"/>
        <v>215.56788999100002</v>
      </c>
      <c r="J147" s="9">
        <f t="shared" si="16"/>
        <v>1704.8628407259</v>
      </c>
      <c r="K147" s="9">
        <f t="shared" si="17"/>
        <v>215.56788999100002</v>
      </c>
      <c r="L147" s="10">
        <f t="shared" si="14"/>
        <v>0.12644295179735107</v>
      </c>
      <c r="M147" s="10">
        <f t="shared" si="18"/>
        <v>0.12942751937813654</v>
      </c>
      <c r="P147" s="8">
        <f t="shared" si="19"/>
        <v>-7.7818192798250543</v>
      </c>
    </row>
    <row r="148" spans="1:16" x14ac:dyDescent="0.2">
      <c r="A148" s="8">
        <v>73</v>
      </c>
      <c r="B148" s="8">
        <v>146</v>
      </c>
      <c r="D148">
        <v>1802.8637316561999</v>
      </c>
      <c r="E148">
        <v>335.23165618449002</v>
      </c>
      <c r="F148">
        <v>137.09758656873001</v>
      </c>
      <c r="G148">
        <v>116.22560335782001</v>
      </c>
      <c r="I148" s="9">
        <f t="shared" si="15"/>
        <v>219.00605282667001</v>
      </c>
      <c r="J148" s="9">
        <f t="shared" si="16"/>
        <v>1665.7661450874698</v>
      </c>
      <c r="K148" s="9">
        <f t="shared" si="17"/>
        <v>219.00605282667001</v>
      </c>
      <c r="L148" s="10">
        <f t="shared" si="14"/>
        <v>0.13147466916202091</v>
      </c>
      <c r="M148" s="10">
        <f t="shared" si="18"/>
        <v>0.13447981996750147</v>
      </c>
      <c r="P148" s="8">
        <f t="shared" si="19"/>
        <v>-4.1820132181676177</v>
      </c>
    </row>
    <row r="149" spans="1:16" x14ac:dyDescent="0.2">
      <c r="A149" s="8">
        <v>73.5</v>
      </c>
      <c r="B149" s="8">
        <v>147</v>
      </c>
      <c r="D149">
        <v>1794.9523809524001</v>
      </c>
      <c r="E149">
        <v>331.58074534162</v>
      </c>
      <c r="F149">
        <v>137.12277019937</v>
      </c>
      <c r="G149">
        <v>116.43756558237</v>
      </c>
      <c r="I149" s="9">
        <f t="shared" si="15"/>
        <v>215.14317975925002</v>
      </c>
      <c r="J149" s="9">
        <f t="shared" si="16"/>
        <v>1657.82961075303</v>
      </c>
      <c r="K149" s="9">
        <f t="shared" si="17"/>
        <v>215.14317975925002</v>
      </c>
      <c r="L149" s="10">
        <f t="shared" si="14"/>
        <v>0.12977399991156285</v>
      </c>
      <c r="M149" s="10">
        <f t="shared" si="18"/>
        <v>0.13279973394173847</v>
      </c>
      <c r="P149" s="8">
        <f t="shared" si="19"/>
        <v>-5.3790884421514367</v>
      </c>
    </row>
    <row r="150" spans="1:16" x14ac:dyDescent="0.2">
      <c r="A150" s="8">
        <v>74</v>
      </c>
      <c r="B150" s="8">
        <v>148</v>
      </c>
      <c r="D150">
        <v>1752.1964472309</v>
      </c>
      <c r="E150">
        <v>326.00626959248001</v>
      </c>
      <c r="F150">
        <v>137.54249737671</v>
      </c>
      <c r="G150">
        <v>116.41762854145</v>
      </c>
      <c r="I150" s="9">
        <f t="shared" si="15"/>
        <v>209.58864105103001</v>
      </c>
      <c r="J150" s="9">
        <f t="shared" si="16"/>
        <v>1614.6539498541902</v>
      </c>
      <c r="K150" s="9">
        <f t="shared" si="17"/>
        <v>209.58864105103001</v>
      </c>
      <c r="L150" s="10">
        <f t="shared" si="14"/>
        <v>0.1298040617743243</v>
      </c>
      <c r="M150" s="10">
        <f t="shared" si="18"/>
        <v>0.132850379029195</v>
      </c>
      <c r="P150" s="8">
        <f t="shared" si="19"/>
        <v>-5.3430033974090563</v>
      </c>
    </row>
    <row r="151" spans="1:16" x14ac:dyDescent="0.2">
      <c r="A151" s="8">
        <v>74.5</v>
      </c>
      <c r="B151" s="8">
        <v>149</v>
      </c>
      <c r="D151">
        <v>1682.1003134795999</v>
      </c>
      <c r="E151">
        <v>316.55903866249002</v>
      </c>
      <c r="F151">
        <v>136.34837355719</v>
      </c>
      <c r="G151">
        <v>116.65162644281</v>
      </c>
      <c r="I151" s="9">
        <f t="shared" si="15"/>
        <v>199.90741221968003</v>
      </c>
      <c r="J151" s="9">
        <f t="shared" si="16"/>
        <v>1545.75193992241</v>
      </c>
      <c r="K151" s="9">
        <f t="shared" si="17"/>
        <v>199.90741221968003</v>
      </c>
      <c r="L151" s="10">
        <f t="shared" si="14"/>
        <v>0.12932696835542351</v>
      </c>
      <c r="M151" s="10">
        <f t="shared" si="18"/>
        <v>0.13239386883498927</v>
      </c>
      <c r="P151" s="8">
        <f t="shared" si="19"/>
        <v>-5.6682706959877347</v>
      </c>
    </row>
    <row r="152" spans="1:16" x14ac:dyDescent="0.2">
      <c r="A152" s="8">
        <v>75</v>
      </c>
      <c r="B152" s="8">
        <v>150</v>
      </c>
      <c r="D152">
        <v>1744.2443064182</v>
      </c>
      <c r="E152">
        <v>323.86128364388998</v>
      </c>
      <c r="F152">
        <v>137.46904512066999</v>
      </c>
      <c r="G152">
        <v>116.59601259182</v>
      </c>
      <c r="I152" s="9">
        <f t="shared" si="15"/>
        <v>207.26527105206998</v>
      </c>
      <c r="J152" s="9">
        <f t="shared" si="16"/>
        <v>1606.7752612975301</v>
      </c>
      <c r="K152" s="9">
        <f t="shared" si="17"/>
        <v>207.26527105206998</v>
      </c>
      <c r="L152" s="10">
        <f t="shared" si="14"/>
        <v>0.12899456199287987</v>
      </c>
      <c r="M152" s="10">
        <f t="shared" si="18"/>
        <v>0.13208204569714072</v>
      </c>
      <c r="P152" s="8">
        <f t="shared" si="19"/>
        <v>-5.8904472672224575</v>
      </c>
    </row>
    <row r="153" spans="1:16" x14ac:dyDescent="0.2">
      <c r="A153" s="8">
        <v>75.5</v>
      </c>
      <c r="B153" s="8">
        <v>151</v>
      </c>
      <c r="D153">
        <v>1736.4544513458</v>
      </c>
      <c r="E153">
        <v>324.51449275362</v>
      </c>
      <c r="F153">
        <v>137.55299055614</v>
      </c>
      <c r="G153">
        <v>116.66841552991001</v>
      </c>
      <c r="I153" s="9">
        <f t="shared" si="15"/>
        <v>207.84607722370998</v>
      </c>
      <c r="J153" s="9">
        <f t="shared" si="16"/>
        <v>1598.90146078966</v>
      </c>
      <c r="K153" s="9">
        <f t="shared" si="17"/>
        <v>207.84607722370998</v>
      </c>
      <c r="L153" s="10">
        <f t="shared" si="14"/>
        <v>0.12999304980374443</v>
      </c>
      <c r="M153" s="10">
        <f t="shared" si="18"/>
        <v>0.13310111673270034</v>
      </c>
      <c r="P153" s="8">
        <f t="shared" si="19"/>
        <v>-5.1643507046408219</v>
      </c>
    </row>
    <row r="154" spans="1:16" x14ac:dyDescent="0.2">
      <c r="A154" s="8">
        <v>76</v>
      </c>
      <c r="B154" s="8">
        <v>152</v>
      </c>
      <c r="D154">
        <v>1729.6211180124001</v>
      </c>
      <c r="E154">
        <v>328.84575569357997</v>
      </c>
      <c r="F154">
        <v>137.45645330535001</v>
      </c>
      <c r="G154">
        <v>116.82161594963</v>
      </c>
      <c r="I154" s="9">
        <f t="shared" si="15"/>
        <v>212.02413974394997</v>
      </c>
      <c r="J154" s="9">
        <f t="shared" si="16"/>
        <v>1592.1646647070502</v>
      </c>
      <c r="K154" s="9">
        <f t="shared" si="17"/>
        <v>212.02413974394997</v>
      </c>
      <c r="L154" s="10">
        <f t="shared" si="14"/>
        <v>0.13316721846917842</v>
      </c>
      <c r="M154" s="10">
        <f t="shared" si="18"/>
        <v>0.13629586862282941</v>
      </c>
      <c r="P154" s="8">
        <f t="shared" si="19"/>
        <v>-2.8880634932689007</v>
      </c>
    </row>
    <row r="155" spans="1:16" x14ac:dyDescent="0.2">
      <c r="A155" s="8">
        <v>76.5</v>
      </c>
      <c r="B155" s="8">
        <v>153</v>
      </c>
      <c r="D155">
        <v>1757.7758081335</v>
      </c>
      <c r="E155">
        <v>325.78310740354999</v>
      </c>
      <c r="F155">
        <v>137.23189926548</v>
      </c>
      <c r="G155">
        <v>116.7166841553</v>
      </c>
      <c r="I155" s="9">
        <f t="shared" si="15"/>
        <v>209.06642324824998</v>
      </c>
      <c r="J155" s="9">
        <f t="shared" si="16"/>
        <v>1620.54390886802</v>
      </c>
      <c r="K155" s="9">
        <f t="shared" si="17"/>
        <v>209.06642324824998</v>
      </c>
      <c r="L155" s="10">
        <f t="shared" si="14"/>
        <v>0.12901003305383238</v>
      </c>
      <c r="M155" s="10">
        <f t="shared" si="18"/>
        <v>0.13215926643217843</v>
      </c>
      <c r="P155" s="8">
        <f t="shared" si="19"/>
        <v>-5.8354268532234261</v>
      </c>
    </row>
    <row r="156" spans="1:16" x14ac:dyDescent="0.2">
      <c r="A156" s="8">
        <v>77</v>
      </c>
      <c r="B156" s="8">
        <v>154</v>
      </c>
      <c r="D156">
        <v>1757.8154327423999</v>
      </c>
      <c r="E156">
        <v>319.87695516163001</v>
      </c>
      <c r="F156">
        <v>137.07555089191999</v>
      </c>
      <c r="G156">
        <v>116.79958027281999</v>
      </c>
      <c r="I156" s="9">
        <f t="shared" si="15"/>
        <v>203.07737488881003</v>
      </c>
      <c r="J156" s="9">
        <f t="shared" si="16"/>
        <v>1620.7398818504798</v>
      </c>
      <c r="K156" s="9">
        <f t="shared" si="17"/>
        <v>203.07737488881003</v>
      </c>
      <c r="L156" s="10">
        <f t="shared" si="14"/>
        <v>0.12529917796367571</v>
      </c>
      <c r="M156" s="10">
        <f t="shared" si="18"/>
        <v>0.12846899456671684</v>
      </c>
      <c r="P156" s="8">
        <f t="shared" si="19"/>
        <v>-8.4647761556809709</v>
      </c>
    </row>
    <row r="157" spans="1:16" x14ac:dyDescent="0.2">
      <c r="A157" s="8">
        <v>77.5</v>
      </c>
      <c r="B157" s="8">
        <v>155</v>
      </c>
      <c r="D157">
        <v>1748.1459854015</v>
      </c>
      <c r="E157">
        <v>322.58602711157999</v>
      </c>
      <c r="F157">
        <v>137.28121720881001</v>
      </c>
      <c r="G157">
        <v>116.70619097587</v>
      </c>
      <c r="I157" s="9">
        <f t="shared" si="15"/>
        <v>205.87983613570998</v>
      </c>
      <c r="J157" s="9">
        <f t="shared" si="16"/>
        <v>1610.86476819269</v>
      </c>
      <c r="K157" s="9">
        <f t="shared" si="17"/>
        <v>205.87983613570998</v>
      </c>
      <c r="L157" s="10">
        <f t="shared" si="14"/>
        <v>0.12780702651203732</v>
      </c>
      <c r="M157" s="10">
        <f t="shared" si="18"/>
        <v>0.13099742633977352</v>
      </c>
      <c r="P157" s="8">
        <f t="shared" si="19"/>
        <v>-6.6632475525934876</v>
      </c>
    </row>
    <row r="158" spans="1:16" x14ac:dyDescent="0.2">
      <c r="A158" s="8">
        <v>78</v>
      </c>
      <c r="B158" s="8">
        <v>156</v>
      </c>
      <c r="D158">
        <v>1753.7664233577</v>
      </c>
      <c r="E158">
        <v>318.4244004171</v>
      </c>
      <c r="F158">
        <v>137.54984260231001</v>
      </c>
      <c r="G158">
        <v>116.64428121720999</v>
      </c>
      <c r="I158" s="9">
        <f t="shared" si="15"/>
        <v>201.78011919989001</v>
      </c>
      <c r="J158" s="9">
        <f t="shared" si="16"/>
        <v>1616.2165807553899</v>
      </c>
      <c r="K158" s="9">
        <f t="shared" si="17"/>
        <v>201.78011919989001</v>
      </c>
      <c r="L158" s="10">
        <f t="shared" si="14"/>
        <v>0.1248472027836651</v>
      </c>
      <c r="M158" s="10">
        <f t="shared" si="18"/>
        <v>0.12805818583609638</v>
      </c>
      <c r="P158" s="8">
        <f t="shared" si="19"/>
        <v>-8.7574807825161756</v>
      </c>
    </row>
    <row r="159" spans="1:16" x14ac:dyDescent="0.2">
      <c r="A159" s="8">
        <v>78.5</v>
      </c>
      <c r="B159" s="8">
        <v>157</v>
      </c>
      <c r="D159">
        <v>1786.7226277371999</v>
      </c>
      <c r="E159">
        <v>323.79457768509002</v>
      </c>
      <c r="F159">
        <v>136.74501573977</v>
      </c>
      <c r="G159">
        <v>116.49527806926</v>
      </c>
      <c r="I159" s="9">
        <f t="shared" si="15"/>
        <v>207.29929961583002</v>
      </c>
      <c r="J159" s="9">
        <f t="shared" si="16"/>
        <v>1649.9776119974299</v>
      </c>
      <c r="K159" s="9">
        <f t="shared" si="17"/>
        <v>207.29929961583002</v>
      </c>
      <c r="L159" s="10">
        <f t="shared" si="14"/>
        <v>0.1256376438737721</v>
      </c>
      <c r="M159" s="10">
        <f t="shared" si="18"/>
        <v>0.12886921015089844</v>
      </c>
      <c r="P159" s="8">
        <f t="shared" si="19"/>
        <v>-8.1796192335177551</v>
      </c>
    </row>
    <row r="160" spans="1:16" x14ac:dyDescent="0.2">
      <c r="A160" s="8">
        <v>79</v>
      </c>
      <c r="B160" s="8">
        <v>158</v>
      </c>
      <c r="D160">
        <v>1806.2857142856999</v>
      </c>
      <c r="E160">
        <v>324.95828988530002</v>
      </c>
      <c r="F160">
        <v>137.18048268625</v>
      </c>
      <c r="G160">
        <v>116.86778593914001</v>
      </c>
      <c r="I160" s="9">
        <f t="shared" si="15"/>
        <v>208.09050394616003</v>
      </c>
      <c r="J160" s="9">
        <f t="shared" si="16"/>
        <v>1669.1052315994498</v>
      </c>
      <c r="K160" s="9">
        <f t="shared" si="17"/>
        <v>208.09050394616003</v>
      </c>
      <c r="L160" s="10">
        <f t="shared" si="14"/>
        <v>0.12467189006816161</v>
      </c>
      <c r="M160" s="10">
        <f t="shared" si="18"/>
        <v>0.12792403956998302</v>
      </c>
      <c r="P160" s="8">
        <f t="shared" si="19"/>
        <v>-8.8530611094112288</v>
      </c>
    </row>
    <row r="161" spans="1:16" x14ac:dyDescent="0.2">
      <c r="A161" s="8">
        <v>79.5</v>
      </c>
      <c r="B161" s="8">
        <v>159</v>
      </c>
      <c r="D161">
        <v>1804.6579770594001</v>
      </c>
      <c r="E161">
        <v>325.21272158497999</v>
      </c>
      <c r="F161">
        <v>136.99580272822999</v>
      </c>
      <c r="G161">
        <v>116.54459601259001</v>
      </c>
      <c r="I161" s="9">
        <f t="shared" si="15"/>
        <v>208.66812557238998</v>
      </c>
      <c r="J161" s="9">
        <f t="shared" si="16"/>
        <v>1667.66217433117</v>
      </c>
      <c r="K161" s="9">
        <f t="shared" si="17"/>
        <v>208.66812557238998</v>
      </c>
      <c r="L161" s="10">
        <f t="shared" si="14"/>
        <v>0.12512613692643001</v>
      </c>
      <c r="M161" s="10">
        <f t="shared" si="18"/>
        <v>0.1283988696529465</v>
      </c>
      <c r="P161" s="8">
        <f t="shared" si="19"/>
        <v>-8.5147407381911755</v>
      </c>
    </row>
    <row r="162" spans="1:16" x14ac:dyDescent="0.2">
      <c r="A162" s="8">
        <v>80</v>
      </c>
      <c r="B162" s="4">
        <v>160</v>
      </c>
      <c r="C162" s="4" t="s">
        <v>6</v>
      </c>
      <c r="D162">
        <v>1789.2273201251001</v>
      </c>
      <c r="E162">
        <v>329.45985401460001</v>
      </c>
      <c r="F162">
        <v>137.30325288562</v>
      </c>
      <c r="G162">
        <v>116.51101783841</v>
      </c>
      <c r="H162" s="4"/>
      <c r="I162" s="5">
        <f t="shared" si="15"/>
        <v>212.94883617619001</v>
      </c>
      <c r="J162" s="5">
        <f t="shared" si="16"/>
        <v>1651.9240672394801</v>
      </c>
      <c r="K162" s="9">
        <f t="shared" si="17"/>
        <v>212.94883617619001</v>
      </c>
      <c r="L162" s="6">
        <f t="shared" si="14"/>
        <v>0.128909579077716</v>
      </c>
      <c r="M162" s="6">
        <f t="shared" si="18"/>
        <v>0.13220289502892757</v>
      </c>
      <c r="N162" s="4"/>
      <c r="O162" s="4"/>
      <c r="P162" s="4">
        <f t="shared" si="19"/>
        <v>-5.8043411162881062</v>
      </c>
    </row>
    <row r="163" spans="1:16" x14ac:dyDescent="0.2">
      <c r="A163" s="8">
        <v>80.5</v>
      </c>
      <c r="B163" s="8">
        <v>161</v>
      </c>
      <c r="D163">
        <v>1757.1962616822</v>
      </c>
      <c r="E163">
        <v>322.88473520248999</v>
      </c>
      <c r="F163">
        <v>137.84575026233</v>
      </c>
      <c r="G163">
        <v>116.56977964323001</v>
      </c>
      <c r="I163" s="9">
        <f t="shared" si="15"/>
        <v>206.31495555926</v>
      </c>
      <c r="J163" s="9">
        <f t="shared" si="16"/>
        <v>1619.3505114198699</v>
      </c>
      <c r="K163" s="9">
        <f t="shared" si="17"/>
        <v>206.31495555926</v>
      </c>
      <c r="L163" s="10">
        <f t="shared" si="14"/>
        <v>0.1274059903055578</v>
      </c>
      <c r="M163" s="10">
        <f t="shared" si="18"/>
        <v>0.13071988948146443</v>
      </c>
      <c r="P163" s="8">
        <f t="shared" si="19"/>
        <v>-6.8609948653676849</v>
      </c>
    </row>
    <row r="164" spans="1:16" x14ac:dyDescent="0.2">
      <c r="A164" s="8">
        <v>81</v>
      </c>
      <c r="B164" s="8">
        <v>162</v>
      </c>
      <c r="D164">
        <v>1759.8930425752999</v>
      </c>
      <c r="E164">
        <v>324.78920041536998</v>
      </c>
      <c r="F164">
        <v>137.34837355719</v>
      </c>
      <c r="G164">
        <v>116.6925498426</v>
      </c>
      <c r="I164" s="9">
        <f t="shared" si="15"/>
        <v>208.09665057276999</v>
      </c>
      <c r="J164" s="9">
        <f t="shared" si="16"/>
        <v>1622.54466901811</v>
      </c>
      <c r="K164" s="9">
        <f t="shared" si="17"/>
        <v>208.09665057276999</v>
      </c>
      <c r="L164" s="10">
        <f t="shared" si="14"/>
        <v>0.12825326448405305</v>
      </c>
      <c r="M164" s="10">
        <f t="shared" si="18"/>
        <v>0.13158774688465477</v>
      </c>
      <c r="P164" s="8">
        <f t="shared" si="19"/>
        <v>-6.2426392696544903</v>
      </c>
    </row>
    <row r="165" spans="1:16" x14ac:dyDescent="0.2">
      <c r="A165" s="8">
        <v>81.5</v>
      </c>
      <c r="B165" s="8">
        <v>163</v>
      </c>
      <c r="D165">
        <v>1770.8164754953</v>
      </c>
      <c r="E165">
        <v>321.73409801877</v>
      </c>
      <c r="F165">
        <v>138.12486883526</v>
      </c>
      <c r="G165">
        <v>116.84889821615999</v>
      </c>
      <c r="I165" s="9">
        <f t="shared" si="15"/>
        <v>204.88519980261</v>
      </c>
      <c r="J165" s="9">
        <f t="shared" si="16"/>
        <v>1632.69160666004</v>
      </c>
      <c r="K165" s="9">
        <f t="shared" si="17"/>
        <v>204.88519980261</v>
      </c>
      <c r="L165" s="10">
        <f t="shared" si="14"/>
        <v>0.12548922219410374</v>
      </c>
      <c r="M165" s="10">
        <f t="shared" si="18"/>
        <v>0.12884428781940052</v>
      </c>
      <c r="P165" s="8">
        <f t="shared" si="19"/>
        <v>-8.1973766013564227</v>
      </c>
    </row>
    <row r="166" spans="1:16" x14ac:dyDescent="0.2">
      <c r="A166" s="8">
        <v>82</v>
      </c>
      <c r="B166" s="8">
        <v>164</v>
      </c>
      <c r="D166">
        <v>1742.1251303440999</v>
      </c>
      <c r="E166">
        <v>315.25130344107998</v>
      </c>
      <c r="F166">
        <v>137.55299055614</v>
      </c>
      <c r="G166">
        <v>116.26128016789001</v>
      </c>
      <c r="I166" s="9">
        <f t="shared" si="15"/>
        <v>198.99002327318999</v>
      </c>
      <c r="J166" s="9">
        <f t="shared" si="16"/>
        <v>1604.5721397879599</v>
      </c>
      <c r="K166" s="9">
        <f t="shared" si="17"/>
        <v>198.99002327318999</v>
      </c>
      <c r="L166" s="10">
        <f t="shared" si="14"/>
        <v>0.12401438261260476</v>
      </c>
      <c r="M166" s="10">
        <f t="shared" si="18"/>
        <v>0.12739003146259661</v>
      </c>
      <c r="P166" s="8">
        <f t="shared" si="19"/>
        <v>-9.2335463137140561</v>
      </c>
    </row>
    <row r="167" spans="1:16" x14ac:dyDescent="0.2">
      <c r="A167" s="8">
        <v>82.5</v>
      </c>
      <c r="B167" s="8">
        <v>165</v>
      </c>
      <c r="D167">
        <v>1743.2377476537999</v>
      </c>
      <c r="E167">
        <v>318.24296141814</v>
      </c>
      <c r="F167">
        <v>138.05246589717001</v>
      </c>
      <c r="G167">
        <v>117.04616998951001</v>
      </c>
      <c r="I167" s="9">
        <f t="shared" si="15"/>
        <v>201.19679142862998</v>
      </c>
      <c r="J167" s="9">
        <f t="shared" si="16"/>
        <v>1605.18528175663</v>
      </c>
      <c r="K167" s="9">
        <f t="shared" si="17"/>
        <v>201.19679142862998</v>
      </c>
      <c r="L167" s="10">
        <f t="shared" si="14"/>
        <v>0.12534178684248265</v>
      </c>
      <c r="M167" s="10">
        <f t="shared" si="18"/>
        <v>0.12873801891716957</v>
      </c>
      <c r="P167" s="8">
        <f t="shared" si="19"/>
        <v>-8.2730940753368714</v>
      </c>
    </row>
    <row r="168" spans="1:16" x14ac:dyDescent="0.2">
      <c r="A168" s="8">
        <v>83</v>
      </c>
      <c r="B168" s="8">
        <v>166</v>
      </c>
      <c r="D168">
        <v>1737.0458811261999</v>
      </c>
      <c r="E168">
        <v>318.75078206465002</v>
      </c>
      <c r="F168">
        <v>138.01678908708999</v>
      </c>
      <c r="G168">
        <v>116.68625393494</v>
      </c>
      <c r="I168" s="9">
        <f t="shared" si="15"/>
        <v>202.06452812971003</v>
      </c>
      <c r="J168" s="9">
        <f t="shared" si="16"/>
        <v>1599.0290920391099</v>
      </c>
      <c r="K168" s="9">
        <f t="shared" si="17"/>
        <v>202.06452812971003</v>
      </c>
      <c r="L168" s="10">
        <f t="shared" si="14"/>
        <v>0.12636701179215809</v>
      </c>
      <c r="M168" s="10">
        <f t="shared" si="18"/>
        <v>0.1297838270915401</v>
      </c>
      <c r="P168" s="8">
        <f t="shared" si="19"/>
        <v>-7.5279470796583858</v>
      </c>
    </row>
    <row r="169" spans="1:16" x14ac:dyDescent="0.2">
      <c r="A169" s="8">
        <v>83.5</v>
      </c>
      <c r="B169" s="8">
        <v>167</v>
      </c>
      <c r="D169">
        <v>1786.7144340601999</v>
      </c>
      <c r="E169">
        <v>323.43925233645001</v>
      </c>
      <c r="F169">
        <v>138.24029380901999</v>
      </c>
      <c r="G169">
        <v>116.5278069255</v>
      </c>
      <c r="I169" s="9">
        <f t="shared" si="15"/>
        <v>206.91144541095002</v>
      </c>
      <c r="J169" s="9">
        <f t="shared" si="16"/>
        <v>1648.47414025118</v>
      </c>
      <c r="K169" s="9">
        <f t="shared" si="17"/>
        <v>206.91144541095002</v>
      </c>
      <c r="L169" s="10">
        <f t="shared" si="14"/>
        <v>0.1255169494981721</v>
      </c>
      <c r="M169" s="10">
        <f t="shared" si="18"/>
        <v>0.12895434802224917</v>
      </c>
      <c r="P169" s="8">
        <f t="shared" si="19"/>
        <v>-8.1189577942498516</v>
      </c>
    </row>
    <row r="170" spans="1:16" x14ac:dyDescent="0.2">
      <c r="A170" s="8">
        <v>84</v>
      </c>
      <c r="B170" s="8">
        <v>168</v>
      </c>
      <c r="D170">
        <v>1789.4558670819999</v>
      </c>
      <c r="E170">
        <v>318.53997923156999</v>
      </c>
      <c r="F170">
        <v>137.67890870933999</v>
      </c>
      <c r="G170">
        <v>116.69674711438</v>
      </c>
      <c r="I170" s="9">
        <f t="shared" si="15"/>
        <v>201.84323211718998</v>
      </c>
      <c r="J170" s="9">
        <f t="shared" si="16"/>
        <v>1651.7769583726599</v>
      </c>
      <c r="K170" s="9">
        <f t="shared" si="17"/>
        <v>201.84323211718998</v>
      </c>
      <c r="L170" s="10">
        <f t="shared" si="14"/>
        <v>0.12219763152287043</v>
      </c>
      <c r="M170" s="10">
        <f t="shared" si="18"/>
        <v>0.12565561327164257</v>
      </c>
      <c r="P170" s="8">
        <f t="shared" si="19"/>
        <v>-10.469333655897929</v>
      </c>
    </row>
    <row r="171" spans="1:16" x14ac:dyDescent="0.2">
      <c r="A171" s="8">
        <v>84.5</v>
      </c>
      <c r="B171" s="8">
        <v>169</v>
      </c>
      <c r="D171">
        <v>1823.6925465838999</v>
      </c>
      <c r="E171">
        <v>319.36645962733002</v>
      </c>
      <c r="F171">
        <v>137.55089192025</v>
      </c>
      <c r="G171">
        <v>116.76285414481001</v>
      </c>
      <c r="I171" s="9">
        <f t="shared" si="15"/>
        <v>202.60360548252001</v>
      </c>
      <c r="J171" s="9">
        <f t="shared" si="16"/>
        <v>1686.1416546636499</v>
      </c>
      <c r="K171" s="9">
        <f t="shared" si="17"/>
        <v>202.60360548252001</v>
      </c>
      <c r="L171" s="10">
        <f t="shared" si="14"/>
        <v>0.12015811656283125</v>
      </c>
      <c r="M171" s="10">
        <f t="shared" si="18"/>
        <v>0.12363668153629846</v>
      </c>
      <c r="P171" s="8">
        <f t="shared" si="19"/>
        <v>-11.907839257536693</v>
      </c>
    </row>
    <row r="172" spans="1:16" x14ac:dyDescent="0.2">
      <c r="A172" s="8">
        <v>85</v>
      </c>
      <c r="B172" s="8">
        <v>170</v>
      </c>
      <c r="D172">
        <v>1814.4120082816</v>
      </c>
      <c r="E172">
        <v>319.84472049688998</v>
      </c>
      <c r="F172">
        <v>137.85099685205</v>
      </c>
      <c r="G172">
        <v>116.85939139558999</v>
      </c>
      <c r="I172" s="9">
        <f t="shared" si="15"/>
        <v>202.98532910129998</v>
      </c>
      <c r="J172" s="9">
        <f t="shared" si="16"/>
        <v>1676.56101142955</v>
      </c>
      <c r="K172" s="9">
        <f t="shared" si="17"/>
        <v>202.98532910129998</v>
      </c>
      <c r="L172" s="10">
        <f t="shared" si="14"/>
        <v>0.1210724379950962</v>
      </c>
      <c r="M172" s="10">
        <f t="shared" si="18"/>
        <v>0.12457158619325849</v>
      </c>
      <c r="P172" s="8">
        <f t="shared" si="19"/>
        <v>-11.241711937582535</v>
      </c>
    </row>
    <row r="173" spans="1:16" x14ac:dyDescent="0.2">
      <c r="A173" s="8">
        <v>85.5</v>
      </c>
      <c r="B173" s="8">
        <v>171</v>
      </c>
      <c r="D173">
        <v>1902.8849372385</v>
      </c>
      <c r="E173">
        <v>330.31276150628003</v>
      </c>
      <c r="F173">
        <v>138.23714585518999</v>
      </c>
      <c r="G173">
        <v>116.64742917104</v>
      </c>
      <c r="I173" s="9">
        <f t="shared" si="15"/>
        <v>213.66533233524001</v>
      </c>
      <c r="J173" s="9">
        <f t="shared" si="16"/>
        <v>1764.6477913833101</v>
      </c>
      <c r="K173" s="9">
        <f t="shared" si="17"/>
        <v>213.66533233524001</v>
      </c>
      <c r="L173" s="10">
        <f t="shared" si="14"/>
        <v>0.12108100742740704</v>
      </c>
      <c r="M173" s="10">
        <f t="shared" si="18"/>
        <v>0.1246007388502644</v>
      </c>
      <c r="P173" s="8">
        <f t="shared" si="19"/>
        <v>-11.220940427743194</v>
      </c>
    </row>
    <row r="174" spans="1:16" x14ac:dyDescent="0.2">
      <c r="A174" s="8">
        <v>86</v>
      </c>
      <c r="B174" s="8">
        <v>172</v>
      </c>
      <c r="D174">
        <v>1839.1046025104999</v>
      </c>
      <c r="E174">
        <v>326.65899581590003</v>
      </c>
      <c r="F174">
        <v>138.21825813221</v>
      </c>
      <c r="G174">
        <v>116.98216159496</v>
      </c>
      <c r="I174" s="9">
        <f t="shared" si="15"/>
        <v>209.67683422094001</v>
      </c>
      <c r="J174" s="9">
        <f t="shared" si="16"/>
        <v>1700.88634437829</v>
      </c>
      <c r="K174" s="9">
        <f t="shared" si="17"/>
        <v>209.67683422094001</v>
      </c>
      <c r="L174" s="10">
        <f t="shared" si="14"/>
        <v>0.12327504122421615</v>
      </c>
      <c r="M174" s="10">
        <f t="shared" si="18"/>
        <v>0.12681535587176856</v>
      </c>
      <c r="P174" s="8">
        <f t="shared" si="19"/>
        <v>-9.6430074371681975</v>
      </c>
    </row>
    <row r="175" spans="1:16" x14ac:dyDescent="0.2">
      <c r="A175" s="8">
        <v>86.5</v>
      </c>
      <c r="B175" s="8">
        <v>173</v>
      </c>
      <c r="D175">
        <v>1839.6161087866001</v>
      </c>
      <c r="E175">
        <v>327.44979079498</v>
      </c>
      <c r="F175">
        <v>138.62119622245999</v>
      </c>
      <c r="G175">
        <v>116.90766002098999</v>
      </c>
      <c r="I175" s="9">
        <f t="shared" si="15"/>
        <v>210.54213077399001</v>
      </c>
      <c r="J175" s="9">
        <f t="shared" si="16"/>
        <v>1700.9949125641401</v>
      </c>
      <c r="K175" s="9">
        <f t="shared" si="17"/>
        <v>210.54213077399001</v>
      </c>
      <c r="L175" s="10">
        <f t="shared" si="14"/>
        <v>0.1237758732955946</v>
      </c>
      <c r="M175" s="10">
        <f t="shared" si="18"/>
        <v>0.12733677116784209</v>
      </c>
      <c r="P175" s="8">
        <f t="shared" si="19"/>
        <v>-9.2714947153405536</v>
      </c>
    </row>
    <row r="176" spans="1:16" x14ac:dyDescent="0.2">
      <c r="A176" s="8">
        <v>87</v>
      </c>
      <c r="B176" s="8">
        <v>174</v>
      </c>
      <c r="D176">
        <v>1862.0523012552001</v>
      </c>
      <c r="E176">
        <v>322.92991631798998</v>
      </c>
      <c r="F176">
        <v>138.31689401889</v>
      </c>
      <c r="G176">
        <v>117.0241343127</v>
      </c>
      <c r="I176" s="9">
        <f t="shared" si="15"/>
        <v>205.90578200528998</v>
      </c>
      <c r="J176" s="9">
        <f t="shared" si="16"/>
        <v>1723.73540723631</v>
      </c>
      <c r="K176" s="9">
        <f t="shared" si="17"/>
        <v>205.90578200528998</v>
      </c>
      <c r="L176" s="10">
        <f t="shared" si="14"/>
        <v>0.11945324157111892</v>
      </c>
      <c r="M176" s="10">
        <f t="shared" si="18"/>
        <v>0.12303472266806149</v>
      </c>
      <c r="P176" s="8">
        <f t="shared" si="19"/>
        <v>-12.336739942367142</v>
      </c>
    </row>
    <row r="177" spans="1:16" x14ac:dyDescent="0.2">
      <c r="A177" s="8">
        <v>87.5</v>
      </c>
      <c r="B177" s="8">
        <v>175</v>
      </c>
      <c r="D177">
        <v>1854.4707112971</v>
      </c>
      <c r="E177">
        <v>321.51464435145999</v>
      </c>
      <c r="F177">
        <v>138.2203567681</v>
      </c>
      <c r="G177">
        <v>116.95487932844</v>
      </c>
      <c r="I177" s="9">
        <f t="shared" si="15"/>
        <v>204.55976502301999</v>
      </c>
      <c r="J177" s="9">
        <f t="shared" si="16"/>
        <v>1716.2503545290001</v>
      </c>
      <c r="K177" s="9">
        <f t="shared" si="17"/>
        <v>204.55976502301999</v>
      </c>
      <c r="L177" s="10">
        <f t="shared" si="14"/>
        <v>0.1191899331488607</v>
      </c>
      <c r="M177" s="10">
        <f t="shared" si="18"/>
        <v>0.12279199747049835</v>
      </c>
      <c r="P177" s="8">
        <f t="shared" si="19"/>
        <v>-12.509683658214943</v>
      </c>
    </row>
    <row r="178" spans="1:16" x14ac:dyDescent="0.2">
      <c r="A178" s="8">
        <v>88</v>
      </c>
      <c r="B178" s="8">
        <v>176</v>
      </c>
      <c r="D178">
        <v>1861.5418410042</v>
      </c>
      <c r="E178">
        <v>323.28347280334998</v>
      </c>
      <c r="F178">
        <v>137.84575026233</v>
      </c>
      <c r="G178">
        <v>117.13011542497</v>
      </c>
      <c r="I178" s="9">
        <f t="shared" si="15"/>
        <v>206.15335737837998</v>
      </c>
      <c r="J178" s="9">
        <f t="shared" si="16"/>
        <v>1723.69609074187</v>
      </c>
      <c r="K178" s="9">
        <f t="shared" si="17"/>
        <v>206.15335737837998</v>
      </c>
      <c r="L178" s="10">
        <f t="shared" si="14"/>
        <v>0.11959959675353944</v>
      </c>
      <c r="M178" s="10">
        <f t="shared" si="18"/>
        <v>0.12322224429987216</v>
      </c>
      <c r="P178" s="8">
        <f t="shared" si="19"/>
        <v>-12.203129224844732</v>
      </c>
    </row>
    <row r="179" spans="1:16" x14ac:dyDescent="0.2">
      <c r="A179" s="8">
        <v>88.5</v>
      </c>
      <c r="B179" s="8">
        <v>177</v>
      </c>
      <c r="D179">
        <v>1870.1537656904</v>
      </c>
      <c r="E179">
        <v>322.16631799163002</v>
      </c>
      <c r="F179">
        <v>137.85624344176</v>
      </c>
      <c r="G179">
        <v>117.06820566632</v>
      </c>
      <c r="I179" s="9">
        <f t="shared" si="15"/>
        <v>205.09811232531001</v>
      </c>
      <c r="J179" s="9">
        <f t="shared" si="16"/>
        <v>1732.29752224864</v>
      </c>
      <c r="K179" s="9">
        <f t="shared" si="17"/>
        <v>205.09811232531001</v>
      </c>
      <c r="L179" s="10">
        <f t="shared" si="14"/>
        <v>0.1183965858584608</v>
      </c>
      <c r="M179" s="10">
        <f t="shared" si="18"/>
        <v>0.1220398166294886</v>
      </c>
      <c r="P179" s="8">
        <f t="shared" si="19"/>
        <v>-13.045618744228868</v>
      </c>
    </row>
    <row r="180" spans="1:16" x14ac:dyDescent="0.2">
      <c r="A180" s="8">
        <v>89</v>
      </c>
      <c r="B180" s="8">
        <v>178</v>
      </c>
      <c r="D180">
        <v>1878.2447698745</v>
      </c>
      <c r="E180">
        <v>323.25732217573</v>
      </c>
      <c r="F180">
        <v>138.50577124869</v>
      </c>
      <c r="G180">
        <v>116.75655823715</v>
      </c>
      <c r="I180" s="9">
        <f t="shared" si="15"/>
        <v>206.50076393858001</v>
      </c>
      <c r="J180" s="9">
        <f t="shared" si="16"/>
        <v>1739.7389986258099</v>
      </c>
      <c r="K180" s="9">
        <f t="shared" si="17"/>
        <v>206.50076393858001</v>
      </c>
      <c r="L180" s="10">
        <f t="shared" si="14"/>
        <v>0.11869640451912122</v>
      </c>
      <c r="M180" s="10">
        <f t="shared" si="18"/>
        <v>0.12236021851484409</v>
      </c>
      <c r="P180" s="8">
        <f t="shared" si="19"/>
        <v>-12.817329744263773</v>
      </c>
    </row>
    <row r="181" spans="1:16" x14ac:dyDescent="0.2">
      <c r="A181" s="8">
        <v>89.5</v>
      </c>
      <c r="B181" s="8">
        <v>179</v>
      </c>
      <c r="D181">
        <v>1879.3305439331</v>
      </c>
      <c r="E181">
        <v>327.09728033472999</v>
      </c>
      <c r="F181">
        <v>137.86358866737001</v>
      </c>
      <c r="G181">
        <v>116.93389296957</v>
      </c>
      <c r="I181" s="9">
        <f t="shared" si="15"/>
        <v>210.16338736515999</v>
      </c>
      <c r="J181" s="9">
        <f t="shared" si="16"/>
        <v>1741.4669552657299</v>
      </c>
      <c r="K181" s="9">
        <f t="shared" si="17"/>
        <v>210.16338736515999</v>
      </c>
      <c r="L181" s="10">
        <f t="shared" si="14"/>
        <v>0.12068181180796005</v>
      </c>
      <c r="M181" s="10">
        <f t="shared" si="18"/>
        <v>0.12436620902837799</v>
      </c>
      <c r="P181" s="8">
        <f t="shared" si="19"/>
        <v>-11.388044870468422</v>
      </c>
    </row>
    <row r="182" spans="1:16" x14ac:dyDescent="0.2">
      <c r="A182" s="8">
        <v>90</v>
      </c>
      <c r="B182" s="8">
        <v>180</v>
      </c>
      <c r="D182">
        <v>1834.6338912133999</v>
      </c>
      <c r="E182">
        <v>324.57112970711</v>
      </c>
      <c r="F182">
        <v>138.81532004197001</v>
      </c>
      <c r="G182">
        <v>117.11122770199</v>
      </c>
      <c r="I182" s="9">
        <f t="shared" si="15"/>
        <v>207.45990200512</v>
      </c>
      <c r="J182" s="9">
        <f t="shared" si="16"/>
        <v>1695.81857117143</v>
      </c>
      <c r="K182" s="9">
        <f t="shared" si="17"/>
        <v>207.45990200512</v>
      </c>
      <c r="L182" s="10">
        <f t="shared" si="14"/>
        <v>0.12233614228072275</v>
      </c>
      <c r="M182" s="10">
        <f>L182+ABS($N$2)*A182</f>
        <v>0.12604112272583576</v>
      </c>
      <c r="P182" s="8">
        <f t="shared" si="19"/>
        <v>-10.194654973289035</v>
      </c>
    </row>
    <row r="183" spans="1:16" x14ac:dyDescent="0.2">
      <c r="A183" s="8">
        <v>90.5</v>
      </c>
      <c r="B183" s="8">
        <v>181</v>
      </c>
      <c r="D183">
        <v>1791.5005213764</v>
      </c>
      <c r="E183">
        <v>320.35140771636998</v>
      </c>
      <c r="F183">
        <v>137.99160545645</v>
      </c>
      <c r="G183">
        <v>117.19202518362999</v>
      </c>
      <c r="I183" s="9">
        <f t="shared" si="15"/>
        <v>203.15938253273998</v>
      </c>
      <c r="J183" s="9">
        <f t="shared" si="16"/>
        <v>1653.5089159199499</v>
      </c>
      <c r="K183" s="9">
        <f t="shared" si="17"/>
        <v>203.15938253273998</v>
      </c>
      <c r="L183" s="10">
        <f t="shared" si="14"/>
        <v>0.12286561056715548</v>
      </c>
      <c r="M183" s="10">
        <f t="shared" ref="M183:M241" si="20">L183+ABS($N$2)*A183</f>
        <v>0.12659117423696356</v>
      </c>
      <c r="P183" s="8">
        <f t="shared" si="19"/>
        <v>-9.8027387107947277</v>
      </c>
    </row>
    <row r="184" spans="1:16" x14ac:dyDescent="0.2">
      <c r="A184" s="8">
        <v>91</v>
      </c>
      <c r="B184" s="8">
        <v>182</v>
      </c>
      <c r="D184">
        <v>1770.4827945776999</v>
      </c>
      <c r="E184">
        <v>318.59436913451998</v>
      </c>
      <c r="F184">
        <v>138.7555089192</v>
      </c>
      <c r="G184">
        <v>117.30220356768</v>
      </c>
      <c r="I184" s="9">
        <f t="shared" si="15"/>
        <v>201.29216556683997</v>
      </c>
      <c r="J184" s="9">
        <f t="shared" si="16"/>
        <v>1631.7272856585</v>
      </c>
      <c r="K184" s="9">
        <f t="shared" si="17"/>
        <v>201.29216556683997</v>
      </c>
      <c r="L184" s="10">
        <f t="shared" si="14"/>
        <v>0.12336140195486557</v>
      </c>
      <c r="M184" s="10">
        <f t="shared" si="20"/>
        <v>0.12710754884936873</v>
      </c>
      <c r="P184" s="8">
        <f t="shared" si="19"/>
        <v>-9.4348175178761977</v>
      </c>
    </row>
    <row r="185" spans="1:16" x14ac:dyDescent="0.2">
      <c r="A185" s="8">
        <v>91.5</v>
      </c>
      <c r="B185" s="8">
        <v>183</v>
      </c>
      <c r="D185">
        <v>1778.8936392075</v>
      </c>
      <c r="E185">
        <v>321.28258602711003</v>
      </c>
      <c r="F185">
        <v>138.33578174186999</v>
      </c>
      <c r="G185">
        <v>116.67681007345</v>
      </c>
      <c r="I185" s="9">
        <f t="shared" si="15"/>
        <v>204.60577595366004</v>
      </c>
      <c r="J185" s="9">
        <f t="shared" si="16"/>
        <v>1640.5578574656299</v>
      </c>
      <c r="K185" s="9">
        <f t="shared" si="17"/>
        <v>204.60577595366004</v>
      </c>
      <c r="L185" s="10">
        <f t="shared" si="14"/>
        <v>0.12471719605777243</v>
      </c>
      <c r="M185" s="10">
        <f t="shared" si="20"/>
        <v>0.12848392617697066</v>
      </c>
      <c r="P185" s="8">
        <f t="shared" si="19"/>
        <v>-8.454137259567954</v>
      </c>
    </row>
    <row r="186" spans="1:16" x14ac:dyDescent="0.2">
      <c r="A186" s="8">
        <v>92</v>
      </c>
      <c r="B186" s="8">
        <v>184</v>
      </c>
      <c r="D186">
        <v>1791.6089676746999</v>
      </c>
      <c r="E186">
        <v>320.08654848801001</v>
      </c>
      <c r="F186">
        <v>137.50262329486</v>
      </c>
      <c r="G186">
        <v>116.8740818468</v>
      </c>
      <c r="I186" s="9">
        <f t="shared" si="15"/>
        <v>203.21246664121003</v>
      </c>
      <c r="J186" s="9">
        <f t="shared" si="16"/>
        <v>1654.1063443798398</v>
      </c>
      <c r="K186" s="9">
        <f t="shared" si="17"/>
        <v>203.21246664121003</v>
      </c>
      <c r="L186" s="10">
        <f t="shared" si="14"/>
        <v>0.1228533264089491</v>
      </c>
      <c r="M186" s="10">
        <f t="shared" si="20"/>
        <v>0.1266406397528424</v>
      </c>
      <c r="P186" s="8">
        <f t="shared" si="19"/>
        <v>-9.7674941205820076</v>
      </c>
    </row>
    <row r="187" spans="1:16" x14ac:dyDescent="0.2">
      <c r="A187" s="8">
        <v>92.5</v>
      </c>
      <c r="B187" s="8">
        <v>185</v>
      </c>
      <c r="D187">
        <v>1909.0229645094</v>
      </c>
      <c r="E187">
        <v>326.78601252610002</v>
      </c>
      <c r="F187">
        <v>138.28961175236</v>
      </c>
      <c r="G187">
        <v>116.74711437566</v>
      </c>
      <c r="I187" s="9">
        <f t="shared" si="15"/>
        <v>210.03889815044002</v>
      </c>
      <c r="J187" s="9">
        <f t="shared" si="16"/>
        <v>1770.7333527570399</v>
      </c>
      <c r="K187" s="9">
        <f t="shared" si="17"/>
        <v>210.03889815044002</v>
      </c>
      <c r="L187" s="10">
        <f t="shared" si="14"/>
        <v>0.11861689837343861</v>
      </c>
      <c r="M187" s="10">
        <f t="shared" si="20"/>
        <v>0.12242479494202699</v>
      </c>
      <c r="P187" s="8">
        <f t="shared" si="19"/>
        <v>-12.771318504453042</v>
      </c>
    </row>
    <row r="188" spans="1:16" x14ac:dyDescent="0.2">
      <c r="A188" s="8">
        <v>93</v>
      </c>
      <c r="B188" s="8">
        <v>186</v>
      </c>
      <c r="D188">
        <v>1790.6461377871001</v>
      </c>
      <c r="E188">
        <v>319.68162839247998</v>
      </c>
      <c r="F188">
        <v>138.21720881427001</v>
      </c>
      <c r="G188">
        <v>116.92235047219</v>
      </c>
      <c r="I188" s="9">
        <f t="shared" si="15"/>
        <v>202.75927792028997</v>
      </c>
      <c r="J188" s="9">
        <f t="shared" si="16"/>
        <v>1652.4289289728301</v>
      </c>
      <c r="K188" s="9">
        <f t="shared" si="17"/>
        <v>202.75927792028997</v>
      </c>
      <c r="L188" s="10">
        <f t="shared" si="14"/>
        <v>0.12270378130351882</v>
      </c>
      <c r="M188" s="10">
        <f t="shared" si="20"/>
        <v>0.12653226109680227</v>
      </c>
      <c r="P188" s="8">
        <f t="shared" si="19"/>
        <v>-9.8447148116447671</v>
      </c>
    </row>
    <row r="189" spans="1:16" x14ac:dyDescent="0.2">
      <c r="A189" s="8">
        <v>93.5</v>
      </c>
      <c r="B189" s="8">
        <v>187</v>
      </c>
      <c r="D189">
        <v>1756.2657563025</v>
      </c>
      <c r="E189">
        <v>317.26155462185</v>
      </c>
      <c r="F189">
        <v>138.82791185728999</v>
      </c>
      <c r="G189">
        <v>117.37565582372</v>
      </c>
      <c r="I189" s="9">
        <f t="shared" si="15"/>
        <v>199.88589879813</v>
      </c>
      <c r="J189" s="9">
        <f t="shared" si="16"/>
        <v>1617.43784444521</v>
      </c>
      <c r="K189" s="9">
        <f t="shared" si="17"/>
        <v>199.88589879813</v>
      </c>
      <c r="L189" s="10">
        <f t="shared" si="14"/>
        <v>0.12358181149563244</v>
      </c>
      <c r="M189" s="10">
        <f t="shared" si="20"/>
        <v>0.12743087451361096</v>
      </c>
      <c r="P189" s="8">
        <f t="shared" si="19"/>
        <v>-9.2044453012114538</v>
      </c>
    </row>
    <row r="190" spans="1:16" x14ac:dyDescent="0.2">
      <c r="A190" s="8">
        <v>94</v>
      </c>
      <c r="B190" s="8">
        <v>188</v>
      </c>
      <c r="D190">
        <v>1738.0840336135</v>
      </c>
      <c r="E190">
        <v>314.96848739495999</v>
      </c>
      <c r="F190">
        <v>138.32633788038001</v>
      </c>
      <c r="G190">
        <v>117.3777544596</v>
      </c>
      <c r="I190" s="9">
        <f t="shared" si="15"/>
        <v>197.59073293535999</v>
      </c>
      <c r="J190" s="9">
        <f t="shared" si="16"/>
        <v>1599.75769573312</v>
      </c>
      <c r="K190" s="9">
        <f t="shared" si="17"/>
        <v>197.59073293535999</v>
      </c>
      <c r="L190" s="10">
        <f t="shared" si="14"/>
        <v>0.12351291290073163</v>
      </c>
      <c r="M190" s="10">
        <f t="shared" si="20"/>
        <v>0.12738255914340521</v>
      </c>
      <c r="P190" s="8">
        <f t="shared" si="19"/>
        <v>-9.2388704030955306</v>
      </c>
    </row>
    <row r="191" spans="1:16" x14ac:dyDescent="0.2">
      <c r="A191" s="8">
        <v>94.5</v>
      </c>
      <c r="B191" s="8">
        <v>189</v>
      </c>
      <c r="D191">
        <v>1728.2552521007999</v>
      </c>
      <c r="E191">
        <v>313.59243697479002</v>
      </c>
      <c r="F191">
        <v>138.81532004197001</v>
      </c>
      <c r="G191">
        <v>116.89087093389</v>
      </c>
      <c r="I191" s="9">
        <f t="shared" si="15"/>
        <v>196.70156604090002</v>
      </c>
      <c r="J191" s="9">
        <f t="shared" si="16"/>
        <v>1589.43993205883</v>
      </c>
      <c r="K191" s="9">
        <f t="shared" si="17"/>
        <v>196.70156604090002</v>
      </c>
      <c r="L191" s="10">
        <f t="shared" si="14"/>
        <v>0.12375526880472228</v>
      </c>
      <c r="M191" s="10">
        <f t="shared" si="20"/>
        <v>0.12764549827209093</v>
      </c>
      <c r="P191" s="8">
        <f t="shared" si="19"/>
        <v>-9.0515240937167469</v>
      </c>
    </row>
    <row r="192" spans="1:16" x14ac:dyDescent="0.2">
      <c r="A192" s="8">
        <v>95</v>
      </c>
      <c r="B192" s="8">
        <v>190</v>
      </c>
      <c r="D192">
        <v>1719.1008403361</v>
      </c>
      <c r="E192">
        <v>312.35714285713999</v>
      </c>
      <c r="F192">
        <v>138.66736621196</v>
      </c>
      <c r="G192">
        <v>116.87722980063</v>
      </c>
      <c r="I192" s="9">
        <f t="shared" si="15"/>
        <v>195.47991305650999</v>
      </c>
      <c r="J192" s="9">
        <f t="shared" si="16"/>
        <v>1580.43347412414</v>
      </c>
      <c r="K192" s="9">
        <f t="shared" si="17"/>
        <v>195.47991305650999</v>
      </c>
      <c r="L192" s="10">
        <f t="shared" si="14"/>
        <v>0.12368753019790532</v>
      </c>
      <c r="M192" s="10">
        <f t="shared" si="20"/>
        <v>0.12759834288996905</v>
      </c>
      <c r="P192" s="8">
        <f t="shared" si="19"/>
        <v>-9.0851226944728953</v>
      </c>
    </row>
    <row r="193" spans="1:16" x14ac:dyDescent="0.2">
      <c r="A193" s="8">
        <v>95.5</v>
      </c>
      <c r="B193" s="8">
        <v>191</v>
      </c>
      <c r="D193">
        <v>1719.3792016806999</v>
      </c>
      <c r="E193">
        <v>313.63445378150999</v>
      </c>
      <c r="F193">
        <v>138.86568730325001</v>
      </c>
      <c r="G193">
        <v>117.35676810074</v>
      </c>
      <c r="I193" s="9">
        <f t="shared" si="15"/>
        <v>196.27768568076999</v>
      </c>
      <c r="J193" s="9">
        <f t="shared" si="16"/>
        <v>1580.5135143774498</v>
      </c>
      <c r="K193" s="9">
        <f t="shared" si="17"/>
        <v>196.27768568076999</v>
      </c>
      <c r="L193" s="10">
        <f t="shared" si="14"/>
        <v>0.12418602175513951</v>
      </c>
      <c r="M193" s="10">
        <f t="shared" si="20"/>
        <v>0.12811741767189833</v>
      </c>
      <c r="P193" s="8">
        <f t="shared" si="19"/>
        <v>-8.7152776083796688</v>
      </c>
    </row>
    <row r="194" spans="1:16" x14ac:dyDescent="0.2">
      <c r="A194" s="8">
        <v>96</v>
      </c>
      <c r="B194" s="8">
        <v>192</v>
      </c>
      <c r="D194">
        <v>1711.0073529412</v>
      </c>
      <c r="E194">
        <v>310.46953781513002</v>
      </c>
      <c r="F194">
        <v>138.71458551941001</v>
      </c>
      <c r="G194">
        <v>117.13431269675</v>
      </c>
      <c r="I194" s="9">
        <f t="shared" si="15"/>
        <v>193.33522511838004</v>
      </c>
      <c r="J194" s="9">
        <f t="shared" si="16"/>
        <v>1572.2927674217899</v>
      </c>
      <c r="K194" s="9">
        <f t="shared" si="17"/>
        <v>193.33522511838004</v>
      </c>
      <c r="L194" s="10">
        <f t="shared" ref="L194:L257" si="21">K194/J194</f>
        <v>0.12296388377808719</v>
      </c>
      <c r="M194" s="10">
        <f t="shared" si="20"/>
        <v>0.12691586291954107</v>
      </c>
      <c r="P194" s="8">
        <f t="shared" si="19"/>
        <v>-9.5713953322644691</v>
      </c>
    </row>
    <row r="195" spans="1:16" x14ac:dyDescent="0.2">
      <c r="A195" s="8">
        <v>96.5</v>
      </c>
      <c r="B195" s="8">
        <v>193</v>
      </c>
      <c r="D195">
        <v>1708.9474789916001</v>
      </c>
      <c r="E195">
        <v>310.72478991597001</v>
      </c>
      <c r="F195">
        <v>138.57817418677999</v>
      </c>
      <c r="G195">
        <v>117.16159496327001</v>
      </c>
      <c r="I195" s="9">
        <f t="shared" ref="I195:I241" si="22">E195-G195</f>
        <v>193.5631949527</v>
      </c>
      <c r="J195" s="9">
        <f t="shared" ref="J195:J241" si="23">D195-F195</f>
        <v>1570.3693048048201</v>
      </c>
      <c r="K195" s="9">
        <f t="shared" ref="K195:K258" si="24">I195*1</f>
        <v>193.5631949527</v>
      </c>
      <c r="L195" s="10">
        <f t="shared" si="21"/>
        <v>0.12325966532869656</v>
      </c>
      <c r="M195" s="10">
        <f t="shared" si="20"/>
        <v>0.12723222769484552</v>
      </c>
      <c r="P195" s="8">
        <f t="shared" ref="P195:P241" si="25">(M195-$O$2)/$O$2*100</f>
        <v>-9.345982806684912</v>
      </c>
    </row>
    <row r="196" spans="1:16" x14ac:dyDescent="0.2">
      <c r="A196" s="8">
        <v>97</v>
      </c>
      <c r="B196" s="8">
        <v>194</v>
      </c>
      <c r="D196">
        <v>1708.8245798319001</v>
      </c>
      <c r="E196">
        <v>310.93907563024999</v>
      </c>
      <c r="F196">
        <v>138.92025183631</v>
      </c>
      <c r="G196">
        <v>117.09968520462</v>
      </c>
      <c r="I196" s="9">
        <f t="shared" si="22"/>
        <v>193.83939042562997</v>
      </c>
      <c r="J196" s="9">
        <f t="shared" si="23"/>
        <v>1569.9043279955902</v>
      </c>
      <c r="K196" s="9">
        <f t="shared" si="24"/>
        <v>193.83939042562997</v>
      </c>
      <c r="L196" s="10">
        <f t="shared" si="21"/>
        <v>0.12347210398044998</v>
      </c>
      <c r="M196" s="10">
        <f t="shared" si="20"/>
        <v>0.12746524957129401</v>
      </c>
      <c r="P196" s="8">
        <f t="shared" si="25"/>
        <v>-9.1799527875875064</v>
      </c>
    </row>
    <row r="197" spans="1:16" x14ac:dyDescent="0.2">
      <c r="A197" s="8">
        <v>97.5</v>
      </c>
      <c r="B197" s="8">
        <v>195</v>
      </c>
      <c r="D197">
        <v>1705.7111344538</v>
      </c>
      <c r="E197">
        <v>309.17331932772998</v>
      </c>
      <c r="F197">
        <v>138.61909758657001</v>
      </c>
      <c r="G197">
        <v>117.52885624344</v>
      </c>
      <c r="I197" s="9">
        <f t="shared" si="22"/>
        <v>191.64446308428998</v>
      </c>
      <c r="J197" s="9">
        <f t="shared" si="23"/>
        <v>1567.09203686723</v>
      </c>
      <c r="K197" s="9">
        <f t="shared" si="24"/>
        <v>191.64446308428998</v>
      </c>
      <c r="L197" s="10">
        <f t="shared" si="21"/>
        <v>0.12229304889290739</v>
      </c>
      <c r="M197" s="10">
        <f t="shared" si="20"/>
        <v>0.12630677770844648</v>
      </c>
      <c r="P197" s="8">
        <f t="shared" si="25"/>
        <v>-10.005373595469873</v>
      </c>
    </row>
    <row r="198" spans="1:16" x14ac:dyDescent="0.2">
      <c r="A198" s="8">
        <v>98</v>
      </c>
      <c r="B198" s="8">
        <v>196</v>
      </c>
      <c r="D198">
        <v>1699.6470588234999</v>
      </c>
      <c r="E198">
        <v>308.21113445378001</v>
      </c>
      <c r="F198">
        <v>138.44910807975</v>
      </c>
      <c r="G198">
        <v>117.45645330535</v>
      </c>
      <c r="I198" s="9">
        <f t="shared" si="22"/>
        <v>190.75468114843</v>
      </c>
      <c r="J198" s="9">
        <f t="shared" si="23"/>
        <v>1561.19795074375</v>
      </c>
      <c r="K198" s="9">
        <f t="shared" si="24"/>
        <v>190.75468114843</v>
      </c>
      <c r="L198" s="10">
        <f t="shared" si="21"/>
        <v>0.1221848139485163</v>
      </c>
      <c r="M198" s="10">
        <f t="shared" si="20"/>
        <v>0.12621912598875046</v>
      </c>
      <c r="P198" s="8">
        <f t="shared" si="25"/>
        <v>-10.067826172527662</v>
      </c>
    </row>
    <row r="199" spans="1:16" x14ac:dyDescent="0.2">
      <c r="A199" s="8">
        <v>98.5</v>
      </c>
      <c r="B199" s="8">
        <v>197</v>
      </c>
      <c r="D199">
        <v>1702.4726890756001</v>
      </c>
      <c r="E199">
        <v>309.15336134453997</v>
      </c>
      <c r="F199">
        <v>138.81951731375</v>
      </c>
      <c r="G199">
        <v>117.34102833158001</v>
      </c>
      <c r="I199" s="9">
        <f t="shared" si="22"/>
        <v>191.81233301295998</v>
      </c>
      <c r="J199" s="9">
        <f t="shared" si="23"/>
        <v>1563.65317176185</v>
      </c>
      <c r="K199" s="9">
        <f t="shared" si="24"/>
        <v>191.81233301295998</v>
      </c>
      <c r="L199" s="10">
        <f t="shared" si="21"/>
        <v>0.12266935946980811</v>
      </c>
      <c r="M199" s="10">
        <f t="shared" si="20"/>
        <v>0.12672425473473736</v>
      </c>
      <c r="P199" s="8">
        <f t="shared" si="25"/>
        <v>-9.7079177526785472</v>
      </c>
    </row>
    <row r="200" spans="1:16" x14ac:dyDescent="0.2">
      <c r="A200" s="8">
        <v>99</v>
      </c>
      <c r="B200" s="8">
        <v>198</v>
      </c>
      <c r="D200">
        <v>1719.0168067227</v>
      </c>
      <c r="E200">
        <v>309.56722689076003</v>
      </c>
      <c r="F200">
        <v>138.67890870933999</v>
      </c>
      <c r="G200">
        <v>116.82266526758001</v>
      </c>
      <c r="I200" s="9">
        <f t="shared" si="22"/>
        <v>192.74456162318</v>
      </c>
      <c r="J200" s="9">
        <f t="shared" si="23"/>
        <v>1580.33789801336</v>
      </c>
      <c r="K200" s="9">
        <f t="shared" si="24"/>
        <v>192.74456162318</v>
      </c>
      <c r="L200" s="10">
        <f t="shared" si="21"/>
        <v>0.12196414568395712</v>
      </c>
      <c r="M200" s="10">
        <f t="shared" si="20"/>
        <v>0.12603962417358144</v>
      </c>
      <c r="P200" s="8">
        <f t="shared" si="25"/>
        <v>-10.195722704195655</v>
      </c>
    </row>
    <row r="201" spans="1:16" x14ac:dyDescent="0.2">
      <c r="A201" s="8">
        <v>99.5</v>
      </c>
      <c r="B201" s="8">
        <v>199</v>
      </c>
      <c r="D201">
        <v>1715.3897058824</v>
      </c>
      <c r="E201">
        <v>309.32352941176998</v>
      </c>
      <c r="F201">
        <v>138.04826862538999</v>
      </c>
      <c r="G201">
        <v>117.02203567681001</v>
      </c>
      <c r="I201" s="9">
        <f t="shared" si="22"/>
        <v>192.30149373495999</v>
      </c>
      <c r="J201" s="9">
        <f t="shared" si="23"/>
        <v>1577.3414372570101</v>
      </c>
      <c r="K201" s="9">
        <f t="shared" si="24"/>
        <v>192.30149373495999</v>
      </c>
      <c r="L201" s="10">
        <f t="shared" si="21"/>
        <v>0.12191494447097735</v>
      </c>
      <c r="M201" s="10">
        <f t="shared" si="20"/>
        <v>0.12601100618529673</v>
      </c>
      <c r="P201" s="8">
        <f t="shared" si="25"/>
        <v>-10.216113258137874</v>
      </c>
    </row>
    <row r="202" spans="1:16" x14ac:dyDescent="0.2">
      <c r="A202" s="8">
        <v>100</v>
      </c>
      <c r="B202" s="8">
        <v>200</v>
      </c>
      <c r="D202">
        <v>1710.3823529412</v>
      </c>
      <c r="E202">
        <v>308.16701680672003</v>
      </c>
      <c r="F202">
        <v>138.61804826862999</v>
      </c>
      <c r="G202">
        <v>117.40818467996</v>
      </c>
      <c r="I202" s="9">
        <f t="shared" si="22"/>
        <v>190.75883212676001</v>
      </c>
      <c r="J202" s="9">
        <f t="shared" si="23"/>
        <v>1571.76430467257</v>
      </c>
      <c r="K202" s="9">
        <f t="shared" si="24"/>
        <v>190.75883212676001</v>
      </c>
      <c r="L202" s="10">
        <f t="shared" si="21"/>
        <v>0.12136605441392748</v>
      </c>
      <c r="M202" s="10">
        <f t="shared" si="20"/>
        <v>0.12548269935294193</v>
      </c>
      <c r="P202" s="8">
        <f t="shared" si="25"/>
        <v>-10.592536256707898</v>
      </c>
    </row>
    <row r="203" spans="1:16" x14ac:dyDescent="0.2">
      <c r="A203" s="8">
        <v>100.5</v>
      </c>
      <c r="B203" s="8">
        <v>201</v>
      </c>
      <c r="D203">
        <v>1705.3067226891001</v>
      </c>
      <c r="E203">
        <v>308.25525210083998</v>
      </c>
      <c r="F203">
        <v>138.68730325288999</v>
      </c>
      <c r="G203">
        <v>117.19832109129</v>
      </c>
      <c r="I203" s="9">
        <f t="shared" si="22"/>
        <v>191.05693100955</v>
      </c>
      <c r="J203" s="9">
        <f t="shared" si="23"/>
        <v>1566.6194194362101</v>
      </c>
      <c r="K203" s="9">
        <f t="shared" si="24"/>
        <v>191.05693100955</v>
      </c>
      <c r="L203" s="10">
        <f t="shared" si="21"/>
        <v>0.12195491045189963</v>
      </c>
      <c r="M203" s="10">
        <f t="shared" si="20"/>
        <v>0.12609213861560917</v>
      </c>
      <c r="P203" s="8">
        <f t="shared" si="25"/>
        <v>-10.158305728821329</v>
      </c>
    </row>
    <row r="204" spans="1:16" x14ac:dyDescent="0.2">
      <c r="A204" s="8">
        <v>101</v>
      </c>
      <c r="B204" s="8">
        <v>202</v>
      </c>
      <c r="D204">
        <v>1707.8634453781999</v>
      </c>
      <c r="E204">
        <v>305.40441176471001</v>
      </c>
      <c r="F204">
        <v>138.82791185728999</v>
      </c>
      <c r="G204">
        <v>117.23504721931</v>
      </c>
      <c r="I204" s="9">
        <f t="shared" si="22"/>
        <v>188.16936454540001</v>
      </c>
      <c r="J204" s="9">
        <f t="shared" si="23"/>
        <v>1569.0355335209099</v>
      </c>
      <c r="K204" s="9">
        <f t="shared" si="24"/>
        <v>188.16936454540001</v>
      </c>
      <c r="L204" s="10">
        <f t="shared" si="21"/>
        <v>0.11992677063415426</v>
      </c>
      <c r="M204" s="10">
        <f t="shared" si="20"/>
        <v>0.12408458202255886</v>
      </c>
      <c r="P204" s="8">
        <f t="shared" si="25"/>
        <v>-11.588706447257456</v>
      </c>
    </row>
    <row r="205" spans="1:16" x14ac:dyDescent="0.2">
      <c r="A205" s="8">
        <v>101.5</v>
      </c>
      <c r="B205" s="8">
        <v>203</v>
      </c>
      <c r="D205">
        <v>1702.9023109243999</v>
      </c>
      <c r="E205">
        <v>308.45483193276999</v>
      </c>
      <c r="F205">
        <v>139.17523609654</v>
      </c>
      <c r="G205">
        <v>116.85414480588</v>
      </c>
      <c r="I205" s="9">
        <f t="shared" si="22"/>
        <v>191.60068712688999</v>
      </c>
      <c r="J205" s="9">
        <f t="shared" si="23"/>
        <v>1563.72707482786</v>
      </c>
      <c r="K205" s="9">
        <f t="shared" si="24"/>
        <v>191.60068712688999</v>
      </c>
      <c r="L205" s="10">
        <f t="shared" si="21"/>
        <v>0.12252821493672865</v>
      </c>
      <c r="M205" s="10">
        <f t="shared" si="20"/>
        <v>0.12670660954982832</v>
      </c>
      <c r="P205" s="8">
        <f t="shared" si="25"/>
        <v>-9.7204900932333338</v>
      </c>
    </row>
    <row r="206" spans="1:16" x14ac:dyDescent="0.2">
      <c r="A206" s="8">
        <v>102</v>
      </c>
      <c r="B206" s="8">
        <v>204</v>
      </c>
      <c r="D206">
        <v>1708.2636554621999</v>
      </c>
      <c r="E206">
        <v>307.66386554621999</v>
      </c>
      <c r="F206">
        <v>138.60545645331001</v>
      </c>
      <c r="G206">
        <v>116.89401888771999</v>
      </c>
      <c r="I206" s="9">
        <f t="shared" si="22"/>
        <v>190.7698466585</v>
      </c>
      <c r="J206" s="9">
        <f t="shared" si="23"/>
        <v>1569.6581990088898</v>
      </c>
      <c r="K206" s="9">
        <f t="shared" si="24"/>
        <v>190.7698466585</v>
      </c>
      <c r="L206" s="10">
        <f t="shared" si="21"/>
        <v>0.12153591576749351</v>
      </c>
      <c r="M206" s="10">
        <f t="shared" si="20"/>
        <v>0.12573489360528825</v>
      </c>
      <c r="P206" s="8">
        <f t="shared" si="25"/>
        <v>-10.412845760813322</v>
      </c>
    </row>
    <row r="207" spans="1:16" x14ac:dyDescent="0.2">
      <c r="A207" s="8">
        <v>102.5</v>
      </c>
      <c r="B207" s="8">
        <v>205</v>
      </c>
      <c r="D207">
        <v>1699.7163865545999</v>
      </c>
      <c r="E207">
        <v>307.13445378150999</v>
      </c>
      <c r="F207">
        <v>139.10912906611</v>
      </c>
      <c r="G207">
        <v>117.04197271773</v>
      </c>
      <c r="I207" s="9">
        <f t="shared" si="22"/>
        <v>190.09248106377999</v>
      </c>
      <c r="J207" s="9">
        <f t="shared" si="23"/>
        <v>1560.6072574884899</v>
      </c>
      <c r="K207" s="9">
        <f t="shared" si="24"/>
        <v>190.09248106377999</v>
      </c>
      <c r="L207" s="10">
        <f t="shared" si="21"/>
        <v>0.12180673910853064</v>
      </c>
      <c r="M207" s="10">
        <f t="shared" si="20"/>
        <v>0.12602630017102046</v>
      </c>
      <c r="P207" s="8">
        <f t="shared" si="25"/>
        <v>-10.205216166497868</v>
      </c>
    </row>
    <row r="208" spans="1:16" x14ac:dyDescent="0.2">
      <c r="A208" s="8">
        <v>103</v>
      </c>
      <c r="B208" s="8">
        <v>206</v>
      </c>
      <c r="D208">
        <v>1701.4117647058999</v>
      </c>
      <c r="E208">
        <v>306.57773109243999</v>
      </c>
      <c r="F208">
        <v>138.44386149003</v>
      </c>
      <c r="G208">
        <v>117.31164742916999</v>
      </c>
      <c r="I208" s="9">
        <f t="shared" si="22"/>
        <v>189.26608366327</v>
      </c>
      <c r="J208" s="9">
        <f t="shared" si="23"/>
        <v>1562.9679032158699</v>
      </c>
      <c r="K208" s="9">
        <f t="shared" si="24"/>
        <v>189.26608366327</v>
      </c>
      <c r="L208" s="10">
        <f t="shared" si="21"/>
        <v>0.12109403096112681</v>
      </c>
      <c r="M208" s="10">
        <f t="shared" si="20"/>
        <v>0.1253341752483117</v>
      </c>
      <c r="P208" s="8">
        <f t="shared" si="25"/>
        <v>-10.698360912761739</v>
      </c>
    </row>
    <row r="209" spans="1:16" x14ac:dyDescent="0.2">
      <c r="A209" s="8">
        <v>103.5</v>
      </c>
      <c r="B209" s="8">
        <v>207</v>
      </c>
      <c r="D209">
        <v>1699.8655462185</v>
      </c>
      <c r="E209">
        <v>306.79726890756001</v>
      </c>
      <c r="F209">
        <v>138.28961175236</v>
      </c>
      <c r="G209">
        <v>116.81951731375</v>
      </c>
      <c r="I209" s="9">
        <f t="shared" si="22"/>
        <v>189.97775159381001</v>
      </c>
      <c r="J209" s="9">
        <f t="shared" si="23"/>
        <v>1561.5759344661399</v>
      </c>
      <c r="K209" s="9">
        <f t="shared" si="24"/>
        <v>189.97775159381001</v>
      </c>
      <c r="L209" s="10">
        <f t="shared" si="21"/>
        <v>0.12165770962573025</v>
      </c>
      <c r="M209" s="10">
        <f t="shared" si="20"/>
        <v>0.1259184371376102</v>
      </c>
      <c r="P209" s="8">
        <f t="shared" si="25"/>
        <v>-10.282069472161501</v>
      </c>
    </row>
    <row r="210" spans="1:16" x14ac:dyDescent="0.2">
      <c r="A210" s="8">
        <v>104</v>
      </c>
      <c r="B210" s="8">
        <v>208</v>
      </c>
      <c r="D210">
        <v>1691.1344537815</v>
      </c>
      <c r="E210">
        <v>305.21533613445001</v>
      </c>
      <c r="F210">
        <v>138.82371458552001</v>
      </c>
      <c r="G210">
        <v>117.26547743966</v>
      </c>
      <c r="I210" s="9">
        <f t="shared" si="22"/>
        <v>187.94985869479001</v>
      </c>
      <c r="J210" s="9">
        <f t="shared" si="23"/>
        <v>1552.31073919598</v>
      </c>
      <c r="K210" s="9">
        <f t="shared" si="24"/>
        <v>187.94985869479001</v>
      </c>
      <c r="L210" s="10">
        <f t="shared" si="21"/>
        <v>0.12107747112033684</v>
      </c>
      <c r="M210" s="10">
        <f t="shared" si="20"/>
        <v>0.12535878185691188</v>
      </c>
      <c r="P210" s="8">
        <f t="shared" si="25"/>
        <v>-10.680828500105568</v>
      </c>
    </row>
    <row r="211" spans="1:16" x14ac:dyDescent="0.2">
      <c r="A211" s="8">
        <v>104.5</v>
      </c>
      <c r="B211" s="8">
        <v>209</v>
      </c>
      <c r="D211">
        <v>1702.5189075630001</v>
      </c>
      <c r="E211">
        <v>306.23949579831998</v>
      </c>
      <c r="F211">
        <v>138.27806925498001</v>
      </c>
      <c r="G211">
        <v>117.00839454355</v>
      </c>
      <c r="I211" s="9">
        <f t="shared" si="22"/>
        <v>189.23110125476998</v>
      </c>
      <c r="J211" s="9">
        <f t="shared" si="23"/>
        <v>1564.2408383080201</v>
      </c>
      <c r="K211" s="9">
        <f t="shared" si="24"/>
        <v>189.23110125476998</v>
      </c>
      <c r="L211" s="10">
        <f t="shared" si="21"/>
        <v>0.12097312422775899</v>
      </c>
      <c r="M211" s="10">
        <f t="shared" si="20"/>
        <v>0.12527501818902909</v>
      </c>
      <c r="P211" s="8">
        <f t="shared" si="25"/>
        <v>-10.740510808008201</v>
      </c>
    </row>
    <row r="212" spans="1:16" x14ac:dyDescent="0.2">
      <c r="A212" s="8">
        <v>105</v>
      </c>
      <c r="B212" s="8">
        <v>210</v>
      </c>
      <c r="D212">
        <v>1703.2111344538</v>
      </c>
      <c r="E212">
        <v>305.97373949579998</v>
      </c>
      <c r="F212">
        <v>138.92864637984999</v>
      </c>
      <c r="G212">
        <v>116.86778593914001</v>
      </c>
      <c r="I212" s="9">
        <f t="shared" si="22"/>
        <v>189.10595355665998</v>
      </c>
      <c r="J212" s="9">
        <f t="shared" si="23"/>
        <v>1564.2824880739499</v>
      </c>
      <c r="K212" s="9">
        <f t="shared" si="24"/>
        <v>189.10595355665998</v>
      </c>
      <c r="L212" s="10">
        <f t="shared" si="21"/>
        <v>0.12088990000105415</v>
      </c>
      <c r="M212" s="10">
        <f t="shared" si="20"/>
        <v>0.12521237718701933</v>
      </c>
      <c r="P212" s="8">
        <f t="shared" si="25"/>
        <v>-10.785143041335269</v>
      </c>
    </row>
    <row r="213" spans="1:16" x14ac:dyDescent="0.2">
      <c r="A213" s="8">
        <v>105.5</v>
      </c>
      <c r="B213" s="8">
        <v>211</v>
      </c>
      <c r="D213">
        <v>1690.4390756303001</v>
      </c>
      <c r="E213">
        <v>304.75630252101001</v>
      </c>
      <c r="F213">
        <v>139.16159496327001</v>
      </c>
      <c r="G213">
        <v>117.14795383001</v>
      </c>
      <c r="I213" s="9">
        <f t="shared" si="22"/>
        <v>187.608348691</v>
      </c>
      <c r="J213" s="9">
        <f t="shared" si="23"/>
        <v>1551.27748066703</v>
      </c>
      <c r="K213" s="9">
        <f t="shared" si="24"/>
        <v>187.608348691</v>
      </c>
      <c r="L213" s="10">
        <f t="shared" si="21"/>
        <v>0.12093796953097698</v>
      </c>
      <c r="M213" s="10">
        <f t="shared" si="20"/>
        <v>0.12528102994163723</v>
      </c>
      <c r="P213" s="8">
        <f t="shared" si="25"/>
        <v>-10.736227384427757</v>
      </c>
    </row>
    <row r="214" spans="1:16" x14ac:dyDescent="0.2">
      <c r="A214" s="8">
        <v>106</v>
      </c>
      <c r="B214" s="8">
        <v>212</v>
      </c>
      <c r="D214">
        <v>1704.8771008403</v>
      </c>
      <c r="E214">
        <v>306.16281512605002</v>
      </c>
      <c r="F214">
        <v>138.52360965373001</v>
      </c>
      <c r="G214">
        <v>117.27282266527</v>
      </c>
      <c r="I214" s="9">
        <f t="shared" si="22"/>
        <v>188.88999246078004</v>
      </c>
      <c r="J214" s="9">
        <f t="shared" si="23"/>
        <v>1566.35349118657</v>
      </c>
      <c r="K214" s="9">
        <f t="shared" si="24"/>
        <v>188.88999246078004</v>
      </c>
      <c r="L214" s="10">
        <f t="shared" si="21"/>
        <v>0.12059218658087771</v>
      </c>
      <c r="M214" s="10">
        <f t="shared" si="20"/>
        <v>0.12495583021623304</v>
      </c>
      <c r="P214" s="8">
        <f t="shared" si="25"/>
        <v>-10.967934885209395</v>
      </c>
    </row>
    <row r="215" spans="1:16" x14ac:dyDescent="0.2">
      <c r="A215" s="8">
        <v>106.5</v>
      </c>
      <c r="B215" s="8">
        <v>213</v>
      </c>
      <c r="D215">
        <v>1698.4968487394999</v>
      </c>
      <c r="E215">
        <v>306.18802521008001</v>
      </c>
      <c r="F215">
        <v>138.60650577125</v>
      </c>
      <c r="G215">
        <v>117.32948583421</v>
      </c>
      <c r="I215" s="9">
        <f t="shared" si="22"/>
        <v>188.85853937587001</v>
      </c>
      <c r="J215" s="9">
        <f t="shared" si="23"/>
        <v>1559.89034296825</v>
      </c>
      <c r="K215" s="9">
        <f t="shared" si="24"/>
        <v>188.85853937587001</v>
      </c>
      <c r="L215" s="10">
        <f t="shared" si="21"/>
        <v>0.12107167675421274</v>
      </c>
      <c r="M215" s="10">
        <f t="shared" si="20"/>
        <v>0.12545590361426312</v>
      </c>
      <c r="P215" s="8">
        <f t="shared" si="25"/>
        <v>-10.611628442696519</v>
      </c>
    </row>
    <row r="216" spans="1:16" x14ac:dyDescent="0.2">
      <c r="A216" s="8">
        <v>107</v>
      </c>
      <c r="B216" s="8">
        <v>214</v>
      </c>
      <c r="D216">
        <v>1703.1533613444999</v>
      </c>
      <c r="E216">
        <v>304.85294117646998</v>
      </c>
      <c r="F216">
        <v>138.73557187828001</v>
      </c>
      <c r="G216">
        <v>117.28016789087</v>
      </c>
      <c r="I216" s="9">
        <f t="shared" si="22"/>
        <v>187.57277328559996</v>
      </c>
      <c r="J216" s="9">
        <f t="shared" si="23"/>
        <v>1564.4177894662198</v>
      </c>
      <c r="K216" s="9">
        <f t="shared" si="24"/>
        <v>187.57277328559996</v>
      </c>
      <c r="L216" s="10">
        <f t="shared" si="21"/>
        <v>0.11989941213184484</v>
      </c>
      <c r="M216" s="10">
        <f t="shared" si="20"/>
        <v>0.12430422221659031</v>
      </c>
      <c r="P216" s="8">
        <f t="shared" si="25"/>
        <v>-11.432210987837966</v>
      </c>
    </row>
    <row r="217" spans="1:16" x14ac:dyDescent="0.2">
      <c r="A217" s="8">
        <v>107.5</v>
      </c>
      <c r="B217" s="8">
        <v>215</v>
      </c>
      <c r="D217">
        <v>1707.8939075630001</v>
      </c>
      <c r="E217">
        <v>305.87920168067001</v>
      </c>
      <c r="F217">
        <v>138.92235047219</v>
      </c>
      <c r="G217">
        <v>116.71878279118999</v>
      </c>
      <c r="I217" s="9">
        <f t="shared" si="22"/>
        <v>189.16041888948001</v>
      </c>
      <c r="J217" s="9">
        <f t="shared" si="23"/>
        <v>1568.9715570908102</v>
      </c>
      <c r="K217" s="9">
        <f t="shared" si="24"/>
        <v>189.16041888948001</v>
      </c>
      <c r="L217" s="10">
        <f t="shared" si="21"/>
        <v>0.120563319350557</v>
      </c>
      <c r="M217" s="10">
        <f t="shared" si="20"/>
        <v>0.12498871265999754</v>
      </c>
      <c r="P217" s="8">
        <f t="shared" si="25"/>
        <v>-10.944505871378595</v>
      </c>
    </row>
    <row r="218" spans="1:16" x14ac:dyDescent="0.2">
      <c r="A218" s="8">
        <v>108</v>
      </c>
      <c r="B218" s="8">
        <v>216</v>
      </c>
      <c r="D218">
        <v>1691.1418067227</v>
      </c>
      <c r="E218">
        <v>304.90861344538001</v>
      </c>
      <c r="F218">
        <v>138.56348373557</v>
      </c>
      <c r="G218">
        <v>117.01364113325999</v>
      </c>
      <c r="I218" s="9">
        <f t="shared" si="22"/>
        <v>187.89497231212002</v>
      </c>
      <c r="J218" s="9">
        <f t="shared" si="23"/>
        <v>1552.5783229871299</v>
      </c>
      <c r="K218" s="9">
        <f t="shared" si="24"/>
        <v>187.89497231212002</v>
      </c>
      <c r="L218" s="10">
        <f t="shared" si="21"/>
        <v>0.12102125189447049</v>
      </c>
      <c r="M218" s="10">
        <f t="shared" si="20"/>
        <v>0.12546722842860611</v>
      </c>
      <c r="P218" s="8">
        <f t="shared" si="25"/>
        <v>-10.603559418576131</v>
      </c>
    </row>
    <row r="219" spans="1:16" x14ac:dyDescent="0.2">
      <c r="A219" s="8">
        <v>108.5</v>
      </c>
      <c r="B219" s="8">
        <v>217</v>
      </c>
      <c r="D219">
        <v>1708.7163865545999</v>
      </c>
      <c r="E219">
        <v>305.53466386554999</v>
      </c>
      <c r="F219">
        <v>138.92969569780001</v>
      </c>
      <c r="G219">
        <v>117.30220356768</v>
      </c>
      <c r="I219" s="9">
        <f t="shared" si="22"/>
        <v>188.23246029786998</v>
      </c>
      <c r="J219" s="9">
        <f t="shared" si="23"/>
        <v>1569.7866908567999</v>
      </c>
      <c r="K219" s="9">
        <f t="shared" si="24"/>
        <v>188.23246029786998</v>
      </c>
      <c r="L219" s="10">
        <f t="shared" si="21"/>
        <v>0.11990957841229465</v>
      </c>
      <c r="M219" s="10">
        <f t="shared" si="20"/>
        <v>0.12437613817112533</v>
      </c>
      <c r="P219" s="8">
        <f t="shared" si="25"/>
        <v>-11.3809702739323</v>
      </c>
    </row>
    <row r="220" spans="1:16" x14ac:dyDescent="0.2">
      <c r="A220" s="8">
        <v>109</v>
      </c>
      <c r="B220" s="8">
        <v>218</v>
      </c>
      <c r="D220">
        <v>1717.4915966387</v>
      </c>
      <c r="E220">
        <v>306.74789915965999</v>
      </c>
      <c r="F220">
        <v>138.71248688353</v>
      </c>
      <c r="G220">
        <v>117.41657922351</v>
      </c>
      <c r="I220" s="9">
        <f t="shared" si="22"/>
        <v>189.33131993615001</v>
      </c>
      <c r="J220" s="9">
        <f t="shared" si="23"/>
        <v>1578.7791097551699</v>
      </c>
      <c r="K220" s="9">
        <f t="shared" si="24"/>
        <v>189.33131993615001</v>
      </c>
      <c r="L220" s="10">
        <f t="shared" si="21"/>
        <v>0.11992261537176703</v>
      </c>
      <c r="M220" s="10">
        <f t="shared" si="20"/>
        <v>0.12440975835529279</v>
      </c>
      <c r="P220" s="8">
        <f t="shared" si="25"/>
        <v>-11.35701561394734</v>
      </c>
    </row>
    <row r="221" spans="1:16" x14ac:dyDescent="0.2">
      <c r="A221" s="8">
        <v>109.5</v>
      </c>
      <c r="B221" s="8">
        <v>219</v>
      </c>
      <c r="D221">
        <v>1697.9989495798</v>
      </c>
      <c r="E221">
        <v>305.02310924369999</v>
      </c>
      <c r="F221">
        <v>138.86568730325001</v>
      </c>
      <c r="G221">
        <v>116.84365162644001</v>
      </c>
      <c r="I221" s="9">
        <f t="shared" si="22"/>
        <v>188.17945761725997</v>
      </c>
      <c r="J221" s="9">
        <f t="shared" si="23"/>
        <v>1559.1332622765499</v>
      </c>
      <c r="K221" s="9">
        <f t="shared" si="24"/>
        <v>188.17945761725997</v>
      </c>
      <c r="L221" s="10">
        <f t="shared" si="21"/>
        <v>0.12069491567545161</v>
      </c>
      <c r="M221" s="10">
        <f t="shared" si="20"/>
        <v>0.12520264188367244</v>
      </c>
      <c r="P221" s="8">
        <f t="shared" si="25"/>
        <v>-10.792079525691319</v>
      </c>
    </row>
    <row r="222" spans="1:16" x14ac:dyDescent="0.2">
      <c r="A222" s="8">
        <v>110</v>
      </c>
      <c r="B222" s="8">
        <v>220</v>
      </c>
      <c r="D222">
        <v>1690.8865546218999</v>
      </c>
      <c r="E222">
        <v>302.74579831932999</v>
      </c>
      <c r="F222">
        <v>138.31584470094</v>
      </c>
      <c r="G222">
        <v>117.35886673662</v>
      </c>
      <c r="I222" s="9">
        <f t="shared" si="22"/>
        <v>185.38693158270999</v>
      </c>
      <c r="J222" s="9">
        <f t="shared" si="23"/>
        <v>1552.5707099209599</v>
      </c>
      <c r="K222" s="9">
        <f t="shared" si="24"/>
        <v>185.38693158270999</v>
      </c>
      <c r="L222" s="10">
        <f t="shared" si="21"/>
        <v>0.1194064337283214</v>
      </c>
      <c r="M222" s="10">
        <f t="shared" si="20"/>
        <v>0.12393474316123729</v>
      </c>
      <c r="P222" s="8">
        <f t="shared" si="25"/>
        <v>-11.695467878355331</v>
      </c>
    </row>
    <row r="223" spans="1:16" x14ac:dyDescent="0.2">
      <c r="A223" s="8">
        <v>110.5</v>
      </c>
      <c r="B223" s="8">
        <v>221</v>
      </c>
      <c r="D223">
        <v>1688.1481092437</v>
      </c>
      <c r="E223">
        <v>303.82247899160001</v>
      </c>
      <c r="F223">
        <v>138.90556138509999</v>
      </c>
      <c r="G223">
        <v>116.90870933893</v>
      </c>
      <c r="I223" s="9">
        <f t="shared" si="22"/>
        <v>186.91376965267</v>
      </c>
      <c r="J223" s="9">
        <f t="shared" si="23"/>
        <v>1549.2425478586001</v>
      </c>
      <c r="K223" s="9">
        <f t="shared" si="24"/>
        <v>186.91376965267</v>
      </c>
      <c r="L223" s="10">
        <f t="shared" si="21"/>
        <v>0.12064848716621336</v>
      </c>
      <c r="M223" s="10">
        <f t="shared" si="20"/>
        <v>0.12519737982382434</v>
      </c>
      <c r="P223" s="8">
        <f t="shared" si="25"/>
        <v>-10.795828786964071</v>
      </c>
    </row>
    <row r="224" spans="1:16" x14ac:dyDescent="0.2">
      <c r="A224" s="8">
        <v>111</v>
      </c>
      <c r="B224" s="8">
        <v>222</v>
      </c>
      <c r="D224">
        <v>1689.4107142856999</v>
      </c>
      <c r="E224">
        <v>303.19012605042002</v>
      </c>
      <c r="F224">
        <v>138.59496327387001</v>
      </c>
      <c r="G224">
        <v>116.80272822665</v>
      </c>
      <c r="I224" s="9">
        <f t="shared" si="22"/>
        <v>186.38739782377002</v>
      </c>
      <c r="J224" s="9">
        <f t="shared" si="23"/>
        <v>1550.8157510118299</v>
      </c>
      <c r="K224" s="9">
        <f t="shared" si="24"/>
        <v>186.38739782377002</v>
      </c>
      <c r="L224" s="10">
        <f t="shared" si="21"/>
        <v>0.12018668091432624</v>
      </c>
      <c r="M224" s="10">
        <f t="shared" si="20"/>
        <v>0.12475615679663228</v>
      </c>
      <c r="P224" s="8">
        <f t="shared" si="25"/>
        <v>-11.110203852290196</v>
      </c>
    </row>
    <row r="225" spans="1:16" x14ac:dyDescent="0.2">
      <c r="A225" s="8">
        <v>111.5</v>
      </c>
      <c r="B225" s="8">
        <v>223</v>
      </c>
      <c r="D225">
        <v>1690.1355042017001</v>
      </c>
      <c r="E225">
        <v>302.98109243698002</v>
      </c>
      <c r="F225">
        <v>139.14060860441001</v>
      </c>
      <c r="G225">
        <v>117.05141657922</v>
      </c>
      <c r="I225" s="9">
        <f t="shared" si="22"/>
        <v>185.92967585776</v>
      </c>
      <c r="J225" s="9">
        <f t="shared" si="23"/>
        <v>1550.99489559729</v>
      </c>
      <c r="K225" s="9">
        <f t="shared" si="24"/>
        <v>185.92967585776</v>
      </c>
      <c r="L225" s="10">
        <f t="shared" si="21"/>
        <v>0.11987768392117</v>
      </c>
      <c r="M225" s="10">
        <f t="shared" si="20"/>
        <v>0.12446774302817111</v>
      </c>
      <c r="P225" s="8">
        <f t="shared" si="25"/>
        <v>-11.315701053734912</v>
      </c>
    </row>
    <row r="226" spans="1:16" x14ac:dyDescent="0.2">
      <c r="A226" s="8">
        <v>112</v>
      </c>
      <c r="B226" s="8">
        <v>224</v>
      </c>
      <c r="D226">
        <v>1688.1796218487</v>
      </c>
      <c r="E226">
        <v>303.83508403360997</v>
      </c>
      <c r="F226">
        <v>138.77019937041001</v>
      </c>
      <c r="G226">
        <v>116.5907660021</v>
      </c>
      <c r="I226" s="9">
        <f t="shared" si="22"/>
        <v>187.24431803150998</v>
      </c>
      <c r="J226" s="9">
        <f t="shared" si="23"/>
        <v>1549.40942247829</v>
      </c>
      <c r="K226" s="9">
        <f t="shared" si="24"/>
        <v>187.24431803150998</v>
      </c>
      <c r="L226" s="10">
        <f t="shared" si="21"/>
        <v>0.12084883137732022</v>
      </c>
      <c r="M226" s="10">
        <f t="shared" si="20"/>
        <v>0.12545947370901642</v>
      </c>
      <c r="P226" s="8">
        <f t="shared" si="25"/>
        <v>-10.609084720582942</v>
      </c>
    </row>
    <row r="227" spans="1:16" x14ac:dyDescent="0.2">
      <c r="A227" s="8">
        <v>112.5</v>
      </c>
      <c r="B227" s="8">
        <v>225</v>
      </c>
      <c r="D227">
        <v>1689.4569327731001</v>
      </c>
      <c r="E227">
        <v>307.86029411765003</v>
      </c>
      <c r="F227">
        <v>138.53410283316001</v>
      </c>
      <c r="G227">
        <v>117.30115424973999</v>
      </c>
      <c r="I227" s="9">
        <f t="shared" si="22"/>
        <v>190.55913986791003</v>
      </c>
      <c r="J227" s="9">
        <f t="shared" si="23"/>
        <v>1550.9228299399401</v>
      </c>
      <c r="K227" s="9">
        <f t="shared" si="24"/>
        <v>190.55913986791003</v>
      </c>
      <c r="L227" s="10">
        <f t="shared" si="21"/>
        <v>0.12286822799254911</v>
      </c>
      <c r="M227" s="10">
        <f t="shared" si="20"/>
        <v>0.12749945354894038</v>
      </c>
      <c r="P227" s="8">
        <f t="shared" si="25"/>
        <v>-9.155582169908234</v>
      </c>
    </row>
    <row r="228" spans="1:16" x14ac:dyDescent="0.2">
      <c r="A228" s="8">
        <v>113</v>
      </c>
      <c r="B228" s="8">
        <v>226</v>
      </c>
      <c r="D228">
        <v>1677.9779411765001</v>
      </c>
      <c r="E228">
        <v>304.59978991597001</v>
      </c>
      <c r="F228">
        <v>138.17523609654</v>
      </c>
      <c r="G228">
        <v>117.1185729276</v>
      </c>
      <c r="I228" s="9">
        <f t="shared" si="22"/>
        <v>187.48121698837002</v>
      </c>
      <c r="J228" s="9">
        <f t="shared" si="23"/>
        <v>1539.8027050799601</v>
      </c>
      <c r="K228" s="9">
        <f t="shared" si="24"/>
        <v>187.48121698837002</v>
      </c>
      <c r="L228" s="10">
        <f t="shared" si="21"/>
        <v>0.12175664867313916</v>
      </c>
      <c r="M228" s="10">
        <f t="shared" si="20"/>
        <v>0.12640845745422549</v>
      </c>
      <c r="P228" s="8">
        <f t="shared" si="25"/>
        <v>-9.9329259335129461</v>
      </c>
    </row>
    <row r="229" spans="1:16" x14ac:dyDescent="0.2">
      <c r="A229" s="8">
        <v>113.5</v>
      </c>
      <c r="B229" s="8">
        <v>227</v>
      </c>
      <c r="D229">
        <v>1680.1533613444999</v>
      </c>
      <c r="E229">
        <v>304.74579831932999</v>
      </c>
      <c r="F229">
        <v>138.88037775446</v>
      </c>
      <c r="G229">
        <v>116.93074501574</v>
      </c>
      <c r="I229" s="9">
        <f t="shared" si="22"/>
        <v>187.81505330358999</v>
      </c>
      <c r="J229" s="9">
        <f t="shared" si="23"/>
        <v>1541.27298359004</v>
      </c>
      <c r="K229" s="9">
        <f t="shared" si="24"/>
        <v>187.81505330358999</v>
      </c>
      <c r="L229" s="10">
        <f t="shared" si="21"/>
        <v>0.12185709819302622</v>
      </c>
      <c r="M229" s="10">
        <f t="shared" si="20"/>
        <v>0.12652949019880763</v>
      </c>
      <c r="P229" s="8">
        <f t="shared" si="25"/>
        <v>-9.846689099441166</v>
      </c>
    </row>
    <row r="230" spans="1:16" x14ac:dyDescent="0.2">
      <c r="A230" s="8">
        <v>114</v>
      </c>
      <c r="B230" s="8">
        <v>228</v>
      </c>
      <c r="D230">
        <v>1690.4075630252</v>
      </c>
      <c r="E230">
        <v>306.12184873950002</v>
      </c>
      <c r="F230">
        <v>138.63798530955</v>
      </c>
      <c r="G230">
        <v>117.37670514166</v>
      </c>
      <c r="I230" s="9">
        <f t="shared" si="22"/>
        <v>188.74514359784001</v>
      </c>
      <c r="J230" s="9">
        <f t="shared" si="23"/>
        <v>1551.76957771565</v>
      </c>
      <c r="K230" s="9">
        <f t="shared" si="24"/>
        <v>188.74514359784001</v>
      </c>
      <c r="L230" s="10">
        <f t="shared" si="21"/>
        <v>0.12163219740116991</v>
      </c>
      <c r="M230" s="10">
        <f t="shared" si="20"/>
        <v>0.12632517263164639</v>
      </c>
      <c r="P230" s="8">
        <f t="shared" si="25"/>
        <v>-9.9922670601663022</v>
      </c>
    </row>
    <row r="231" spans="1:16" x14ac:dyDescent="0.2">
      <c r="A231" s="8">
        <v>114.5</v>
      </c>
      <c r="B231" s="8">
        <v>229</v>
      </c>
      <c r="D231">
        <v>1685.0378151261</v>
      </c>
      <c r="E231">
        <v>306.81302521008001</v>
      </c>
      <c r="F231">
        <v>138.74501573977</v>
      </c>
      <c r="G231">
        <v>117.04512067156</v>
      </c>
      <c r="I231" s="9">
        <f t="shared" si="22"/>
        <v>189.76790453852001</v>
      </c>
      <c r="J231" s="9">
        <f t="shared" si="23"/>
        <v>1546.29279938633</v>
      </c>
      <c r="K231" s="9">
        <f t="shared" si="24"/>
        <v>189.76790453852001</v>
      </c>
      <c r="L231" s="10">
        <f t="shared" si="21"/>
        <v>0.12272443137149207</v>
      </c>
      <c r="M231" s="10">
        <f t="shared" si="20"/>
        <v>0.12743798982666363</v>
      </c>
      <c r="P231" s="8">
        <f t="shared" si="25"/>
        <v>-9.1993755816639844</v>
      </c>
    </row>
    <row r="232" spans="1:16" x14ac:dyDescent="0.2">
      <c r="A232" s="8">
        <v>115</v>
      </c>
      <c r="B232" s="8">
        <v>230</v>
      </c>
      <c r="D232">
        <v>1683.5294117646999</v>
      </c>
      <c r="E232">
        <v>306.16071428571001</v>
      </c>
      <c r="F232">
        <v>138.80902413430999</v>
      </c>
      <c r="G232">
        <v>117.46065057713</v>
      </c>
      <c r="I232" s="9">
        <f t="shared" si="22"/>
        <v>188.70006370858002</v>
      </c>
      <c r="J232" s="9">
        <f t="shared" si="23"/>
        <v>1544.72038763039</v>
      </c>
      <c r="K232" s="9">
        <f t="shared" si="24"/>
        <v>188.70006370858002</v>
      </c>
      <c r="L232" s="10">
        <f t="shared" si="21"/>
        <v>0.12215807159640524</v>
      </c>
      <c r="M232" s="10">
        <f t="shared" si="20"/>
        <v>0.12689221327627187</v>
      </c>
      <c r="P232" s="8">
        <f t="shared" si="25"/>
        <v>-9.5882458991875286</v>
      </c>
    </row>
    <row r="233" spans="1:16" x14ac:dyDescent="0.2">
      <c r="A233" s="8">
        <v>115.5</v>
      </c>
      <c r="B233" s="8">
        <v>231</v>
      </c>
      <c r="D233">
        <v>1672.5955882353001</v>
      </c>
      <c r="E233">
        <v>306.05252100839999</v>
      </c>
      <c r="F233">
        <v>138.84784889822001</v>
      </c>
      <c r="G233">
        <v>117.35781741868</v>
      </c>
      <c r="I233" s="9">
        <f t="shared" si="22"/>
        <v>188.69470358972001</v>
      </c>
      <c r="J233" s="9">
        <f t="shared" si="23"/>
        <v>1533.74773933708</v>
      </c>
      <c r="K233" s="9">
        <f t="shared" si="24"/>
        <v>188.69470358972001</v>
      </c>
      <c r="L233" s="10">
        <f t="shared" si="21"/>
        <v>0.123028512936083</v>
      </c>
      <c r="M233" s="10">
        <f t="shared" si="20"/>
        <v>0.12778323784064469</v>
      </c>
      <c r="P233" s="8">
        <f t="shared" si="25"/>
        <v>-8.9533835090386251</v>
      </c>
    </row>
    <row r="234" spans="1:16" x14ac:dyDescent="0.2">
      <c r="A234" s="8">
        <v>116</v>
      </c>
      <c r="B234" s="8">
        <v>232</v>
      </c>
      <c r="D234">
        <v>1673.0913865545999</v>
      </c>
      <c r="E234">
        <v>307.03676470587999</v>
      </c>
      <c r="F234">
        <v>138.57082896118001</v>
      </c>
      <c r="G234">
        <v>117</v>
      </c>
      <c r="I234" s="9">
        <f t="shared" si="22"/>
        <v>190.03676470587999</v>
      </c>
      <c r="J234" s="9">
        <f t="shared" si="23"/>
        <v>1534.5205575934199</v>
      </c>
      <c r="K234" s="9">
        <f t="shared" si="24"/>
        <v>190.03676470587999</v>
      </c>
      <c r="L234" s="10">
        <f t="shared" si="21"/>
        <v>0.12384113315752093</v>
      </c>
      <c r="M234" s="10">
        <f t="shared" si="20"/>
        <v>0.12861644128677771</v>
      </c>
      <c r="P234" s="8">
        <f t="shared" si="25"/>
        <v>-8.3597191450660642</v>
      </c>
    </row>
    <row r="235" spans="1:16" x14ac:dyDescent="0.2">
      <c r="A235" s="8">
        <v>116.5</v>
      </c>
      <c r="B235" s="8">
        <v>233</v>
      </c>
      <c r="D235">
        <v>1654.0136554621999</v>
      </c>
      <c r="E235">
        <v>305.74894957983003</v>
      </c>
      <c r="F235">
        <v>139.02728226652999</v>
      </c>
      <c r="G235">
        <v>116.93809024134001</v>
      </c>
      <c r="I235" s="9">
        <f t="shared" si="22"/>
        <v>188.81085933849002</v>
      </c>
      <c r="J235" s="9">
        <f t="shared" si="23"/>
        <v>1514.98637319567</v>
      </c>
      <c r="K235" s="9">
        <f t="shared" si="24"/>
        <v>188.81085933849002</v>
      </c>
      <c r="L235" s="10">
        <f t="shared" si="21"/>
        <v>0.1246287509109522</v>
      </c>
      <c r="M235" s="10">
        <f t="shared" si="20"/>
        <v>0.12942464226490405</v>
      </c>
      <c r="P235" s="8">
        <f t="shared" si="25"/>
        <v>-7.7838692468591226</v>
      </c>
    </row>
    <row r="236" spans="1:16" x14ac:dyDescent="0.2">
      <c r="A236" s="8">
        <v>117</v>
      </c>
      <c r="B236" s="8">
        <v>234</v>
      </c>
      <c r="D236">
        <v>1662.631302521</v>
      </c>
      <c r="E236">
        <v>305.70168067227002</v>
      </c>
      <c r="F236">
        <v>138.50157397692001</v>
      </c>
      <c r="G236">
        <v>116.77544596013</v>
      </c>
      <c r="I236" s="9">
        <f t="shared" si="22"/>
        <v>188.92623471214</v>
      </c>
      <c r="J236" s="9">
        <f t="shared" si="23"/>
        <v>1524.1297285440799</v>
      </c>
      <c r="K236" s="9">
        <f t="shared" si="24"/>
        <v>188.92623471214</v>
      </c>
      <c r="L236" s="10">
        <f t="shared" si="21"/>
        <v>0.1239567939486432</v>
      </c>
      <c r="M236" s="10">
        <f t="shared" si="20"/>
        <v>0.12877326852729012</v>
      </c>
      <c r="P236" s="8">
        <f t="shared" si="25"/>
        <v>-8.2479784358497579</v>
      </c>
    </row>
    <row r="237" spans="1:16" x14ac:dyDescent="0.2">
      <c r="A237" s="8">
        <v>117.5</v>
      </c>
      <c r="B237" s="8">
        <v>235</v>
      </c>
      <c r="D237">
        <v>1677.2016806723</v>
      </c>
      <c r="E237">
        <v>309.39180672268998</v>
      </c>
      <c r="F237">
        <v>139.06295907660001</v>
      </c>
      <c r="G237">
        <v>117.14585519412</v>
      </c>
      <c r="I237" s="9">
        <f t="shared" si="22"/>
        <v>192.24595152856998</v>
      </c>
      <c r="J237" s="9">
        <f t="shared" si="23"/>
        <v>1538.1387215957</v>
      </c>
      <c r="K237" s="9">
        <f t="shared" si="24"/>
        <v>192.24595152856998</v>
      </c>
      <c r="L237" s="10">
        <f t="shared" si="21"/>
        <v>0.1249860944461041</v>
      </c>
      <c r="M237" s="10">
        <f t="shared" si="20"/>
        <v>0.1298231522494461</v>
      </c>
      <c r="P237" s="8">
        <f t="shared" si="25"/>
        <v>-7.4999275785812625</v>
      </c>
    </row>
    <row r="238" spans="1:16" x14ac:dyDescent="0.2">
      <c r="A238" s="8">
        <v>118</v>
      </c>
      <c r="B238" s="8">
        <v>236</v>
      </c>
      <c r="D238">
        <v>1667.3235294118001</v>
      </c>
      <c r="E238">
        <v>310.27415966387002</v>
      </c>
      <c r="F238">
        <v>138.71458551941001</v>
      </c>
      <c r="G238">
        <v>116.76075550892</v>
      </c>
      <c r="I238" s="9">
        <f t="shared" si="22"/>
        <v>193.51340415495002</v>
      </c>
      <c r="J238" s="9">
        <f t="shared" si="23"/>
        <v>1528.60894389239</v>
      </c>
      <c r="K238" s="9">
        <f t="shared" si="24"/>
        <v>193.51340415495002</v>
      </c>
      <c r="L238" s="10">
        <f t="shared" si="21"/>
        <v>0.12659444714630222</v>
      </c>
      <c r="M238" s="10">
        <f t="shared" si="20"/>
        <v>0.13145208817433929</v>
      </c>
      <c r="P238" s="8">
        <f t="shared" si="25"/>
        <v>-6.3392972255841658</v>
      </c>
    </row>
    <row r="239" spans="1:16" x14ac:dyDescent="0.2">
      <c r="A239" s="8">
        <v>118.5</v>
      </c>
      <c r="B239" s="8">
        <v>237</v>
      </c>
      <c r="D239">
        <v>1664.2321428570999</v>
      </c>
      <c r="E239">
        <v>309.93487394957998</v>
      </c>
      <c r="F239">
        <v>138.45225603358</v>
      </c>
      <c r="G239">
        <v>116.7093389297</v>
      </c>
      <c r="I239" s="9">
        <f t="shared" si="22"/>
        <v>193.22553501988</v>
      </c>
      <c r="J239" s="9">
        <f t="shared" si="23"/>
        <v>1525.77988682352</v>
      </c>
      <c r="K239" s="9">
        <f t="shared" si="24"/>
        <v>193.22553501988</v>
      </c>
      <c r="L239" s="10">
        <f t="shared" si="21"/>
        <v>0.12664050475993036</v>
      </c>
      <c r="M239" s="10">
        <f t="shared" si="20"/>
        <v>0.13151872901266248</v>
      </c>
      <c r="P239" s="8">
        <f t="shared" si="25"/>
        <v>-6.2918150757186666</v>
      </c>
    </row>
    <row r="240" spans="1:16" x14ac:dyDescent="0.2">
      <c r="A240" s="8">
        <v>119</v>
      </c>
      <c r="B240" s="8">
        <v>238</v>
      </c>
      <c r="D240">
        <v>1654.3214285714</v>
      </c>
      <c r="E240">
        <v>309.24579831932999</v>
      </c>
      <c r="F240">
        <v>138.83630640083999</v>
      </c>
      <c r="G240">
        <v>117.02518363064</v>
      </c>
      <c r="I240" s="9">
        <f t="shared" si="22"/>
        <v>192.22061468868998</v>
      </c>
      <c r="J240" s="9">
        <f t="shared" si="23"/>
        <v>1515.4851221705601</v>
      </c>
      <c r="K240" s="9">
        <f t="shared" si="24"/>
        <v>192.22061468868998</v>
      </c>
      <c r="L240" s="10">
        <f t="shared" si="21"/>
        <v>0.12683767849425084</v>
      </c>
      <c r="M240" s="10">
        <f t="shared" si="20"/>
        <v>0.13173648597167803</v>
      </c>
      <c r="P240" s="8">
        <f t="shared" si="25"/>
        <v>-6.1366614368630685</v>
      </c>
    </row>
    <row r="241" spans="1:16" x14ac:dyDescent="0.2">
      <c r="A241" s="8">
        <v>119.5</v>
      </c>
      <c r="B241" s="8">
        <v>239</v>
      </c>
      <c r="D241">
        <v>1669.9086134454001</v>
      </c>
      <c r="E241">
        <v>313.91176470587999</v>
      </c>
      <c r="F241">
        <v>138.03357817419001</v>
      </c>
      <c r="G241">
        <v>117.03252885624001</v>
      </c>
      <c r="I241" s="9">
        <f t="shared" si="22"/>
        <v>196.87923584964</v>
      </c>
      <c r="J241" s="9">
        <f t="shared" si="23"/>
        <v>1531.87503527121</v>
      </c>
      <c r="K241" s="9">
        <f t="shared" si="24"/>
        <v>196.87923584964</v>
      </c>
      <c r="L241" s="10">
        <f t="shared" si="21"/>
        <v>0.12852173402955394</v>
      </c>
      <c r="M241" s="10">
        <f t="shared" si="20"/>
        <v>0.13344112473167621</v>
      </c>
      <c r="P241" s="8">
        <f t="shared" si="25"/>
        <v>-4.9220921861548446</v>
      </c>
    </row>
    <row r="242" spans="1:16" x14ac:dyDescent="0.2">
      <c r="A242" s="8">
        <v>120</v>
      </c>
      <c r="B242" s="8">
        <v>240</v>
      </c>
      <c r="D242">
        <v>1670.9191176470999</v>
      </c>
      <c r="E242">
        <v>315.21323529412001</v>
      </c>
      <c r="F242">
        <v>138.20566631688999</v>
      </c>
      <c r="G242">
        <v>116.83210912907001</v>
      </c>
      <c r="I242" s="9">
        <f>E242-G242</f>
        <v>198.38112616505001</v>
      </c>
      <c r="J242" s="9">
        <f>D242-F242</f>
        <v>1532.7134513302099</v>
      </c>
      <c r="K242" s="9">
        <f t="shared" si="24"/>
        <v>198.38112616505001</v>
      </c>
      <c r="L242" s="10">
        <f t="shared" si="21"/>
        <v>0.12943132063783949</v>
      </c>
      <c r="M242" s="10">
        <f>L242+ABS($N$2)*A242</f>
        <v>0.13437129456465682</v>
      </c>
      <c r="O242" s="11"/>
      <c r="P242" s="8">
        <f>(M242-$O$2)/$O$2*100</f>
        <v>-4.2593384675453621</v>
      </c>
    </row>
    <row r="243" spans="1:16" x14ac:dyDescent="0.2">
      <c r="A243" s="8">
        <v>120.5</v>
      </c>
      <c r="B243" s="8">
        <v>241</v>
      </c>
      <c r="D243">
        <v>1669.4117647058999</v>
      </c>
      <c r="E243">
        <v>315.54621848739998</v>
      </c>
      <c r="F243">
        <v>138.74921301154001</v>
      </c>
      <c r="G243">
        <v>116.89611752361</v>
      </c>
      <c r="I243" s="9">
        <f t="shared" ref="I243:I274" si="26">E243-G243</f>
        <v>198.65010096378998</v>
      </c>
      <c r="J243" s="9">
        <f t="shared" ref="J243:J274" si="27">D243-F243</f>
        <v>1530.66255169436</v>
      </c>
      <c r="K243" s="9">
        <f t="shared" si="24"/>
        <v>198.65010096378998</v>
      </c>
      <c r="L243" s="10">
        <f t="shared" si="21"/>
        <v>0.1297804671211791</v>
      </c>
      <c r="M243" s="10">
        <f t="shared" ref="M243:M274" si="28">L243+ABS($N$2)*A243</f>
        <v>0.13474102427269152</v>
      </c>
      <c r="P243" s="8">
        <f t="shared" ref="P243:P274" si="29">(M243-$O$2)/$O$2*100</f>
        <v>-3.9959029849139842</v>
      </c>
    </row>
    <row r="244" spans="1:16" x14ac:dyDescent="0.2">
      <c r="A244" s="8">
        <v>121</v>
      </c>
      <c r="B244" s="8">
        <v>242</v>
      </c>
      <c r="D244">
        <v>1668.7657563025</v>
      </c>
      <c r="E244">
        <v>315.93067226890997</v>
      </c>
      <c r="F244">
        <v>139.58656873032999</v>
      </c>
      <c r="G244">
        <v>116.82581322141</v>
      </c>
      <c r="I244" s="9">
        <f t="shared" si="26"/>
        <v>199.10485904749999</v>
      </c>
      <c r="J244" s="9">
        <f t="shared" si="27"/>
        <v>1529.1791875721701</v>
      </c>
      <c r="K244" s="9">
        <f t="shared" si="24"/>
        <v>199.10485904749999</v>
      </c>
      <c r="L244" s="10">
        <f t="shared" si="21"/>
        <v>0.13020374634029158</v>
      </c>
      <c r="M244" s="10">
        <f t="shared" si="28"/>
        <v>0.13518488671649906</v>
      </c>
      <c r="N244" s="1"/>
      <c r="P244" s="8">
        <f t="shared" si="29"/>
        <v>-3.6796473133643035</v>
      </c>
    </row>
    <row r="245" spans="1:16" x14ac:dyDescent="0.2">
      <c r="A245" s="8">
        <v>121.5</v>
      </c>
      <c r="B245" s="8">
        <v>243</v>
      </c>
      <c r="D245">
        <v>1662.5577731092001</v>
      </c>
      <c r="E245">
        <v>315.92016806723001</v>
      </c>
      <c r="F245">
        <v>138.41762854145</v>
      </c>
      <c r="G245">
        <v>117.41867785939</v>
      </c>
      <c r="I245" s="9">
        <f t="shared" si="26"/>
        <v>198.50149020783999</v>
      </c>
      <c r="J245" s="9">
        <f t="shared" si="27"/>
        <v>1524.14014456775</v>
      </c>
      <c r="K245" s="9">
        <f t="shared" si="24"/>
        <v>198.50149020783999</v>
      </c>
      <c r="L245" s="10">
        <f t="shared" si="21"/>
        <v>0.13023834515174162</v>
      </c>
      <c r="M245" s="10">
        <f t="shared" si="28"/>
        <v>0.13524006875264419</v>
      </c>
      <c r="P245" s="8">
        <f t="shared" si="29"/>
        <v>-3.6403296550626614</v>
      </c>
    </row>
    <row r="246" spans="1:16" x14ac:dyDescent="0.2">
      <c r="A246" s="8">
        <v>122</v>
      </c>
      <c r="B246" s="8">
        <v>244</v>
      </c>
      <c r="D246">
        <v>1637.2268907563</v>
      </c>
      <c r="E246">
        <v>312.55567226890997</v>
      </c>
      <c r="F246">
        <v>138.55823714586001</v>
      </c>
      <c r="G246">
        <v>116.87618048269</v>
      </c>
      <c r="I246" s="9">
        <f t="shared" si="26"/>
        <v>195.67949178621996</v>
      </c>
      <c r="J246" s="9">
        <f t="shared" si="27"/>
        <v>1498.6686536104401</v>
      </c>
      <c r="K246" s="9">
        <f t="shared" si="24"/>
        <v>195.67949178621996</v>
      </c>
      <c r="L246" s="10">
        <f t="shared" si="21"/>
        <v>0.13056888279794793</v>
      </c>
      <c r="M246" s="10">
        <f t="shared" si="28"/>
        <v>0.13559118962354555</v>
      </c>
      <c r="P246" s="8">
        <f t="shared" si="29"/>
        <v>-3.3901531231861135</v>
      </c>
    </row>
    <row r="247" spans="1:16" x14ac:dyDescent="0.2">
      <c r="A247" s="8">
        <v>122.5</v>
      </c>
      <c r="B247" s="8">
        <v>245</v>
      </c>
      <c r="D247">
        <v>1630.1932773108999</v>
      </c>
      <c r="E247">
        <v>312.02100840335999</v>
      </c>
      <c r="F247">
        <v>138.99370409234001</v>
      </c>
      <c r="G247">
        <v>116.90766002098999</v>
      </c>
      <c r="I247" s="9">
        <f t="shared" si="26"/>
        <v>195.11334838236999</v>
      </c>
      <c r="J247" s="9">
        <f t="shared" si="27"/>
        <v>1491.1995732185599</v>
      </c>
      <c r="K247" s="9">
        <f t="shared" si="24"/>
        <v>195.11334838236999</v>
      </c>
      <c r="L247" s="10">
        <f t="shared" si="21"/>
        <v>0.13084321635181484</v>
      </c>
      <c r="M247" s="10">
        <f t="shared" si="28"/>
        <v>0.13588610640210755</v>
      </c>
      <c r="P247" s="8">
        <f t="shared" si="29"/>
        <v>-3.1800224731240951</v>
      </c>
    </row>
    <row r="248" spans="1:16" x14ac:dyDescent="0.2">
      <c r="A248" s="8">
        <v>123</v>
      </c>
      <c r="B248" s="8">
        <v>246</v>
      </c>
      <c r="D248">
        <v>1625.1911764706001</v>
      </c>
      <c r="E248">
        <v>311.47058823528999</v>
      </c>
      <c r="F248">
        <v>138.31584470094</v>
      </c>
      <c r="G248">
        <v>116.70724029381</v>
      </c>
      <c r="I248" s="9">
        <f t="shared" si="26"/>
        <v>194.76334794147999</v>
      </c>
      <c r="J248" s="9">
        <f t="shared" si="27"/>
        <v>1486.8753317696601</v>
      </c>
      <c r="K248" s="9">
        <f t="shared" si="24"/>
        <v>194.76334794147999</v>
      </c>
      <c r="L248" s="10">
        <f t="shared" si="21"/>
        <v>0.13098835106079482</v>
      </c>
      <c r="M248" s="10">
        <f t="shared" si="28"/>
        <v>0.13605182433578258</v>
      </c>
      <c r="P248" s="8">
        <f t="shared" si="29"/>
        <v>-3.0619470713112102</v>
      </c>
    </row>
    <row r="249" spans="1:16" x14ac:dyDescent="0.2">
      <c r="A249" s="8">
        <v>123.5</v>
      </c>
      <c r="B249" s="8">
        <v>247</v>
      </c>
      <c r="D249">
        <v>1615.3634453781999</v>
      </c>
      <c r="E249">
        <v>312.18592436975001</v>
      </c>
      <c r="F249">
        <v>138.99370409234001</v>
      </c>
      <c r="G249">
        <v>117.21511017838</v>
      </c>
      <c r="I249" s="9">
        <f t="shared" si="26"/>
        <v>194.97081419137001</v>
      </c>
      <c r="J249" s="9">
        <f t="shared" si="27"/>
        <v>1476.3697412858598</v>
      </c>
      <c r="K249" s="9">
        <f t="shared" si="24"/>
        <v>194.97081419137001</v>
      </c>
      <c r="L249" s="10">
        <f t="shared" si="21"/>
        <v>0.13206096598915534</v>
      </c>
      <c r="M249" s="10">
        <f t="shared" si="28"/>
        <v>0.1371450224888382</v>
      </c>
      <c r="P249" s="8">
        <f t="shared" si="29"/>
        <v>-2.2830343228801087</v>
      </c>
    </row>
    <row r="250" spans="1:16" x14ac:dyDescent="0.2">
      <c r="A250" s="8">
        <v>124</v>
      </c>
      <c r="B250" s="8">
        <v>248</v>
      </c>
      <c r="D250">
        <v>1619.2731092437</v>
      </c>
      <c r="E250">
        <v>312.53046218486998</v>
      </c>
      <c r="F250">
        <v>138.55194123819999</v>
      </c>
      <c r="G250">
        <v>117.20146904512001</v>
      </c>
      <c r="I250" s="9">
        <f t="shared" si="26"/>
        <v>195.32899313974997</v>
      </c>
      <c r="J250" s="9">
        <f t="shared" si="27"/>
        <v>1480.7211680055</v>
      </c>
      <c r="K250" s="9">
        <f t="shared" si="24"/>
        <v>195.32899313974997</v>
      </c>
      <c r="L250" s="10">
        <f t="shared" si="21"/>
        <v>0.13191477055930387</v>
      </c>
      <c r="M250" s="10">
        <f t="shared" si="28"/>
        <v>0.13701941028368178</v>
      </c>
      <c r="P250" s="8">
        <f t="shared" si="29"/>
        <v>-2.3725340605821885</v>
      </c>
    </row>
    <row r="251" spans="1:16" x14ac:dyDescent="0.2">
      <c r="A251" s="8">
        <v>124.5</v>
      </c>
      <c r="B251" s="8">
        <v>249</v>
      </c>
      <c r="D251">
        <v>1635.4401260504001</v>
      </c>
      <c r="E251">
        <v>313.71113445378001</v>
      </c>
      <c r="F251">
        <v>138.50052465896999</v>
      </c>
      <c r="G251">
        <v>116.68835257083001</v>
      </c>
      <c r="I251" s="9">
        <f t="shared" si="26"/>
        <v>197.02278188295</v>
      </c>
      <c r="J251" s="9">
        <f t="shared" si="27"/>
        <v>1496.9396013914302</v>
      </c>
      <c r="K251" s="9">
        <f t="shared" si="24"/>
        <v>197.02278188295</v>
      </c>
      <c r="L251" s="10">
        <f t="shared" si="21"/>
        <v>0.13161705502333831</v>
      </c>
      <c r="M251" s="10">
        <f t="shared" si="28"/>
        <v>0.13674227797241131</v>
      </c>
      <c r="P251" s="8">
        <f t="shared" si="29"/>
        <v>-2.5699931302370218</v>
      </c>
    </row>
    <row r="252" spans="1:16" x14ac:dyDescent="0.2">
      <c r="A252" s="8">
        <v>125</v>
      </c>
      <c r="B252" s="8">
        <v>250</v>
      </c>
      <c r="D252">
        <v>1640.0399159664</v>
      </c>
      <c r="E252">
        <v>313.59768907563</v>
      </c>
      <c r="F252">
        <v>138.65582371459001</v>
      </c>
      <c r="G252">
        <v>116.81532004197</v>
      </c>
      <c r="I252" s="9">
        <f t="shared" si="26"/>
        <v>196.78236903366002</v>
      </c>
      <c r="J252" s="9">
        <f t="shared" si="27"/>
        <v>1501.38409225181</v>
      </c>
      <c r="K252" s="9">
        <f t="shared" si="24"/>
        <v>196.78236903366002</v>
      </c>
      <c r="L252" s="10">
        <f t="shared" si="21"/>
        <v>0.13106730652682042</v>
      </c>
      <c r="M252" s="10">
        <f t="shared" si="28"/>
        <v>0.13621311270058847</v>
      </c>
      <c r="P252" s="8">
        <f t="shared" si="29"/>
        <v>-2.9470277740458752</v>
      </c>
    </row>
    <row r="253" spans="1:16" x14ac:dyDescent="0.2">
      <c r="A253" s="8">
        <v>125.5</v>
      </c>
      <c r="B253" s="8">
        <v>251</v>
      </c>
      <c r="D253">
        <v>1635.5840336135</v>
      </c>
      <c r="E253">
        <v>315.08508403360997</v>
      </c>
      <c r="F253">
        <v>138.87408184680001</v>
      </c>
      <c r="G253">
        <v>116.99370409234</v>
      </c>
      <c r="I253" s="9">
        <f t="shared" si="26"/>
        <v>198.09137994126996</v>
      </c>
      <c r="J253" s="9">
        <f t="shared" si="27"/>
        <v>1496.7099517667</v>
      </c>
      <c r="K253" s="9">
        <f t="shared" si="24"/>
        <v>198.09137994126996</v>
      </c>
      <c r="L253" s="10">
        <f t="shared" si="21"/>
        <v>0.13235121454724416</v>
      </c>
      <c r="M253" s="10">
        <f t="shared" si="28"/>
        <v>0.13751760394570731</v>
      </c>
      <c r="P253" s="8">
        <f t="shared" si="29"/>
        <v>-2.0175669455586083</v>
      </c>
    </row>
    <row r="254" spans="1:16" x14ac:dyDescent="0.2">
      <c r="A254" s="8">
        <v>126</v>
      </c>
      <c r="B254" s="8">
        <v>252</v>
      </c>
      <c r="D254">
        <v>1629.0892857143001</v>
      </c>
      <c r="E254">
        <v>316.48634453782</v>
      </c>
      <c r="F254">
        <v>138.26128016788999</v>
      </c>
      <c r="G254">
        <v>116.61909758657001</v>
      </c>
      <c r="I254" s="9">
        <f t="shared" si="26"/>
        <v>199.86724695125</v>
      </c>
      <c r="J254" s="9">
        <f t="shared" si="27"/>
        <v>1490.8280055464102</v>
      </c>
      <c r="K254" s="9">
        <f t="shared" si="24"/>
        <v>199.86724695125</v>
      </c>
      <c r="L254" s="10">
        <f t="shared" si="21"/>
        <v>0.13406459109144234</v>
      </c>
      <c r="M254" s="10">
        <f t="shared" si="28"/>
        <v>0.13925156371460054</v>
      </c>
      <c r="P254" s="8">
        <f t="shared" si="29"/>
        <v>-0.78210623289412318</v>
      </c>
    </row>
    <row r="255" spans="1:16" x14ac:dyDescent="0.2">
      <c r="A255" s="8">
        <v>126.5</v>
      </c>
      <c r="B255" s="8">
        <v>253</v>
      </c>
      <c r="D255">
        <v>1611.8403361344999</v>
      </c>
      <c r="E255">
        <v>313.67226890756001</v>
      </c>
      <c r="F255">
        <v>138.47534102833001</v>
      </c>
      <c r="G255">
        <v>116.91815320041999</v>
      </c>
      <c r="I255" s="9">
        <f t="shared" si="26"/>
        <v>196.75411570714002</v>
      </c>
      <c r="J255" s="9">
        <f t="shared" si="27"/>
        <v>1473.36499510617</v>
      </c>
      <c r="K255" s="9">
        <f t="shared" si="24"/>
        <v>196.75411570714002</v>
      </c>
      <c r="L255" s="10">
        <f t="shared" si="21"/>
        <v>0.13354064767431373</v>
      </c>
      <c r="M255" s="10">
        <f t="shared" si="28"/>
        <v>0.13874820352216702</v>
      </c>
      <c r="P255" s="8">
        <f t="shared" si="29"/>
        <v>-1.1407545436722855</v>
      </c>
    </row>
    <row r="256" spans="1:16" x14ac:dyDescent="0.2">
      <c r="A256" s="8">
        <v>127</v>
      </c>
      <c r="B256" s="8">
        <v>254</v>
      </c>
      <c r="D256">
        <v>1605.3970588234999</v>
      </c>
      <c r="E256">
        <v>311.79621848739998</v>
      </c>
      <c r="F256">
        <v>138.39244491081001</v>
      </c>
      <c r="G256">
        <v>116.51836306401</v>
      </c>
      <c r="I256" s="9">
        <f t="shared" si="26"/>
        <v>195.27785542338998</v>
      </c>
      <c r="J256" s="9">
        <f t="shared" si="27"/>
        <v>1467.0046139126898</v>
      </c>
      <c r="K256" s="9">
        <f t="shared" si="24"/>
        <v>195.27785542338998</v>
      </c>
      <c r="L256" s="10">
        <f t="shared" si="21"/>
        <v>0.13311332055225022</v>
      </c>
      <c r="M256" s="10">
        <f t="shared" si="28"/>
        <v>0.13834145962479857</v>
      </c>
      <c r="P256" s="8">
        <f t="shared" si="29"/>
        <v>-1.4305629431113907</v>
      </c>
    </row>
    <row r="257" spans="1:16" x14ac:dyDescent="0.2">
      <c r="A257" s="8">
        <v>127.5</v>
      </c>
      <c r="B257" s="8">
        <v>255</v>
      </c>
      <c r="D257">
        <v>1619.906512605</v>
      </c>
      <c r="E257">
        <v>313.49369747898999</v>
      </c>
      <c r="F257">
        <v>138.92654774396999</v>
      </c>
      <c r="G257">
        <v>117.37250786989</v>
      </c>
      <c r="I257" s="9">
        <f t="shared" si="26"/>
        <v>196.12118960909999</v>
      </c>
      <c r="J257" s="9">
        <f t="shared" si="27"/>
        <v>1480.9799648610301</v>
      </c>
      <c r="K257" s="9">
        <f t="shared" si="24"/>
        <v>196.12118960909999</v>
      </c>
      <c r="L257" s="10">
        <f t="shared" si="21"/>
        <v>0.13242663254225948</v>
      </c>
      <c r="M257" s="10">
        <f t="shared" si="28"/>
        <v>0.13767535483950291</v>
      </c>
      <c r="P257" s="8">
        <f t="shared" si="29"/>
        <v>-1.905168125719451</v>
      </c>
    </row>
    <row r="258" spans="1:16" x14ac:dyDescent="0.2">
      <c r="A258" s="8">
        <v>128</v>
      </c>
      <c r="B258" s="8">
        <v>256</v>
      </c>
      <c r="D258">
        <v>1598.1838235293999</v>
      </c>
      <c r="E258">
        <v>310.21218487394998</v>
      </c>
      <c r="F258">
        <v>139.08709338930001</v>
      </c>
      <c r="G258">
        <v>117.16054564533</v>
      </c>
      <c r="I258" s="9">
        <f t="shared" si="26"/>
        <v>193.05163922861999</v>
      </c>
      <c r="J258" s="9">
        <f t="shared" si="27"/>
        <v>1459.0967301400999</v>
      </c>
      <c r="K258" s="9">
        <f t="shared" si="24"/>
        <v>193.05163922861999</v>
      </c>
      <c r="L258" s="10">
        <f t="shared" ref="L258:L321" si="30">K258/J258</f>
        <v>0.13230900682649294</v>
      </c>
      <c r="M258" s="10">
        <f t="shared" si="28"/>
        <v>0.13757831234843143</v>
      </c>
      <c r="P258" s="8">
        <f t="shared" si="29"/>
        <v>-1.9743117052469241</v>
      </c>
    </row>
    <row r="259" spans="1:16" x14ac:dyDescent="0.2">
      <c r="A259" s="8">
        <v>128.5</v>
      </c>
      <c r="B259" s="8">
        <v>257</v>
      </c>
      <c r="D259">
        <v>1602.2909663866001</v>
      </c>
      <c r="E259">
        <v>310.50210084034001</v>
      </c>
      <c r="F259">
        <v>138.69254984259999</v>
      </c>
      <c r="G259">
        <v>117.24763903463</v>
      </c>
      <c r="I259" s="9">
        <f t="shared" si="26"/>
        <v>193.25446180571001</v>
      </c>
      <c r="J259" s="9">
        <f t="shared" si="27"/>
        <v>1463.598416544</v>
      </c>
      <c r="K259" s="9">
        <f t="shared" ref="K259:K321" si="31">I259*1</f>
        <v>193.25446180571001</v>
      </c>
      <c r="L259" s="10">
        <f t="shared" si="30"/>
        <v>0.1320406332920491</v>
      </c>
      <c r="M259" s="10">
        <f t="shared" si="28"/>
        <v>0.13733052203868268</v>
      </c>
      <c r="P259" s="8">
        <f t="shared" si="29"/>
        <v>-2.1508643555249343</v>
      </c>
    </row>
    <row r="260" spans="1:16" x14ac:dyDescent="0.2">
      <c r="A260" s="8">
        <v>129</v>
      </c>
      <c r="B260" s="8">
        <v>258</v>
      </c>
      <c r="D260">
        <v>1602.8035714286</v>
      </c>
      <c r="E260">
        <v>310.46848739495999</v>
      </c>
      <c r="F260">
        <v>138.23609653725001</v>
      </c>
      <c r="G260">
        <v>117.3389296957</v>
      </c>
      <c r="I260" s="9">
        <f t="shared" si="26"/>
        <v>193.12955769925998</v>
      </c>
      <c r="J260" s="9">
        <f t="shared" si="27"/>
        <v>1464.56747489135</v>
      </c>
      <c r="K260" s="9">
        <f t="shared" si="31"/>
        <v>193.12955769925998</v>
      </c>
      <c r="L260" s="10">
        <f t="shared" si="30"/>
        <v>0.13186798219289106</v>
      </c>
      <c r="M260" s="10">
        <f t="shared" si="28"/>
        <v>0.1371784541642197</v>
      </c>
      <c r="P260" s="8">
        <f t="shared" si="29"/>
        <v>-2.2592139769681845</v>
      </c>
    </row>
    <row r="261" spans="1:16" x14ac:dyDescent="0.2">
      <c r="A261" s="8">
        <v>129.5</v>
      </c>
      <c r="B261" s="8">
        <v>259</v>
      </c>
      <c r="D261">
        <v>1602.2888655462</v>
      </c>
      <c r="E261">
        <v>310.65756302520998</v>
      </c>
      <c r="F261">
        <v>138.52570828961001</v>
      </c>
      <c r="G261">
        <v>116.82056663169</v>
      </c>
      <c r="I261" s="9">
        <f t="shared" si="26"/>
        <v>193.83699639352</v>
      </c>
      <c r="J261" s="9">
        <f t="shared" si="27"/>
        <v>1463.7631572565899</v>
      </c>
      <c r="K261" s="9">
        <f t="shared" si="31"/>
        <v>193.83699639352</v>
      </c>
      <c r="L261" s="10">
        <f t="shared" si="30"/>
        <v>0.1324237431667652</v>
      </c>
      <c r="M261" s="10">
        <f t="shared" si="28"/>
        <v>0.13775479836278892</v>
      </c>
      <c r="P261" s="8">
        <f t="shared" si="29"/>
        <v>-1.848563956663003</v>
      </c>
    </row>
    <row r="262" spans="1:16" x14ac:dyDescent="0.2">
      <c r="A262" s="8">
        <v>130</v>
      </c>
      <c r="B262" s="8">
        <v>260</v>
      </c>
      <c r="D262">
        <v>1623.6869747899</v>
      </c>
      <c r="E262">
        <v>312.20483193276999</v>
      </c>
      <c r="F262">
        <v>137.53095487933001</v>
      </c>
      <c r="G262">
        <v>116.80272822665</v>
      </c>
      <c r="I262" s="9">
        <f t="shared" si="26"/>
        <v>195.40210370611999</v>
      </c>
      <c r="J262" s="9">
        <f t="shared" si="27"/>
        <v>1486.15601991057</v>
      </c>
      <c r="K262" s="9">
        <f t="shared" si="31"/>
        <v>195.40210370611999</v>
      </c>
      <c r="L262" s="10">
        <f t="shared" si="30"/>
        <v>0.1314815544856982</v>
      </c>
      <c r="M262" s="10">
        <f t="shared" si="28"/>
        <v>0.13683319290641699</v>
      </c>
      <c r="P262" s="8">
        <f t="shared" si="29"/>
        <v>-2.505215485926283</v>
      </c>
    </row>
    <row r="263" spans="1:16" x14ac:dyDescent="0.2">
      <c r="A263" s="8">
        <v>130.5</v>
      </c>
      <c r="B263" s="8">
        <v>261</v>
      </c>
      <c r="D263">
        <v>1624.0546218487</v>
      </c>
      <c r="E263">
        <v>310.49579831932999</v>
      </c>
      <c r="F263">
        <v>138.08814270724</v>
      </c>
      <c r="G263">
        <v>117.26232948582999</v>
      </c>
      <c r="I263" s="9">
        <f t="shared" si="26"/>
        <v>193.23346883350001</v>
      </c>
      <c r="J263" s="9">
        <f t="shared" si="27"/>
        <v>1485.96647914146</v>
      </c>
      <c r="K263" s="9">
        <f t="shared" si="31"/>
        <v>193.23346883350001</v>
      </c>
      <c r="L263" s="10">
        <f t="shared" si="30"/>
        <v>0.13003891510738763</v>
      </c>
      <c r="M263" s="10">
        <f t="shared" si="28"/>
        <v>0.1354111367528015</v>
      </c>
      <c r="P263" s="8">
        <f t="shared" si="29"/>
        <v>-3.5184422865204574</v>
      </c>
    </row>
    <row r="264" spans="1:16" x14ac:dyDescent="0.2">
      <c r="A264" s="8">
        <v>131</v>
      </c>
      <c r="B264" s="8">
        <v>262</v>
      </c>
      <c r="D264">
        <v>1630.6512605042001</v>
      </c>
      <c r="E264">
        <v>311.20693277311</v>
      </c>
      <c r="F264">
        <v>138.67890870933999</v>
      </c>
      <c r="G264">
        <v>116.56033578173999</v>
      </c>
      <c r="I264" s="9">
        <f t="shared" si="26"/>
        <v>194.64659699137002</v>
      </c>
      <c r="J264" s="9">
        <f t="shared" si="27"/>
        <v>1491.9723517948601</v>
      </c>
      <c r="K264" s="9">
        <f t="shared" si="31"/>
        <v>194.64659699137002</v>
      </c>
      <c r="L264" s="10">
        <f t="shared" si="30"/>
        <v>0.13046260324945561</v>
      </c>
      <c r="M264" s="10">
        <f t="shared" si="28"/>
        <v>0.13585540811956454</v>
      </c>
      <c r="P264" s="8">
        <f t="shared" si="29"/>
        <v>-3.201895253974353</v>
      </c>
    </row>
    <row r="265" spans="1:16" x14ac:dyDescent="0.2">
      <c r="A265" s="8">
        <v>131.5</v>
      </c>
      <c r="B265" s="8">
        <v>263</v>
      </c>
      <c r="D265">
        <v>1622.5126050419999</v>
      </c>
      <c r="E265">
        <v>312.40441176471001</v>
      </c>
      <c r="F265">
        <v>138.71878279118999</v>
      </c>
      <c r="G265">
        <v>116.81951731375</v>
      </c>
      <c r="I265" s="9">
        <f t="shared" si="26"/>
        <v>195.58489445096001</v>
      </c>
      <c r="J265" s="9">
        <f t="shared" si="27"/>
        <v>1483.7938222508099</v>
      </c>
      <c r="K265" s="9">
        <f t="shared" si="31"/>
        <v>195.58489445096001</v>
      </c>
      <c r="L265" s="10">
        <f t="shared" si="30"/>
        <v>0.13181406440570809</v>
      </c>
      <c r="M265" s="10">
        <f t="shared" si="28"/>
        <v>0.1372274525005121</v>
      </c>
      <c r="P265" s="8">
        <f t="shared" si="29"/>
        <v>-2.2243022560844707</v>
      </c>
    </row>
    <row r="266" spans="1:16" x14ac:dyDescent="0.2">
      <c r="A266" s="8">
        <v>132</v>
      </c>
      <c r="B266" s="8">
        <v>264</v>
      </c>
      <c r="D266">
        <v>1617.0987394957999</v>
      </c>
      <c r="E266">
        <v>312.10819327731002</v>
      </c>
      <c r="F266">
        <v>138.33892969569999</v>
      </c>
      <c r="G266">
        <v>116.17103882476</v>
      </c>
      <c r="I266" s="9">
        <f t="shared" si="26"/>
        <v>195.93715445255003</v>
      </c>
      <c r="J266" s="9">
        <f t="shared" si="27"/>
        <v>1478.7598098000999</v>
      </c>
      <c r="K266" s="9">
        <f t="shared" si="31"/>
        <v>195.93715445255003</v>
      </c>
      <c r="L266" s="10">
        <f t="shared" si="30"/>
        <v>0.13250100060471415</v>
      </c>
      <c r="M266" s="10">
        <f t="shared" si="28"/>
        <v>0.13793497192421322</v>
      </c>
      <c r="P266" s="8">
        <f t="shared" si="29"/>
        <v>-1.7201888002182562</v>
      </c>
    </row>
    <row r="267" spans="1:16" x14ac:dyDescent="0.2">
      <c r="A267" s="8">
        <v>132.5</v>
      </c>
      <c r="B267" s="8">
        <v>265</v>
      </c>
      <c r="D267">
        <v>1627.5</v>
      </c>
      <c r="E267">
        <v>312.60714285713999</v>
      </c>
      <c r="F267">
        <v>138.58342077649999</v>
      </c>
      <c r="G267">
        <v>116.96432318993</v>
      </c>
      <c r="I267" s="9">
        <f t="shared" si="26"/>
        <v>195.64281966721001</v>
      </c>
      <c r="J267" s="9">
        <f t="shared" si="27"/>
        <v>1488.9165792235001</v>
      </c>
      <c r="K267" s="9">
        <f t="shared" si="31"/>
        <v>195.64281966721001</v>
      </c>
      <c r="L267" s="10">
        <f t="shared" si="30"/>
        <v>0.13139945004121162</v>
      </c>
      <c r="M267" s="10">
        <f t="shared" si="28"/>
        <v>0.13685400458540578</v>
      </c>
      <c r="P267" s="8">
        <f t="shared" si="29"/>
        <v>-2.4903869920843249</v>
      </c>
    </row>
    <row r="268" spans="1:16" x14ac:dyDescent="0.2">
      <c r="A268" s="8">
        <v>133</v>
      </c>
      <c r="B268" s="8">
        <v>266</v>
      </c>
      <c r="D268">
        <v>1618.7689075630001</v>
      </c>
      <c r="E268">
        <v>312.31617647058999</v>
      </c>
      <c r="F268">
        <v>138.43126967470999</v>
      </c>
      <c r="G268">
        <v>116.78069254984</v>
      </c>
      <c r="I268" s="9">
        <f t="shared" si="26"/>
        <v>195.53548392074998</v>
      </c>
      <c r="J268" s="9">
        <f t="shared" si="27"/>
        <v>1480.3376378882901</v>
      </c>
      <c r="K268" s="9">
        <f t="shared" si="31"/>
        <v>195.53548392074998</v>
      </c>
      <c r="L268" s="10">
        <f t="shared" si="30"/>
        <v>0.13208843639190479</v>
      </c>
      <c r="M268" s="10">
        <f t="shared" si="28"/>
        <v>0.13756357416079401</v>
      </c>
      <c r="P268" s="8">
        <f t="shared" si="29"/>
        <v>-1.9848127861419738</v>
      </c>
    </row>
    <row r="269" spans="1:16" x14ac:dyDescent="0.2">
      <c r="A269" s="8">
        <v>133.5</v>
      </c>
      <c r="B269" s="8">
        <v>267</v>
      </c>
      <c r="D269">
        <v>1612.2930672268999</v>
      </c>
      <c r="E269">
        <v>311.69012605042002</v>
      </c>
      <c r="F269">
        <v>138.83735571878</v>
      </c>
      <c r="G269">
        <v>116.95697796432</v>
      </c>
      <c r="I269" s="9">
        <f t="shared" si="26"/>
        <v>194.73314808610002</v>
      </c>
      <c r="J269" s="9">
        <f t="shared" si="27"/>
        <v>1473.45571150812</v>
      </c>
      <c r="K269" s="9">
        <f t="shared" si="31"/>
        <v>194.73314808610002</v>
      </c>
      <c r="L269" s="10">
        <f t="shared" si="30"/>
        <v>0.1321608424095663</v>
      </c>
      <c r="M269" s="10">
        <f t="shared" si="28"/>
        <v>0.13765656340315061</v>
      </c>
      <c r="P269" s="8">
        <f t="shared" si="29"/>
        <v>-1.9185571799318373</v>
      </c>
    </row>
    <row r="270" spans="1:16" x14ac:dyDescent="0.2">
      <c r="A270" s="8">
        <v>134</v>
      </c>
      <c r="B270" s="8">
        <v>268</v>
      </c>
      <c r="D270">
        <v>1623.3392857143001</v>
      </c>
      <c r="E270">
        <v>313.69432773109003</v>
      </c>
      <c r="F270">
        <v>138.52885624344</v>
      </c>
      <c r="G270">
        <v>116.84260230850001</v>
      </c>
      <c r="I270" s="9">
        <f t="shared" si="26"/>
        <v>196.85172542259002</v>
      </c>
      <c r="J270" s="9">
        <f t="shared" si="27"/>
        <v>1484.8104294708601</v>
      </c>
      <c r="K270" s="9">
        <f t="shared" si="31"/>
        <v>196.85172542259002</v>
      </c>
      <c r="L270" s="10">
        <f t="shared" si="30"/>
        <v>0.13257700883252943</v>
      </c>
      <c r="M270" s="10">
        <f t="shared" si="28"/>
        <v>0.1380933130508088</v>
      </c>
      <c r="P270" s="8">
        <f t="shared" si="29"/>
        <v>-1.6073694346151375</v>
      </c>
    </row>
    <row r="271" spans="1:16" x14ac:dyDescent="0.2">
      <c r="A271" s="8">
        <v>134.5</v>
      </c>
      <c r="B271" s="8">
        <v>269</v>
      </c>
      <c r="D271">
        <v>1613.5189075630001</v>
      </c>
      <c r="E271">
        <v>315.35714285713999</v>
      </c>
      <c r="F271">
        <v>138.46694648478999</v>
      </c>
      <c r="G271">
        <v>117.33053515215001</v>
      </c>
      <c r="I271" s="9">
        <f t="shared" si="26"/>
        <v>198.02660770499</v>
      </c>
      <c r="J271" s="9">
        <f t="shared" si="27"/>
        <v>1475.0519610782101</v>
      </c>
      <c r="K271" s="9">
        <f t="shared" si="31"/>
        <v>198.02660770499</v>
      </c>
      <c r="L271" s="10">
        <f t="shared" si="30"/>
        <v>0.13425059789774432</v>
      </c>
      <c r="M271" s="10">
        <f t="shared" si="28"/>
        <v>0.13978748534071878</v>
      </c>
      <c r="P271" s="8">
        <f t="shared" si="29"/>
        <v>-0.40025763062870739</v>
      </c>
    </row>
    <row r="272" spans="1:16" x14ac:dyDescent="0.2">
      <c r="A272" s="8">
        <v>135</v>
      </c>
      <c r="B272" s="8">
        <v>270</v>
      </c>
      <c r="D272">
        <v>1621.5693277311</v>
      </c>
      <c r="E272">
        <v>313.67226890756001</v>
      </c>
      <c r="F272">
        <v>138.24554039873999</v>
      </c>
      <c r="G272">
        <v>116.95173137461001</v>
      </c>
      <c r="I272" s="9">
        <f t="shared" si="26"/>
        <v>196.72053753295</v>
      </c>
      <c r="J272" s="9">
        <f t="shared" si="27"/>
        <v>1483.3237873323601</v>
      </c>
      <c r="K272" s="9">
        <f t="shared" si="31"/>
        <v>196.72053753295</v>
      </c>
      <c r="L272" s="10">
        <f t="shared" si="30"/>
        <v>0.13262144058697814</v>
      </c>
      <c r="M272" s="10">
        <f t="shared" si="28"/>
        <v>0.13817891125464765</v>
      </c>
      <c r="P272" s="8">
        <f t="shared" si="29"/>
        <v>-1.546380004632542</v>
      </c>
    </row>
    <row r="273" spans="1:16" x14ac:dyDescent="0.2">
      <c r="A273" s="8">
        <v>135.5</v>
      </c>
      <c r="B273" s="8">
        <v>271</v>
      </c>
      <c r="D273">
        <v>1616.4852941177001</v>
      </c>
      <c r="E273">
        <v>313.63340336135002</v>
      </c>
      <c r="F273">
        <v>138.47324239245</v>
      </c>
      <c r="G273">
        <v>117.10703043021999</v>
      </c>
      <c r="I273" s="9">
        <f t="shared" si="26"/>
        <v>196.52637293113003</v>
      </c>
      <c r="J273" s="9">
        <f t="shared" si="27"/>
        <v>1478.0120517252501</v>
      </c>
      <c r="K273" s="9">
        <f t="shared" si="31"/>
        <v>196.52637293113003</v>
      </c>
      <c r="L273" s="10">
        <f t="shared" si="30"/>
        <v>0.13296669178152454</v>
      </c>
      <c r="M273" s="10">
        <f t="shared" si="28"/>
        <v>0.13854474567388914</v>
      </c>
      <c r="P273" s="8">
        <f t="shared" si="29"/>
        <v>-1.2857199475645675</v>
      </c>
    </row>
    <row r="274" spans="1:16" x14ac:dyDescent="0.2">
      <c r="A274" s="8">
        <v>136</v>
      </c>
      <c r="B274" s="8">
        <v>272</v>
      </c>
      <c r="D274">
        <v>1599.6712184874</v>
      </c>
      <c r="E274">
        <v>312.12184873950002</v>
      </c>
      <c r="F274">
        <v>138.13641133262999</v>
      </c>
      <c r="G274">
        <v>116.71563483736</v>
      </c>
      <c r="I274" s="9">
        <f t="shared" si="26"/>
        <v>195.40621390214002</v>
      </c>
      <c r="J274" s="9">
        <f t="shared" si="27"/>
        <v>1461.5348071547701</v>
      </c>
      <c r="K274" s="9">
        <f t="shared" si="31"/>
        <v>195.40621390214002</v>
      </c>
      <c r="L274" s="10">
        <f t="shared" si="30"/>
        <v>0.13369932275683899</v>
      </c>
      <c r="M274" s="10">
        <f t="shared" si="28"/>
        <v>0.13929795987389865</v>
      </c>
      <c r="P274" s="8">
        <f t="shared" si="29"/>
        <v>-0.74904858469509905</v>
      </c>
    </row>
    <row r="275" spans="1:16" x14ac:dyDescent="0.2">
      <c r="A275" s="8">
        <v>136.5</v>
      </c>
      <c r="B275" s="8">
        <v>273</v>
      </c>
      <c r="D275">
        <v>1608.1712184874</v>
      </c>
      <c r="E275">
        <v>312.83823529412001</v>
      </c>
      <c r="F275">
        <v>138.37040923399999</v>
      </c>
      <c r="G275">
        <v>117.21196222455001</v>
      </c>
      <c r="I275" s="9">
        <f>E275-G275</f>
        <v>195.62627306957</v>
      </c>
      <c r="J275" s="9">
        <f>D275-F275</f>
        <v>1469.8008092534001</v>
      </c>
      <c r="K275" s="9">
        <f t="shared" si="31"/>
        <v>195.62627306957</v>
      </c>
      <c r="L275" s="10">
        <f t="shared" si="30"/>
        <v>0.13309713250800312</v>
      </c>
      <c r="M275" s="10">
        <f>L275+ABS($N$2)*A275</f>
        <v>0.13871635284975783</v>
      </c>
      <c r="O275" s="11"/>
      <c r="P275" s="8">
        <f>(M275-$O$2)/$O$2*100</f>
        <v>-1.1634484118573647</v>
      </c>
    </row>
    <row r="276" spans="1:16" x14ac:dyDescent="0.2">
      <c r="A276" s="8">
        <v>137</v>
      </c>
      <c r="B276" s="8">
        <v>274</v>
      </c>
      <c r="D276">
        <v>1616.8760504202</v>
      </c>
      <c r="E276">
        <v>313.87394957983003</v>
      </c>
      <c r="F276">
        <v>137.75865687302999</v>
      </c>
      <c r="G276">
        <v>116.30430220357</v>
      </c>
      <c r="I276" s="9">
        <f t="shared" ref="I276:I291" si="32">E276-G276</f>
        <v>197.56964737626004</v>
      </c>
      <c r="J276" s="9">
        <f t="shared" ref="J276:J291" si="33">D276-F276</f>
        <v>1479.11739354717</v>
      </c>
      <c r="K276" s="9">
        <f t="shared" si="31"/>
        <v>197.56964737626004</v>
      </c>
      <c r="L276" s="10">
        <f t="shared" si="30"/>
        <v>0.13357266180370925</v>
      </c>
      <c r="M276" s="10">
        <f t="shared" ref="M276:M291" si="34">L276+ABS($N$2)*A276</f>
        <v>0.13921246537015905</v>
      </c>
      <c r="P276" s="8">
        <f t="shared" ref="P276:P291" si="35">(M276-$O$2)/$O$2*100</f>
        <v>-0.80996412749713209</v>
      </c>
    </row>
    <row r="277" spans="1:16" x14ac:dyDescent="0.2">
      <c r="A277" s="8">
        <v>137.5</v>
      </c>
      <c r="B277" s="8">
        <v>275</v>
      </c>
      <c r="D277">
        <v>1617.9380252101</v>
      </c>
      <c r="E277">
        <v>313.84663865546003</v>
      </c>
      <c r="F277">
        <v>138.61909758657001</v>
      </c>
      <c r="G277">
        <v>116.94228751311999</v>
      </c>
      <c r="I277" s="9">
        <f t="shared" si="32"/>
        <v>196.90435114234003</v>
      </c>
      <c r="J277" s="9">
        <f t="shared" si="33"/>
        <v>1479.31892762353</v>
      </c>
      <c r="K277" s="9">
        <f t="shared" si="31"/>
        <v>196.90435114234003</v>
      </c>
      <c r="L277" s="10">
        <f t="shared" si="30"/>
        <v>0.13310473317519125</v>
      </c>
      <c r="M277" s="10">
        <f t="shared" si="34"/>
        <v>0.13876511996633611</v>
      </c>
      <c r="N277" s="1"/>
      <c r="P277" s="8">
        <f t="shared" si="35"/>
        <v>-1.1287014369371506</v>
      </c>
    </row>
    <row r="278" spans="1:16" x14ac:dyDescent="0.2">
      <c r="A278" s="8">
        <v>138</v>
      </c>
      <c r="B278" s="8">
        <v>276</v>
      </c>
      <c r="D278">
        <v>1614.5882352941001</v>
      </c>
      <c r="E278">
        <v>313.69957983193001</v>
      </c>
      <c r="F278">
        <v>138.28436516264</v>
      </c>
      <c r="G278">
        <v>116.53725078699</v>
      </c>
      <c r="I278" s="9">
        <f t="shared" si="32"/>
        <v>197.16232904494001</v>
      </c>
      <c r="J278" s="9">
        <f t="shared" si="33"/>
        <v>1476.3038701314601</v>
      </c>
      <c r="K278" s="9">
        <f t="shared" si="31"/>
        <v>197.16232904494001</v>
      </c>
      <c r="L278" s="10">
        <f t="shared" si="30"/>
        <v>0.1335513189621208</v>
      </c>
      <c r="M278" s="10">
        <f t="shared" si="34"/>
        <v>0.13923228897796075</v>
      </c>
      <c r="P278" s="8">
        <f t="shared" si="35"/>
        <v>-0.79583964256868311</v>
      </c>
    </row>
    <row r="279" spans="1:16" x14ac:dyDescent="0.2">
      <c r="A279" s="8">
        <v>138.5</v>
      </c>
      <c r="B279" s="8">
        <v>277</v>
      </c>
      <c r="D279">
        <v>1608.7794117646999</v>
      </c>
      <c r="E279">
        <v>309.55357142857002</v>
      </c>
      <c r="F279">
        <v>138.11227701994</v>
      </c>
      <c r="G279">
        <v>116.55089192025</v>
      </c>
      <c r="I279" s="9">
        <f t="shared" si="32"/>
        <v>193.00267950832003</v>
      </c>
      <c r="J279" s="9">
        <f t="shared" si="33"/>
        <v>1470.66713474476</v>
      </c>
      <c r="K279" s="9">
        <f t="shared" si="31"/>
        <v>193.00267950832003</v>
      </c>
      <c r="L279" s="10">
        <f t="shared" si="30"/>
        <v>0.13123478110620621</v>
      </c>
      <c r="M279" s="10">
        <f t="shared" si="34"/>
        <v>0.13693633434674121</v>
      </c>
      <c r="P279" s="8">
        <f t="shared" si="35"/>
        <v>-2.4317263544860879</v>
      </c>
    </row>
    <row r="280" spans="1:16" x14ac:dyDescent="0.2">
      <c r="A280" s="8">
        <v>139</v>
      </c>
      <c r="B280" s="8">
        <v>278</v>
      </c>
      <c r="D280">
        <v>1598.7342436975</v>
      </c>
      <c r="E280">
        <v>307.06197478991999</v>
      </c>
      <c r="F280">
        <v>138.20041972717999</v>
      </c>
      <c r="G280">
        <v>116.36726128017</v>
      </c>
      <c r="I280" s="9">
        <f t="shared" si="32"/>
        <v>190.69471350974999</v>
      </c>
      <c r="J280" s="9">
        <f t="shared" si="33"/>
        <v>1460.5338239703201</v>
      </c>
      <c r="K280" s="9">
        <f t="shared" si="31"/>
        <v>190.69471350974999</v>
      </c>
      <c r="L280" s="10">
        <f t="shared" si="30"/>
        <v>0.13056507858980276</v>
      </c>
      <c r="M280" s="10">
        <f t="shared" si="34"/>
        <v>0.13628721505503286</v>
      </c>
      <c r="P280" s="8">
        <f t="shared" si="35"/>
        <v>-2.8942292320760061</v>
      </c>
    </row>
    <row r="281" spans="1:16" x14ac:dyDescent="0.2">
      <c r="A281" s="8">
        <v>139.5</v>
      </c>
      <c r="B281" s="8">
        <v>279</v>
      </c>
      <c r="D281">
        <v>1575.4033613444999</v>
      </c>
      <c r="E281">
        <v>304.74579831932999</v>
      </c>
      <c r="F281">
        <v>138.35991605456999</v>
      </c>
      <c r="G281">
        <v>116.17208814271</v>
      </c>
      <c r="I281" s="9">
        <f t="shared" si="32"/>
        <v>188.57371017662001</v>
      </c>
      <c r="J281" s="9">
        <f t="shared" si="33"/>
        <v>1437.0434452899299</v>
      </c>
      <c r="K281" s="9">
        <f t="shared" si="31"/>
        <v>188.57371017662001</v>
      </c>
      <c r="L281" s="10">
        <f t="shared" si="30"/>
        <v>0.13122338840533415</v>
      </c>
      <c r="M281" s="10">
        <f t="shared" si="34"/>
        <v>0.1369661080952593</v>
      </c>
      <c r="P281" s="8">
        <f t="shared" si="35"/>
        <v>-2.4105123117944669</v>
      </c>
    </row>
    <row r="282" spans="1:16" x14ac:dyDescent="0.2">
      <c r="A282" s="8">
        <v>140</v>
      </c>
      <c r="B282" s="8">
        <v>280</v>
      </c>
      <c r="D282">
        <v>1573.5094537815</v>
      </c>
      <c r="E282">
        <v>301.69327731092</v>
      </c>
      <c r="F282">
        <v>137.95068205666001</v>
      </c>
      <c r="G282">
        <v>116.56977964323001</v>
      </c>
      <c r="I282" s="9">
        <f t="shared" si="32"/>
        <v>185.12349766769</v>
      </c>
      <c r="J282" s="9">
        <f t="shared" si="33"/>
        <v>1435.55877172484</v>
      </c>
      <c r="K282" s="9">
        <f t="shared" si="31"/>
        <v>185.12349766769</v>
      </c>
      <c r="L282" s="10">
        <f t="shared" si="30"/>
        <v>0.12895570791940622</v>
      </c>
      <c r="M282" s="10">
        <f t="shared" si="34"/>
        <v>0.13471901083402646</v>
      </c>
      <c r="P282" s="8">
        <f t="shared" si="35"/>
        <v>-4.0115877424898159</v>
      </c>
    </row>
    <row r="283" spans="1:16" x14ac:dyDescent="0.2">
      <c r="A283" s="8">
        <v>140.5</v>
      </c>
      <c r="B283" s="8">
        <v>281</v>
      </c>
      <c r="D283">
        <v>1581.0115546218999</v>
      </c>
      <c r="E283">
        <v>302.76680672268998</v>
      </c>
      <c r="F283">
        <v>138.48793284364999</v>
      </c>
      <c r="G283">
        <v>116.14480587618</v>
      </c>
      <c r="I283" s="9">
        <f t="shared" si="32"/>
        <v>186.62200084650999</v>
      </c>
      <c r="J283" s="9">
        <f t="shared" si="33"/>
        <v>1442.5236217782499</v>
      </c>
      <c r="K283" s="9">
        <f t="shared" si="31"/>
        <v>186.62200084650999</v>
      </c>
      <c r="L283" s="10">
        <f t="shared" si="30"/>
        <v>0.12937188551301118</v>
      </c>
      <c r="M283" s="10">
        <f t="shared" si="34"/>
        <v>0.13515577165232648</v>
      </c>
      <c r="P283" s="8">
        <f t="shared" si="35"/>
        <v>-3.7003920379981903</v>
      </c>
    </row>
    <row r="284" spans="1:16" x14ac:dyDescent="0.2">
      <c r="A284" s="8">
        <v>141</v>
      </c>
      <c r="B284" s="8">
        <v>282</v>
      </c>
      <c r="D284">
        <v>1590.8771008403</v>
      </c>
      <c r="E284">
        <v>304.62605042016997</v>
      </c>
      <c r="F284">
        <v>138.5666316894</v>
      </c>
      <c r="G284">
        <v>116.43756558237</v>
      </c>
      <c r="I284" s="9">
        <f t="shared" si="32"/>
        <v>188.18848483779999</v>
      </c>
      <c r="J284" s="9">
        <f t="shared" si="33"/>
        <v>1452.3104691509</v>
      </c>
      <c r="K284" s="9">
        <f t="shared" si="31"/>
        <v>188.18848483779999</v>
      </c>
      <c r="L284" s="10">
        <f t="shared" si="30"/>
        <v>0.12957868777729412</v>
      </c>
      <c r="M284" s="10">
        <f t="shared" si="34"/>
        <v>0.1353831571413045</v>
      </c>
      <c r="P284" s="8">
        <f t="shared" si="35"/>
        <v>-3.5383779917082583</v>
      </c>
    </row>
    <row r="285" spans="1:16" x14ac:dyDescent="0.2">
      <c r="A285" s="8">
        <v>141.5</v>
      </c>
      <c r="B285" s="8">
        <v>283</v>
      </c>
      <c r="D285">
        <v>1585.0661764706001</v>
      </c>
      <c r="E285">
        <v>305.45693277311</v>
      </c>
      <c r="F285">
        <v>138.34522560336001</v>
      </c>
      <c r="G285">
        <v>116.45645330535</v>
      </c>
      <c r="I285" s="9">
        <f t="shared" si="32"/>
        <v>189.00047946775999</v>
      </c>
      <c r="J285" s="9">
        <f t="shared" si="33"/>
        <v>1446.7209508672402</v>
      </c>
      <c r="K285" s="9">
        <f t="shared" si="31"/>
        <v>189.00047946775999</v>
      </c>
      <c r="L285" s="10">
        <f t="shared" si="30"/>
        <v>0.13064059060903432</v>
      </c>
      <c r="M285" s="10">
        <f t="shared" si="34"/>
        <v>0.13646564319773977</v>
      </c>
      <c r="P285" s="8">
        <f t="shared" si="35"/>
        <v>-2.7670977009397419</v>
      </c>
    </row>
    <row r="286" spans="1:16" x14ac:dyDescent="0.2">
      <c r="A286" s="8">
        <v>142</v>
      </c>
      <c r="B286" s="8">
        <v>284</v>
      </c>
      <c r="D286">
        <v>1588.9558823529001</v>
      </c>
      <c r="E286">
        <v>304.83928571428999</v>
      </c>
      <c r="F286">
        <v>137.93074501574</v>
      </c>
      <c r="G286">
        <v>116.53830010493</v>
      </c>
      <c r="I286" s="9">
        <f t="shared" si="32"/>
        <v>188.30098560936</v>
      </c>
      <c r="J286" s="9">
        <f t="shared" si="33"/>
        <v>1451.02513733716</v>
      </c>
      <c r="K286" s="9">
        <f t="shared" si="31"/>
        <v>188.30098560936</v>
      </c>
      <c r="L286" s="10">
        <f t="shared" si="30"/>
        <v>0.12977100173117567</v>
      </c>
      <c r="M286" s="10">
        <f t="shared" si="34"/>
        <v>0.1356166375445762</v>
      </c>
      <c r="P286" s="8">
        <f t="shared" si="35"/>
        <v>-3.3720212684473916</v>
      </c>
    </row>
    <row r="287" spans="1:16" x14ac:dyDescent="0.2">
      <c r="A287" s="8">
        <v>142.5</v>
      </c>
      <c r="B287" s="8">
        <v>285</v>
      </c>
      <c r="D287">
        <v>1594.5136554621999</v>
      </c>
      <c r="E287">
        <v>306.69537815126</v>
      </c>
      <c r="F287">
        <v>138.05141657921999</v>
      </c>
      <c r="G287">
        <v>116.82476390346</v>
      </c>
      <c r="I287" s="9">
        <f t="shared" si="32"/>
        <v>189.87061424780001</v>
      </c>
      <c r="J287" s="9">
        <f t="shared" si="33"/>
        <v>1456.46223888298</v>
      </c>
      <c r="K287" s="9">
        <f t="shared" si="31"/>
        <v>189.87061424780001</v>
      </c>
      <c r="L287" s="10">
        <f t="shared" si="30"/>
        <v>0.13036425468429547</v>
      </c>
      <c r="M287" s="10">
        <f t="shared" si="34"/>
        <v>0.13623047372239105</v>
      </c>
      <c r="P287" s="8">
        <f t="shared" si="35"/>
        <v>-2.9346579020606152</v>
      </c>
    </row>
    <row r="288" spans="1:16" x14ac:dyDescent="0.2">
      <c r="A288" s="8">
        <v>143</v>
      </c>
      <c r="B288" s="8">
        <v>286</v>
      </c>
      <c r="D288">
        <v>1598.2351716962</v>
      </c>
      <c r="E288">
        <v>308.46514047866998</v>
      </c>
      <c r="F288">
        <v>138.48058761805001</v>
      </c>
      <c r="G288">
        <v>116.17943336831</v>
      </c>
      <c r="I288" s="9">
        <f t="shared" si="32"/>
        <v>192.28570711035997</v>
      </c>
      <c r="J288" s="9">
        <f t="shared" si="33"/>
        <v>1459.7545840781499</v>
      </c>
      <c r="K288" s="9">
        <f t="shared" si="31"/>
        <v>192.28570711035997</v>
      </c>
      <c r="L288" s="10">
        <f t="shared" si="30"/>
        <v>0.13172468112630753</v>
      </c>
      <c r="M288" s="10">
        <f t="shared" si="34"/>
        <v>0.1376114833890982</v>
      </c>
      <c r="P288" s="8">
        <f t="shared" si="35"/>
        <v>-1.9506770637303259</v>
      </c>
    </row>
    <row r="289" spans="1:16" x14ac:dyDescent="0.2">
      <c r="A289" s="8">
        <v>143.5</v>
      </c>
      <c r="B289" s="8">
        <v>287</v>
      </c>
      <c r="D289">
        <v>1589.4703433923</v>
      </c>
      <c r="E289">
        <v>306.93756503641998</v>
      </c>
      <c r="F289">
        <v>138.11332633788001</v>
      </c>
      <c r="G289">
        <v>116.62119622246</v>
      </c>
      <c r="I289" s="9">
        <f t="shared" si="32"/>
        <v>190.31636881395997</v>
      </c>
      <c r="J289" s="9">
        <f t="shared" si="33"/>
        <v>1451.3570170544201</v>
      </c>
      <c r="K289" s="9">
        <f t="shared" si="31"/>
        <v>190.31636881395997</v>
      </c>
      <c r="L289" s="10">
        <f t="shared" si="30"/>
        <v>0.13112994706169107</v>
      </c>
      <c r="M289" s="10">
        <f t="shared" si="34"/>
        <v>0.1370373325491768</v>
      </c>
      <c r="P289" s="8">
        <f t="shared" si="35"/>
        <v>-2.35976429781245</v>
      </c>
    </row>
    <row r="290" spans="1:16" x14ac:dyDescent="0.2">
      <c r="A290" s="8">
        <v>144</v>
      </c>
      <c r="B290" s="8">
        <v>288</v>
      </c>
      <c r="D290">
        <v>1584.638917794</v>
      </c>
      <c r="E290">
        <v>307.54526534860003</v>
      </c>
      <c r="F290">
        <v>138.0241343127</v>
      </c>
      <c r="G290">
        <v>116.68940188877001</v>
      </c>
      <c r="I290" s="9">
        <f t="shared" si="32"/>
        <v>190.85586345983</v>
      </c>
      <c r="J290" s="9">
        <f t="shared" si="33"/>
        <v>1446.6147834813</v>
      </c>
      <c r="K290" s="9">
        <f t="shared" si="31"/>
        <v>190.85586345983</v>
      </c>
      <c r="L290" s="10">
        <f t="shared" si="30"/>
        <v>0.13193274784634271</v>
      </c>
      <c r="M290" s="10">
        <f t="shared" si="34"/>
        <v>0.13786071655852353</v>
      </c>
      <c r="P290" s="8">
        <f t="shared" si="35"/>
        <v>-1.7730963639691213</v>
      </c>
    </row>
    <row r="291" spans="1:16" x14ac:dyDescent="0.2">
      <c r="A291" s="8">
        <v>144.5</v>
      </c>
      <c r="B291" s="8">
        <v>289</v>
      </c>
      <c r="D291">
        <v>1587.6992715921001</v>
      </c>
      <c r="E291">
        <v>308.74713839750001</v>
      </c>
      <c r="F291">
        <v>137.44386149003</v>
      </c>
      <c r="G291">
        <v>116.67471143757</v>
      </c>
      <c r="I291" s="9">
        <f t="shared" si="32"/>
        <v>192.07242695993</v>
      </c>
      <c r="J291" s="9">
        <f t="shared" si="33"/>
        <v>1450.2554101020701</v>
      </c>
      <c r="K291" s="9">
        <f t="shared" si="31"/>
        <v>192.07242695993</v>
      </c>
      <c r="L291" s="10">
        <f t="shared" si="30"/>
        <v>0.13244041402776893</v>
      </c>
      <c r="M291" s="10">
        <f t="shared" si="34"/>
        <v>0.13838896596464481</v>
      </c>
      <c r="P291" s="8">
        <f t="shared" si="35"/>
        <v>-1.396714282066633</v>
      </c>
    </row>
    <row r="292" spans="1:16" x14ac:dyDescent="0.2">
      <c r="A292" s="8">
        <v>145</v>
      </c>
      <c r="B292" s="8">
        <v>290</v>
      </c>
      <c r="D292">
        <v>1584.5140478668</v>
      </c>
      <c r="E292">
        <v>307.42351716962003</v>
      </c>
      <c r="F292">
        <v>138.17943336830999</v>
      </c>
      <c r="G292">
        <v>116.41028331584999</v>
      </c>
      <c r="I292" s="9">
        <f>E292-G292</f>
        <v>191.01323385377003</v>
      </c>
      <c r="J292" s="9">
        <f>D292-F292</f>
        <v>1446.3346144984901</v>
      </c>
      <c r="K292" s="9">
        <f t="shared" si="31"/>
        <v>191.01323385377003</v>
      </c>
      <c r="L292" s="10">
        <f t="shared" si="30"/>
        <v>0.13206711084627051</v>
      </c>
      <c r="M292" s="10">
        <f>L292+ABS($N$2)*A292</f>
        <v>0.13803624600784148</v>
      </c>
      <c r="O292" s="11"/>
      <c r="P292" s="8">
        <f>(M292-$O$2)/$O$2*100</f>
        <v>-1.6480301759073415</v>
      </c>
    </row>
    <row r="293" spans="1:16" x14ac:dyDescent="0.2">
      <c r="A293" s="8">
        <v>145.5</v>
      </c>
      <c r="B293" s="8">
        <v>291</v>
      </c>
      <c r="D293">
        <v>1546.8720083246999</v>
      </c>
      <c r="E293">
        <v>304.75338189386002</v>
      </c>
      <c r="F293">
        <v>138.09338929696</v>
      </c>
      <c r="G293">
        <v>116.62119622246</v>
      </c>
      <c r="I293" s="9">
        <f t="shared" ref="I293:I301" si="36">E293-G293</f>
        <v>188.13218567140001</v>
      </c>
      <c r="J293" s="9">
        <f t="shared" ref="J293:J301" si="37">D293-F293</f>
        <v>1408.77861902774</v>
      </c>
      <c r="K293" s="9">
        <f t="shared" si="31"/>
        <v>188.13218567140001</v>
      </c>
      <c r="L293" s="10">
        <f t="shared" si="30"/>
        <v>0.13354276046667879</v>
      </c>
      <c r="M293" s="10">
        <f t="shared" ref="M293:M301" si="38">L293+ABS($N$2)*A293</f>
        <v>0.13953247885294481</v>
      </c>
      <c r="P293" s="8">
        <f t="shared" ref="P293:P301" si="39">(M293-$O$2)/$O$2*100</f>
        <v>-0.58195186758345496</v>
      </c>
    </row>
    <row r="294" spans="1:16" x14ac:dyDescent="0.2">
      <c r="A294" s="8">
        <v>146</v>
      </c>
      <c r="B294" s="8">
        <v>292</v>
      </c>
      <c r="D294">
        <v>1537.638917794</v>
      </c>
      <c r="E294">
        <v>304.15608740894999</v>
      </c>
      <c r="F294">
        <v>137.61594963274001</v>
      </c>
      <c r="G294">
        <v>116.63378803777999</v>
      </c>
      <c r="I294" s="9">
        <f t="shared" si="36"/>
        <v>187.52229937116999</v>
      </c>
      <c r="J294" s="9">
        <f t="shared" si="37"/>
        <v>1400.02296816126</v>
      </c>
      <c r="K294" s="9">
        <f t="shared" si="31"/>
        <v>187.52229937116999</v>
      </c>
      <c r="L294" s="10">
        <f t="shared" si="30"/>
        <v>0.13394230211626817</v>
      </c>
      <c r="M294" s="10">
        <f t="shared" si="38"/>
        <v>0.13995260372722929</v>
      </c>
      <c r="N294" s="1"/>
      <c r="P294" s="8">
        <f t="shared" si="39"/>
        <v>-0.28260941114176191</v>
      </c>
    </row>
    <row r="295" spans="1:16" x14ac:dyDescent="0.2">
      <c r="A295" s="8">
        <v>146.5</v>
      </c>
      <c r="B295" s="8">
        <v>293</v>
      </c>
      <c r="D295">
        <v>1568.2717842324</v>
      </c>
      <c r="E295">
        <v>307.38381742739</v>
      </c>
      <c r="F295">
        <v>138.00524658972</v>
      </c>
      <c r="G295">
        <v>116.37145855193999</v>
      </c>
      <c r="I295" s="9">
        <f t="shared" si="36"/>
        <v>191.01235887544999</v>
      </c>
      <c r="J295" s="9">
        <f t="shared" si="37"/>
        <v>1430.2665376426801</v>
      </c>
      <c r="K295" s="9">
        <f t="shared" si="31"/>
        <v>191.01235887544999</v>
      </c>
      <c r="L295" s="10">
        <f t="shared" si="30"/>
        <v>0.13355018372328734</v>
      </c>
      <c r="M295" s="10">
        <f t="shared" si="38"/>
        <v>0.13958106855894351</v>
      </c>
      <c r="P295" s="8">
        <f t="shared" si="39"/>
        <v>-0.54733129917221768</v>
      </c>
    </row>
    <row r="296" spans="1:16" x14ac:dyDescent="0.2">
      <c r="A296" s="8">
        <v>147</v>
      </c>
      <c r="B296" s="8">
        <v>294</v>
      </c>
      <c r="D296">
        <v>1567.1639004148999</v>
      </c>
      <c r="E296">
        <v>308.06431535270002</v>
      </c>
      <c r="F296">
        <v>138.10283315845001</v>
      </c>
      <c r="G296">
        <v>116.5981112277</v>
      </c>
      <c r="I296" s="9">
        <f t="shared" si="36"/>
        <v>191.46620412500002</v>
      </c>
      <c r="J296" s="9">
        <f t="shared" si="37"/>
        <v>1429.0610672564499</v>
      </c>
      <c r="K296" s="9">
        <f t="shared" si="31"/>
        <v>191.46620412500002</v>
      </c>
      <c r="L296" s="10">
        <f t="shared" si="30"/>
        <v>0.13398042148932238</v>
      </c>
      <c r="M296" s="10">
        <f t="shared" si="38"/>
        <v>0.14003188954967363</v>
      </c>
      <c r="P296" s="8">
        <f t="shared" si="39"/>
        <v>-0.22611760524259383</v>
      </c>
    </row>
    <row r="297" spans="1:16" x14ac:dyDescent="0.2">
      <c r="A297" s="8">
        <v>147.5</v>
      </c>
      <c r="B297" s="8">
        <v>295</v>
      </c>
      <c r="D297">
        <v>1563.9585062240999</v>
      </c>
      <c r="E297">
        <v>308.92738589212001</v>
      </c>
      <c r="F297">
        <v>136.96222455404001</v>
      </c>
      <c r="G297">
        <v>116.60755508919</v>
      </c>
      <c r="I297" s="9">
        <f t="shared" si="36"/>
        <v>192.31983080293003</v>
      </c>
      <c r="J297" s="9">
        <f t="shared" si="37"/>
        <v>1426.9962816700599</v>
      </c>
      <c r="K297" s="9">
        <f t="shared" si="31"/>
        <v>192.31983080293003</v>
      </c>
      <c r="L297" s="10">
        <f t="shared" si="30"/>
        <v>0.13477248208233022</v>
      </c>
      <c r="M297" s="10">
        <f t="shared" si="38"/>
        <v>0.14084453336737654</v>
      </c>
      <c r="P297" s="8">
        <f t="shared" si="39"/>
        <v>0.35289785300097098</v>
      </c>
    </row>
    <row r="298" spans="1:16" x14ac:dyDescent="0.2">
      <c r="A298" s="8">
        <v>148</v>
      </c>
      <c r="B298" s="8">
        <v>296</v>
      </c>
      <c r="D298">
        <v>1590.1680497924999</v>
      </c>
      <c r="E298">
        <v>310.30290456431999</v>
      </c>
      <c r="F298">
        <v>138.25918153200001</v>
      </c>
      <c r="G298">
        <v>116.37250786989</v>
      </c>
      <c r="I298" s="9">
        <f t="shared" si="36"/>
        <v>193.93039669442999</v>
      </c>
      <c r="J298" s="9">
        <f t="shared" si="37"/>
        <v>1451.9088682605</v>
      </c>
      <c r="K298" s="9">
        <f t="shared" si="31"/>
        <v>193.93039669442999</v>
      </c>
      <c r="L298" s="10">
        <f t="shared" si="30"/>
        <v>0.1335692624611996</v>
      </c>
      <c r="M298" s="10">
        <f t="shared" si="38"/>
        <v>0.139661896970941</v>
      </c>
      <c r="P298" s="8">
        <f t="shared" si="39"/>
        <v>-0.48974038542587078</v>
      </c>
    </row>
    <row r="299" spans="1:16" x14ac:dyDescent="0.2">
      <c r="A299" s="8">
        <v>148.5</v>
      </c>
      <c r="B299" s="8">
        <v>297</v>
      </c>
      <c r="D299">
        <v>1588.5653526971</v>
      </c>
      <c r="E299">
        <v>310.95331950207998</v>
      </c>
      <c r="F299">
        <v>137.55928646379999</v>
      </c>
      <c r="G299">
        <v>116.37355718783</v>
      </c>
      <c r="I299" s="9">
        <f t="shared" si="36"/>
        <v>194.57976231424999</v>
      </c>
      <c r="J299" s="9">
        <f t="shared" si="37"/>
        <v>1451.0060662333001</v>
      </c>
      <c r="K299" s="9">
        <f t="shared" si="31"/>
        <v>194.57976231424999</v>
      </c>
      <c r="L299" s="10">
        <f t="shared" si="30"/>
        <v>0.13409989581874324</v>
      </c>
      <c r="M299" s="10">
        <f t="shared" si="38"/>
        <v>0.1402131135531797</v>
      </c>
      <c r="P299" s="8">
        <f t="shared" si="39"/>
        <v>-9.6994000104729056E-2</v>
      </c>
    </row>
    <row r="300" spans="1:16" x14ac:dyDescent="0.2">
      <c r="A300" s="8">
        <v>149</v>
      </c>
      <c r="B300" s="8">
        <v>298</v>
      </c>
      <c r="D300">
        <v>1570.6628630705</v>
      </c>
      <c r="E300">
        <v>308.52593360996002</v>
      </c>
      <c r="F300">
        <v>138.15215110177999</v>
      </c>
      <c r="G300">
        <v>116.08499475341</v>
      </c>
      <c r="I300" s="9">
        <f t="shared" si="36"/>
        <v>192.44093885655002</v>
      </c>
      <c r="J300" s="9">
        <f t="shared" si="37"/>
        <v>1432.51071196872</v>
      </c>
      <c r="K300" s="9">
        <f t="shared" si="31"/>
        <v>192.44093885655002</v>
      </c>
      <c r="L300" s="10">
        <f t="shared" si="30"/>
        <v>0.13433821977643412</v>
      </c>
      <c r="M300" s="10">
        <f t="shared" si="38"/>
        <v>0.14047202073556567</v>
      </c>
      <c r="P300" s="8">
        <f t="shared" si="39"/>
        <v>8.7479514104134903E-2</v>
      </c>
    </row>
    <row r="301" spans="1:16" x14ac:dyDescent="0.2">
      <c r="A301" s="8">
        <v>149.5</v>
      </c>
      <c r="B301" s="8">
        <v>299</v>
      </c>
      <c r="D301">
        <v>1578.5881742739</v>
      </c>
      <c r="E301">
        <v>309.70020746888002</v>
      </c>
      <c r="F301">
        <v>138.06190975865999</v>
      </c>
      <c r="G301">
        <v>116.51416579223999</v>
      </c>
      <c r="I301" s="9">
        <f t="shared" si="36"/>
        <v>193.18604167664003</v>
      </c>
      <c r="J301" s="9">
        <f t="shared" si="37"/>
        <v>1440.52626451524</v>
      </c>
      <c r="K301" s="9">
        <f t="shared" si="31"/>
        <v>193.18604167664003</v>
      </c>
      <c r="L301" s="10">
        <f t="shared" si="30"/>
        <v>0.13410796209373538</v>
      </c>
      <c r="M301" s="10">
        <f t="shared" si="38"/>
        <v>0.14026234627756198</v>
      </c>
      <c r="P301" s="8">
        <f t="shared" si="39"/>
        <v>-6.191527576351908E-2</v>
      </c>
    </row>
    <row r="302" spans="1:16" x14ac:dyDescent="0.2">
      <c r="A302" s="8">
        <v>150</v>
      </c>
      <c r="B302" s="8">
        <v>300</v>
      </c>
      <c r="D302">
        <v>1585.3620331950001</v>
      </c>
      <c r="E302">
        <v>309.88070539418999</v>
      </c>
      <c r="F302">
        <v>138.16264428122</v>
      </c>
      <c r="G302">
        <v>116.70304302204001</v>
      </c>
      <c r="I302" s="9">
        <f>E302-G302</f>
        <v>193.17766237215</v>
      </c>
      <c r="J302" s="9">
        <f>D302-F302</f>
        <v>1447.19938891378</v>
      </c>
      <c r="K302" s="9">
        <f t="shared" si="31"/>
        <v>193.17766237215</v>
      </c>
      <c r="L302" s="10">
        <f t="shared" si="30"/>
        <v>0.13348379211045877</v>
      </c>
      <c r="M302" s="10">
        <f>L302+ABS($N$2)*A302</f>
        <v>0.13965875951898046</v>
      </c>
      <c r="O302" s="11"/>
      <c r="P302" s="8">
        <f>(M302-$O$2)/$O$2*100</f>
        <v>-0.49197584596230054</v>
      </c>
    </row>
    <row r="303" spans="1:16" x14ac:dyDescent="0.2">
      <c r="A303" s="8">
        <v>150.5</v>
      </c>
      <c r="B303" s="8">
        <v>301</v>
      </c>
      <c r="D303">
        <v>1589.0010373443999</v>
      </c>
      <c r="E303">
        <v>310.49066390041997</v>
      </c>
      <c r="F303">
        <v>138.09548793284</v>
      </c>
      <c r="G303">
        <v>116.21720881426999</v>
      </c>
      <c r="I303" s="9">
        <f t="shared" ref="I303:I309" si="40">E303-G303</f>
        <v>194.27345508614997</v>
      </c>
      <c r="J303" s="9">
        <f t="shared" ref="J303:J309" si="41">D303-F303</f>
        <v>1450.9055494115601</v>
      </c>
      <c r="K303" s="9">
        <f t="shared" si="31"/>
        <v>194.27345508614997</v>
      </c>
      <c r="L303" s="10">
        <f t="shared" si="30"/>
        <v>0.13389807156292216</v>
      </c>
      <c r="M303" s="10">
        <f t="shared" ref="M303:M309" si="42">L303+ABS($N$2)*A303</f>
        <v>0.14009362219613891</v>
      </c>
      <c r="P303" s="8">
        <f t="shared" ref="P303:P309" si="43">(M303-$O$2)/$O$2*100</f>
        <v>-0.18213258277270145</v>
      </c>
    </row>
    <row r="304" spans="1:16" x14ac:dyDescent="0.2">
      <c r="A304" s="8">
        <v>151</v>
      </c>
      <c r="B304" s="8">
        <v>302</v>
      </c>
      <c r="D304">
        <v>1584.4699170125</v>
      </c>
      <c r="E304">
        <v>309.72821576763999</v>
      </c>
      <c r="F304">
        <v>137.90136411333</v>
      </c>
      <c r="G304">
        <v>116.54669464848</v>
      </c>
      <c r="I304" s="9">
        <f t="shared" si="40"/>
        <v>193.18152111915998</v>
      </c>
      <c r="J304" s="9">
        <f t="shared" si="41"/>
        <v>1446.5685528991701</v>
      </c>
      <c r="K304" s="9">
        <f t="shared" si="31"/>
        <v>193.18152111915998</v>
      </c>
      <c r="L304" s="10">
        <f t="shared" si="30"/>
        <v>0.13354467075341245</v>
      </c>
      <c r="M304" s="10">
        <f t="shared" si="42"/>
        <v>0.13976080461132429</v>
      </c>
      <c r="N304" s="1"/>
      <c r="P304" s="8">
        <f t="shared" si="43"/>
        <v>-0.41926787154863671</v>
      </c>
    </row>
    <row r="305" spans="1:16" x14ac:dyDescent="0.2">
      <c r="A305" s="8">
        <v>151.5</v>
      </c>
      <c r="B305" s="8">
        <v>303</v>
      </c>
      <c r="D305">
        <v>1581.2966804979001</v>
      </c>
      <c r="E305">
        <v>309.28838174274</v>
      </c>
      <c r="F305">
        <v>137.95173137461001</v>
      </c>
      <c r="G305">
        <v>116.32948583421</v>
      </c>
      <c r="I305" s="9">
        <f t="shared" si="40"/>
        <v>192.95889590853</v>
      </c>
      <c r="J305" s="9">
        <f t="shared" si="41"/>
        <v>1443.34494912329</v>
      </c>
      <c r="K305" s="9">
        <f t="shared" si="31"/>
        <v>192.95889590853</v>
      </c>
      <c r="L305" s="10">
        <f t="shared" si="30"/>
        <v>0.13368869030631672</v>
      </c>
      <c r="M305" s="10">
        <f t="shared" si="42"/>
        <v>0.13992540738892362</v>
      </c>
      <c r="P305" s="8">
        <f t="shared" si="43"/>
        <v>-0.3019870276861365</v>
      </c>
    </row>
    <row r="306" spans="1:16" x14ac:dyDescent="0.2">
      <c r="A306" s="8">
        <v>152</v>
      </c>
      <c r="B306" s="8">
        <v>304</v>
      </c>
      <c r="D306">
        <v>1577.5062240663999</v>
      </c>
      <c r="E306">
        <v>307.69917012448002</v>
      </c>
      <c r="F306">
        <v>138.11332633788001</v>
      </c>
      <c r="G306">
        <v>116.48898216160001</v>
      </c>
      <c r="I306" s="9">
        <f t="shared" si="40"/>
        <v>191.21018796288001</v>
      </c>
      <c r="J306" s="9">
        <f t="shared" si="41"/>
        <v>1439.39289772852</v>
      </c>
      <c r="K306" s="9">
        <f t="shared" si="31"/>
        <v>191.21018796288001</v>
      </c>
      <c r="L306" s="10">
        <f t="shared" si="30"/>
        <v>0.13284085829840162</v>
      </c>
      <c r="M306" s="10">
        <f t="shared" si="42"/>
        <v>0.13909815860570357</v>
      </c>
      <c r="P306" s="8">
        <f t="shared" si="43"/>
        <v>-0.89140864495942485</v>
      </c>
    </row>
    <row r="307" spans="1:16" x14ac:dyDescent="0.2">
      <c r="A307" s="8">
        <v>152.5</v>
      </c>
      <c r="B307" s="8">
        <v>305</v>
      </c>
      <c r="D307">
        <v>1587.7510373443999</v>
      </c>
      <c r="E307">
        <v>308.89004149378002</v>
      </c>
      <c r="F307">
        <v>138.25183630640001</v>
      </c>
      <c r="G307">
        <v>116.62014690450999</v>
      </c>
      <c r="I307" s="9">
        <f t="shared" si="40"/>
        <v>192.26989458927002</v>
      </c>
      <c r="J307" s="9">
        <f t="shared" si="41"/>
        <v>1449.4992010379999</v>
      </c>
      <c r="K307" s="9">
        <f t="shared" si="31"/>
        <v>192.26989458927002</v>
      </c>
      <c r="L307" s="10">
        <f t="shared" si="30"/>
        <v>0.13264574030229459</v>
      </c>
      <c r="M307" s="10">
        <f t="shared" si="42"/>
        <v>0.13892362383429163</v>
      </c>
      <c r="P307" s="8">
        <f t="shared" si="43"/>
        <v>-1.0157661167656831</v>
      </c>
    </row>
    <row r="308" spans="1:16" x14ac:dyDescent="0.2">
      <c r="A308" s="8">
        <v>153</v>
      </c>
      <c r="B308" s="8">
        <v>306</v>
      </c>
      <c r="D308">
        <v>1581.0352697095</v>
      </c>
      <c r="E308">
        <v>310.18775933609999</v>
      </c>
      <c r="F308">
        <v>138.11542497376999</v>
      </c>
      <c r="G308">
        <v>116.53515215109999</v>
      </c>
      <c r="I308" s="9">
        <f t="shared" si="40"/>
        <v>193.65260718499999</v>
      </c>
      <c r="J308" s="9">
        <f t="shared" si="41"/>
        <v>1442.9198447357301</v>
      </c>
      <c r="K308" s="9">
        <f t="shared" si="31"/>
        <v>193.65260718499999</v>
      </c>
      <c r="L308" s="10">
        <f t="shared" si="30"/>
        <v>0.13420884596709345</v>
      </c>
      <c r="M308" s="10">
        <f t="shared" si="42"/>
        <v>0.14050731272378555</v>
      </c>
      <c r="P308" s="8">
        <f t="shared" si="43"/>
        <v>0.11262534833840873</v>
      </c>
    </row>
    <row r="309" spans="1:16" x14ac:dyDescent="0.2">
      <c r="A309" s="8">
        <v>153.5</v>
      </c>
      <c r="B309" s="8">
        <v>307</v>
      </c>
      <c r="D309">
        <v>1560.005186722</v>
      </c>
      <c r="E309">
        <v>309.79149377593001</v>
      </c>
      <c r="F309">
        <v>138.19727177335</v>
      </c>
      <c r="G309">
        <v>116.30954879328</v>
      </c>
      <c r="I309" s="9">
        <f t="shared" si="40"/>
        <v>193.48194498265002</v>
      </c>
      <c r="J309" s="9">
        <f t="shared" si="41"/>
        <v>1421.80791494865</v>
      </c>
      <c r="K309" s="9">
        <f t="shared" si="31"/>
        <v>193.48194498265002</v>
      </c>
      <c r="L309" s="10">
        <f t="shared" si="30"/>
        <v>0.13608163447988528</v>
      </c>
      <c r="M309" s="10">
        <f t="shared" si="42"/>
        <v>0.14240068446127246</v>
      </c>
      <c r="P309" s="8">
        <f t="shared" si="43"/>
        <v>1.4616684104086706</v>
      </c>
    </row>
    <row r="310" spans="1:16" x14ac:dyDescent="0.2">
      <c r="A310" s="8">
        <v>154</v>
      </c>
      <c r="B310" s="8">
        <v>308</v>
      </c>
      <c r="D310">
        <v>1567.5674273858999</v>
      </c>
      <c r="E310">
        <v>310.19502074689001</v>
      </c>
      <c r="F310">
        <v>138.26023084995001</v>
      </c>
      <c r="G310">
        <v>116.35886673662</v>
      </c>
      <c r="I310" s="9">
        <f>E310-G310</f>
        <v>193.83615401027001</v>
      </c>
      <c r="J310" s="9">
        <f>D310-F310</f>
        <v>1429.30719653595</v>
      </c>
      <c r="K310" s="9">
        <f t="shared" si="31"/>
        <v>193.83615401027001</v>
      </c>
      <c r="L310" s="10">
        <f t="shared" si="30"/>
        <v>0.13561546074912989</v>
      </c>
      <c r="M310" s="10">
        <f>L310+ABS($N$2)*A310</f>
        <v>0.14195509395521214</v>
      </c>
      <c r="O310" s="11"/>
      <c r="P310" s="8">
        <f>(M310-$O$2)/$O$2*100</f>
        <v>1.1441814801754475</v>
      </c>
    </row>
    <row r="311" spans="1:16" x14ac:dyDescent="0.2">
      <c r="A311" s="8">
        <v>154.5</v>
      </c>
      <c r="B311" s="8">
        <v>309</v>
      </c>
      <c r="D311">
        <v>1565.7821576763999</v>
      </c>
      <c r="E311">
        <v>309.13900414938001</v>
      </c>
      <c r="F311">
        <v>137.81636935992</v>
      </c>
      <c r="G311">
        <v>116.56138509969</v>
      </c>
      <c r="I311" s="9">
        <f t="shared" ref="I311:I319" si="44">E311-G311</f>
        <v>192.57761904969001</v>
      </c>
      <c r="J311" s="9">
        <f t="shared" ref="J311:J319" si="45">D311-F311</f>
        <v>1427.96578831648</v>
      </c>
      <c r="K311" s="9">
        <f t="shared" si="31"/>
        <v>192.57761904969001</v>
      </c>
      <c r="L311" s="10">
        <f t="shared" si="30"/>
        <v>0.13486150762528565</v>
      </c>
      <c r="M311" s="10">
        <f t="shared" ref="M311:M319" si="46">L311+ABS($N$2)*A311</f>
        <v>0.14122172405606298</v>
      </c>
      <c r="P311" s="8">
        <f t="shared" ref="P311:P319" si="47">(M311-$O$2)/$O$2*100</f>
        <v>0.62164934621029899</v>
      </c>
    </row>
    <row r="312" spans="1:16" x14ac:dyDescent="0.2">
      <c r="A312" s="8">
        <v>155</v>
      </c>
      <c r="B312" s="8">
        <v>310</v>
      </c>
      <c r="D312">
        <v>1565.1867219917001</v>
      </c>
      <c r="E312">
        <v>308.36825726141001</v>
      </c>
      <c r="F312">
        <v>137.77229800629999</v>
      </c>
      <c r="G312">
        <v>116.75970619098</v>
      </c>
      <c r="I312" s="9">
        <f t="shared" si="44"/>
        <v>191.60855107043</v>
      </c>
      <c r="J312" s="9">
        <f t="shared" si="45"/>
        <v>1427.4144239854002</v>
      </c>
      <c r="K312" s="9">
        <f t="shared" si="31"/>
        <v>191.60855107043</v>
      </c>
      <c r="L312" s="10">
        <f t="shared" si="30"/>
        <v>0.13423470286607514</v>
      </c>
      <c r="M312" s="10">
        <f t="shared" si="46"/>
        <v>0.14061550252154753</v>
      </c>
      <c r="N312" s="1"/>
      <c r="P312" s="8">
        <f t="shared" si="47"/>
        <v>0.18971147631204324</v>
      </c>
    </row>
    <row r="313" spans="1:16" x14ac:dyDescent="0.2">
      <c r="A313" s="8">
        <v>155.5</v>
      </c>
      <c r="B313" s="8">
        <v>311</v>
      </c>
      <c r="D313">
        <v>1570.3526970953999</v>
      </c>
      <c r="E313">
        <v>309.32365145227999</v>
      </c>
      <c r="F313">
        <v>138.13746065058001</v>
      </c>
      <c r="G313">
        <v>116.29590766002001</v>
      </c>
      <c r="I313" s="9">
        <f t="shared" si="44"/>
        <v>193.02774379225997</v>
      </c>
      <c r="J313" s="9">
        <f t="shared" si="45"/>
        <v>1432.2152364448198</v>
      </c>
      <c r="K313" s="9">
        <f t="shared" si="31"/>
        <v>193.02774379225997</v>
      </c>
      <c r="L313" s="10">
        <f t="shared" si="30"/>
        <v>0.13477565304458827</v>
      </c>
      <c r="M313" s="10">
        <f t="shared" si="46"/>
        <v>0.14117703592475575</v>
      </c>
      <c r="P313" s="8">
        <f t="shared" si="47"/>
        <v>0.58980868211708615</v>
      </c>
    </row>
    <row r="314" spans="1:16" x14ac:dyDescent="0.2">
      <c r="A314" s="8">
        <v>156</v>
      </c>
      <c r="B314" s="8">
        <v>312</v>
      </c>
      <c r="D314">
        <v>1559.0134854772</v>
      </c>
      <c r="E314">
        <v>304.14004149378002</v>
      </c>
      <c r="F314">
        <v>137.61594963274001</v>
      </c>
      <c r="G314">
        <v>116.33263378804</v>
      </c>
      <c r="I314" s="9">
        <f t="shared" si="44"/>
        <v>187.80740770574002</v>
      </c>
      <c r="J314" s="9">
        <f t="shared" si="45"/>
        <v>1421.39753584446</v>
      </c>
      <c r="K314" s="9">
        <f t="shared" si="31"/>
        <v>187.80740770574002</v>
      </c>
      <c r="L314" s="10">
        <f t="shared" si="30"/>
        <v>0.13212869937484634</v>
      </c>
      <c r="M314" s="10">
        <f t="shared" si="46"/>
        <v>0.13855066547970887</v>
      </c>
      <c r="P314" s="8">
        <f t="shared" si="47"/>
        <v>-1.2815020368332497</v>
      </c>
    </row>
    <row r="315" spans="1:16" x14ac:dyDescent="0.2">
      <c r="A315" s="8">
        <v>156.5</v>
      </c>
      <c r="B315" s="8">
        <v>313</v>
      </c>
      <c r="D315">
        <v>1543.7064315353</v>
      </c>
      <c r="E315">
        <v>303.23443983403001</v>
      </c>
      <c r="F315">
        <v>138.05351521511</v>
      </c>
      <c r="G315">
        <v>116.41657922351</v>
      </c>
      <c r="I315" s="9">
        <f t="shared" si="44"/>
        <v>186.81786061052003</v>
      </c>
      <c r="J315" s="9">
        <f t="shared" si="45"/>
        <v>1405.6529163201899</v>
      </c>
      <c r="K315" s="9">
        <f t="shared" si="31"/>
        <v>186.81786061052003</v>
      </c>
      <c r="L315" s="10">
        <f t="shared" si="30"/>
        <v>0.1329046868124345</v>
      </c>
      <c r="M315" s="10">
        <f t="shared" si="46"/>
        <v>0.13934723614199213</v>
      </c>
      <c r="P315" s="8">
        <f t="shared" si="47"/>
        <v>-0.71393883509861689</v>
      </c>
    </row>
    <row r="316" spans="1:16" x14ac:dyDescent="0.2">
      <c r="A316" s="8">
        <v>157</v>
      </c>
      <c r="B316" s="8">
        <v>314</v>
      </c>
      <c r="D316">
        <v>1550.5746887967</v>
      </c>
      <c r="E316">
        <v>305.18568464729998</v>
      </c>
      <c r="F316">
        <v>137.78908709339001</v>
      </c>
      <c r="G316">
        <v>116.4018887723</v>
      </c>
      <c r="I316" s="9">
        <f t="shared" si="44"/>
        <v>188.78379587499998</v>
      </c>
      <c r="J316" s="9">
        <f t="shared" si="45"/>
        <v>1412.78560170331</v>
      </c>
      <c r="K316" s="9">
        <f t="shared" si="31"/>
        <v>188.78379587499998</v>
      </c>
      <c r="L316" s="10">
        <f t="shared" si="30"/>
        <v>0.13362522639485763</v>
      </c>
      <c r="M316" s="10">
        <f t="shared" si="46"/>
        <v>0.14008835894911031</v>
      </c>
      <c r="P316" s="8">
        <f t="shared" si="47"/>
        <v>-0.18588268992139881</v>
      </c>
    </row>
    <row r="317" spans="1:16" x14ac:dyDescent="0.2">
      <c r="A317" s="8">
        <v>157.5</v>
      </c>
      <c r="B317" s="8">
        <v>315</v>
      </c>
      <c r="D317">
        <v>1545.1338174273999</v>
      </c>
      <c r="E317">
        <v>304.34647302905</v>
      </c>
      <c r="F317">
        <v>137.50996852046001</v>
      </c>
      <c r="G317">
        <v>116.42497376705001</v>
      </c>
      <c r="I317" s="9">
        <f t="shared" si="44"/>
        <v>187.921499262</v>
      </c>
      <c r="J317" s="9">
        <f t="shared" si="45"/>
        <v>1407.6238489069399</v>
      </c>
      <c r="K317" s="9">
        <f t="shared" si="31"/>
        <v>187.921499262</v>
      </c>
      <c r="L317" s="10">
        <f t="shared" si="30"/>
        <v>0.13350263950694385</v>
      </c>
      <c r="M317" s="10">
        <f t="shared" si="46"/>
        <v>0.13998635528589162</v>
      </c>
      <c r="P317" s="8">
        <f t="shared" si="47"/>
        <v>-0.25856114573989269</v>
      </c>
    </row>
    <row r="318" spans="1:16" x14ac:dyDescent="0.2">
      <c r="A318" s="8">
        <v>158</v>
      </c>
      <c r="B318" s="8">
        <v>316</v>
      </c>
      <c r="D318">
        <v>1548.2230290456</v>
      </c>
      <c r="E318">
        <v>303.43672199169998</v>
      </c>
      <c r="F318">
        <v>137.65372507870001</v>
      </c>
      <c r="G318">
        <v>116.33263378804</v>
      </c>
      <c r="I318" s="9">
        <f t="shared" si="44"/>
        <v>187.10408820365998</v>
      </c>
      <c r="J318" s="9">
        <f t="shared" si="45"/>
        <v>1410.5693039669</v>
      </c>
      <c r="K318" s="9">
        <f t="shared" si="31"/>
        <v>187.10408820365998</v>
      </c>
      <c r="L318" s="10">
        <f t="shared" si="30"/>
        <v>0.13264437817941521</v>
      </c>
      <c r="M318" s="10">
        <f t="shared" si="46"/>
        <v>0.13914867718305804</v>
      </c>
      <c r="P318" s="8">
        <f t="shared" si="47"/>
        <v>-0.85541373971373613</v>
      </c>
    </row>
    <row r="319" spans="1:16" x14ac:dyDescent="0.2">
      <c r="A319" s="8">
        <v>158.5</v>
      </c>
      <c r="B319" s="8">
        <v>317</v>
      </c>
      <c r="D319">
        <v>1544.0643153527001</v>
      </c>
      <c r="E319">
        <v>305.49273858920998</v>
      </c>
      <c r="F319">
        <v>137.68205666316999</v>
      </c>
      <c r="G319">
        <v>116.64847848898</v>
      </c>
      <c r="I319" s="9">
        <f t="shared" si="44"/>
        <v>188.84426010022997</v>
      </c>
      <c r="J319" s="9">
        <f t="shared" si="45"/>
        <v>1406.3822586895301</v>
      </c>
      <c r="K319" s="9">
        <f t="shared" si="31"/>
        <v>188.84426010022997</v>
      </c>
      <c r="L319" s="10">
        <f t="shared" si="30"/>
        <v>0.1342766228267096</v>
      </c>
      <c r="M319" s="10">
        <f t="shared" si="46"/>
        <v>0.14080150505504752</v>
      </c>
      <c r="P319" s="8">
        <f t="shared" si="47"/>
        <v>0.32223982369231086</v>
      </c>
    </row>
    <row r="320" spans="1:16" x14ac:dyDescent="0.2">
      <c r="A320" s="8">
        <v>159</v>
      </c>
      <c r="B320" s="8">
        <v>318</v>
      </c>
      <c r="D320">
        <v>1549.0684647303001</v>
      </c>
      <c r="E320">
        <v>305.08817427385998</v>
      </c>
      <c r="F320">
        <v>137.86568730325001</v>
      </c>
      <c r="G320">
        <v>116.53305351522</v>
      </c>
      <c r="I320" s="9">
        <f>E320-G320</f>
        <v>188.55512075863999</v>
      </c>
      <c r="J320" s="9">
        <f>D320-F320</f>
        <v>1411.20277742705</v>
      </c>
      <c r="K320" s="9">
        <f t="shared" si="31"/>
        <v>188.55512075863999</v>
      </c>
      <c r="L320" s="10">
        <f t="shared" si="30"/>
        <v>0.13361305956499017</v>
      </c>
      <c r="M320" s="10">
        <f>L320+ABS($N$2)*A320</f>
        <v>0.14015852501802314</v>
      </c>
      <c r="O320" s="11"/>
      <c r="P320" s="8">
        <f>(M320-$O$2)/$O$2*100</f>
        <v>-0.13588878403092811</v>
      </c>
    </row>
    <row r="321" spans="1:16" x14ac:dyDescent="0.2">
      <c r="A321" s="8">
        <v>159.5</v>
      </c>
      <c r="B321" s="8">
        <v>319</v>
      </c>
      <c r="D321">
        <v>1550.9595435685001</v>
      </c>
      <c r="E321">
        <v>306.05082987551998</v>
      </c>
      <c r="F321">
        <v>138.01259181532001</v>
      </c>
      <c r="G321">
        <v>116.4575026233</v>
      </c>
      <c r="I321" s="9">
        <f t="shared" ref="I321" si="48">E321-G321</f>
        <v>189.59332725221998</v>
      </c>
      <c r="J321" s="9">
        <f t="shared" ref="J321" si="49">D321-F321</f>
        <v>1412.94695175318</v>
      </c>
      <c r="K321" s="9">
        <f t="shared" si="31"/>
        <v>189.59332725221998</v>
      </c>
      <c r="L321" s="10">
        <f t="shared" si="30"/>
        <v>0.13418290546362918</v>
      </c>
      <c r="M321" s="10">
        <f t="shared" ref="M321" si="50">L321+ABS($N$2)*A321</f>
        <v>0.14074895414135724</v>
      </c>
      <c r="P321" s="8">
        <f t="shared" ref="P321" si="51">(M321-$O$2)/$O$2*100</f>
        <v>0.28479686195600878</v>
      </c>
    </row>
    <row r="322" spans="1:16" x14ac:dyDescent="0.2">
      <c r="A322" s="8">
        <v>160</v>
      </c>
      <c r="D322">
        <v>1567.5975103733999</v>
      </c>
      <c r="E322">
        <v>309.73443983403001</v>
      </c>
      <c r="F322">
        <v>137.33158447009001</v>
      </c>
      <c r="G322">
        <v>116.39244491081</v>
      </c>
      <c r="I322" s="9"/>
      <c r="J322" s="9"/>
      <c r="K322" s="9"/>
      <c r="L322" s="10"/>
      <c r="M322" s="10"/>
      <c r="N322" s="1"/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34D1-D68D-1349-9D4F-EA5D0FFD2E43}">
  <dimension ref="A1:Y798"/>
  <sheetViews>
    <sheetView zoomScale="50" zoomScaleNormal="70" workbookViewId="0">
      <selection activeCell="P2" sqref="P2:P321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1126.3727369542</v>
      </c>
      <c r="E2">
        <v>359.48242811502001</v>
      </c>
      <c r="F2">
        <v>137.17055084745999</v>
      </c>
      <c r="G2">
        <v>115.80826271186</v>
      </c>
      <c r="H2" s="4"/>
      <c r="I2" s="5">
        <f>E2-G2</f>
        <v>243.67416540316003</v>
      </c>
      <c r="J2" s="5">
        <f>D2-F2</f>
        <v>989.2021861067401</v>
      </c>
      <c r="K2" s="9">
        <f>I2*1</f>
        <v>243.67416540316003</v>
      </c>
      <c r="L2" s="6">
        <f t="shared" ref="L2:L65" si="0">K2/J2</f>
        <v>0.24633403446286592</v>
      </c>
      <c r="M2" s="6">
        <f>L2+ABS($N$2)*A2</f>
        <v>0.24633403446286592</v>
      </c>
      <c r="N2" s="4">
        <f>LINEST(V64:V103,U64:U103)</f>
        <v>-5.1117291085493136E-4</v>
      </c>
      <c r="O2" s="7">
        <f>AVERAGE(M62:M81)</f>
        <v>0.29355053198950709</v>
      </c>
      <c r="P2" s="4">
        <f>(M2-$O$2)/$O$2*100</f>
        <v>-16.084623388905634</v>
      </c>
    </row>
    <row r="3" spans="1:16" x14ac:dyDescent="0.2">
      <c r="A3" s="8">
        <v>0.5</v>
      </c>
      <c r="B3" s="8">
        <v>1</v>
      </c>
      <c r="D3">
        <v>1103.3216187433</v>
      </c>
      <c r="E3">
        <v>355.77209797657002</v>
      </c>
      <c r="F3">
        <v>136.88559322034001</v>
      </c>
      <c r="G3">
        <v>115.73411016948999</v>
      </c>
      <c r="I3" s="9">
        <f t="shared" ref="I3:I66" si="1">E3-G3</f>
        <v>240.03798780708001</v>
      </c>
      <c r="J3" s="9">
        <f t="shared" ref="J3:J66" si="2">D3-F3</f>
        <v>966.43602552295988</v>
      </c>
      <c r="K3" s="9">
        <f t="shared" ref="K3:K66" si="3">I3*1</f>
        <v>240.03798780708001</v>
      </c>
      <c r="L3" s="10">
        <f t="shared" si="0"/>
        <v>0.24837442051809913</v>
      </c>
      <c r="M3" s="10">
        <f t="shared" ref="M3:M66" si="4">L3+ABS($N$2)*A3</f>
        <v>0.24863000697352661</v>
      </c>
      <c r="P3" s="8">
        <f t="shared" ref="P3:P66" si="5">(M3-$O$2)/$O$2*100</f>
        <v>-15.30248462216589</v>
      </c>
    </row>
    <row r="4" spans="1:16" ht="16" x14ac:dyDescent="0.2">
      <c r="A4" s="8">
        <v>1</v>
      </c>
      <c r="B4" s="8">
        <v>2</v>
      </c>
      <c r="D4">
        <v>1102.4238551650999</v>
      </c>
      <c r="E4">
        <v>359.98828541001001</v>
      </c>
      <c r="F4">
        <v>137.24152542373</v>
      </c>
      <c r="G4">
        <v>115.8125</v>
      </c>
      <c r="I4" s="9">
        <f t="shared" si="1"/>
        <v>244.17578541001001</v>
      </c>
      <c r="J4" s="9">
        <f t="shared" si="2"/>
        <v>965.18232974136993</v>
      </c>
      <c r="K4" s="9">
        <f t="shared" si="3"/>
        <v>244.17578541001001</v>
      </c>
      <c r="L4" s="10">
        <f t="shared" si="0"/>
        <v>0.25298410247050346</v>
      </c>
      <c r="M4" s="10">
        <f t="shared" si="4"/>
        <v>0.25349527538135841</v>
      </c>
      <c r="N4" s="1" t="s">
        <v>7</v>
      </c>
      <c r="P4" s="8">
        <f t="shared" si="5"/>
        <v>-13.645097604381263</v>
      </c>
    </row>
    <row r="5" spans="1:16" x14ac:dyDescent="0.2">
      <c r="A5" s="8">
        <v>1.5</v>
      </c>
      <c r="B5" s="8">
        <v>3</v>
      </c>
      <c r="D5">
        <v>1105.3599574015</v>
      </c>
      <c r="E5">
        <v>364.74227902023</v>
      </c>
      <c r="F5">
        <v>136.73622881355999</v>
      </c>
      <c r="G5">
        <v>115.60275423729</v>
      </c>
      <c r="I5" s="9">
        <f t="shared" si="1"/>
        <v>249.13952478293999</v>
      </c>
      <c r="J5" s="9">
        <f t="shared" si="2"/>
        <v>968.62372858793992</v>
      </c>
      <c r="K5" s="9">
        <f t="shared" si="3"/>
        <v>249.13952478293999</v>
      </c>
      <c r="L5" s="10">
        <f t="shared" si="0"/>
        <v>0.25720980957810696</v>
      </c>
      <c r="M5" s="10">
        <f t="shared" si="4"/>
        <v>0.25797656894438936</v>
      </c>
      <c r="N5" s="8">
        <f>RSQ(V64:V83,U64:U83)</f>
        <v>0.84606113621039425</v>
      </c>
      <c r="P5" s="8">
        <f t="shared" si="5"/>
        <v>-12.11851424830302</v>
      </c>
    </row>
    <row r="6" spans="1:16" x14ac:dyDescent="0.2">
      <c r="A6" s="8">
        <v>2</v>
      </c>
      <c r="B6" s="8">
        <v>4</v>
      </c>
      <c r="D6">
        <v>1111.4643237487001</v>
      </c>
      <c r="E6">
        <v>368.88178913738</v>
      </c>
      <c r="F6">
        <v>136.93644067797001</v>
      </c>
      <c r="G6">
        <v>116.04131355932</v>
      </c>
      <c r="I6" s="9">
        <f t="shared" si="1"/>
        <v>252.84047557805999</v>
      </c>
      <c r="J6" s="9">
        <f t="shared" si="2"/>
        <v>974.52788307073001</v>
      </c>
      <c r="K6" s="9">
        <f t="shared" si="3"/>
        <v>252.84047557805999</v>
      </c>
      <c r="L6" s="10">
        <f t="shared" si="0"/>
        <v>0.25944919583148462</v>
      </c>
      <c r="M6" s="10">
        <f t="shared" si="4"/>
        <v>0.26047154165319447</v>
      </c>
      <c r="P6" s="8">
        <f t="shared" si="5"/>
        <v>-11.268584700604467</v>
      </c>
    </row>
    <row r="7" spans="1:16" x14ac:dyDescent="0.2">
      <c r="A7" s="8">
        <v>2.5</v>
      </c>
      <c r="B7" s="8">
        <v>5</v>
      </c>
      <c r="D7">
        <v>1110.618743344</v>
      </c>
      <c r="E7">
        <v>369.38125665602001</v>
      </c>
      <c r="F7">
        <v>136.79978813559001</v>
      </c>
      <c r="G7">
        <v>116.00847457627</v>
      </c>
      <c r="I7" s="9">
        <f t="shared" si="1"/>
        <v>253.37278207975001</v>
      </c>
      <c r="J7" s="9">
        <f t="shared" si="2"/>
        <v>973.81895520840999</v>
      </c>
      <c r="K7" s="9">
        <f t="shared" si="3"/>
        <v>253.37278207975001</v>
      </c>
      <c r="L7" s="10">
        <f t="shared" si="0"/>
        <v>0.26018468907860282</v>
      </c>
      <c r="M7" s="10">
        <f t="shared" si="4"/>
        <v>0.26146262135574017</v>
      </c>
      <c r="P7" s="8">
        <f t="shared" si="5"/>
        <v>-10.930966609494648</v>
      </c>
    </row>
    <row r="8" spans="1:16" x14ac:dyDescent="0.2">
      <c r="A8" s="8">
        <v>3</v>
      </c>
      <c r="B8" s="8">
        <v>6</v>
      </c>
      <c r="D8">
        <v>1098.2768903087999</v>
      </c>
      <c r="E8">
        <v>366.89456869010002</v>
      </c>
      <c r="F8">
        <v>137.08792372881001</v>
      </c>
      <c r="G8">
        <v>115.80402542373</v>
      </c>
      <c r="I8" s="9">
        <f t="shared" si="1"/>
        <v>251.09054326637002</v>
      </c>
      <c r="J8" s="9">
        <f t="shared" si="2"/>
        <v>961.18896657998994</v>
      </c>
      <c r="K8" s="9">
        <f t="shared" si="3"/>
        <v>251.09054326637002</v>
      </c>
      <c r="L8" s="10">
        <f t="shared" si="0"/>
        <v>0.26122911518613889</v>
      </c>
      <c r="M8" s="10">
        <f t="shared" si="4"/>
        <v>0.26276263391870369</v>
      </c>
      <c r="P8" s="8">
        <f t="shared" si="5"/>
        <v>-10.488108422812841</v>
      </c>
    </row>
    <row r="9" spans="1:16" x14ac:dyDescent="0.2">
      <c r="A9" s="8">
        <v>3.5</v>
      </c>
      <c r="B9" s="8">
        <v>7</v>
      </c>
      <c r="D9">
        <v>1111.5303514376999</v>
      </c>
      <c r="E9">
        <v>372.47284345048001</v>
      </c>
      <c r="F9">
        <v>137.17161016949001</v>
      </c>
      <c r="G9">
        <v>115.91207627119</v>
      </c>
      <c r="I9" s="9">
        <f t="shared" si="1"/>
        <v>256.56076717929</v>
      </c>
      <c r="J9" s="9">
        <f t="shared" si="2"/>
        <v>974.35874126820988</v>
      </c>
      <c r="K9" s="9">
        <f t="shared" si="3"/>
        <v>256.56076717929</v>
      </c>
      <c r="L9" s="10">
        <f t="shared" si="0"/>
        <v>0.26331242930643245</v>
      </c>
      <c r="M9" s="10">
        <f t="shared" si="4"/>
        <v>0.2651015344944247</v>
      </c>
      <c r="P9" s="8">
        <f t="shared" si="5"/>
        <v>-9.691345916586279</v>
      </c>
    </row>
    <row r="10" spans="1:16" x14ac:dyDescent="0.2">
      <c r="A10" s="8">
        <v>4</v>
      </c>
      <c r="B10" s="8">
        <v>8</v>
      </c>
      <c r="D10">
        <v>981.52609158679002</v>
      </c>
      <c r="E10">
        <v>349.16932907348001</v>
      </c>
      <c r="F10">
        <v>136.78707627118999</v>
      </c>
      <c r="G10">
        <v>116.04978813559001</v>
      </c>
      <c r="I10" s="9">
        <f t="shared" si="1"/>
        <v>233.11954093789001</v>
      </c>
      <c r="J10" s="9">
        <f t="shared" si="2"/>
        <v>844.7390153156</v>
      </c>
      <c r="K10" s="9">
        <f t="shared" si="3"/>
        <v>233.11954093789001</v>
      </c>
      <c r="L10" s="10">
        <f t="shared" si="0"/>
        <v>0.27596634784389001</v>
      </c>
      <c r="M10" s="10">
        <f t="shared" si="4"/>
        <v>0.27801103948730976</v>
      </c>
      <c r="P10" s="8">
        <f t="shared" si="5"/>
        <v>-5.2936345905694981</v>
      </c>
    </row>
    <row r="11" spans="1:16" x14ac:dyDescent="0.2">
      <c r="A11" s="8">
        <v>4.5</v>
      </c>
      <c r="B11" s="8">
        <v>9</v>
      </c>
      <c r="D11">
        <v>995.39403620872997</v>
      </c>
      <c r="E11">
        <v>352.71458998934997</v>
      </c>
      <c r="F11">
        <v>137.28707627118999</v>
      </c>
      <c r="G11">
        <v>116.39300847458</v>
      </c>
      <c r="I11" s="9">
        <f t="shared" si="1"/>
        <v>236.32158151476997</v>
      </c>
      <c r="J11" s="9">
        <f t="shared" si="2"/>
        <v>858.10695993753995</v>
      </c>
      <c r="K11" s="9">
        <f t="shared" si="3"/>
        <v>236.32158151476997</v>
      </c>
      <c r="L11" s="10">
        <f t="shared" si="0"/>
        <v>0.27539874694871536</v>
      </c>
      <c r="M11" s="10">
        <f t="shared" si="4"/>
        <v>0.27769902504756255</v>
      </c>
      <c r="P11" s="8">
        <f t="shared" si="5"/>
        <v>-5.3999244472536487</v>
      </c>
    </row>
    <row r="12" spans="1:16" x14ac:dyDescent="0.2">
      <c r="A12" s="8">
        <v>5</v>
      </c>
      <c r="B12" s="8">
        <v>10</v>
      </c>
      <c r="D12">
        <v>1277.2790202343001</v>
      </c>
      <c r="E12">
        <v>415.94355697550998</v>
      </c>
      <c r="F12">
        <v>136.85381355932</v>
      </c>
      <c r="G12">
        <v>115.89300847458</v>
      </c>
      <c r="I12" s="9">
        <f t="shared" si="1"/>
        <v>300.05054850092995</v>
      </c>
      <c r="J12" s="9">
        <f t="shared" si="2"/>
        <v>1140.42520667498</v>
      </c>
      <c r="K12" s="9">
        <f t="shared" si="3"/>
        <v>300.05054850092995</v>
      </c>
      <c r="L12" s="10">
        <f t="shared" si="0"/>
        <v>0.26310410077286556</v>
      </c>
      <c r="M12" s="10">
        <f t="shared" si="4"/>
        <v>0.2656599653271402</v>
      </c>
      <c r="P12" s="8">
        <f t="shared" si="5"/>
        <v>-9.5011126273018753</v>
      </c>
    </row>
    <row r="13" spans="1:16" x14ac:dyDescent="0.2">
      <c r="A13" s="8">
        <v>5.5</v>
      </c>
      <c r="B13" s="8">
        <v>11</v>
      </c>
      <c r="D13">
        <v>1270.7507987219999</v>
      </c>
      <c r="E13">
        <v>416.38764643238</v>
      </c>
      <c r="F13">
        <v>136.64406779660999</v>
      </c>
      <c r="G13">
        <v>115.74364406780001</v>
      </c>
      <c r="I13" s="9">
        <f t="shared" si="1"/>
        <v>300.64400236457999</v>
      </c>
      <c r="J13" s="9">
        <f t="shared" si="2"/>
        <v>1134.1067309253899</v>
      </c>
      <c r="K13" s="9">
        <f t="shared" si="3"/>
        <v>300.64400236457999</v>
      </c>
      <c r="L13" s="10">
        <f t="shared" si="0"/>
        <v>0.26509321756627385</v>
      </c>
      <c r="M13" s="10">
        <f t="shared" si="4"/>
        <v>0.267904668575976</v>
      </c>
      <c r="P13" s="8">
        <f t="shared" si="5"/>
        <v>-8.7364390858769756</v>
      </c>
    </row>
    <row r="14" spans="1:16" x14ac:dyDescent="0.2">
      <c r="A14" s="8">
        <v>6</v>
      </c>
      <c r="B14" s="8">
        <v>12</v>
      </c>
      <c r="D14">
        <v>1257.8924387646</v>
      </c>
      <c r="E14">
        <v>411.74121405750998</v>
      </c>
      <c r="F14">
        <v>137.28919491524999</v>
      </c>
      <c r="G14">
        <v>115.79978813559001</v>
      </c>
      <c r="I14" s="9">
        <f t="shared" si="1"/>
        <v>295.94142592191997</v>
      </c>
      <c r="J14" s="9">
        <f t="shared" si="2"/>
        <v>1120.6032438493501</v>
      </c>
      <c r="K14" s="9">
        <f t="shared" si="3"/>
        <v>295.94142592191997</v>
      </c>
      <c r="L14" s="10">
        <f t="shared" si="0"/>
        <v>0.26409117370153296</v>
      </c>
      <c r="M14" s="10">
        <f t="shared" si="4"/>
        <v>0.26715821116666255</v>
      </c>
      <c r="P14" s="8">
        <f t="shared" si="5"/>
        <v>-8.9907249167540026</v>
      </c>
    </row>
    <row r="15" spans="1:16" x14ac:dyDescent="0.2">
      <c r="A15" s="8">
        <v>6.5</v>
      </c>
      <c r="B15" s="8">
        <v>13</v>
      </c>
      <c r="D15">
        <v>1253.3290734824</v>
      </c>
      <c r="E15">
        <v>411.66879659211997</v>
      </c>
      <c r="F15">
        <v>136.94809322034001</v>
      </c>
      <c r="G15">
        <v>115.86864406780001</v>
      </c>
      <c r="I15" s="9">
        <f t="shared" si="1"/>
        <v>295.80015252431997</v>
      </c>
      <c r="J15" s="9">
        <f t="shared" si="2"/>
        <v>1116.3809802620599</v>
      </c>
      <c r="K15" s="9">
        <f t="shared" si="3"/>
        <v>295.80015252431997</v>
      </c>
      <c r="L15" s="10">
        <f t="shared" si="0"/>
        <v>0.26496344684668821</v>
      </c>
      <c r="M15" s="10">
        <f t="shared" si="4"/>
        <v>0.26828607076724525</v>
      </c>
      <c r="P15" s="8">
        <f t="shared" si="5"/>
        <v>-8.606511816222806</v>
      </c>
    </row>
    <row r="16" spans="1:16" x14ac:dyDescent="0.2">
      <c r="A16" s="8">
        <v>7</v>
      </c>
      <c r="B16" s="8">
        <v>14</v>
      </c>
      <c r="D16">
        <v>1254.3315565032001</v>
      </c>
      <c r="E16">
        <v>415.99040511726997</v>
      </c>
      <c r="F16">
        <v>136.97351694915</v>
      </c>
      <c r="G16">
        <v>116.10169491524999</v>
      </c>
      <c r="I16" s="9">
        <f t="shared" si="1"/>
        <v>299.88871020201998</v>
      </c>
      <c r="J16" s="9">
        <f t="shared" si="2"/>
        <v>1117.35803955405</v>
      </c>
      <c r="K16" s="9">
        <f t="shared" si="3"/>
        <v>299.88871020201998</v>
      </c>
      <c r="L16" s="10">
        <f t="shared" si="0"/>
        <v>0.26839088240838976</v>
      </c>
      <c r="M16" s="10">
        <f t="shared" si="4"/>
        <v>0.27196909278437431</v>
      </c>
      <c r="P16" s="8">
        <f t="shared" si="5"/>
        <v>-7.3518651316578794</v>
      </c>
    </row>
    <row r="17" spans="1:16" x14ac:dyDescent="0.2">
      <c r="A17" s="8">
        <v>7.5</v>
      </c>
      <c r="B17" s="8">
        <v>15</v>
      </c>
      <c r="D17">
        <v>1248.6343283582</v>
      </c>
      <c r="E17">
        <v>415.31449893389998</v>
      </c>
      <c r="F17">
        <v>137.15783898305</v>
      </c>
      <c r="G17">
        <v>115.90572033898</v>
      </c>
      <c r="I17" s="9">
        <f t="shared" si="1"/>
        <v>299.40877859491997</v>
      </c>
      <c r="J17" s="9">
        <f t="shared" si="2"/>
        <v>1111.4764893751501</v>
      </c>
      <c r="K17" s="9">
        <f t="shared" si="3"/>
        <v>299.40877859491997</v>
      </c>
      <c r="L17" s="10">
        <f t="shared" si="0"/>
        <v>0.26937931792263248</v>
      </c>
      <c r="M17" s="10">
        <f t="shared" si="4"/>
        <v>0.27321311475404447</v>
      </c>
      <c r="P17" s="8">
        <f t="shared" si="5"/>
        <v>-6.9280805242041179</v>
      </c>
    </row>
    <row r="18" spans="1:16" x14ac:dyDescent="0.2">
      <c r="A18" s="8">
        <v>8</v>
      </c>
      <c r="B18" s="8">
        <v>16</v>
      </c>
      <c r="D18">
        <v>1182.5095948827</v>
      </c>
      <c r="E18">
        <v>396.91471215351999</v>
      </c>
      <c r="F18">
        <v>137.25105932202999</v>
      </c>
      <c r="G18">
        <v>115.85169491524999</v>
      </c>
      <c r="I18" s="9">
        <f t="shared" si="1"/>
        <v>281.06301723826999</v>
      </c>
      <c r="J18" s="9">
        <f t="shared" si="2"/>
        <v>1045.25853556067</v>
      </c>
      <c r="K18" s="9">
        <f t="shared" si="3"/>
        <v>281.06301723826999</v>
      </c>
      <c r="L18" s="10">
        <f t="shared" si="0"/>
        <v>0.26889330024701458</v>
      </c>
      <c r="M18" s="10">
        <f t="shared" si="4"/>
        <v>0.27298268353385402</v>
      </c>
      <c r="P18" s="8">
        <f t="shared" si="5"/>
        <v>-7.0065784981742985</v>
      </c>
    </row>
    <row r="19" spans="1:16" x14ac:dyDescent="0.2">
      <c r="A19" s="8">
        <v>8.5</v>
      </c>
      <c r="B19" s="8">
        <v>17</v>
      </c>
      <c r="D19">
        <v>1210.2377398721001</v>
      </c>
      <c r="E19">
        <v>404.24840085288002</v>
      </c>
      <c r="F19">
        <v>136.89194915254001</v>
      </c>
      <c r="G19">
        <v>116.13665254237</v>
      </c>
      <c r="I19" s="9">
        <f t="shared" si="1"/>
        <v>288.11174831051005</v>
      </c>
      <c r="J19" s="9">
        <f t="shared" si="2"/>
        <v>1073.34579071956</v>
      </c>
      <c r="K19" s="9">
        <f t="shared" si="3"/>
        <v>288.11174831051005</v>
      </c>
      <c r="L19" s="10">
        <f t="shared" si="0"/>
        <v>0.26842397930061562</v>
      </c>
      <c r="M19" s="10">
        <f t="shared" si="4"/>
        <v>0.27276894904288251</v>
      </c>
      <c r="P19" s="8">
        <f t="shared" si="5"/>
        <v>-7.0793886169374796</v>
      </c>
    </row>
    <row r="20" spans="1:16" x14ac:dyDescent="0.2">
      <c r="A20" s="8">
        <v>9</v>
      </c>
      <c r="B20" s="8">
        <v>18</v>
      </c>
      <c r="D20">
        <v>1243.1918976546001</v>
      </c>
      <c r="E20">
        <v>410.05543710020999</v>
      </c>
      <c r="F20">
        <v>137.57944915254001</v>
      </c>
      <c r="G20">
        <v>115.97033898305</v>
      </c>
      <c r="I20" s="9">
        <f t="shared" si="1"/>
        <v>294.08509811715999</v>
      </c>
      <c r="J20" s="9">
        <f t="shared" si="2"/>
        <v>1105.61244850206</v>
      </c>
      <c r="K20" s="9">
        <f t="shared" si="3"/>
        <v>294.08509811715999</v>
      </c>
      <c r="L20" s="10">
        <f t="shared" si="0"/>
        <v>0.2659929331617073</v>
      </c>
      <c r="M20" s="10">
        <f t="shared" si="4"/>
        <v>0.2705934893594017</v>
      </c>
      <c r="P20" s="8">
        <f t="shared" si="5"/>
        <v>-7.820473863398071</v>
      </c>
    </row>
    <row r="21" spans="1:16" x14ac:dyDescent="0.2">
      <c r="A21" s="8">
        <v>9.5</v>
      </c>
      <c r="B21" s="8">
        <v>19</v>
      </c>
      <c r="D21">
        <v>1206.9572192513001</v>
      </c>
      <c r="E21">
        <v>407.63636363635999</v>
      </c>
      <c r="F21">
        <v>136.91207627118999</v>
      </c>
      <c r="G21">
        <v>116.32521186440999</v>
      </c>
      <c r="I21" s="9">
        <f t="shared" si="1"/>
        <v>291.31115177194999</v>
      </c>
      <c r="J21" s="9">
        <f t="shared" si="2"/>
        <v>1070.0451429801101</v>
      </c>
      <c r="K21" s="9">
        <f t="shared" si="3"/>
        <v>291.31115177194999</v>
      </c>
      <c r="L21" s="10">
        <f t="shared" si="0"/>
        <v>0.27224192706546857</v>
      </c>
      <c r="M21" s="10">
        <f t="shared" si="4"/>
        <v>0.27709806971859041</v>
      </c>
      <c r="P21" s="8">
        <f t="shared" si="5"/>
        <v>-5.6046439975468241</v>
      </c>
    </row>
    <row r="22" spans="1:16" x14ac:dyDescent="0.2">
      <c r="A22" s="8">
        <v>10</v>
      </c>
      <c r="B22" s="8">
        <v>20</v>
      </c>
      <c r="D22">
        <v>1218.0513368984</v>
      </c>
      <c r="E22">
        <v>411.98502673796997</v>
      </c>
      <c r="F22">
        <v>137.23516949153</v>
      </c>
      <c r="G22">
        <v>115.74364406780001</v>
      </c>
      <c r="I22" s="9">
        <f t="shared" si="1"/>
        <v>296.24138267016997</v>
      </c>
      <c r="J22" s="9">
        <f t="shared" si="2"/>
        <v>1080.8161674068699</v>
      </c>
      <c r="K22" s="9">
        <f t="shared" si="3"/>
        <v>296.24138267016997</v>
      </c>
      <c r="L22" s="10">
        <f t="shared" si="0"/>
        <v>0.27409044350337775</v>
      </c>
      <c r="M22" s="10">
        <f t="shared" si="4"/>
        <v>0.27920217261192704</v>
      </c>
      <c r="P22" s="8">
        <f t="shared" si="5"/>
        <v>-4.8878669305538631</v>
      </c>
    </row>
    <row r="23" spans="1:16" x14ac:dyDescent="0.2">
      <c r="A23" s="8">
        <v>10.5</v>
      </c>
      <c r="B23" s="8">
        <v>21</v>
      </c>
      <c r="D23">
        <v>1243.9871657753999</v>
      </c>
      <c r="E23">
        <v>420.33155080213999</v>
      </c>
      <c r="F23">
        <v>137.66949152542</v>
      </c>
      <c r="G23">
        <v>115.61122881356</v>
      </c>
      <c r="I23" s="9">
        <f t="shared" si="1"/>
        <v>304.72032198858</v>
      </c>
      <c r="J23" s="9">
        <f t="shared" si="2"/>
        <v>1106.31767424998</v>
      </c>
      <c r="K23" s="9">
        <f t="shared" si="3"/>
        <v>304.72032198858</v>
      </c>
      <c r="L23" s="10">
        <f t="shared" si="0"/>
        <v>0.27543654872472584</v>
      </c>
      <c r="M23" s="10">
        <f t="shared" si="4"/>
        <v>0.28080386428870263</v>
      </c>
      <c r="P23" s="8">
        <f t="shared" si="5"/>
        <v>-4.3422396867807711</v>
      </c>
    </row>
    <row r="24" spans="1:16" x14ac:dyDescent="0.2">
      <c r="A24" s="8">
        <v>11</v>
      </c>
      <c r="B24" s="8">
        <v>22</v>
      </c>
      <c r="D24">
        <v>1177.6119402985</v>
      </c>
      <c r="E24">
        <v>401.69936034115</v>
      </c>
      <c r="F24">
        <v>136.92478813559001</v>
      </c>
      <c r="G24">
        <v>115.97775423729</v>
      </c>
      <c r="I24" s="9">
        <f t="shared" si="1"/>
        <v>285.72160610385998</v>
      </c>
      <c r="J24" s="9">
        <f t="shared" si="2"/>
        <v>1040.68715216291</v>
      </c>
      <c r="K24" s="9">
        <f t="shared" si="3"/>
        <v>285.72160610385998</v>
      </c>
      <c r="L24" s="10">
        <f t="shared" si="0"/>
        <v>0.27455091139544779</v>
      </c>
      <c r="M24" s="10">
        <f t="shared" si="4"/>
        <v>0.28017381341485204</v>
      </c>
      <c r="P24" s="8">
        <f t="shared" si="5"/>
        <v>-4.5568708337865331</v>
      </c>
    </row>
    <row r="25" spans="1:16" x14ac:dyDescent="0.2">
      <c r="A25" s="8">
        <v>11.5</v>
      </c>
      <c r="B25" s="8">
        <v>23</v>
      </c>
      <c r="D25">
        <v>1131.1811440678</v>
      </c>
      <c r="E25">
        <v>395.35593220339001</v>
      </c>
      <c r="F25">
        <v>136.8125</v>
      </c>
      <c r="G25">
        <v>116.26165254237</v>
      </c>
      <c r="I25" s="9">
        <f t="shared" si="1"/>
        <v>279.09427966101998</v>
      </c>
      <c r="J25" s="9">
        <f t="shared" si="2"/>
        <v>994.36864406780001</v>
      </c>
      <c r="K25" s="9">
        <f t="shared" si="3"/>
        <v>279.09427966101998</v>
      </c>
      <c r="L25" s="10">
        <f t="shared" si="0"/>
        <v>0.28067485969719519</v>
      </c>
      <c r="M25" s="10">
        <f t="shared" si="4"/>
        <v>0.28655334817202688</v>
      </c>
      <c r="P25" s="8">
        <f t="shared" si="5"/>
        <v>-2.3836386090181998</v>
      </c>
    </row>
    <row r="26" spans="1:16" x14ac:dyDescent="0.2">
      <c r="A26" s="8">
        <v>12</v>
      </c>
      <c r="B26" s="8">
        <v>24</v>
      </c>
      <c r="D26">
        <v>1136.5997876858</v>
      </c>
      <c r="E26">
        <v>398.89490445860002</v>
      </c>
      <c r="F26">
        <v>137.76483050848</v>
      </c>
      <c r="G26">
        <v>116.11440677966</v>
      </c>
      <c r="I26" s="9">
        <f t="shared" si="1"/>
        <v>282.78049767894004</v>
      </c>
      <c r="J26" s="9">
        <f t="shared" si="2"/>
        <v>998.83495717732001</v>
      </c>
      <c r="K26" s="9">
        <f t="shared" si="3"/>
        <v>282.78049767894004</v>
      </c>
      <c r="L26" s="10">
        <f t="shared" si="0"/>
        <v>0.2831103333408253</v>
      </c>
      <c r="M26" s="10">
        <f t="shared" si="4"/>
        <v>0.2892444082710845</v>
      </c>
      <c r="P26" s="8">
        <f t="shared" si="5"/>
        <v>-1.4669105483264857</v>
      </c>
    </row>
    <row r="27" spans="1:16" x14ac:dyDescent="0.2">
      <c r="A27" s="8">
        <v>12.5</v>
      </c>
      <c r="B27" s="8">
        <v>25</v>
      </c>
      <c r="D27">
        <v>1121.4259850905</v>
      </c>
      <c r="E27">
        <v>395.01277955272002</v>
      </c>
      <c r="F27">
        <v>138.09110169492001</v>
      </c>
      <c r="G27">
        <v>116.13771186440999</v>
      </c>
      <c r="I27" s="9">
        <f t="shared" si="1"/>
        <v>278.87506768831003</v>
      </c>
      <c r="J27" s="9">
        <f t="shared" si="2"/>
        <v>983.33488339558005</v>
      </c>
      <c r="K27" s="9">
        <f t="shared" si="3"/>
        <v>278.87506768831003</v>
      </c>
      <c r="L27" s="10">
        <f t="shared" si="0"/>
        <v>0.28360131670028732</v>
      </c>
      <c r="M27" s="10">
        <f t="shared" si="4"/>
        <v>0.28999097808597396</v>
      </c>
      <c r="P27" s="8">
        <f t="shared" si="5"/>
        <v>-1.2125864257198369</v>
      </c>
    </row>
    <row r="28" spans="1:16" x14ac:dyDescent="0.2">
      <c r="A28" s="8">
        <v>13</v>
      </c>
      <c r="B28" s="8">
        <v>26</v>
      </c>
      <c r="D28">
        <v>1129.6080937167001</v>
      </c>
      <c r="E28">
        <v>398.47390841320998</v>
      </c>
      <c r="F28">
        <v>137.73411016949001</v>
      </c>
      <c r="G28">
        <v>116.375</v>
      </c>
      <c r="I28" s="9">
        <f t="shared" si="1"/>
        <v>282.09890841320998</v>
      </c>
      <c r="J28" s="9">
        <f t="shared" si="2"/>
        <v>991.87398354721006</v>
      </c>
      <c r="K28" s="9">
        <f t="shared" si="3"/>
        <v>282.09890841320998</v>
      </c>
      <c r="L28" s="10">
        <f t="shared" si="0"/>
        <v>0.2844100289881058</v>
      </c>
      <c r="M28" s="10">
        <f t="shared" si="4"/>
        <v>0.29105527682921989</v>
      </c>
      <c r="P28" s="8">
        <f t="shared" si="5"/>
        <v>-0.85002576673115837</v>
      </c>
    </row>
    <row r="29" spans="1:16" x14ac:dyDescent="0.2">
      <c r="A29" s="8">
        <v>13.5</v>
      </c>
      <c r="B29" s="8">
        <v>27</v>
      </c>
      <c r="D29">
        <v>1110.4165781084</v>
      </c>
      <c r="E29">
        <v>392.27630180659003</v>
      </c>
      <c r="F29">
        <v>137.75635593219999</v>
      </c>
      <c r="G29">
        <v>116.12288135593001</v>
      </c>
      <c r="I29" s="9">
        <f t="shared" si="1"/>
        <v>276.15342045066001</v>
      </c>
      <c r="J29" s="9">
        <f t="shared" si="2"/>
        <v>972.66022217620002</v>
      </c>
      <c r="K29" s="9">
        <f t="shared" si="3"/>
        <v>276.15342045066001</v>
      </c>
      <c r="L29" s="10">
        <f t="shared" si="0"/>
        <v>0.2839156101529503</v>
      </c>
      <c r="M29" s="10">
        <f t="shared" si="4"/>
        <v>0.2908164444494919</v>
      </c>
      <c r="P29" s="8">
        <f t="shared" si="5"/>
        <v>-0.93138565325881428</v>
      </c>
    </row>
    <row r="30" spans="1:16" x14ac:dyDescent="0.2">
      <c r="A30" s="8">
        <v>14</v>
      </c>
      <c r="B30" s="8">
        <v>28</v>
      </c>
      <c r="D30">
        <v>1111.3411264612</v>
      </c>
      <c r="E30">
        <v>391.19872476089</v>
      </c>
      <c r="F30">
        <v>137.17161016949001</v>
      </c>
      <c r="G30">
        <v>116.37711864406999</v>
      </c>
      <c r="I30" s="9">
        <f t="shared" si="1"/>
        <v>274.82160611682002</v>
      </c>
      <c r="J30" s="9">
        <f t="shared" si="2"/>
        <v>974.16951629171001</v>
      </c>
      <c r="K30" s="9">
        <f t="shared" si="3"/>
        <v>274.82160611682002</v>
      </c>
      <c r="L30" s="10">
        <f t="shared" si="0"/>
        <v>0.28210860791760406</v>
      </c>
      <c r="M30" s="10">
        <f t="shared" si="4"/>
        <v>0.2892650286695731</v>
      </c>
      <c r="P30" s="8">
        <f t="shared" si="5"/>
        <v>-1.4598860682995378</v>
      </c>
    </row>
    <row r="31" spans="1:16" x14ac:dyDescent="0.2">
      <c r="A31" s="8">
        <v>14.5</v>
      </c>
      <c r="B31" s="8">
        <v>29</v>
      </c>
      <c r="D31">
        <v>1131.6905016009</v>
      </c>
      <c r="E31">
        <v>395.48665955176</v>
      </c>
      <c r="F31">
        <v>137.1843220339</v>
      </c>
      <c r="G31">
        <v>116.33686440677999</v>
      </c>
      <c r="I31" s="9">
        <f t="shared" si="1"/>
        <v>279.14979514497998</v>
      </c>
      <c r="J31" s="9">
        <f t="shared" si="2"/>
        <v>994.506179567</v>
      </c>
      <c r="K31" s="9">
        <f t="shared" si="3"/>
        <v>279.14979514497998</v>
      </c>
      <c r="L31" s="10">
        <f t="shared" si="0"/>
        <v>0.28069186585297995</v>
      </c>
      <c r="M31" s="10">
        <f t="shared" si="4"/>
        <v>0.28810387306037644</v>
      </c>
      <c r="P31" s="8">
        <f t="shared" si="5"/>
        <v>-1.8554416822945305</v>
      </c>
    </row>
    <row r="32" spans="1:16" x14ac:dyDescent="0.2">
      <c r="A32" s="8">
        <v>15</v>
      </c>
      <c r="B32" s="8">
        <v>30</v>
      </c>
      <c r="D32">
        <v>1131.9637139808001</v>
      </c>
      <c r="E32">
        <v>396.08644610458998</v>
      </c>
      <c r="F32">
        <v>137.4343220339</v>
      </c>
      <c r="G32">
        <v>116.18220338982999</v>
      </c>
      <c r="I32" s="9">
        <f t="shared" si="1"/>
        <v>279.90424271476002</v>
      </c>
      <c r="J32" s="9">
        <f t="shared" si="2"/>
        <v>994.52939194690009</v>
      </c>
      <c r="K32" s="9">
        <f t="shared" si="3"/>
        <v>279.90424271476002</v>
      </c>
      <c r="L32" s="10">
        <f t="shared" si="0"/>
        <v>0.28144391204649755</v>
      </c>
      <c r="M32" s="10">
        <f t="shared" si="4"/>
        <v>0.28911150570932154</v>
      </c>
      <c r="P32" s="8">
        <f t="shared" si="5"/>
        <v>-1.5121847165803215</v>
      </c>
    </row>
    <row r="33" spans="1:16" x14ac:dyDescent="0.2">
      <c r="A33" s="8">
        <v>15.5</v>
      </c>
      <c r="B33" s="8">
        <v>31</v>
      </c>
      <c r="D33">
        <v>1091.4631803628999</v>
      </c>
      <c r="E33">
        <v>383.29135538954</v>
      </c>
      <c r="F33">
        <v>137.9375</v>
      </c>
      <c r="G33">
        <v>115.73516949153</v>
      </c>
      <c r="I33" s="9">
        <f t="shared" si="1"/>
        <v>267.55618589800997</v>
      </c>
      <c r="J33" s="9">
        <f t="shared" si="2"/>
        <v>953.52568036289995</v>
      </c>
      <c r="K33" s="9">
        <f t="shared" si="3"/>
        <v>267.55618589800997</v>
      </c>
      <c r="L33" s="10">
        <f t="shared" si="0"/>
        <v>0.28059672792051227</v>
      </c>
      <c r="M33" s="10">
        <f t="shared" si="4"/>
        <v>0.28851990803876371</v>
      </c>
      <c r="P33" s="8">
        <f t="shared" si="5"/>
        <v>-1.7137165164201451</v>
      </c>
    </row>
    <row r="34" spans="1:16" x14ac:dyDescent="0.2">
      <c r="A34" s="8">
        <v>16</v>
      </c>
      <c r="B34" s="8">
        <v>32</v>
      </c>
      <c r="D34">
        <v>1136.2446581197</v>
      </c>
      <c r="E34">
        <v>393.23717948718001</v>
      </c>
      <c r="F34">
        <v>138.22139830508999</v>
      </c>
      <c r="G34">
        <v>116.13877118644</v>
      </c>
      <c r="I34" s="9">
        <f t="shared" si="1"/>
        <v>277.09840830074</v>
      </c>
      <c r="J34" s="9">
        <f t="shared" si="2"/>
        <v>998.02325981461001</v>
      </c>
      <c r="K34" s="9">
        <f t="shared" si="3"/>
        <v>277.09840830074</v>
      </c>
      <c r="L34" s="10">
        <f t="shared" si="0"/>
        <v>0.27764724476683339</v>
      </c>
      <c r="M34" s="10">
        <f t="shared" si="4"/>
        <v>0.28582601134051228</v>
      </c>
      <c r="P34" s="8">
        <f t="shared" si="5"/>
        <v>-2.6314108840623485</v>
      </c>
    </row>
    <row r="35" spans="1:16" x14ac:dyDescent="0.2">
      <c r="A35" s="8">
        <v>16.5</v>
      </c>
      <c r="B35" s="8">
        <v>33</v>
      </c>
      <c r="D35">
        <v>1138.7831196581001</v>
      </c>
      <c r="E35">
        <v>394.19551282050998</v>
      </c>
      <c r="F35">
        <v>136.96610169492001</v>
      </c>
      <c r="G35">
        <v>116.07521186440999</v>
      </c>
      <c r="I35" s="9">
        <f t="shared" si="1"/>
        <v>278.12030095609998</v>
      </c>
      <c r="J35" s="9">
        <f t="shared" si="2"/>
        <v>1001.8170179631801</v>
      </c>
      <c r="K35" s="9">
        <f t="shared" si="3"/>
        <v>278.12030095609998</v>
      </c>
      <c r="L35" s="10">
        <f t="shared" si="0"/>
        <v>0.27761586793719428</v>
      </c>
      <c r="M35" s="10">
        <f t="shared" si="4"/>
        <v>0.28605022096630067</v>
      </c>
      <c r="P35" s="8">
        <f t="shared" si="5"/>
        <v>-2.5550323388528269</v>
      </c>
    </row>
    <row r="36" spans="1:16" x14ac:dyDescent="0.2">
      <c r="A36" s="8">
        <v>17</v>
      </c>
      <c r="B36" s="8">
        <v>34</v>
      </c>
      <c r="D36">
        <v>1133.1356837607</v>
      </c>
      <c r="E36">
        <v>386.55448717949002</v>
      </c>
      <c r="F36">
        <v>137.25529661017001</v>
      </c>
      <c r="G36">
        <v>115.90254237288001</v>
      </c>
      <c r="I36" s="9">
        <f t="shared" si="1"/>
        <v>270.65194480661</v>
      </c>
      <c r="J36" s="9">
        <f t="shared" si="2"/>
        <v>995.88038715052994</v>
      </c>
      <c r="K36" s="9">
        <f t="shared" si="3"/>
        <v>270.65194480661</v>
      </c>
      <c r="L36" s="10">
        <f t="shared" si="0"/>
        <v>0.27177153832802636</v>
      </c>
      <c r="M36" s="10">
        <f t="shared" si="4"/>
        <v>0.2804614778125602</v>
      </c>
      <c r="P36" s="8">
        <f t="shared" si="5"/>
        <v>-4.458875985758648</v>
      </c>
    </row>
    <row r="37" spans="1:16" x14ac:dyDescent="0.2">
      <c r="A37" s="8">
        <v>17.5</v>
      </c>
      <c r="B37" s="8">
        <v>35</v>
      </c>
      <c r="D37">
        <v>1130.4113247862999</v>
      </c>
      <c r="E37">
        <v>386.97649572649999</v>
      </c>
      <c r="F37">
        <v>137.28813559322001</v>
      </c>
      <c r="G37">
        <v>116.06991525424</v>
      </c>
      <c r="I37" s="9">
        <f t="shared" si="1"/>
        <v>270.90658047225998</v>
      </c>
      <c r="J37" s="9">
        <f t="shared" si="2"/>
        <v>993.12318919307995</v>
      </c>
      <c r="K37" s="9">
        <f t="shared" si="3"/>
        <v>270.90658047225998</v>
      </c>
      <c r="L37" s="10">
        <f t="shared" si="0"/>
        <v>0.27278245379847954</v>
      </c>
      <c r="M37" s="10">
        <f t="shared" si="4"/>
        <v>0.28172797973844083</v>
      </c>
      <c r="P37" s="8">
        <f t="shared" si="5"/>
        <v>-4.0274334271991235</v>
      </c>
    </row>
    <row r="38" spans="1:16" x14ac:dyDescent="0.2">
      <c r="A38" s="8">
        <v>18</v>
      </c>
      <c r="B38" s="8">
        <v>36</v>
      </c>
      <c r="D38">
        <v>1137.6185897436001</v>
      </c>
      <c r="E38">
        <v>389.59294871794998</v>
      </c>
      <c r="F38">
        <v>136.6281779661</v>
      </c>
      <c r="G38">
        <v>115.53919491524999</v>
      </c>
      <c r="I38" s="9">
        <f t="shared" si="1"/>
        <v>274.05375380269999</v>
      </c>
      <c r="J38" s="9">
        <f t="shared" si="2"/>
        <v>1000.9904117775001</v>
      </c>
      <c r="K38" s="9">
        <f t="shared" si="3"/>
        <v>274.05375380269999</v>
      </c>
      <c r="L38" s="10">
        <f t="shared" si="0"/>
        <v>0.27378259629485502</v>
      </c>
      <c r="M38" s="10">
        <f t="shared" si="4"/>
        <v>0.28298370869024381</v>
      </c>
      <c r="P38" s="8">
        <f t="shared" si="5"/>
        <v>-3.5996607560707785</v>
      </c>
    </row>
    <row r="39" spans="1:16" x14ac:dyDescent="0.2">
      <c r="A39" s="8">
        <v>18.5</v>
      </c>
      <c r="B39" s="8">
        <v>37</v>
      </c>
      <c r="D39">
        <v>1111.3547008547</v>
      </c>
      <c r="E39">
        <v>380.48611111111001</v>
      </c>
      <c r="F39">
        <v>137.21292372881001</v>
      </c>
      <c r="G39">
        <v>115.83262711864</v>
      </c>
      <c r="I39" s="9">
        <f t="shared" si="1"/>
        <v>264.65348399247</v>
      </c>
      <c r="J39" s="9">
        <f t="shared" si="2"/>
        <v>974.14177712589003</v>
      </c>
      <c r="K39" s="9">
        <f t="shared" si="3"/>
        <v>264.65348399247</v>
      </c>
      <c r="L39" s="10">
        <f t="shared" si="0"/>
        <v>0.2716786100410396</v>
      </c>
      <c r="M39" s="10">
        <f t="shared" si="4"/>
        <v>0.28113530889185584</v>
      </c>
      <c r="P39" s="8">
        <f t="shared" si="5"/>
        <v>-4.2293308118055224</v>
      </c>
    </row>
    <row r="40" spans="1:16" x14ac:dyDescent="0.2">
      <c r="A40" s="8">
        <v>19</v>
      </c>
      <c r="B40" s="8">
        <v>38</v>
      </c>
      <c r="D40">
        <v>1134.2094017094</v>
      </c>
      <c r="E40">
        <v>384.46688034188003</v>
      </c>
      <c r="F40">
        <v>137.41525423728999</v>
      </c>
      <c r="G40">
        <v>115.8781779661</v>
      </c>
      <c r="I40" s="9">
        <f t="shared" si="1"/>
        <v>268.58870237578003</v>
      </c>
      <c r="J40" s="9">
        <f t="shared" si="2"/>
        <v>996.79414747211001</v>
      </c>
      <c r="K40" s="9">
        <f t="shared" si="3"/>
        <v>268.58870237578003</v>
      </c>
      <c r="L40" s="10">
        <f t="shared" si="0"/>
        <v>0.26945252744202641</v>
      </c>
      <c r="M40" s="10">
        <f t="shared" si="4"/>
        <v>0.2791648127482701</v>
      </c>
      <c r="P40" s="8">
        <f t="shared" si="5"/>
        <v>-4.9005938240817795</v>
      </c>
    </row>
    <row r="41" spans="1:16" x14ac:dyDescent="0.2">
      <c r="A41" s="8">
        <v>19.5</v>
      </c>
      <c r="B41" s="8">
        <v>39</v>
      </c>
      <c r="D41">
        <v>1120.7863247862999</v>
      </c>
      <c r="E41">
        <v>379.46794871794998</v>
      </c>
      <c r="F41">
        <v>137.3125</v>
      </c>
      <c r="G41">
        <v>116.24152542373</v>
      </c>
      <c r="I41" s="9">
        <f t="shared" si="1"/>
        <v>263.22642329422001</v>
      </c>
      <c r="J41" s="9">
        <f t="shared" si="2"/>
        <v>983.47382478629993</v>
      </c>
      <c r="K41" s="9">
        <f t="shared" si="3"/>
        <v>263.22642329422001</v>
      </c>
      <c r="L41" s="10">
        <f t="shared" si="0"/>
        <v>0.26764964827753984</v>
      </c>
      <c r="M41" s="10">
        <f t="shared" si="4"/>
        <v>0.27761752003921103</v>
      </c>
      <c r="P41" s="8">
        <f t="shared" si="5"/>
        <v>-5.4276896867846878</v>
      </c>
    </row>
    <row r="42" spans="1:16" x14ac:dyDescent="0.2">
      <c r="A42" s="8">
        <v>20</v>
      </c>
      <c r="B42" s="8">
        <v>40</v>
      </c>
      <c r="D42">
        <v>1118.2820512820999</v>
      </c>
      <c r="E42">
        <v>377.10042735042998</v>
      </c>
      <c r="F42">
        <v>136.96292372881001</v>
      </c>
      <c r="G42">
        <v>115.86652542373</v>
      </c>
      <c r="I42" s="9">
        <f t="shared" si="1"/>
        <v>261.23390192670001</v>
      </c>
      <c r="J42" s="9">
        <f t="shared" si="2"/>
        <v>981.31912755328995</v>
      </c>
      <c r="K42" s="9">
        <f t="shared" si="3"/>
        <v>261.23390192670001</v>
      </c>
      <c r="L42" s="10">
        <f t="shared" si="0"/>
        <v>0.26620687867160103</v>
      </c>
      <c r="M42" s="10">
        <f t="shared" si="4"/>
        <v>0.27643033688869967</v>
      </c>
      <c r="P42" s="8">
        <f t="shared" si="5"/>
        <v>-5.8321117610576776</v>
      </c>
    </row>
    <row r="43" spans="1:16" x14ac:dyDescent="0.2">
      <c r="A43" s="8">
        <v>20.5</v>
      </c>
      <c r="B43" s="8">
        <v>41</v>
      </c>
      <c r="D43">
        <v>1123.2660256409999</v>
      </c>
      <c r="E43">
        <v>373.08333333333002</v>
      </c>
      <c r="F43">
        <v>137.89088983050999</v>
      </c>
      <c r="G43">
        <v>115.79872881356</v>
      </c>
      <c r="I43" s="9">
        <f t="shared" si="1"/>
        <v>257.28460451977003</v>
      </c>
      <c r="J43" s="9">
        <f t="shared" si="2"/>
        <v>985.37513581048995</v>
      </c>
      <c r="K43" s="9">
        <f t="shared" si="3"/>
        <v>257.28460451977003</v>
      </c>
      <c r="L43" s="10">
        <f t="shared" si="0"/>
        <v>0.26110320340907373</v>
      </c>
      <c r="M43" s="10">
        <f t="shared" si="4"/>
        <v>0.27158224808159981</v>
      </c>
      <c r="P43" s="8">
        <f t="shared" si="5"/>
        <v>-7.4836464301459804</v>
      </c>
    </row>
    <row r="44" spans="1:16" x14ac:dyDescent="0.2">
      <c r="A44" s="8">
        <v>21</v>
      </c>
      <c r="B44" s="8">
        <v>42</v>
      </c>
      <c r="D44">
        <v>1119.530982906</v>
      </c>
      <c r="E44">
        <v>373.46794871794998</v>
      </c>
      <c r="F44">
        <v>137.92478813559001</v>
      </c>
      <c r="G44">
        <v>115.81461864406999</v>
      </c>
      <c r="I44" s="9">
        <f t="shared" si="1"/>
        <v>257.65333007388</v>
      </c>
      <c r="J44" s="9">
        <f t="shared" si="2"/>
        <v>981.60619477040996</v>
      </c>
      <c r="K44" s="9">
        <f t="shared" si="3"/>
        <v>257.65333007388</v>
      </c>
      <c r="L44" s="10">
        <f t="shared" si="0"/>
        <v>0.26248136110647008</v>
      </c>
      <c r="M44" s="10">
        <f t="shared" si="4"/>
        <v>0.27321599223442361</v>
      </c>
      <c r="P44" s="8">
        <f t="shared" si="5"/>
        <v>-6.927100290797747</v>
      </c>
    </row>
    <row r="45" spans="1:16" x14ac:dyDescent="0.2">
      <c r="A45" s="8">
        <v>21.5</v>
      </c>
      <c r="B45" s="8">
        <v>43</v>
      </c>
      <c r="D45">
        <v>1104.2532051282001</v>
      </c>
      <c r="E45">
        <v>369.11645299144999</v>
      </c>
      <c r="F45">
        <v>137.34427966102001</v>
      </c>
      <c r="G45">
        <v>115.78177966102</v>
      </c>
      <c r="I45" s="9">
        <f t="shared" si="1"/>
        <v>253.33467333043001</v>
      </c>
      <c r="J45" s="9">
        <f t="shared" si="2"/>
        <v>966.9089254671801</v>
      </c>
      <c r="K45" s="9">
        <f t="shared" si="3"/>
        <v>253.33467333043001</v>
      </c>
      <c r="L45" s="10">
        <f t="shared" si="0"/>
        <v>0.26200469005705646</v>
      </c>
      <c r="M45" s="10">
        <f t="shared" si="4"/>
        <v>0.27299490764043749</v>
      </c>
      <c r="P45" s="8">
        <f t="shared" si="5"/>
        <v>-7.0024142725124943</v>
      </c>
    </row>
    <row r="46" spans="1:16" x14ac:dyDescent="0.2">
      <c r="A46" s="8">
        <v>22</v>
      </c>
      <c r="B46" s="8">
        <v>44</v>
      </c>
      <c r="D46">
        <v>1114.625</v>
      </c>
      <c r="E46">
        <v>369.47329059829002</v>
      </c>
      <c r="F46">
        <v>137.37076271186001</v>
      </c>
      <c r="G46">
        <v>116.21927966102</v>
      </c>
      <c r="I46" s="9">
        <f t="shared" si="1"/>
        <v>253.25401093727004</v>
      </c>
      <c r="J46" s="9">
        <f t="shared" si="2"/>
        <v>977.25423728813996</v>
      </c>
      <c r="K46" s="9">
        <f t="shared" si="3"/>
        <v>253.25401093727004</v>
      </c>
      <c r="L46" s="10">
        <f t="shared" si="0"/>
        <v>0.259148542184933</v>
      </c>
      <c r="M46" s="10">
        <f t="shared" si="4"/>
        <v>0.27039434622374148</v>
      </c>
      <c r="P46" s="8">
        <f t="shared" si="5"/>
        <v>-7.8883133370009793</v>
      </c>
    </row>
    <row r="47" spans="1:16" x14ac:dyDescent="0.2">
      <c r="A47" s="8">
        <v>22.5</v>
      </c>
      <c r="B47" s="8">
        <v>45</v>
      </c>
      <c r="D47">
        <v>1116.5694444444</v>
      </c>
      <c r="E47">
        <v>370.26923076922998</v>
      </c>
      <c r="F47">
        <v>137.38029661017001</v>
      </c>
      <c r="G47">
        <v>116.60275423729</v>
      </c>
      <c r="I47" s="9">
        <f t="shared" si="1"/>
        <v>253.66647653193996</v>
      </c>
      <c r="J47" s="9">
        <f t="shared" si="2"/>
        <v>979.18914783422997</v>
      </c>
      <c r="K47" s="9">
        <f t="shared" si="3"/>
        <v>253.66647653193996</v>
      </c>
      <c r="L47" s="10">
        <f t="shared" si="0"/>
        <v>0.25905768777462385</v>
      </c>
      <c r="M47" s="10">
        <f t="shared" si="4"/>
        <v>0.27055907826885978</v>
      </c>
      <c r="P47" s="8">
        <f t="shared" si="5"/>
        <v>-7.8321962371606739</v>
      </c>
    </row>
    <row r="48" spans="1:16" x14ac:dyDescent="0.2">
      <c r="A48" s="8">
        <v>23</v>
      </c>
      <c r="B48" s="8">
        <v>46</v>
      </c>
      <c r="D48">
        <v>1132.1153846154</v>
      </c>
      <c r="E48">
        <v>373.44551282050998</v>
      </c>
      <c r="F48">
        <v>137.71610169492001</v>
      </c>
      <c r="G48">
        <v>116.00741525424</v>
      </c>
      <c r="I48" s="9">
        <f t="shared" si="1"/>
        <v>257.43809756626996</v>
      </c>
      <c r="J48" s="9">
        <f t="shared" si="2"/>
        <v>994.39928292048</v>
      </c>
      <c r="K48" s="9">
        <f t="shared" si="3"/>
        <v>257.43809756626996</v>
      </c>
      <c r="L48" s="10">
        <f t="shared" si="0"/>
        <v>0.25888805632501322</v>
      </c>
      <c r="M48" s="10">
        <f t="shared" si="4"/>
        <v>0.27064503327467665</v>
      </c>
      <c r="P48" s="8">
        <f t="shared" si="5"/>
        <v>-7.8029150755036598</v>
      </c>
    </row>
    <row r="49" spans="1:25" x14ac:dyDescent="0.2">
      <c r="A49" s="8">
        <v>23.5</v>
      </c>
      <c r="B49" s="8">
        <v>47</v>
      </c>
      <c r="D49">
        <v>1130.5352564103</v>
      </c>
      <c r="E49">
        <v>377.53632478633</v>
      </c>
      <c r="F49">
        <v>137.87076271186001</v>
      </c>
      <c r="G49">
        <v>116.15254237288001</v>
      </c>
      <c r="I49" s="9">
        <f t="shared" si="1"/>
        <v>261.38378241344998</v>
      </c>
      <c r="J49" s="9">
        <f t="shared" si="2"/>
        <v>992.66449369843997</v>
      </c>
      <c r="K49" s="9">
        <f t="shared" si="3"/>
        <v>261.38378241344998</v>
      </c>
      <c r="L49" s="10">
        <f t="shared" si="0"/>
        <v>0.26331533370312665</v>
      </c>
      <c r="M49" s="10">
        <f t="shared" si="4"/>
        <v>0.27532789710821753</v>
      </c>
      <c r="P49" s="8">
        <f t="shared" si="5"/>
        <v>-6.2076654257063044</v>
      </c>
    </row>
    <row r="50" spans="1:25" x14ac:dyDescent="0.2">
      <c r="A50" s="8">
        <v>24</v>
      </c>
      <c r="B50" s="8">
        <v>48</v>
      </c>
      <c r="D50">
        <v>1099.0392364792999</v>
      </c>
      <c r="E50">
        <v>366.99787910922998</v>
      </c>
      <c r="F50">
        <v>137.86546610170001</v>
      </c>
      <c r="G50">
        <v>116.35169491524999</v>
      </c>
      <c r="I50" s="9">
        <f t="shared" si="1"/>
        <v>250.64618419397999</v>
      </c>
      <c r="J50" s="9">
        <f t="shared" si="2"/>
        <v>961.17377037759991</v>
      </c>
      <c r="K50" s="9">
        <f t="shared" si="3"/>
        <v>250.64618419397999</v>
      </c>
      <c r="L50" s="10">
        <f t="shared" si="0"/>
        <v>0.26077093645149402</v>
      </c>
      <c r="M50" s="10">
        <f t="shared" si="4"/>
        <v>0.27303908631201235</v>
      </c>
      <c r="P50" s="8">
        <f t="shared" si="5"/>
        <v>-6.9873645053478972</v>
      </c>
    </row>
    <row r="51" spans="1:25" x14ac:dyDescent="0.2">
      <c r="A51" s="8">
        <v>24.5</v>
      </c>
      <c r="B51" s="8">
        <v>49</v>
      </c>
      <c r="D51">
        <v>1098.1325556734</v>
      </c>
      <c r="E51">
        <v>366.36161187699003</v>
      </c>
      <c r="F51">
        <v>137.65148305085</v>
      </c>
      <c r="G51">
        <v>116.14936440677999</v>
      </c>
      <c r="I51" s="9">
        <f t="shared" si="1"/>
        <v>250.21224747021003</v>
      </c>
      <c r="J51" s="9">
        <f t="shared" si="2"/>
        <v>960.48107262255007</v>
      </c>
      <c r="K51" s="9">
        <f t="shared" si="3"/>
        <v>250.21224747021003</v>
      </c>
      <c r="L51" s="10">
        <f t="shared" si="0"/>
        <v>0.26050721310625813</v>
      </c>
      <c r="M51" s="10">
        <f t="shared" si="4"/>
        <v>0.27303094942220396</v>
      </c>
      <c r="P51" s="8">
        <f t="shared" si="5"/>
        <v>-6.9901363926114763</v>
      </c>
    </row>
    <row r="52" spans="1:25" x14ac:dyDescent="0.2">
      <c r="A52" s="8">
        <v>25</v>
      </c>
      <c r="B52" s="8">
        <v>50</v>
      </c>
      <c r="D52">
        <v>1103.7826086957</v>
      </c>
      <c r="E52">
        <v>367.00530222693999</v>
      </c>
      <c r="F52">
        <v>138.26694915254001</v>
      </c>
      <c r="G52">
        <v>115.62288135593001</v>
      </c>
      <c r="I52" s="9">
        <f t="shared" si="1"/>
        <v>251.38242087100997</v>
      </c>
      <c r="J52" s="9">
        <f t="shared" si="2"/>
        <v>965.51565954315993</v>
      </c>
      <c r="K52" s="9">
        <f t="shared" si="3"/>
        <v>251.38242087100997</v>
      </c>
      <c r="L52" s="10">
        <f t="shared" si="0"/>
        <v>0.26036079103051857</v>
      </c>
      <c r="M52" s="10">
        <f t="shared" si="4"/>
        <v>0.27314011380189185</v>
      </c>
      <c r="P52" s="8">
        <f t="shared" si="5"/>
        <v>-6.9529487987249867</v>
      </c>
    </row>
    <row r="53" spans="1:25" x14ac:dyDescent="0.2">
      <c r="A53" s="8">
        <v>25.5</v>
      </c>
      <c r="B53" s="8">
        <v>51</v>
      </c>
      <c r="D53">
        <v>1118.9529914530001</v>
      </c>
      <c r="E53">
        <v>369.20726495727001</v>
      </c>
      <c r="F53">
        <v>137.9406779661</v>
      </c>
      <c r="G53">
        <v>116.13029661017001</v>
      </c>
      <c r="I53" s="9">
        <f t="shared" si="1"/>
        <v>253.07696834710001</v>
      </c>
      <c r="J53" s="9">
        <f t="shared" si="2"/>
        <v>981.0123134869001</v>
      </c>
      <c r="K53" s="9">
        <f t="shared" si="3"/>
        <v>253.07696834710001</v>
      </c>
      <c r="L53" s="10">
        <f t="shared" si="0"/>
        <v>0.25797532290656561</v>
      </c>
      <c r="M53" s="10">
        <f t="shared" si="4"/>
        <v>0.27101023213336634</v>
      </c>
      <c r="P53" s="8">
        <f t="shared" si="5"/>
        <v>-7.678507582110754</v>
      </c>
      <c r="S53" s="11"/>
      <c r="U53" s="12"/>
    </row>
    <row r="54" spans="1:25" x14ac:dyDescent="0.2">
      <c r="A54" s="8">
        <v>26</v>
      </c>
      <c r="B54" s="8">
        <v>52</v>
      </c>
      <c r="D54">
        <v>1123.1132478633001</v>
      </c>
      <c r="E54">
        <v>370.06623931624</v>
      </c>
      <c r="F54">
        <v>137.89724576271001</v>
      </c>
      <c r="G54">
        <v>116.14830508475001</v>
      </c>
      <c r="I54" s="9">
        <f t="shared" si="1"/>
        <v>253.91793423148999</v>
      </c>
      <c r="J54" s="9">
        <f t="shared" si="2"/>
        <v>985.21600210059012</v>
      </c>
      <c r="K54" s="9">
        <f t="shared" si="3"/>
        <v>253.91793423148999</v>
      </c>
      <c r="L54" s="10">
        <f t="shared" si="0"/>
        <v>0.25772818720981866</v>
      </c>
      <c r="M54" s="10">
        <f t="shared" si="4"/>
        <v>0.27101868289204689</v>
      </c>
      <c r="P54" s="8">
        <f t="shared" si="5"/>
        <v>-7.6756287732653794</v>
      </c>
      <c r="S54" s="11"/>
    </row>
    <row r="55" spans="1:25" x14ac:dyDescent="0.2">
      <c r="A55" s="8">
        <v>26.5</v>
      </c>
      <c r="B55" s="8">
        <v>53</v>
      </c>
      <c r="D55">
        <v>1118.2724358974001</v>
      </c>
      <c r="E55">
        <v>369.89423076922998</v>
      </c>
      <c r="F55">
        <v>138.04025423728999</v>
      </c>
      <c r="G55">
        <v>116.25211864406999</v>
      </c>
      <c r="I55" s="9">
        <f t="shared" si="1"/>
        <v>253.64211212516</v>
      </c>
      <c r="J55" s="9">
        <f t="shared" si="2"/>
        <v>980.23218166011009</v>
      </c>
      <c r="K55" s="9">
        <f t="shared" si="3"/>
        <v>253.64211212516</v>
      </c>
      <c r="L55" s="10">
        <f t="shared" si="0"/>
        <v>0.25875717699412254</v>
      </c>
      <c r="M55" s="10">
        <f t="shared" si="4"/>
        <v>0.27230325913177822</v>
      </c>
      <c r="P55" s="8">
        <f t="shared" si="5"/>
        <v>-7.2380290758554482</v>
      </c>
      <c r="S55" s="11"/>
    </row>
    <row r="56" spans="1:25" x14ac:dyDescent="0.2">
      <c r="A56" s="8">
        <v>27</v>
      </c>
      <c r="B56" s="8">
        <v>54</v>
      </c>
      <c r="D56">
        <v>1117.8685897436001</v>
      </c>
      <c r="E56">
        <v>371.57799145298998</v>
      </c>
      <c r="F56">
        <v>137.77224576271001</v>
      </c>
      <c r="G56">
        <v>116.13029661017001</v>
      </c>
      <c r="I56" s="9">
        <f t="shared" si="1"/>
        <v>255.44769484281997</v>
      </c>
      <c r="J56" s="9">
        <f t="shared" si="2"/>
        <v>980.09634398089008</v>
      </c>
      <c r="K56" s="9">
        <f t="shared" si="3"/>
        <v>255.44769484281997</v>
      </c>
      <c r="L56" s="10">
        <f t="shared" si="0"/>
        <v>0.2606352900014498</v>
      </c>
      <c r="M56" s="10">
        <f t="shared" si="4"/>
        <v>0.27443695859453293</v>
      </c>
      <c r="P56" s="8">
        <f t="shared" si="5"/>
        <v>-6.5111697347076749</v>
      </c>
      <c r="S56" s="11"/>
    </row>
    <row r="57" spans="1:25" x14ac:dyDescent="0.2">
      <c r="A57" s="8">
        <v>27.5</v>
      </c>
      <c r="B57" s="8">
        <v>55</v>
      </c>
      <c r="D57">
        <v>1103.9351063829999</v>
      </c>
      <c r="E57">
        <v>367.67553191488997</v>
      </c>
      <c r="F57">
        <v>138.68114406780001</v>
      </c>
      <c r="G57">
        <v>116.17266949153</v>
      </c>
      <c r="I57" s="9">
        <f t="shared" si="1"/>
        <v>251.50286242335997</v>
      </c>
      <c r="J57" s="9">
        <f t="shared" si="2"/>
        <v>965.25396231519994</v>
      </c>
      <c r="K57" s="9">
        <f t="shared" si="3"/>
        <v>251.50286242335997</v>
      </c>
      <c r="L57" s="10">
        <f t="shared" si="0"/>
        <v>0.26055615645453595</v>
      </c>
      <c r="M57" s="10">
        <f t="shared" si="4"/>
        <v>0.27461341150304658</v>
      </c>
      <c r="P57" s="8">
        <f t="shared" si="5"/>
        <v>-6.4510598424455985</v>
      </c>
      <c r="S57" s="11"/>
    </row>
    <row r="58" spans="1:25" x14ac:dyDescent="0.2">
      <c r="A58" s="8">
        <v>28</v>
      </c>
      <c r="B58" s="8">
        <v>56</v>
      </c>
      <c r="D58">
        <v>1103.6191489362</v>
      </c>
      <c r="E58">
        <v>367.07553191489001</v>
      </c>
      <c r="F58">
        <v>138.06355932202999</v>
      </c>
      <c r="G58">
        <v>116.63241525424</v>
      </c>
      <c r="I58" s="9">
        <f t="shared" si="1"/>
        <v>250.44311666064999</v>
      </c>
      <c r="J58" s="9">
        <f t="shared" si="2"/>
        <v>965.55558961417</v>
      </c>
      <c r="K58" s="9">
        <f t="shared" si="3"/>
        <v>250.44311666064999</v>
      </c>
      <c r="L58" s="10">
        <f t="shared" si="0"/>
        <v>0.25937721178821566</v>
      </c>
      <c r="M58" s="10">
        <f t="shared" si="4"/>
        <v>0.27369005329215373</v>
      </c>
      <c r="P58" s="8">
        <f t="shared" si="5"/>
        <v>-6.7656081434263129</v>
      </c>
      <c r="S58" s="11"/>
    </row>
    <row r="59" spans="1:25" x14ac:dyDescent="0.2">
      <c r="A59" s="8">
        <v>28.5</v>
      </c>
      <c r="B59" s="8">
        <v>57</v>
      </c>
      <c r="D59">
        <v>1115.2957446809</v>
      </c>
      <c r="E59">
        <v>370.26170212765999</v>
      </c>
      <c r="F59">
        <v>138.41737288136</v>
      </c>
      <c r="G59">
        <v>116.32838983051001</v>
      </c>
      <c r="I59" s="9">
        <f t="shared" si="1"/>
        <v>253.93331229715</v>
      </c>
      <c r="J59" s="9">
        <f t="shared" si="2"/>
        <v>976.87837179953999</v>
      </c>
      <c r="K59" s="9">
        <f t="shared" si="3"/>
        <v>253.93331229715</v>
      </c>
      <c r="L59" s="10">
        <f t="shared" si="0"/>
        <v>0.25994363231665274</v>
      </c>
      <c r="M59" s="10">
        <f t="shared" si="4"/>
        <v>0.27451206027601827</v>
      </c>
      <c r="P59" s="8">
        <f t="shared" si="5"/>
        <v>-6.4855858323463549</v>
      </c>
      <c r="R59" s="1"/>
      <c r="S59" s="11"/>
    </row>
    <row r="60" spans="1:25" x14ac:dyDescent="0.2">
      <c r="A60" s="8">
        <v>29</v>
      </c>
      <c r="B60" s="8">
        <v>58</v>
      </c>
      <c r="D60">
        <v>1116.2670212766</v>
      </c>
      <c r="E60">
        <v>367.28085106383003</v>
      </c>
      <c r="F60">
        <v>138.24152542373</v>
      </c>
      <c r="G60">
        <v>115.77118644068</v>
      </c>
      <c r="I60" s="9">
        <f t="shared" si="1"/>
        <v>251.50966462315003</v>
      </c>
      <c r="J60" s="9">
        <f t="shared" si="2"/>
        <v>978.02549585286999</v>
      </c>
      <c r="K60" s="9">
        <f t="shared" si="3"/>
        <v>251.50966462315003</v>
      </c>
      <c r="L60" s="10">
        <f t="shared" si="0"/>
        <v>0.25716064222213902</v>
      </c>
      <c r="M60" s="10">
        <f t="shared" si="4"/>
        <v>0.27198465663693205</v>
      </c>
      <c r="P60" s="8">
        <f t="shared" si="5"/>
        <v>-7.346563198647484</v>
      </c>
      <c r="S60" s="11"/>
    </row>
    <row r="61" spans="1:25" x14ac:dyDescent="0.2">
      <c r="A61" s="8">
        <v>29.5</v>
      </c>
      <c r="B61" s="8">
        <v>59</v>
      </c>
      <c r="C61" s="2"/>
      <c r="D61">
        <v>1128.3436170212999</v>
      </c>
      <c r="E61">
        <v>374.45531914894002</v>
      </c>
      <c r="F61">
        <v>138.39406779660999</v>
      </c>
      <c r="G61">
        <v>115.91313559322001</v>
      </c>
      <c r="I61" s="9">
        <f t="shared" si="1"/>
        <v>258.54218355572004</v>
      </c>
      <c r="J61" s="9">
        <f t="shared" si="2"/>
        <v>989.94954922468992</v>
      </c>
      <c r="K61" s="9">
        <f t="shared" si="3"/>
        <v>258.54218355572004</v>
      </c>
      <c r="L61" s="10">
        <f t="shared" si="0"/>
        <v>0.26116702993420771</v>
      </c>
      <c r="M61" s="10">
        <f t="shared" si="4"/>
        <v>0.27624663080442818</v>
      </c>
      <c r="P61" s="8">
        <f t="shared" si="5"/>
        <v>-5.8946924973371981</v>
      </c>
      <c r="S61" s="11"/>
    </row>
    <row r="62" spans="1:25" x14ac:dyDescent="0.2">
      <c r="A62" s="8">
        <v>30</v>
      </c>
      <c r="B62" s="8">
        <v>60</v>
      </c>
      <c r="D62">
        <v>1142.3244680851001</v>
      </c>
      <c r="E62">
        <v>379.97340425532002</v>
      </c>
      <c r="F62">
        <v>138.15360169492001</v>
      </c>
      <c r="G62">
        <v>116.46292372881</v>
      </c>
      <c r="I62" s="9">
        <f t="shared" si="1"/>
        <v>263.51048052651004</v>
      </c>
      <c r="J62" s="9">
        <f t="shared" si="2"/>
        <v>1004.1708663901801</v>
      </c>
      <c r="K62" s="9">
        <f t="shared" si="3"/>
        <v>263.51048052651004</v>
      </c>
      <c r="L62" s="10">
        <f t="shared" si="0"/>
        <v>0.26241597854136561</v>
      </c>
      <c r="M62" s="10">
        <f t="shared" si="4"/>
        <v>0.27775116586701354</v>
      </c>
      <c r="P62" s="8">
        <f t="shared" si="5"/>
        <v>-5.3821623198619513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1109.9223404254999</v>
      </c>
      <c r="E63">
        <v>370.80957446808998</v>
      </c>
      <c r="F63">
        <v>137.79978813559001</v>
      </c>
      <c r="G63">
        <v>116.33792372881</v>
      </c>
      <c r="I63" s="9">
        <f t="shared" si="1"/>
        <v>254.47165073927999</v>
      </c>
      <c r="J63" s="9">
        <f t="shared" si="2"/>
        <v>972.12255228990989</v>
      </c>
      <c r="K63" s="9">
        <f t="shared" si="3"/>
        <v>254.47165073927999</v>
      </c>
      <c r="L63" s="10">
        <f t="shared" si="0"/>
        <v>0.26176910528395042</v>
      </c>
      <c r="M63" s="10">
        <f t="shared" si="4"/>
        <v>0.27735987906502585</v>
      </c>
      <c r="P63" s="8">
        <f t="shared" si="5"/>
        <v>-5.5154568498823133</v>
      </c>
    </row>
    <row r="64" spans="1:25" x14ac:dyDescent="0.2">
      <c r="A64" s="8">
        <v>31</v>
      </c>
      <c r="B64" s="8">
        <v>62</v>
      </c>
      <c r="D64">
        <v>1102.1251336897999</v>
      </c>
      <c r="E64">
        <v>370.80427807487001</v>
      </c>
      <c r="F64">
        <v>138.02648305085</v>
      </c>
      <c r="G64">
        <v>116.52436440677999</v>
      </c>
      <c r="I64" s="9">
        <f t="shared" si="1"/>
        <v>254.27991366809002</v>
      </c>
      <c r="J64" s="9">
        <f t="shared" si="2"/>
        <v>964.09865063894995</v>
      </c>
      <c r="K64" s="9">
        <f t="shared" si="3"/>
        <v>254.27991366809002</v>
      </c>
      <c r="L64" s="10">
        <f t="shared" si="0"/>
        <v>0.26374885339748966</v>
      </c>
      <c r="M64" s="10">
        <f t="shared" si="4"/>
        <v>0.27959521363399253</v>
      </c>
      <c r="P64" s="8">
        <f t="shared" si="5"/>
        <v>-4.7539748134448576</v>
      </c>
      <c r="U64" s="8">
        <v>30.5</v>
      </c>
      <c r="V64" s="10">
        <f>L62</f>
        <v>0.26241597854136561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1115.7176470587999</v>
      </c>
      <c r="E65">
        <v>379.29090909091002</v>
      </c>
      <c r="F65">
        <v>138.06038135592999</v>
      </c>
      <c r="G65">
        <v>116.38771186440999</v>
      </c>
      <c r="I65" s="9">
        <f t="shared" si="1"/>
        <v>262.90319722650003</v>
      </c>
      <c r="J65" s="9">
        <f t="shared" si="2"/>
        <v>977.65726570286995</v>
      </c>
      <c r="K65" s="9">
        <f t="shared" si="3"/>
        <v>262.90319722650003</v>
      </c>
      <c r="L65" s="10">
        <f t="shared" si="0"/>
        <v>0.26891141348751729</v>
      </c>
      <c r="M65" s="10">
        <f t="shared" si="4"/>
        <v>0.28501336017944762</v>
      </c>
      <c r="P65" s="8">
        <f t="shared" si="5"/>
        <v>-2.908246070003591</v>
      </c>
      <c r="U65" s="8">
        <v>31</v>
      </c>
      <c r="V65" s="10">
        <f t="shared" ref="V65:V83" si="6">L63</f>
        <v>0.26176910528395042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1118.0855614973</v>
      </c>
      <c r="E66">
        <v>378.12620320856001</v>
      </c>
      <c r="F66">
        <v>138.30190677965999</v>
      </c>
      <c r="G66">
        <v>116.39406779661</v>
      </c>
      <c r="I66" s="9">
        <f t="shared" si="1"/>
        <v>261.73213541195003</v>
      </c>
      <c r="J66" s="9">
        <f t="shared" si="2"/>
        <v>979.78365471764005</v>
      </c>
      <c r="K66" s="9">
        <f t="shared" si="3"/>
        <v>261.73213541195003</v>
      </c>
      <c r="L66" s="10">
        <f t="shared" ref="L66:L129" si="7">K66/J66</f>
        <v>0.26713257988303302</v>
      </c>
      <c r="M66" s="10">
        <f t="shared" si="4"/>
        <v>0.28349011303039084</v>
      </c>
      <c r="P66" s="8">
        <f t="shared" si="5"/>
        <v>-3.4271506479422267</v>
      </c>
      <c r="U66" s="8">
        <v>31.5</v>
      </c>
      <c r="V66" s="10">
        <f t="shared" si="6"/>
        <v>0.26374885339748966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1116.0395721924999</v>
      </c>
      <c r="E67">
        <v>380.34331550802</v>
      </c>
      <c r="F67">
        <v>138.64724576271001</v>
      </c>
      <c r="G67">
        <v>116.00953389831</v>
      </c>
      <c r="I67" s="9">
        <f t="shared" ref="I67:I130" si="8">E67-G67</f>
        <v>264.33378160971</v>
      </c>
      <c r="J67" s="9">
        <f t="shared" ref="J67:J130" si="9">D67-F67</f>
        <v>977.39232642978993</v>
      </c>
      <c r="K67" s="9">
        <f t="shared" ref="K67:K130" si="10">I67*1</f>
        <v>264.33378160971</v>
      </c>
      <c r="L67" s="10">
        <f t="shared" si="7"/>
        <v>0.27044798128840042</v>
      </c>
      <c r="M67" s="10">
        <f t="shared" ref="M67:M130" si="11">L67+ABS($N$2)*A67</f>
        <v>0.28706110089118569</v>
      </c>
      <c r="P67" s="8">
        <f t="shared" ref="P67:P130" si="12">(M67-$O$2)/$O$2*100</f>
        <v>-2.210669166340792</v>
      </c>
      <c r="U67" s="8">
        <v>32</v>
      </c>
      <c r="V67" s="10">
        <f t="shared" si="6"/>
        <v>0.26891141348751729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1127.3989304813001</v>
      </c>
      <c r="E68">
        <v>386.60320855614998</v>
      </c>
      <c r="F68">
        <v>138.64830508475001</v>
      </c>
      <c r="G68">
        <v>116.08686440677999</v>
      </c>
      <c r="I68" s="9">
        <f t="shared" si="8"/>
        <v>270.51634414936996</v>
      </c>
      <c r="J68" s="9">
        <f t="shared" si="9"/>
        <v>988.75062539655005</v>
      </c>
      <c r="K68" s="9">
        <f t="shared" si="10"/>
        <v>270.51634414936996</v>
      </c>
      <c r="L68" s="10">
        <f t="shared" si="7"/>
        <v>0.27359410674544576</v>
      </c>
      <c r="M68" s="10">
        <f t="shared" si="11"/>
        <v>0.29046281280365849</v>
      </c>
      <c r="P68" s="8">
        <f t="shared" si="12"/>
        <v>-1.0518526963388275</v>
      </c>
      <c r="U68" s="8">
        <v>32.5</v>
      </c>
      <c r="V68" s="10">
        <f t="shared" si="6"/>
        <v>0.26713257988303302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1107.5347593583001</v>
      </c>
      <c r="E69">
        <v>383.18395721924998</v>
      </c>
      <c r="F69">
        <v>138.1281779661</v>
      </c>
      <c r="G69">
        <v>116.38983050848</v>
      </c>
      <c r="I69" s="9">
        <f t="shared" si="8"/>
        <v>266.79412671077</v>
      </c>
      <c r="J69" s="9">
        <f t="shared" si="9"/>
        <v>969.40658139220011</v>
      </c>
      <c r="K69" s="9">
        <f t="shared" si="10"/>
        <v>266.79412671077</v>
      </c>
      <c r="L69" s="10">
        <f t="shared" si="7"/>
        <v>0.27521385952178828</v>
      </c>
      <c r="M69" s="10">
        <f t="shared" si="11"/>
        <v>0.29233815203542846</v>
      </c>
      <c r="P69" s="8">
        <f t="shared" si="12"/>
        <v>-0.41300553804548079</v>
      </c>
      <c r="U69" s="8">
        <v>33</v>
      </c>
      <c r="V69" s="10">
        <f t="shared" si="6"/>
        <v>0.27044798128840042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1104.5138592751</v>
      </c>
      <c r="E70">
        <v>385.1407249467</v>
      </c>
      <c r="F70">
        <v>138.23305084745999</v>
      </c>
      <c r="G70">
        <v>116.14194915253999</v>
      </c>
      <c r="I70" s="9">
        <f t="shared" si="8"/>
        <v>268.99877579416</v>
      </c>
      <c r="J70" s="9">
        <f t="shared" si="9"/>
        <v>966.28080842764007</v>
      </c>
      <c r="K70" s="9">
        <f t="shared" si="10"/>
        <v>268.99877579416</v>
      </c>
      <c r="L70" s="10">
        <f t="shared" si="7"/>
        <v>0.27838571712076382</v>
      </c>
      <c r="M70" s="10">
        <f t="shared" si="11"/>
        <v>0.2957655960898315</v>
      </c>
      <c r="P70" s="8">
        <f t="shared" si="12"/>
        <v>0.75457676241022154</v>
      </c>
      <c r="U70" s="8">
        <v>33.5</v>
      </c>
      <c r="V70" s="10">
        <f t="shared" si="6"/>
        <v>0.27359410674544576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1112.4626865672001</v>
      </c>
      <c r="E71">
        <v>388.15138592750998</v>
      </c>
      <c r="F71">
        <v>138.41207627118999</v>
      </c>
      <c r="G71">
        <v>116.15572033898</v>
      </c>
      <c r="I71" s="9">
        <f t="shared" si="8"/>
        <v>271.99566558852996</v>
      </c>
      <c r="J71" s="9">
        <f t="shared" si="9"/>
        <v>974.05061029601006</v>
      </c>
      <c r="K71" s="9">
        <f t="shared" si="10"/>
        <v>271.99566558852996</v>
      </c>
      <c r="L71" s="10">
        <f t="shared" si="7"/>
        <v>0.27924182040794737</v>
      </c>
      <c r="M71" s="10">
        <f t="shared" si="11"/>
        <v>0.29687728583244249</v>
      </c>
      <c r="P71" s="8">
        <f t="shared" si="12"/>
        <v>1.1332814900346759</v>
      </c>
      <c r="U71" s="8">
        <v>34</v>
      </c>
      <c r="V71" s="10">
        <f t="shared" si="6"/>
        <v>0.27521385952178828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1101.7356076758999</v>
      </c>
      <c r="E72">
        <v>383.99893390192</v>
      </c>
      <c r="F72">
        <v>138.50741525423999</v>
      </c>
      <c r="G72">
        <v>116.25</v>
      </c>
      <c r="I72" s="9">
        <f t="shared" si="8"/>
        <v>267.74893390192</v>
      </c>
      <c r="J72" s="9">
        <f t="shared" si="9"/>
        <v>963.22819242165997</v>
      </c>
      <c r="K72" s="9">
        <f t="shared" si="10"/>
        <v>267.74893390192</v>
      </c>
      <c r="L72" s="10">
        <f t="shared" si="7"/>
        <v>0.27797040826719388</v>
      </c>
      <c r="M72" s="10">
        <f t="shared" si="11"/>
        <v>0.29586146014711645</v>
      </c>
      <c r="P72" s="8">
        <f t="shared" si="12"/>
        <v>0.78723351034225464</v>
      </c>
      <c r="U72" s="8">
        <v>34.5</v>
      </c>
      <c r="V72" s="10">
        <f t="shared" si="6"/>
        <v>0.27838571712076382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1113.4029850746001</v>
      </c>
      <c r="E73">
        <v>388.73560767590999</v>
      </c>
      <c r="F73">
        <v>138.56038135592999</v>
      </c>
      <c r="G73">
        <v>116.47881355932</v>
      </c>
      <c r="I73" s="9">
        <f t="shared" si="8"/>
        <v>272.25679411658996</v>
      </c>
      <c r="J73" s="9">
        <f t="shared" si="9"/>
        <v>974.84260371867015</v>
      </c>
      <c r="K73" s="9">
        <f t="shared" si="10"/>
        <v>272.25679411658996</v>
      </c>
      <c r="L73" s="10">
        <f t="shared" si="7"/>
        <v>0.27928282276341765</v>
      </c>
      <c r="M73" s="10">
        <f t="shared" si="11"/>
        <v>0.29742946109876772</v>
      </c>
      <c r="P73" s="8">
        <f t="shared" si="12"/>
        <v>1.321383777767871</v>
      </c>
      <c r="U73" s="8">
        <v>35</v>
      </c>
      <c r="V73" s="10">
        <f t="shared" si="6"/>
        <v>0.27924182040794737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1126.7825159915001</v>
      </c>
      <c r="E74">
        <v>395.52345415778001</v>
      </c>
      <c r="F74">
        <v>138.27224576271001</v>
      </c>
      <c r="G74">
        <v>116.39406779661</v>
      </c>
      <c r="I74" s="9">
        <f t="shared" si="8"/>
        <v>279.12938636117002</v>
      </c>
      <c r="J74" s="9">
        <f t="shared" si="9"/>
        <v>988.51027022879009</v>
      </c>
      <c r="K74" s="9">
        <f t="shared" si="10"/>
        <v>279.12938636117002</v>
      </c>
      <c r="L74" s="10">
        <f t="shared" si="7"/>
        <v>0.28237378484349557</v>
      </c>
      <c r="M74" s="10">
        <f t="shared" si="11"/>
        <v>0.30077600963427309</v>
      </c>
      <c r="P74" s="8">
        <f t="shared" si="12"/>
        <v>2.4614084654509405</v>
      </c>
      <c r="U74" s="8">
        <v>35.5</v>
      </c>
      <c r="V74" s="10">
        <f t="shared" si="6"/>
        <v>0.27797040826719388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1115.1912393161999</v>
      </c>
      <c r="E75">
        <v>393.63675213674998</v>
      </c>
      <c r="F75">
        <v>138.66419491524999</v>
      </c>
      <c r="G75">
        <v>116.91525423729</v>
      </c>
      <c r="I75" s="9">
        <f t="shared" si="8"/>
        <v>276.72149789945996</v>
      </c>
      <c r="J75" s="9">
        <f t="shared" si="9"/>
        <v>976.52704440094999</v>
      </c>
      <c r="K75" s="9">
        <f t="shared" si="10"/>
        <v>276.72149789945996</v>
      </c>
      <c r="L75" s="10">
        <f t="shared" si="7"/>
        <v>0.28337310214405237</v>
      </c>
      <c r="M75" s="10">
        <f t="shared" si="11"/>
        <v>0.30203091339025734</v>
      </c>
      <c r="P75" s="8">
        <f t="shared" si="12"/>
        <v>2.8889000279697594</v>
      </c>
      <c r="U75" s="8">
        <v>36</v>
      </c>
      <c r="V75" s="10">
        <f t="shared" si="6"/>
        <v>0.27928282276341765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1131.2430406852</v>
      </c>
      <c r="E76">
        <v>397.61134903639999</v>
      </c>
      <c r="F76">
        <v>138.36864406780001</v>
      </c>
      <c r="G76">
        <v>116.65360169492</v>
      </c>
      <c r="I76" s="9">
        <f t="shared" si="8"/>
        <v>280.95774734148</v>
      </c>
      <c r="J76" s="9">
        <f t="shared" si="9"/>
        <v>992.87439661739995</v>
      </c>
      <c r="K76" s="9">
        <f t="shared" si="10"/>
        <v>280.95774734148</v>
      </c>
      <c r="L76" s="10">
        <f t="shared" si="7"/>
        <v>0.28297410860695799</v>
      </c>
      <c r="M76" s="10">
        <f t="shared" si="11"/>
        <v>0.30188750630859046</v>
      </c>
      <c r="P76" s="8">
        <f t="shared" si="12"/>
        <v>2.8400474230383517</v>
      </c>
      <c r="U76" s="8">
        <v>36.5</v>
      </c>
      <c r="V76" s="10">
        <f t="shared" si="6"/>
        <v>0.28237378484349557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1112.0074946467</v>
      </c>
      <c r="E77">
        <v>389.85117773018999</v>
      </c>
      <c r="F77">
        <v>138.32733050848</v>
      </c>
      <c r="G77">
        <v>116.87923728814</v>
      </c>
      <c r="I77" s="9">
        <f t="shared" si="8"/>
        <v>272.97194044204997</v>
      </c>
      <c r="J77" s="9">
        <f t="shared" si="9"/>
        <v>973.68016413821999</v>
      </c>
      <c r="K77" s="9">
        <f t="shared" si="10"/>
        <v>272.97194044204997</v>
      </c>
      <c r="L77" s="10">
        <f t="shared" si="7"/>
        <v>0.28035072552150697</v>
      </c>
      <c r="M77" s="10">
        <f t="shared" si="11"/>
        <v>0.29951970967856689</v>
      </c>
      <c r="P77" s="8">
        <f t="shared" si="12"/>
        <v>2.0334412779307001</v>
      </c>
      <c r="U77" s="8">
        <v>37</v>
      </c>
      <c r="V77" s="10">
        <f t="shared" si="6"/>
        <v>0.28337310214405237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1121.5942184154001</v>
      </c>
      <c r="E78">
        <v>391.62526766594999</v>
      </c>
      <c r="F78">
        <v>138.83262711864</v>
      </c>
      <c r="G78">
        <v>116.44809322034</v>
      </c>
      <c r="I78" s="9">
        <f t="shared" si="8"/>
        <v>275.17717444560998</v>
      </c>
      <c r="J78" s="9">
        <f t="shared" si="9"/>
        <v>982.76159129676012</v>
      </c>
      <c r="K78" s="9">
        <f t="shared" si="10"/>
        <v>275.17717444560998</v>
      </c>
      <c r="L78" s="10">
        <f t="shared" si="7"/>
        <v>0.28000399779819635</v>
      </c>
      <c r="M78" s="10">
        <f t="shared" si="11"/>
        <v>0.29942856841068372</v>
      </c>
      <c r="P78" s="8">
        <f t="shared" si="12"/>
        <v>2.0023933805668368</v>
      </c>
      <c r="U78" s="8">
        <v>37.5</v>
      </c>
      <c r="V78" s="10">
        <f t="shared" si="6"/>
        <v>0.28297410860695799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1124.4892933619001</v>
      </c>
      <c r="E79">
        <v>395.72698072805002</v>
      </c>
      <c r="F79">
        <v>139.04555084745999</v>
      </c>
      <c r="G79">
        <v>116.34533898305</v>
      </c>
      <c r="I79" s="9">
        <f t="shared" si="8"/>
        <v>279.38164174500002</v>
      </c>
      <c r="J79" s="9">
        <f t="shared" si="9"/>
        <v>985.44374251444015</v>
      </c>
      <c r="K79" s="9">
        <f t="shared" si="10"/>
        <v>279.38164174500002</v>
      </c>
      <c r="L79" s="10">
        <f t="shared" si="7"/>
        <v>0.2835084639455267</v>
      </c>
      <c r="M79" s="10">
        <f t="shared" si="11"/>
        <v>0.30318862101344157</v>
      </c>
      <c r="P79" s="8">
        <f t="shared" si="12"/>
        <v>3.2832810619055506</v>
      </c>
      <c r="U79" s="8">
        <v>38</v>
      </c>
      <c r="V79" s="10">
        <f t="shared" si="6"/>
        <v>0.28035072552150697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1114.9111349036</v>
      </c>
      <c r="E80">
        <v>391.35653104925001</v>
      </c>
      <c r="F80">
        <v>138.84216101695</v>
      </c>
      <c r="G80">
        <v>116.73093220339</v>
      </c>
      <c r="I80" s="9">
        <f t="shared" si="8"/>
        <v>274.62559884586</v>
      </c>
      <c r="J80" s="9">
        <f t="shared" si="9"/>
        <v>976.06897388664993</v>
      </c>
      <c r="K80" s="9">
        <f t="shared" si="10"/>
        <v>274.62559884586</v>
      </c>
      <c r="L80" s="10">
        <f t="shared" si="7"/>
        <v>0.28135880372502448</v>
      </c>
      <c r="M80" s="10">
        <f t="shared" si="11"/>
        <v>0.3012945472483668</v>
      </c>
      <c r="P80" s="8">
        <f t="shared" si="12"/>
        <v>2.638051856481225</v>
      </c>
      <c r="U80" s="8">
        <v>38.5</v>
      </c>
      <c r="V80" s="10">
        <f t="shared" si="6"/>
        <v>0.28000399779819635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1087.4098185698999</v>
      </c>
      <c r="E81">
        <v>385.53788687299999</v>
      </c>
      <c r="F81">
        <v>139.49152542373</v>
      </c>
      <c r="G81">
        <v>116.625</v>
      </c>
      <c r="I81" s="9">
        <f t="shared" si="8"/>
        <v>268.91288687299999</v>
      </c>
      <c r="J81" s="9">
        <f t="shared" si="9"/>
        <v>947.91829314616996</v>
      </c>
      <c r="K81" s="9">
        <f t="shared" si="10"/>
        <v>268.91288687299999</v>
      </c>
      <c r="L81" s="10">
        <f t="shared" si="7"/>
        <v>0.28368783345289167</v>
      </c>
      <c r="M81" s="10">
        <f t="shared" si="11"/>
        <v>0.30387916343166144</v>
      </c>
      <c r="P81" s="8">
        <f t="shared" si="12"/>
        <v>3.5185190679618805</v>
      </c>
      <c r="U81" s="8">
        <v>39</v>
      </c>
      <c r="V81" s="10">
        <f t="shared" si="6"/>
        <v>0.2835084639455267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1054.6446104588999</v>
      </c>
      <c r="E82">
        <v>378.69903948772998</v>
      </c>
      <c r="F82">
        <v>138.21927966102001</v>
      </c>
      <c r="G82">
        <v>116.27224576271</v>
      </c>
      <c r="H82" s="13"/>
      <c r="I82" s="14">
        <f t="shared" si="8"/>
        <v>262.42679372501999</v>
      </c>
      <c r="J82" s="14">
        <f t="shared" si="9"/>
        <v>916.42533079787995</v>
      </c>
      <c r="K82" s="9">
        <f t="shared" si="10"/>
        <v>262.42679372501999</v>
      </c>
      <c r="L82" s="15">
        <f t="shared" si="7"/>
        <v>0.2863591663235015</v>
      </c>
      <c r="M82" s="15">
        <f t="shared" si="11"/>
        <v>0.30680608275769877</v>
      </c>
      <c r="N82" s="13"/>
      <c r="O82" s="13"/>
      <c r="P82" s="13">
        <f t="shared" si="12"/>
        <v>4.5155941903268291</v>
      </c>
      <c r="U82" s="8">
        <v>39.5</v>
      </c>
      <c r="V82" s="10">
        <f t="shared" si="6"/>
        <v>0.28135880372502448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1037.3724653147999</v>
      </c>
      <c r="E83">
        <v>371.78121664887999</v>
      </c>
      <c r="F83">
        <v>138.23516949153</v>
      </c>
      <c r="G83">
        <v>116.47033898305</v>
      </c>
      <c r="I83" s="9">
        <f t="shared" si="8"/>
        <v>255.31087766582999</v>
      </c>
      <c r="J83" s="9">
        <f t="shared" si="9"/>
        <v>899.13729582326994</v>
      </c>
      <c r="K83" s="9">
        <f t="shared" si="10"/>
        <v>255.31087766582999</v>
      </c>
      <c r="L83" s="10">
        <f t="shared" si="7"/>
        <v>0.2839509370279894</v>
      </c>
      <c r="M83" s="10">
        <f t="shared" si="11"/>
        <v>0.30465343991761412</v>
      </c>
      <c r="P83" s="8">
        <f t="shared" si="12"/>
        <v>3.7822816579000107</v>
      </c>
      <c r="U83" s="8">
        <v>40</v>
      </c>
      <c r="V83" s="10">
        <f t="shared" si="6"/>
        <v>0.28368783345289167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1033.6200640341999</v>
      </c>
      <c r="E84">
        <v>367.06189967982999</v>
      </c>
      <c r="F84">
        <v>138.80402542373</v>
      </c>
      <c r="G84">
        <v>116.26800847458</v>
      </c>
      <c r="I84" s="9">
        <f t="shared" si="8"/>
        <v>250.79389120524999</v>
      </c>
      <c r="J84" s="9">
        <f t="shared" si="9"/>
        <v>894.81603861046995</v>
      </c>
      <c r="K84" s="9">
        <f t="shared" si="10"/>
        <v>250.79389120524999</v>
      </c>
      <c r="L84" s="10">
        <f t="shared" si="7"/>
        <v>0.28027424675433787</v>
      </c>
      <c r="M84" s="10">
        <f t="shared" si="11"/>
        <v>0.30123233609939004</v>
      </c>
      <c r="P84" s="8">
        <f t="shared" si="12"/>
        <v>2.616859202339151</v>
      </c>
      <c r="U84" s="8">
        <v>150.5</v>
      </c>
      <c r="V84" s="10">
        <f>L302</f>
        <v>0.21812637558886941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1090.9637912672999</v>
      </c>
      <c r="E85">
        <v>382.79446219381998</v>
      </c>
      <c r="F85">
        <v>139.13771186440999</v>
      </c>
      <c r="G85">
        <v>116.70550847458</v>
      </c>
      <c r="I85" s="9">
        <f t="shared" si="8"/>
        <v>266.08895371923995</v>
      </c>
      <c r="J85" s="9">
        <f t="shared" si="9"/>
        <v>951.82607940288995</v>
      </c>
      <c r="K85" s="9">
        <f t="shared" si="10"/>
        <v>266.08895371923995</v>
      </c>
      <c r="L85" s="10">
        <f t="shared" si="7"/>
        <v>0.27955627553950385</v>
      </c>
      <c r="M85" s="10">
        <f t="shared" si="11"/>
        <v>0.30076995133998352</v>
      </c>
      <c r="P85" s="8">
        <f t="shared" si="12"/>
        <v>2.4593446659924592</v>
      </c>
      <c r="U85" s="8">
        <v>151</v>
      </c>
      <c r="V85" s="10">
        <f t="shared" ref="V85:V103" si="13">L303</f>
        <v>0.21451452875673727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1113.4332977588001</v>
      </c>
      <c r="E86">
        <v>388.69477054429001</v>
      </c>
      <c r="F86">
        <v>138.49364406780001</v>
      </c>
      <c r="G86">
        <v>116.97563559322001</v>
      </c>
      <c r="I86" s="9">
        <f t="shared" si="8"/>
        <v>271.71913495107003</v>
      </c>
      <c r="J86" s="9">
        <f t="shared" si="9"/>
        <v>974.9396536910001</v>
      </c>
      <c r="K86" s="9">
        <f t="shared" si="10"/>
        <v>271.71913495107003</v>
      </c>
      <c r="L86" s="10">
        <f t="shared" si="7"/>
        <v>0.27870354223707616</v>
      </c>
      <c r="M86" s="10">
        <f t="shared" si="11"/>
        <v>0.30017280449298328</v>
      </c>
      <c r="P86" s="8">
        <f t="shared" si="12"/>
        <v>2.2559225011770381</v>
      </c>
      <c r="U86" s="8">
        <v>151.5</v>
      </c>
      <c r="V86" s="10">
        <f t="shared" si="13"/>
        <v>0.21812304759828033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1111.5795090715001</v>
      </c>
      <c r="E87">
        <v>386.2219850587</v>
      </c>
      <c r="F87">
        <v>139.09110169492001</v>
      </c>
      <c r="G87">
        <v>116.38665254237</v>
      </c>
      <c r="I87" s="9">
        <f t="shared" si="8"/>
        <v>269.83533251633003</v>
      </c>
      <c r="J87" s="9">
        <f t="shared" si="9"/>
        <v>972.48840737658008</v>
      </c>
      <c r="K87" s="9">
        <f t="shared" si="10"/>
        <v>269.83533251633003</v>
      </c>
      <c r="L87" s="10">
        <f t="shared" si="7"/>
        <v>0.27746894509955916</v>
      </c>
      <c r="M87" s="10">
        <f t="shared" si="11"/>
        <v>0.29919379381089373</v>
      </c>
      <c r="P87" s="8">
        <f t="shared" si="12"/>
        <v>1.9224158045771667</v>
      </c>
      <c r="U87" s="8">
        <v>152</v>
      </c>
      <c r="V87" s="10">
        <f t="shared" si="13"/>
        <v>0.22059664843358998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1108.7660256409999</v>
      </c>
      <c r="E88">
        <v>384.12927350426997</v>
      </c>
      <c r="F88">
        <v>138.91313559322001</v>
      </c>
      <c r="G88">
        <v>116.78601694915</v>
      </c>
      <c r="I88" s="9">
        <f t="shared" si="8"/>
        <v>267.34325655511998</v>
      </c>
      <c r="J88" s="9">
        <f t="shared" si="9"/>
        <v>969.85289004777997</v>
      </c>
      <c r="K88" s="9">
        <f t="shared" si="10"/>
        <v>267.34325655511998</v>
      </c>
      <c r="L88" s="10">
        <f t="shared" si="7"/>
        <v>0.27565341022178041</v>
      </c>
      <c r="M88" s="10">
        <f t="shared" si="11"/>
        <v>0.29763384538854248</v>
      </c>
      <c r="P88" s="8">
        <f t="shared" si="12"/>
        <v>1.3910086864299569</v>
      </c>
      <c r="U88" s="8">
        <v>152.5</v>
      </c>
      <c r="V88" s="10">
        <f t="shared" si="13"/>
        <v>0.22140994181383469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1101.0095541400999</v>
      </c>
      <c r="E89">
        <v>380.77070063693998</v>
      </c>
      <c r="F89">
        <v>139.61546610170001</v>
      </c>
      <c r="G89">
        <v>116.90572033898</v>
      </c>
      <c r="I89" s="9">
        <f t="shared" si="8"/>
        <v>263.86498029795996</v>
      </c>
      <c r="J89" s="9">
        <f t="shared" si="9"/>
        <v>961.3940880383999</v>
      </c>
      <c r="K89" s="9">
        <f t="shared" si="10"/>
        <v>263.86498029795996</v>
      </c>
      <c r="L89" s="10">
        <f t="shared" si="7"/>
        <v>0.27446078936926094</v>
      </c>
      <c r="M89" s="10">
        <f t="shared" si="11"/>
        <v>0.29669681099145045</v>
      </c>
      <c r="P89" s="8">
        <f t="shared" si="12"/>
        <v>1.0718014989173403</v>
      </c>
      <c r="U89" s="8">
        <v>153</v>
      </c>
      <c r="V89" s="10">
        <f t="shared" si="13"/>
        <v>0.21831587037143035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1084.1824973319001</v>
      </c>
      <c r="E90">
        <v>373.04802561366</v>
      </c>
      <c r="F90">
        <v>139.53813559322001</v>
      </c>
      <c r="G90">
        <v>116.71927966102</v>
      </c>
      <c r="I90" s="9">
        <f t="shared" si="8"/>
        <v>256.32874595264002</v>
      </c>
      <c r="J90" s="9">
        <f t="shared" si="9"/>
        <v>944.64436173868012</v>
      </c>
      <c r="K90" s="9">
        <f t="shared" si="10"/>
        <v>256.32874595264002</v>
      </c>
      <c r="L90" s="10">
        <f t="shared" si="7"/>
        <v>0.27134946900106416</v>
      </c>
      <c r="M90" s="10">
        <f t="shared" si="11"/>
        <v>0.29384107707868112</v>
      </c>
      <c r="P90" s="8">
        <f t="shared" si="12"/>
        <v>9.8976175312950165E-2</v>
      </c>
      <c r="U90" s="8">
        <v>153.5</v>
      </c>
      <c r="V90" s="10">
        <f t="shared" si="13"/>
        <v>0.21518423753045748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1071.2134471718</v>
      </c>
      <c r="E91">
        <v>370.27641408750998</v>
      </c>
      <c r="F91">
        <v>139.10381355932</v>
      </c>
      <c r="G91">
        <v>117.06461864406999</v>
      </c>
      <c r="I91" s="9">
        <f t="shared" si="8"/>
        <v>253.21179544344</v>
      </c>
      <c r="J91" s="9">
        <f t="shared" si="9"/>
        <v>932.10963361248002</v>
      </c>
      <c r="K91" s="9">
        <f t="shared" si="10"/>
        <v>253.21179544344</v>
      </c>
      <c r="L91" s="10">
        <f t="shared" si="7"/>
        <v>0.27165452036161614</v>
      </c>
      <c r="M91" s="10">
        <f t="shared" si="11"/>
        <v>0.2944017148946606</v>
      </c>
      <c r="P91" s="8">
        <f t="shared" si="12"/>
        <v>0.28996128856749576</v>
      </c>
      <c r="U91" s="8">
        <v>154</v>
      </c>
      <c r="V91" s="10">
        <f t="shared" si="13"/>
        <v>0.21617201297726268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1062.6510138741</v>
      </c>
      <c r="E92">
        <v>368.73212379936001</v>
      </c>
      <c r="F92">
        <v>139.85487288136</v>
      </c>
      <c r="G92">
        <v>117.40889830509001</v>
      </c>
      <c r="I92" s="9">
        <f t="shared" si="8"/>
        <v>251.32322549426999</v>
      </c>
      <c r="J92" s="9">
        <f t="shared" si="9"/>
        <v>922.79614099273999</v>
      </c>
      <c r="K92" s="9">
        <f t="shared" si="10"/>
        <v>251.32322549426999</v>
      </c>
      <c r="L92" s="10">
        <f t="shared" si="7"/>
        <v>0.2723496711027612</v>
      </c>
      <c r="M92" s="10">
        <f t="shared" si="11"/>
        <v>0.29535245209123312</v>
      </c>
      <c r="P92" s="8">
        <f t="shared" si="12"/>
        <v>0.61383642860863152</v>
      </c>
      <c r="U92" s="8">
        <v>154.5</v>
      </c>
      <c r="V92" s="10">
        <f t="shared" si="13"/>
        <v>0.21471414258866808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1071.2662406816</v>
      </c>
      <c r="E93">
        <v>372.52183173588998</v>
      </c>
      <c r="F93">
        <v>139.34004237287999</v>
      </c>
      <c r="G93">
        <v>117.17161016948999</v>
      </c>
      <c r="I93" s="9">
        <f t="shared" si="8"/>
        <v>255.35022156639997</v>
      </c>
      <c r="J93" s="9">
        <f t="shared" si="9"/>
        <v>931.92619830872002</v>
      </c>
      <c r="K93" s="9">
        <f t="shared" si="10"/>
        <v>255.35022156639997</v>
      </c>
      <c r="L93" s="10">
        <f t="shared" si="7"/>
        <v>0.27400262169881595</v>
      </c>
      <c r="M93" s="10">
        <f t="shared" si="11"/>
        <v>0.29726098914271532</v>
      </c>
      <c r="P93" s="8">
        <f t="shared" si="12"/>
        <v>1.2639926516436542</v>
      </c>
      <c r="U93" s="8">
        <v>155</v>
      </c>
      <c r="V93" s="10">
        <f t="shared" si="13"/>
        <v>0.21396909862337937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1071.0766773163</v>
      </c>
      <c r="E94">
        <v>373.84345047923</v>
      </c>
      <c r="F94">
        <v>139.46610169492001</v>
      </c>
      <c r="G94">
        <v>117.03707627119</v>
      </c>
      <c r="I94" s="9">
        <f t="shared" si="8"/>
        <v>256.80637420803998</v>
      </c>
      <c r="J94" s="9">
        <f t="shared" si="9"/>
        <v>931.61057562138001</v>
      </c>
      <c r="K94" s="9">
        <f t="shared" si="10"/>
        <v>256.80637420803998</v>
      </c>
      <c r="L94" s="10">
        <f t="shared" si="7"/>
        <v>0.27565850037366879</v>
      </c>
      <c r="M94" s="10">
        <f t="shared" si="11"/>
        <v>0.29917245427299566</v>
      </c>
      <c r="P94" s="8">
        <f t="shared" si="12"/>
        <v>1.9151463447831605</v>
      </c>
      <c r="U94" s="8">
        <v>155.5</v>
      </c>
      <c r="V94" s="10">
        <f t="shared" si="13"/>
        <v>0.21313974168013342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1077.0170394035999</v>
      </c>
      <c r="E95">
        <v>379.61128860489998</v>
      </c>
      <c r="F95">
        <v>139.74258474576001</v>
      </c>
      <c r="G95">
        <v>117.00423728814</v>
      </c>
      <c r="I95" s="9">
        <f t="shared" si="8"/>
        <v>262.60705131675996</v>
      </c>
      <c r="J95" s="9">
        <f t="shared" si="9"/>
        <v>937.2744546578399</v>
      </c>
      <c r="K95" s="9">
        <f t="shared" si="10"/>
        <v>262.60705131675996</v>
      </c>
      <c r="L95" s="10">
        <f t="shared" si="7"/>
        <v>0.28018159463508147</v>
      </c>
      <c r="M95" s="10">
        <f t="shared" si="11"/>
        <v>0.30395113498983578</v>
      </c>
      <c r="P95" s="8">
        <f t="shared" si="12"/>
        <v>3.5430366723710986</v>
      </c>
      <c r="U95" s="8">
        <v>156</v>
      </c>
      <c r="V95" s="10">
        <f t="shared" si="13"/>
        <v>0.21267708706304478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1082.1791044776</v>
      </c>
      <c r="E96">
        <v>378.65884861407</v>
      </c>
      <c r="F96">
        <v>138.76483050848</v>
      </c>
      <c r="G96">
        <v>117.18008474576</v>
      </c>
      <c r="I96" s="9">
        <f t="shared" si="8"/>
        <v>261.47876386831001</v>
      </c>
      <c r="J96" s="9">
        <f t="shared" si="9"/>
        <v>943.41427396912002</v>
      </c>
      <c r="K96" s="9">
        <f t="shared" si="10"/>
        <v>261.47876386831001</v>
      </c>
      <c r="L96" s="10">
        <f t="shared" si="7"/>
        <v>0.27716218747488314</v>
      </c>
      <c r="M96" s="10">
        <f t="shared" si="11"/>
        <v>0.3011873142850649</v>
      </c>
      <c r="P96" s="8">
        <f t="shared" si="12"/>
        <v>2.6015222128198303</v>
      </c>
      <c r="U96" s="8">
        <v>156.5</v>
      </c>
      <c r="V96" s="10">
        <f t="shared" si="13"/>
        <v>0.21204384080928015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1066.9776119403</v>
      </c>
      <c r="E97">
        <v>378.53304904050998</v>
      </c>
      <c r="F97">
        <v>139.33686440677999</v>
      </c>
      <c r="G97">
        <v>117.01271186440999</v>
      </c>
      <c r="I97" s="9">
        <f t="shared" si="8"/>
        <v>261.52033717609999</v>
      </c>
      <c r="J97" s="9">
        <f t="shared" si="9"/>
        <v>927.64074753351997</v>
      </c>
      <c r="K97" s="9">
        <f t="shared" si="10"/>
        <v>261.52033717609999</v>
      </c>
      <c r="L97" s="10">
        <f t="shared" si="7"/>
        <v>0.28191984652620067</v>
      </c>
      <c r="M97" s="10">
        <f t="shared" si="11"/>
        <v>0.30620055979180993</v>
      </c>
      <c r="P97" s="8">
        <f t="shared" si="12"/>
        <v>4.3093186432225625</v>
      </c>
      <c r="U97" s="8">
        <v>157</v>
      </c>
      <c r="V97" s="10">
        <f t="shared" si="13"/>
        <v>0.210998832163827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1041.7547974413999</v>
      </c>
      <c r="E98">
        <v>377.47547974413999</v>
      </c>
      <c r="F98">
        <v>139.75</v>
      </c>
      <c r="G98">
        <v>117.16631355932</v>
      </c>
      <c r="I98" s="9">
        <f t="shared" si="8"/>
        <v>260.30916618482001</v>
      </c>
      <c r="J98" s="9">
        <f t="shared" si="9"/>
        <v>902.00479744139989</v>
      </c>
      <c r="K98" s="9">
        <f t="shared" si="10"/>
        <v>260.30916618482001</v>
      </c>
      <c r="L98" s="10">
        <f t="shared" si="7"/>
        <v>0.28858955841832029</v>
      </c>
      <c r="M98" s="10">
        <f t="shared" si="11"/>
        <v>0.31312585813935701</v>
      </c>
      <c r="P98" s="8">
        <f t="shared" si="12"/>
        <v>6.6684689743807475</v>
      </c>
      <c r="U98" s="8">
        <v>157.5</v>
      </c>
      <c r="V98" s="10">
        <f t="shared" si="13"/>
        <v>0.21050908962092121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1092.8038379530999</v>
      </c>
      <c r="E99">
        <v>384.82409381663001</v>
      </c>
      <c r="F99">
        <v>139.87394067797001</v>
      </c>
      <c r="G99">
        <v>116.87394067797</v>
      </c>
      <c r="I99" s="9">
        <f t="shared" si="8"/>
        <v>267.95015313866003</v>
      </c>
      <c r="J99" s="9">
        <f t="shared" si="9"/>
        <v>952.92989727512986</v>
      </c>
      <c r="K99" s="9">
        <f t="shared" si="10"/>
        <v>267.95015313866003</v>
      </c>
      <c r="L99" s="10">
        <f t="shared" si="7"/>
        <v>0.28118558763331303</v>
      </c>
      <c r="M99" s="10">
        <f t="shared" si="11"/>
        <v>0.30597747380977719</v>
      </c>
      <c r="P99" s="8">
        <f t="shared" si="12"/>
        <v>4.2333228749571123</v>
      </c>
      <c r="U99" s="8">
        <v>158</v>
      </c>
      <c r="V99" s="10">
        <f t="shared" si="13"/>
        <v>0.21132598919262754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1088.5117270789001</v>
      </c>
      <c r="E100">
        <v>389.11087420042998</v>
      </c>
      <c r="F100">
        <v>140.08792372881001</v>
      </c>
      <c r="G100">
        <v>117.47245762711999</v>
      </c>
      <c r="I100" s="9">
        <f t="shared" si="8"/>
        <v>271.63841657331</v>
      </c>
      <c r="J100" s="9">
        <f t="shared" si="9"/>
        <v>948.42380335009011</v>
      </c>
      <c r="K100" s="9">
        <f t="shared" si="10"/>
        <v>271.63841657331</v>
      </c>
      <c r="L100" s="10">
        <f t="shared" si="7"/>
        <v>0.28641037436408645</v>
      </c>
      <c r="M100" s="10">
        <f t="shared" si="11"/>
        <v>0.31145784699597812</v>
      </c>
      <c r="P100" s="8">
        <f t="shared" si="12"/>
        <v>6.100249549917736</v>
      </c>
      <c r="U100" s="8">
        <v>158.5</v>
      </c>
      <c r="V100" s="10">
        <f t="shared" si="13"/>
        <v>0.20817979490027416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1071.0575079872001</v>
      </c>
      <c r="E101">
        <v>383.98083067093</v>
      </c>
      <c r="F101">
        <v>139.92161016949001</v>
      </c>
      <c r="G101">
        <v>116.93114406780001</v>
      </c>
      <c r="I101" s="9">
        <f t="shared" si="8"/>
        <v>267.04968660313</v>
      </c>
      <c r="J101" s="9">
        <f t="shared" si="9"/>
        <v>931.13589781771009</v>
      </c>
      <c r="K101" s="9">
        <f t="shared" si="10"/>
        <v>267.04968660313</v>
      </c>
      <c r="L101" s="10">
        <f t="shared" si="7"/>
        <v>0.28679990453489179</v>
      </c>
      <c r="M101" s="10">
        <f t="shared" si="11"/>
        <v>0.3121029636222109</v>
      </c>
      <c r="P101" s="8">
        <f t="shared" si="12"/>
        <v>6.3200129486963315</v>
      </c>
      <c r="U101" s="8">
        <v>159</v>
      </c>
      <c r="V101" s="10">
        <f t="shared" si="13"/>
        <v>0.20985007073818146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1089.1757188498</v>
      </c>
      <c r="E102">
        <v>389.07454739084</v>
      </c>
      <c r="F102">
        <v>140.29555084745999</v>
      </c>
      <c r="G102">
        <v>117.80614406780001</v>
      </c>
      <c r="I102" s="9">
        <f t="shared" si="8"/>
        <v>271.26840332303999</v>
      </c>
      <c r="J102" s="9">
        <f t="shared" si="9"/>
        <v>948.88016800234004</v>
      </c>
      <c r="K102" s="9">
        <f t="shared" si="10"/>
        <v>271.26840332303999</v>
      </c>
      <c r="L102" s="10">
        <f t="shared" si="7"/>
        <v>0.28588267778231297</v>
      </c>
      <c r="M102" s="10">
        <f t="shared" si="11"/>
        <v>0.31144132332505953</v>
      </c>
      <c r="P102" s="8">
        <f t="shared" si="12"/>
        <v>6.0946206482064698</v>
      </c>
      <c r="U102" s="8">
        <v>159.5</v>
      </c>
      <c r="V102" s="10">
        <f t="shared" si="13"/>
        <v>0.21263341456936047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1102.3844515441999</v>
      </c>
      <c r="E103">
        <v>393.47710330138</v>
      </c>
      <c r="F103">
        <v>140.38241525423999</v>
      </c>
      <c r="G103">
        <v>117.52436440677999</v>
      </c>
      <c r="I103" s="9">
        <f t="shared" si="8"/>
        <v>275.95273889459997</v>
      </c>
      <c r="J103" s="9">
        <f t="shared" si="9"/>
        <v>962.00203628995996</v>
      </c>
      <c r="K103" s="9">
        <f t="shared" si="10"/>
        <v>275.95273889459997</v>
      </c>
      <c r="L103" s="10">
        <f t="shared" si="7"/>
        <v>0.28685255174597596</v>
      </c>
      <c r="M103" s="10">
        <f t="shared" si="11"/>
        <v>0.31266678374414997</v>
      </c>
      <c r="P103" s="8">
        <f t="shared" si="12"/>
        <v>6.5120821362797541</v>
      </c>
      <c r="U103" s="8">
        <v>160</v>
      </c>
      <c r="V103" s="10">
        <f t="shared" si="13"/>
        <v>0.21013789276403727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1109.5942492013</v>
      </c>
      <c r="E104">
        <v>394.04366347178001</v>
      </c>
      <c r="F104">
        <v>140.11122881355999</v>
      </c>
      <c r="G104">
        <v>117.83262711864</v>
      </c>
      <c r="I104" s="9">
        <f t="shared" si="8"/>
        <v>276.21103635314</v>
      </c>
      <c r="J104" s="9">
        <f t="shared" si="9"/>
        <v>969.48302038774</v>
      </c>
      <c r="K104" s="9">
        <f t="shared" si="10"/>
        <v>276.21103635314</v>
      </c>
      <c r="L104" s="10">
        <f t="shared" si="7"/>
        <v>0.28490549142642102</v>
      </c>
      <c r="M104" s="10">
        <f t="shared" si="11"/>
        <v>0.31097530988002253</v>
      </c>
      <c r="P104" s="8">
        <f t="shared" si="12"/>
        <v>5.9358699752376145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1075.3056443025</v>
      </c>
      <c r="E105">
        <v>380.06176783812998</v>
      </c>
      <c r="F105">
        <v>140.63771186440999</v>
      </c>
      <c r="G105">
        <v>117.80402542373</v>
      </c>
      <c r="I105" s="9">
        <f t="shared" si="8"/>
        <v>262.25774241440001</v>
      </c>
      <c r="J105" s="9">
        <f t="shared" si="9"/>
        <v>934.66793243809002</v>
      </c>
      <c r="K105" s="9">
        <f t="shared" si="10"/>
        <v>262.25774241440001</v>
      </c>
      <c r="L105" s="10">
        <f t="shared" si="7"/>
        <v>0.28058921603344006</v>
      </c>
      <c r="M105" s="10">
        <f t="shared" si="11"/>
        <v>0.30691462094246902</v>
      </c>
      <c r="P105" s="8">
        <f t="shared" si="12"/>
        <v>4.5525684666242148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1092.02342918</v>
      </c>
      <c r="E106">
        <v>384.76464323749002</v>
      </c>
      <c r="F106">
        <v>140.46610169492001</v>
      </c>
      <c r="G106">
        <v>117.28707627119</v>
      </c>
      <c r="I106" s="9">
        <f t="shared" si="8"/>
        <v>267.4775669663</v>
      </c>
      <c r="J106" s="9">
        <f t="shared" si="9"/>
        <v>951.55732748508001</v>
      </c>
      <c r="K106" s="9">
        <f t="shared" si="10"/>
        <v>267.4775669663</v>
      </c>
      <c r="L106" s="10">
        <f t="shared" si="7"/>
        <v>0.28109453759683639</v>
      </c>
      <c r="M106" s="10">
        <f t="shared" si="11"/>
        <v>0.3076755289612928</v>
      </c>
      <c r="P106" s="8">
        <f t="shared" si="12"/>
        <v>4.8117769966400887</v>
      </c>
      <c r="X106" s="8">
        <v>-13</v>
      </c>
    </row>
    <row r="107" spans="1:25" x14ac:dyDescent="0.2">
      <c r="A107" s="8">
        <v>52.5</v>
      </c>
      <c r="B107" s="8">
        <v>105</v>
      </c>
      <c r="D107">
        <v>1110.7167199148</v>
      </c>
      <c r="E107">
        <v>388.25559105431</v>
      </c>
      <c r="F107">
        <v>140.61864406780001</v>
      </c>
      <c r="G107">
        <v>117.80614406780001</v>
      </c>
      <c r="I107" s="9">
        <f t="shared" si="8"/>
        <v>270.44944698651</v>
      </c>
      <c r="J107" s="9">
        <f t="shared" si="9"/>
        <v>970.09807584700002</v>
      </c>
      <c r="K107" s="9">
        <f t="shared" si="10"/>
        <v>270.44944698651</v>
      </c>
      <c r="L107" s="10">
        <f t="shared" si="7"/>
        <v>0.27878567509824048</v>
      </c>
      <c r="M107" s="10">
        <f t="shared" si="11"/>
        <v>0.30562225291812439</v>
      </c>
      <c r="P107" s="8">
        <f t="shared" si="12"/>
        <v>4.1123144443999182</v>
      </c>
      <c r="X107" s="8">
        <v>-13</v>
      </c>
    </row>
    <row r="108" spans="1:25" x14ac:dyDescent="0.2">
      <c r="A108" s="8">
        <v>53</v>
      </c>
      <c r="B108" s="8">
        <v>106</v>
      </c>
      <c r="D108">
        <v>1064.8935037274</v>
      </c>
      <c r="E108">
        <v>374.81363152289998</v>
      </c>
      <c r="F108">
        <v>141.23199152542</v>
      </c>
      <c r="G108">
        <v>117.58156779661</v>
      </c>
      <c r="I108" s="9">
        <f t="shared" si="8"/>
        <v>257.23206372628999</v>
      </c>
      <c r="J108" s="9">
        <f t="shared" si="9"/>
        <v>923.66151220198003</v>
      </c>
      <c r="K108" s="9">
        <f t="shared" si="10"/>
        <v>257.23206372628999</v>
      </c>
      <c r="L108" s="10">
        <f t="shared" si="7"/>
        <v>0.27849169888334618</v>
      </c>
      <c r="M108" s="10">
        <f t="shared" si="11"/>
        <v>0.30558386315865754</v>
      </c>
      <c r="P108" s="8">
        <f t="shared" si="12"/>
        <v>4.0992367098079665</v>
      </c>
      <c r="X108" s="8">
        <v>-13</v>
      </c>
    </row>
    <row r="109" spans="1:25" x14ac:dyDescent="0.2">
      <c r="A109" s="8">
        <v>53.5</v>
      </c>
      <c r="B109" s="8">
        <v>107</v>
      </c>
      <c r="D109">
        <v>1058.3297985153999</v>
      </c>
      <c r="E109">
        <v>370.86744432661999</v>
      </c>
      <c r="F109">
        <v>140.55826271186001</v>
      </c>
      <c r="G109">
        <v>117.94597457627</v>
      </c>
      <c r="I109" s="9">
        <f t="shared" si="8"/>
        <v>252.92146975034998</v>
      </c>
      <c r="J109" s="9">
        <f t="shared" si="9"/>
        <v>917.7715358035399</v>
      </c>
      <c r="K109" s="9">
        <f t="shared" si="10"/>
        <v>252.92146975034998</v>
      </c>
      <c r="L109" s="10">
        <f t="shared" si="7"/>
        <v>0.27558216820148895</v>
      </c>
      <c r="M109" s="10">
        <f t="shared" si="11"/>
        <v>0.30292991893222776</v>
      </c>
      <c r="P109" s="8">
        <f t="shared" si="12"/>
        <v>3.1951524254283865</v>
      </c>
      <c r="X109" s="8">
        <v>-13</v>
      </c>
    </row>
    <row r="110" spans="1:25" x14ac:dyDescent="0.2">
      <c r="A110" s="8">
        <v>54</v>
      </c>
      <c r="B110" s="8">
        <v>108</v>
      </c>
      <c r="D110">
        <v>1056.6892895015999</v>
      </c>
      <c r="E110">
        <v>372.95334040297001</v>
      </c>
      <c r="F110">
        <v>140.29555084745999</v>
      </c>
      <c r="G110">
        <v>117.80084745763</v>
      </c>
      <c r="I110" s="9">
        <f t="shared" si="8"/>
        <v>255.15249294534001</v>
      </c>
      <c r="J110" s="9">
        <f t="shared" si="9"/>
        <v>916.39373865413995</v>
      </c>
      <c r="K110" s="9">
        <f t="shared" si="10"/>
        <v>255.15249294534001</v>
      </c>
      <c r="L110" s="10">
        <f t="shared" si="7"/>
        <v>0.2784310740927467</v>
      </c>
      <c r="M110" s="10">
        <f t="shared" si="11"/>
        <v>0.30603441127891301</v>
      </c>
      <c r="P110" s="8">
        <f t="shared" si="12"/>
        <v>4.2527190139284619</v>
      </c>
      <c r="X110" s="8">
        <v>-13</v>
      </c>
    </row>
    <row r="111" spans="1:25" x14ac:dyDescent="0.2">
      <c r="A111" s="8">
        <v>54.5</v>
      </c>
      <c r="B111" s="8">
        <v>109</v>
      </c>
      <c r="D111">
        <v>1053.2873806999</v>
      </c>
      <c r="E111">
        <v>369.48886532344</v>
      </c>
      <c r="F111">
        <v>140.92796610170001</v>
      </c>
      <c r="G111">
        <v>117.53919491524999</v>
      </c>
      <c r="I111" s="9">
        <f t="shared" si="8"/>
        <v>251.94967040819</v>
      </c>
      <c r="J111" s="9">
        <f t="shared" si="9"/>
        <v>912.35941459820003</v>
      </c>
      <c r="K111" s="9">
        <f t="shared" si="10"/>
        <v>251.94967040819</v>
      </c>
      <c r="L111" s="10">
        <f t="shared" si="7"/>
        <v>0.27615177349723274</v>
      </c>
      <c r="M111" s="10">
        <f t="shared" si="11"/>
        <v>0.3040106971388265</v>
      </c>
      <c r="P111" s="8">
        <f t="shared" si="12"/>
        <v>3.56332692651816</v>
      </c>
      <c r="X111" s="8">
        <v>-13</v>
      </c>
    </row>
    <row r="112" spans="1:25" x14ac:dyDescent="0.2">
      <c r="A112" s="8">
        <v>55</v>
      </c>
      <c r="B112" s="8">
        <v>110</v>
      </c>
      <c r="D112">
        <v>1054.0487804878001</v>
      </c>
      <c r="E112">
        <v>368.61293743371999</v>
      </c>
      <c r="F112">
        <v>141.13665254237</v>
      </c>
      <c r="G112">
        <v>117.95868644068</v>
      </c>
      <c r="I112" s="9">
        <f t="shared" si="8"/>
        <v>250.65425099303999</v>
      </c>
      <c r="J112" s="9">
        <f t="shared" si="9"/>
        <v>912.91212794543003</v>
      </c>
      <c r="K112" s="9">
        <f t="shared" si="10"/>
        <v>250.65425099303999</v>
      </c>
      <c r="L112" s="10">
        <f t="shared" si="7"/>
        <v>0.27456558338988685</v>
      </c>
      <c r="M112" s="10">
        <f t="shared" si="11"/>
        <v>0.30268009348690805</v>
      </c>
      <c r="P112" s="8">
        <f t="shared" si="12"/>
        <v>3.1100476757873143</v>
      </c>
      <c r="X112" s="8">
        <v>-13</v>
      </c>
    </row>
    <row r="113" spans="1:24" x14ac:dyDescent="0.2">
      <c r="A113" s="8">
        <v>55.5</v>
      </c>
      <c r="B113" s="8">
        <v>111</v>
      </c>
      <c r="D113">
        <v>1067.6977730647</v>
      </c>
      <c r="E113">
        <v>376.07529162247999</v>
      </c>
      <c r="F113">
        <v>140.88771186440999</v>
      </c>
      <c r="G113">
        <v>118.42690677966</v>
      </c>
      <c r="I113" s="9">
        <f t="shared" si="8"/>
        <v>257.64838484282001</v>
      </c>
      <c r="J113" s="9">
        <f t="shared" si="9"/>
        <v>926.81006120028997</v>
      </c>
      <c r="K113" s="9">
        <f t="shared" si="10"/>
        <v>257.64838484282001</v>
      </c>
      <c r="L113" s="10">
        <f t="shared" si="7"/>
        <v>0.27799480781331359</v>
      </c>
      <c r="M113" s="10">
        <f t="shared" si="11"/>
        <v>0.3063649043657623</v>
      </c>
      <c r="P113" s="8">
        <f t="shared" si="12"/>
        <v>4.365303748355414</v>
      </c>
      <c r="X113" s="8">
        <v>-13</v>
      </c>
    </row>
    <row r="114" spans="1:24" x14ac:dyDescent="0.2">
      <c r="A114" s="8">
        <v>56</v>
      </c>
      <c r="B114" s="8">
        <v>112</v>
      </c>
      <c r="D114">
        <v>1063.8610816543001</v>
      </c>
      <c r="E114">
        <v>372.92046659597003</v>
      </c>
      <c r="F114">
        <v>140.89724576271001</v>
      </c>
      <c r="G114">
        <v>117.83262711864</v>
      </c>
      <c r="I114" s="9">
        <f t="shared" si="8"/>
        <v>255.08783947733002</v>
      </c>
      <c r="J114" s="9">
        <f t="shared" si="9"/>
        <v>922.96383589159007</v>
      </c>
      <c r="K114" s="9">
        <f t="shared" si="10"/>
        <v>255.08783947733002</v>
      </c>
      <c r="L114" s="10">
        <f t="shared" si="7"/>
        <v>0.27637901893622219</v>
      </c>
      <c r="M114" s="10">
        <f t="shared" si="11"/>
        <v>0.30500470194409834</v>
      </c>
      <c r="P114" s="8">
        <f t="shared" si="12"/>
        <v>3.9019414739131459</v>
      </c>
      <c r="X114" s="8">
        <v>-13</v>
      </c>
    </row>
    <row r="115" spans="1:24" x14ac:dyDescent="0.2">
      <c r="A115" s="8">
        <v>56.5</v>
      </c>
      <c r="B115" s="8">
        <v>113</v>
      </c>
      <c r="D115">
        <v>1082.7062566278</v>
      </c>
      <c r="E115">
        <v>374.21314952279999</v>
      </c>
      <c r="F115">
        <v>141.41419491524999</v>
      </c>
      <c r="G115">
        <v>118.24258474576</v>
      </c>
      <c r="I115" s="9">
        <f t="shared" si="8"/>
        <v>255.97056477704001</v>
      </c>
      <c r="J115" s="9">
        <f t="shared" si="9"/>
        <v>941.29206171255009</v>
      </c>
      <c r="K115" s="9">
        <f t="shared" si="10"/>
        <v>255.97056477704001</v>
      </c>
      <c r="L115" s="10">
        <f t="shared" si="7"/>
        <v>0.27193532718350683</v>
      </c>
      <c r="M115" s="10">
        <f t="shared" si="11"/>
        <v>0.30081659664681043</v>
      </c>
      <c r="P115" s="8">
        <f t="shared" si="12"/>
        <v>2.4752347093559566</v>
      </c>
      <c r="X115" s="8">
        <v>-13</v>
      </c>
    </row>
    <row r="116" spans="1:24" x14ac:dyDescent="0.2">
      <c r="A116" s="8">
        <v>57</v>
      </c>
      <c r="B116" s="8">
        <v>114</v>
      </c>
      <c r="D116">
        <v>1079.530982906</v>
      </c>
      <c r="E116">
        <v>373.52029914529999</v>
      </c>
      <c r="F116">
        <v>141.20444915254001</v>
      </c>
      <c r="G116">
        <v>118.20338983051001</v>
      </c>
      <c r="I116" s="9">
        <f t="shared" si="8"/>
        <v>255.31690931479</v>
      </c>
      <c r="J116" s="9">
        <f t="shared" si="9"/>
        <v>938.3265337534599</v>
      </c>
      <c r="K116" s="9">
        <f t="shared" si="10"/>
        <v>255.31690931479</v>
      </c>
      <c r="L116" s="10">
        <f t="shared" si="7"/>
        <v>0.27209814508120167</v>
      </c>
      <c r="M116" s="10">
        <f t="shared" si="11"/>
        <v>0.30123500099993278</v>
      </c>
      <c r="P116" s="8">
        <f t="shared" si="12"/>
        <v>2.6177670189677489</v>
      </c>
      <c r="X116" s="8">
        <v>-13</v>
      </c>
    </row>
    <row r="117" spans="1:24" x14ac:dyDescent="0.2">
      <c r="A117" s="8">
        <v>57.5</v>
      </c>
      <c r="B117" s="8">
        <v>115</v>
      </c>
      <c r="D117">
        <v>1093.1346153846</v>
      </c>
      <c r="E117">
        <v>378.84935897435997</v>
      </c>
      <c r="F117">
        <v>141.77860169492001</v>
      </c>
      <c r="G117">
        <v>118.10275423729</v>
      </c>
      <c r="I117" s="9">
        <f t="shared" si="8"/>
        <v>260.74660473706996</v>
      </c>
      <c r="J117" s="9">
        <f t="shared" si="9"/>
        <v>951.35601368968003</v>
      </c>
      <c r="K117" s="9">
        <f t="shared" si="10"/>
        <v>260.74660473706996</v>
      </c>
      <c r="L117" s="10">
        <f t="shared" si="7"/>
        <v>0.2740788947407885</v>
      </c>
      <c r="M117" s="10">
        <f t="shared" si="11"/>
        <v>0.30347133711494706</v>
      </c>
      <c r="P117" s="8">
        <f t="shared" si="12"/>
        <v>3.3795902389284671</v>
      </c>
      <c r="X117" s="8">
        <v>-13</v>
      </c>
    </row>
    <row r="118" spans="1:24" x14ac:dyDescent="0.2">
      <c r="A118" s="8">
        <v>58</v>
      </c>
      <c r="B118" s="8">
        <v>116</v>
      </c>
      <c r="D118">
        <v>1094.8087606838001</v>
      </c>
      <c r="E118">
        <v>378.81517094016999</v>
      </c>
      <c r="F118">
        <v>141.40466101695</v>
      </c>
      <c r="G118">
        <v>118.22351694915</v>
      </c>
      <c r="I118" s="9">
        <f t="shared" si="8"/>
        <v>260.59165399102</v>
      </c>
      <c r="J118" s="9">
        <f t="shared" si="9"/>
        <v>953.40409966685002</v>
      </c>
      <c r="K118" s="9">
        <f t="shared" si="10"/>
        <v>260.59165399102</v>
      </c>
      <c r="L118" s="10">
        <f t="shared" si="7"/>
        <v>0.27332759957931696</v>
      </c>
      <c r="M118" s="10">
        <f t="shared" si="11"/>
        <v>0.30297562840890296</v>
      </c>
      <c r="P118" s="8">
        <f t="shared" si="12"/>
        <v>3.2107236718388137</v>
      </c>
      <c r="X118" s="8">
        <v>-13</v>
      </c>
    </row>
    <row r="119" spans="1:24" x14ac:dyDescent="0.2">
      <c r="A119" s="8">
        <v>58.5</v>
      </c>
      <c r="B119" s="8">
        <v>117</v>
      </c>
      <c r="D119">
        <v>1080.7072649572999</v>
      </c>
      <c r="E119">
        <v>375.5811965812</v>
      </c>
      <c r="F119">
        <v>141.63983050848</v>
      </c>
      <c r="G119">
        <v>118.01165254237</v>
      </c>
      <c r="I119" s="9">
        <f t="shared" si="8"/>
        <v>257.56954403883003</v>
      </c>
      <c r="J119" s="9">
        <f t="shared" si="9"/>
        <v>939.06743444881988</v>
      </c>
      <c r="K119" s="9">
        <f t="shared" si="10"/>
        <v>257.56954403883003</v>
      </c>
      <c r="L119" s="10">
        <f t="shared" si="7"/>
        <v>0.27428226620382057</v>
      </c>
      <c r="M119" s="10">
        <f t="shared" si="11"/>
        <v>0.30418588148883408</v>
      </c>
      <c r="P119" s="8">
        <f t="shared" si="12"/>
        <v>3.6230046756335441</v>
      </c>
      <c r="X119" s="8">
        <v>-13</v>
      </c>
    </row>
    <row r="120" spans="1:24" x14ac:dyDescent="0.2">
      <c r="A120" s="8">
        <v>59</v>
      </c>
      <c r="B120" s="8">
        <v>118</v>
      </c>
      <c r="D120">
        <v>1110.2029914530001</v>
      </c>
      <c r="E120">
        <v>378.19551282050998</v>
      </c>
      <c r="F120">
        <v>141.28707627118999</v>
      </c>
      <c r="G120">
        <v>118.08262711864</v>
      </c>
      <c r="I120" s="9">
        <f t="shared" si="8"/>
        <v>260.11288570186997</v>
      </c>
      <c r="J120" s="9">
        <f t="shared" si="9"/>
        <v>968.91591518181008</v>
      </c>
      <c r="K120" s="9">
        <f t="shared" si="10"/>
        <v>260.11288570186997</v>
      </c>
      <c r="L120" s="10">
        <f t="shared" si="7"/>
        <v>0.26845764593830795</v>
      </c>
      <c r="M120" s="10">
        <f t="shared" si="11"/>
        <v>0.29861684767874891</v>
      </c>
      <c r="P120" s="8">
        <f t="shared" si="12"/>
        <v>1.7258751516835653</v>
      </c>
      <c r="X120" s="8">
        <v>-13</v>
      </c>
    </row>
    <row r="121" spans="1:24" x14ac:dyDescent="0.2">
      <c r="A121" s="8">
        <v>59.5</v>
      </c>
      <c r="B121" s="8">
        <v>119</v>
      </c>
      <c r="D121">
        <v>1117.9126730564001</v>
      </c>
      <c r="E121">
        <v>382.94249201278001</v>
      </c>
      <c r="F121">
        <v>142.13877118644001</v>
      </c>
      <c r="G121">
        <v>118.28707627119</v>
      </c>
      <c r="I121" s="9">
        <f t="shared" si="8"/>
        <v>264.65541574158999</v>
      </c>
      <c r="J121" s="9">
        <f t="shared" si="9"/>
        <v>975.77390186996013</v>
      </c>
      <c r="K121" s="9">
        <f t="shared" si="10"/>
        <v>264.65541574158999</v>
      </c>
      <c r="L121" s="10">
        <f t="shared" si="7"/>
        <v>0.2712261674906532</v>
      </c>
      <c r="M121" s="10">
        <f t="shared" si="11"/>
        <v>0.30164095568652161</v>
      </c>
      <c r="P121" s="8">
        <f t="shared" si="12"/>
        <v>2.7560582643753153</v>
      </c>
      <c r="X121" s="8">
        <v>-13</v>
      </c>
    </row>
    <row r="122" spans="1:24" x14ac:dyDescent="0.2">
      <c r="A122" s="8">
        <v>60</v>
      </c>
      <c r="B122" s="8">
        <v>120</v>
      </c>
      <c r="D122">
        <v>1087.4247598719001</v>
      </c>
      <c r="E122">
        <v>376.36606189968001</v>
      </c>
      <c r="F122">
        <v>142.08368644068</v>
      </c>
      <c r="G122">
        <v>118.43326271186</v>
      </c>
      <c r="I122" s="9">
        <f t="shared" si="8"/>
        <v>257.93279918782002</v>
      </c>
      <c r="J122" s="9">
        <f t="shared" si="9"/>
        <v>945.34107343122002</v>
      </c>
      <c r="K122" s="9">
        <f t="shared" si="10"/>
        <v>257.93279918782002</v>
      </c>
      <c r="L122" s="10">
        <f t="shared" si="7"/>
        <v>0.27284628420049961</v>
      </c>
      <c r="M122" s="10">
        <f t="shared" si="11"/>
        <v>0.30351665885179552</v>
      </c>
      <c r="P122" s="8">
        <f t="shared" si="12"/>
        <v>3.3950293991102916</v>
      </c>
      <c r="X122" s="8">
        <v>-13</v>
      </c>
    </row>
    <row r="123" spans="1:24" x14ac:dyDescent="0.2">
      <c r="A123" s="8">
        <v>60.5</v>
      </c>
      <c r="B123" s="8">
        <v>121</v>
      </c>
      <c r="D123">
        <v>1049.1750266808999</v>
      </c>
      <c r="E123">
        <v>363.03094983992003</v>
      </c>
      <c r="F123">
        <v>142.14300847458</v>
      </c>
      <c r="G123">
        <v>117.81673728814</v>
      </c>
      <c r="I123" s="9">
        <f t="shared" si="8"/>
        <v>245.21421255178001</v>
      </c>
      <c r="J123" s="9">
        <f t="shared" si="9"/>
        <v>907.03201820631989</v>
      </c>
      <c r="K123" s="9">
        <f t="shared" si="10"/>
        <v>245.21421255178001</v>
      </c>
      <c r="L123" s="10">
        <f t="shared" si="7"/>
        <v>0.27034791234459143</v>
      </c>
      <c r="M123" s="10">
        <f t="shared" si="11"/>
        <v>0.30127387345131479</v>
      </c>
      <c r="P123" s="8">
        <f t="shared" si="12"/>
        <v>2.6310091858677902</v>
      </c>
      <c r="X123" s="8">
        <v>-13</v>
      </c>
    </row>
    <row r="124" spans="1:24" x14ac:dyDescent="0.2">
      <c r="A124" s="8">
        <v>61</v>
      </c>
      <c r="B124" s="8">
        <v>122</v>
      </c>
      <c r="D124">
        <v>1042.8633938099999</v>
      </c>
      <c r="E124">
        <v>361.97545357524001</v>
      </c>
      <c r="F124">
        <v>142.34533898305</v>
      </c>
      <c r="G124">
        <v>118.4406779661</v>
      </c>
      <c r="I124" s="9">
        <f t="shared" si="8"/>
        <v>243.53477560914001</v>
      </c>
      <c r="J124" s="9">
        <f t="shared" si="9"/>
        <v>900.51805482694999</v>
      </c>
      <c r="K124" s="9">
        <f t="shared" si="10"/>
        <v>243.53477560914001</v>
      </c>
      <c r="L124" s="10">
        <f t="shared" si="7"/>
        <v>0.27043852625024761</v>
      </c>
      <c r="M124" s="10">
        <f t="shared" si="11"/>
        <v>0.30162007381239841</v>
      </c>
      <c r="P124" s="8">
        <f t="shared" si="12"/>
        <v>2.7489447108819305</v>
      </c>
      <c r="X124" s="8">
        <v>-13</v>
      </c>
    </row>
    <row r="125" spans="1:24" x14ac:dyDescent="0.2">
      <c r="A125" s="8">
        <v>61.5</v>
      </c>
      <c r="B125" s="8">
        <v>123</v>
      </c>
      <c r="D125">
        <v>1058.2774813234</v>
      </c>
      <c r="E125">
        <v>365.63287086446002</v>
      </c>
      <c r="F125">
        <v>141.53495762712001</v>
      </c>
      <c r="G125">
        <v>118.60275423729</v>
      </c>
      <c r="I125" s="9">
        <f t="shared" si="8"/>
        <v>247.03011662717</v>
      </c>
      <c r="J125" s="9">
        <f t="shared" si="9"/>
        <v>916.74252369628005</v>
      </c>
      <c r="K125" s="9">
        <f t="shared" si="10"/>
        <v>247.03011662717</v>
      </c>
      <c r="L125" s="10">
        <f t="shared" si="7"/>
        <v>0.26946510087821773</v>
      </c>
      <c r="M125" s="10">
        <f t="shared" si="11"/>
        <v>0.30090223489579604</v>
      </c>
      <c r="P125" s="8">
        <f t="shared" si="12"/>
        <v>2.5044079656281233</v>
      </c>
      <c r="X125" s="8">
        <v>-13</v>
      </c>
    </row>
    <row r="126" spans="1:24" x14ac:dyDescent="0.2">
      <c r="A126" s="8">
        <v>62</v>
      </c>
      <c r="B126" s="8">
        <v>124</v>
      </c>
      <c r="D126">
        <v>1076.7908217715999</v>
      </c>
      <c r="E126">
        <v>373.88900747064997</v>
      </c>
      <c r="F126">
        <v>142.51800847458</v>
      </c>
      <c r="G126">
        <v>118.33686440677999</v>
      </c>
      <c r="I126" s="9">
        <f t="shared" si="8"/>
        <v>255.55214306386998</v>
      </c>
      <c r="J126" s="9">
        <f t="shared" si="9"/>
        <v>934.27281329701987</v>
      </c>
      <c r="K126" s="9">
        <f t="shared" si="10"/>
        <v>255.55214306386998</v>
      </c>
      <c r="L126" s="10">
        <f t="shared" si="7"/>
        <v>0.27353053564946878</v>
      </c>
      <c r="M126" s="10">
        <f t="shared" si="11"/>
        <v>0.30522325612247453</v>
      </c>
      <c r="P126" s="8">
        <f t="shared" si="12"/>
        <v>3.9763934522130855</v>
      </c>
      <c r="X126" s="8">
        <v>-13</v>
      </c>
    </row>
    <row r="127" spans="1:24" x14ac:dyDescent="0.2">
      <c r="A127" s="8">
        <v>62.5</v>
      </c>
      <c r="B127" s="8">
        <v>125</v>
      </c>
      <c r="D127">
        <v>1076.4508547009</v>
      </c>
      <c r="E127">
        <v>371.92628205128</v>
      </c>
      <c r="F127">
        <v>142.73305084745999</v>
      </c>
      <c r="G127">
        <v>118.32733050848</v>
      </c>
      <c r="I127" s="9">
        <f t="shared" si="8"/>
        <v>253.59895154279999</v>
      </c>
      <c r="J127" s="9">
        <f t="shared" si="9"/>
        <v>933.71780385344005</v>
      </c>
      <c r="K127" s="9">
        <f t="shared" si="10"/>
        <v>253.59895154279999</v>
      </c>
      <c r="L127" s="10">
        <f t="shared" si="7"/>
        <v>0.27160128091828251</v>
      </c>
      <c r="M127" s="10">
        <f t="shared" si="11"/>
        <v>0.30354958784671571</v>
      </c>
      <c r="P127" s="8">
        <f t="shared" si="12"/>
        <v>3.4062468868446918</v>
      </c>
      <c r="X127" s="8">
        <v>-13</v>
      </c>
    </row>
    <row r="128" spans="1:24" x14ac:dyDescent="0.2">
      <c r="A128" s="8">
        <v>63</v>
      </c>
      <c r="B128" s="8">
        <v>126</v>
      </c>
      <c r="D128">
        <v>1076.6869658119999</v>
      </c>
      <c r="E128">
        <v>367.65064102564003</v>
      </c>
      <c r="F128">
        <v>142.48516949153</v>
      </c>
      <c r="G128">
        <v>118.64618644068</v>
      </c>
      <c r="I128" s="9">
        <f t="shared" si="8"/>
        <v>249.00445458496003</v>
      </c>
      <c r="J128" s="9">
        <f t="shared" si="9"/>
        <v>934.20179632046995</v>
      </c>
      <c r="K128" s="9">
        <f t="shared" si="10"/>
        <v>249.00445458496003</v>
      </c>
      <c r="L128" s="10">
        <f t="shared" si="7"/>
        <v>0.26654247033746997</v>
      </c>
      <c r="M128" s="10">
        <f t="shared" si="11"/>
        <v>0.29874636372133068</v>
      </c>
      <c r="P128" s="8">
        <f t="shared" si="12"/>
        <v>1.7699956789754037</v>
      </c>
      <c r="X128" s="8">
        <v>-13</v>
      </c>
    </row>
    <row r="129" spans="1:24" x14ac:dyDescent="0.2">
      <c r="A129" s="8">
        <v>63.5</v>
      </c>
      <c r="B129" s="8">
        <v>127</v>
      </c>
      <c r="D129">
        <v>1088.735042735</v>
      </c>
      <c r="E129">
        <v>368.04273504273999</v>
      </c>
      <c r="F129">
        <v>142.29872881355999</v>
      </c>
      <c r="G129">
        <v>118.53919491524999</v>
      </c>
      <c r="I129" s="9">
        <f t="shared" si="8"/>
        <v>249.50354012749</v>
      </c>
      <c r="J129" s="9">
        <f t="shared" si="9"/>
        <v>946.43631392143993</v>
      </c>
      <c r="K129" s="9">
        <f t="shared" si="10"/>
        <v>249.50354012749</v>
      </c>
      <c r="L129" s="10">
        <f t="shared" si="7"/>
        <v>0.26362422537836006</v>
      </c>
      <c r="M129" s="10">
        <f t="shared" si="11"/>
        <v>0.29608370521764821</v>
      </c>
      <c r="P129" s="8">
        <f t="shared" si="12"/>
        <v>0.86294281634334247</v>
      </c>
      <c r="X129" s="8">
        <v>-13</v>
      </c>
    </row>
    <row r="130" spans="1:24" x14ac:dyDescent="0.2">
      <c r="A130" s="8">
        <v>64</v>
      </c>
      <c r="B130" s="8">
        <v>128</v>
      </c>
      <c r="D130">
        <v>1088.1314102563999</v>
      </c>
      <c r="E130">
        <v>365.12820512821003</v>
      </c>
      <c r="F130">
        <v>143.00529661017001</v>
      </c>
      <c r="G130">
        <v>118.32944915253999</v>
      </c>
      <c r="I130" s="9">
        <f t="shared" si="8"/>
        <v>246.79875597567002</v>
      </c>
      <c r="J130" s="9">
        <f t="shared" si="9"/>
        <v>945.1261136462299</v>
      </c>
      <c r="K130" s="9">
        <f t="shared" si="10"/>
        <v>246.79875597567002</v>
      </c>
      <c r="L130" s="10">
        <f t="shared" ref="L130:L193" si="14">K130/J130</f>
        <v>0.26112785628527163</v>
      </c>
      <c r="M130" s="10">
        <f t="shared" si="11"/>
        <v>0.29384292257998723</v>
      </c>
      <c r="P130" s="8">
        <f t="shared" si="12"/>
        <v>9.9604857977430586E-2</v>
      </c>
      <c r="X130" s="8">
        <v>-13</v>
      </c>
    </row>
    <row r="131" spans="1:24" x14ac:dyDescent="0.2">
      <c r="A131" s="8">
        <v>64.5</v>
      </c>
      <c r="B131" s="8">
        <v>129</v>
      </c>
      <c r="D131">
        <v>1091.1837606838001</v>
      </c>
      <c r="E131">
        <v>364.58547008546998</v>
      </c>
      <c r="F131">
        <v>142.60699152542</v>
      </c>
      <c r="G131">
        <v>118.6218220339</v>
      </c>
      <c r="I131" s="9">
        <f t="shared" ref="I131:I194" si="15">E131-G131</f>
        <v>245.96364805156998</v>
      </c>
      <c r="J131" s="9">
        <f t="shared" ref="J131:J194" si="16">D131-F131</f>
        <v>948.5767691583801</v>
      </c>
      <c r="K131" s="9">
        <f t="shared" ref="K131:K194" si="17">I131*1</f>
        <v>245.96364805156998</v>
      </c>
      <c r="L131" s="10">
        <f t="shared" si="14"/>
        <v>0.25929756667960568</v>
      </c>
      <c r="M131" s="10">
        <f t="shared" ref="M131:M181" si="18">L131+ABS($N$2)*A131</f>
        <v>0.29226821942974879</v>
      </c>
      <c r="P131" s="8">
        <f t="shared" ref="P131:P194" si="19">(M131-$O$2)/$O$2*100</f>
        <v>-0.43682855931739173</v>
      </c>
      <c r="X131" s="8">
        <v>-13</v>
      </c>
    </row>
    <row r="132" spans="1:24" x14ac:dyDescent="0.2">
      <c r="A132" s="8">
        <v>65</v>
      </c>
      <c r="B132" s="8">
        <v>130</v>
      </c>
      <c r="D132">
        <v>1089.9529914530001</v>
      </c>
      <c r="E132">
        <v>362.24679487179998</v>
      </c>
      <c r="F132">
        <v>143.13453389831</v>
      </c>
      <c r="G132">
        <v>118.42478813559001</v>
      </c>
      <c r="I132" s="9">
        <f t="shared" si="15"/>
        <v>243.82200673620997</v>
      </c>
      <c r="J132" s="9">
        <f t="shared" si="16"/>
        <v>946.8184575546901</v>
      </c>
      <c r="K132" s="9">
        <f t="shared" si="17"/>
        <v>243.82200673620997</v>
      </c>
      <c r="L132" s="10">
        <f t="shared" si="14"/>
        <v>0.2575171668768681</v>
      </c>
      <c r="M132" s="10">
        <f t="shared" si="18"/>
        <v>0.29074340608243865</v>
      </c>
      <c r="P132" s="8">
        <f t="shared" si="19"/>
        <v>-0.95626667342193128</v>
      </c>
      <c r="X132" s="8">
        <v>-13</v>
      </c>
    </row>
    <row r="133" spans="1:24" x14ac:dyDescent="0.2">
      <c r="A133" s="8">
        <v>65.5</v>
      </c>
      <c r="B133" s="8">
        <v>131</v>
      </c>
      <c r="D133">
        <v>1079.7542735043</v>
      </c>
      <c r="E133">
        <v>359.69337606838002</v>
      </c>
      <c r="F133">
        <v>142.62288135592999</v>
      </c>
      <c r="G133">
        <v>118.20233050848</v>
      </c>
      <c r="I133" s="9">
        <f t="shared" si="15"/>
        <v>241.49104555990002</v>
      </c>
      <c r="J133" s="9">
        <f t="shared" si="16"/>
        <v>937.13139214837008</v>
      </c>
      <c r="K133" s="9">
        <f t="shared" si="17"/>
        <v>241.49104555990002</v>
      </c>
      <c r="L133" s="10">
        <f t="shared" si="14"/>
        <v>0.25769176828692369</v>
      </c>
      <c r="M133" s="10">
        <f t="shared" si="18"/>
        <v>0.29117359394792169</v>
      </c>
      <c r="P133" s="8">
        <f t="shared" si="19"/>
        <v>-0.80972022958907797</v>
      </c>
      <c r="X133" s="8">
        <v>-13</v>
      </c>
    </row>
    <row r="134" spans="1:24" x14ac:dyDescent="0.2">
      <c r="A134" s="8">
        <v>66</v>
      </c>
      <c r="B134" s="8">
        <v>132</v>
      </c>
      <c r="D134">
        <v>1066.4957264957</v>
      </c>
      <c r="E134">
        <v>353.56944444444002</v>
      </c>
      <c r="F134">
        <v>142.68855932202999</v>
      </c>
      <c r="G134">
        <v>118.91419491524999</v>
      </c>
      <c r="I134" s="9">
        <f t="shared" si="15"/>
        <v>234.65524952919003</v>
      </c>
      <c r="J134" s="9">
        <f t="shared" si="16"/>
        <v>923.80716717367</v>
      </c>
      <c r="K134" s="9">
        <f t="shared" si="17"/>
        <v>234.65524952919003</v>
      </c>
      <c r="L134" s="10">
        <f t="shared" si="14"/>
        <v>0.25400890777574614</v>
      </c>
      <c r="M134" s="10">
        <f t="shared" si="18"/>
        <v>0.28774631989217159</v>
      </c>
      <c r="P134" s="8">
        <f t="shared" si="19"/>
        <v>-1.9772446188389039</v>
      </c>
      <c r="X134" s="8">
        <v>-13</v>
      </c>
    </row>
    <row r="135" spans="1:24" x14ac:dyDescent="0.2">
      <c r="A135" s="8">
        <v>66.5</v>
      </c>
      <c r="B135" s="8">
        <v>133</v>
      </c>
      <c r="D135">
        <v>1046.2029914530001</v>
      </c>
      <c r="E135">
        <v>349.38568376068002</v>
      </c>
      <c r="F135">
        <v>142.54449152542</v>
      </c>
      <c r="G135">
        <v>118.58156779661</v>
      </c>
      <c r="I135" s="9">
        <f t="shared" si="15"/>
        <v>230.80411596407004</v>
      </c>
      <c r="J135" s="9">
        <f t="shared" si="16"/>
        <v>903.65849992758012</v>
      </c>
      <c r="K135" s="9">
        <f t="shared" si="17"/>
        <v>230.80411596407004</v>
      </c>
      <c r="L135" s="10">
        <f t="shared" si="14"/>
        <v>0.2554107729662996</v>
      </c>
      <c r="M135" s="10">
        <f t="shared" si="18"/>
        <v>0.28940377153815255</v>
      </c>
      <c r="P135" s="8">
        <f t="shared" si="19"/>
        <v>-1.4126223595134761</v>
      </c>
      <c r="X135" s="8">
        <v>-13</v>
      </c>
    </row>
    <row r="136" spans="1:24" x14ac:dyDescent="0.2">
      <c r="A136" s="8">
        <v>67</v>
      </c>
      <c r="B136" s="8">
        <v>134</v>
      </c>
      <c r="D136">
        <v>1014.1677350427</v>
      </c>
      <c r="E136">
        <v>338.60256410256</v>
      </c>
      <c r="F136">
        <v>142.61334745763</v>
      </c>
      <c r="G136">
        <v>118.85381355932</v>
      </c>
      <c r="I136" s="9">
        <f t="shared" si="15"/>
        <v>219.74875054323999</v>
      </c>
      <c r="J136" s="9">
        <f t="shared" si="16"/>
        <v>871.55438758507</v>
      </c>
      <c r="K136" s="9">
        <f t="shared" si="17"/>
        <v>219.74875054323999</v>
      </c>
      <c r="L136" s="10">
        <f t="shared" si="14"/>
        <v>0.25213429439799695</v>
      </c>
      <c r="M136" s="10">
        <f t="shared" si="18"/>
        <v>0.28638287942527735</v>
      </c>
      <c r="P136" s="8">
        <f t="shared" si="19"/>
        <v>-2.4417099555745136</v>
      </c>
      <c r="X136" s="8">
        <v>-13</v>
      </c>
    </row>
    <row r="137" spans="1:24" x14ac:dyDescent="0.2">
      <c r="A137" s="8">
        <v>67.5</v>
      </c>
      <c r="B137" s="8">
        <v>135</v>
      </c>
      <c r="D137">
        <v>1067.9475935829</v>
      </c>
      <c r="E137">
        <v>354.40320855614999</v>
      </c>
      <c r="F137">
        <v>142.1843220339</v>
      </c>
      <c r="G137">
        <v>118.43220338982999</v>
      </c>
      <c r="I137" s="9">
        <f t="shared" si="15"/>
        <v>235.97100516632</v>
      </c>
      <c r="J137" s="9">
        <f t="shared" si="16"/>
        <v>925.76327154900002</v>
      </c>
      <c r="K137" s="9">
        <f t="shared" si="17"/>
        <v>235.97100516632</v>
      </c>
      <c r="L137" s="10">
        <f t="shared" si="14"/>
        <v>0.25489346187982809</v>
      </c>
      <c r="M137" s="10">
        <f t="shared" si="18"/>
        <v>0.28939763336253593</v>
      </c>
      <c r="P137" s="8">
        <f t="shared" si="19"/>
        <v>-1.4147133710933293</v>
      </c>
      <c r="X137" s="8">
        <v>-13</v>
      </c>
    </row>
    <row r="138" spans="1:24" x14ac:dyDescent="0.2">
      <c r="A138" s="8">
        <v>68</v>
      </c>
      <c r="B138" s="8">
        <v>136</v>
      </c>
      <c r="D138">
        <v>1057.1229946523999</v>
      </c>
      <c r="E138">
        <v>350.78823529412</v>
      </c>
      <c r="F138">
        <v>142.08898305085</v>
      </c>
      <c r="G138">
        <v>118.05826271186</v>
      </c>
      <c r="I138" s="9">
        <f t="shared" si="15"/>
        <v>232.72997258226002</v>
      </c>
      <c r="J138" s="9">
        <f t="shared" si="16"/>
        <v>915.03401160154999</v>
      </c>
      <c r="K138" s="9">
        <f t="shared" si="17"/>
        <v>232.72997258226002</v>
      </c>
      <c r="L138" s="10">
        <f t="shared" si="14"/>
        <v>0.2543402426920956</v>
      </c>
      <c r="M138" s="10">
        <f t="shared" si="18"/>
        <v>0.28910000063023095</v>
      </c>
      <c r="P138" s="8">
        <f t="shared" si="19"/>
        <v>-1.5161040006002195</v>
      </c>
      <c r="X138" s="8">
        <v>-13</v>
      </c>
    </row>
    <row r="139" spans="1:24" x14ac:dyDescent="0.2">
      <c r="A139" s="8">
        <v>68.5</v>
      </c>
      <c r="B139" s="8">
        <v>137</v>
      </c>
      <c r="D139">
        <v>1087.5272727273</v>
      </c>
      <c r="E139">
        <v>360.60962566845001</v>
      </c>
      <c r="F139">
        <v>142.60381355932</v>
      </c>
      <c r="G139">
        <v>118.82309322034</v>
      </c>
      <c r="I139" s="9">
        <f t="shared" si="15"/>
        <v>241.78653244810999</v>
      </c>
      <c r="J139" s="9">
        <f t="shared" si="16"/>
        <v>944.92345916798001</v>
      </c>
      <c r="K139" s="9">
        <f t="shared" si="17"/>
        <v>241.78653244810999</v>
      </c>
      <c r="L139" s="10">
        <f t="shared" si="14"/>
        <v>0.25587948960544049</v>
      </c>
      <c r="M139" s="10">
        <f t="shared" si="18"/>
        <v>0.29089483399900329</v>
      </c>
      <c r="P139" s="8">
        <f t="shared" si="19"/>
        <v>-0.90468171612740589</v>
      </c>
      <c r="X139" s="8">
        <v>-13</v>
      </c>
    </row>
    <row r="140" spans="1:24" x14ac:dyDescent="0.2">
      <c r="A140" s="8">
        <v>69</v>
      </c>
      <c r="B140" s="8">
        <v>138</v>
      </c>
      <c r="D140">
        <v>1084.592513369</v>
      </c>
      <c r="E140">
        <v>358.9486631016</v>
      </c>
      <c r="F140">
        <v>142.51165254237</v>
      </c>
      <c r="G140">
        <v>119.01694915253999</v>
      </c>
      <c r="I140" s="9">
        <f t="shared" si="15"/>
        <v>239.93171394906</v>
      </c>
      <c r="J140" s="9">
        <f t="shared" si="16"/>
        <v>942.08086082662999</v>
      </c>
      <c r="K140" s="9">
        <f t="shared" si="17"/>
        <v>239.93171394906</v>
      </c>
      <c r="L140" s="10">
        <f t="shared" si="14"/>
        <v>0.25468271772184359</v>
      </c>
      <c r="M140" s="10">
        <f t="shared" si="18"/>
        <v>0.28995364857083383</v>
      </c>
      <c r="P140" s="8">
        <f t="shared" si="19"/>
        <v>-1.2253029808175675</v>
      </c>
      <c r="X140" s="8">
        <v>-13</v>
      </c>
    </row>
    <row r="141" spans="1:24" x14ac:dyDescent="0.2">
      <c r="A141" s="8">
        <v>69.5</v>
      </c>
      <c r="B141" s="8">
        <v>139</v>
      </c>
      <c r="D141">
        <v>1087.4042780749</v>
      </c>
      <c r="E141">
        <v>360.32727272726999</v>
      </c>
      <c r="F141">
        <v>142.96080508475001</v>
      </c>
      <c r="G141">
        <v>118.88665254237</v>
      </c>
      <c r="I141" s="9">
        <f t="shared" si="15"/>
        <v>241.44062018489998</v>
      </c>
      <c r="J141" s="9">
        <f t="shared" si="16"/>
        <v>944.44347299014998</v>
      </c>
      <c r="K141" s="9">
        <f t="shared" si="17"/>
        <v>241.44062018489998</v>
      </c>
      <c r="L141" s="10">
        <f t="shared" si="14"/>
        <v>0.25564327256186997</v>
      </c>
      <c r="M141" s="10">
        <f t="shared" si="18"/>
        <v>0.29116978986628772</v>
      </c>
      <c r="P141" s="8">
        <f t="shared" si="19"/>
        <v>-0.81101611606156787</v>
      </c>
      <c r="X141" s="8">
        <v>-13</v>
      </c>
    </row>
    <row r="142" spans="1:24" x14ac:dyDescent="0.2">
      <c r="A142" s="8">
        <v>70</v>
      </c>
      <c r="B142" s="8">
        <v>140</v>
      </c>
      <c r="D142">
        <v>1077.7903743316001</v>
      </c>
      <c r="E142">
        <v>356.44278074866003</v>
      </c>
      <c r="F142">
        <v>143.01165254237</v>
      </c>
      <c r="G142">
        <v>118.97563559322001</v>
      </c>
      <c r="I142" s="9">
        <f t="shared" si="15"/>
        <v>237.46714515544002</v>
      </c>
      <c r="J142" s="9">
        <f t="shared" si="16"/>
        <v>934.77872178923008</v>
      </c>
      <c r="K142" s="9">
        <f t="shared" si="17"/>
        <v>237.46714515544002</v>
      </c>
      <c r="L142" s="10">
        <f t="shared" si="14"/>
        <v>0.25403567670101834</v>
      </c>
      <c r="M142" s="10">
        <f t="shared" si="18"/>
        <v>0.28981778046086354</v>
      </c>
      <c r="P142" s="8">
        <f t="shared" si="19"/>
        <v>-1.2715873833868503</v>
      </c>
      <c r="X142" s="8">
        <v>-13</v>
      </c>
    </row>
    <row r="143" spans="1:24" x14ac:dyDescent="0.2">
      <c r="A143" s="8">
        <v>70.5</v>
      </c>
      <c r="B143" s="8">
        <v>141</v>
      </c>
      <c r="D143">
        <v>1105.1262032085999</v>
      </c>
      <c r="E143">
        <v>363.58823529412001</v>
      </c>
      <c r="F143">
        <v>142.92902542373</v>
      </c>
      <c r="G143">
        <v>118.79661016948999</v>
      </c>
      <c r="I143" s="9">
        <f t="shared" si="15"/>
        <v>244.79162512463</v>
      </c>
      <c r="J143" s="9">
        <f t="shared" si="16"/>
        <v>962.19717778486995</v>
      </c>
      <c r="K143" s="9">
        <f t="shared" si="17"/>
        <v>244.79162512463</v>
      </c>
      <c r="L143" s="10">
        <f t="shared" si="14"/>
        <v>0.25440900345205653</v>
      </c>
      <c r="M143" s="10">
        <f t="shared" si="18"/>
        <v>0.29044669366732917</v>
      </c>
      <c r="P143" s="8">
        <f t="shared" si="19"/>
        <v>-1.0573437905705676</v>
      </c>
      <c r="X143" s="8">
        <v>-13</v>
      </c>
    </row>
    <row r="144" spans="1:24" x14ac:dyDescent="0.2">
      <c r="A144" s="8">
        <v>71</v>
      </c>
      <c r="B144" s="8">
        <v>142</v>
      </c>
      <c r="D144">
        <v>1114.9339723109999</v>
      </c>
      <c r="E144">
        <v>361.33333333333002</v>
      </c>
      <c r="F144">
        <v>142.71186440677999</v>
      </c>
      <c r="G144">
        <v>118.66419491524999</v>
      </c>
      <c r="I144" s="9">
        <f t="shared" si="15"/>
        <v>242.66913841808002</v>
      </c>
      <c r="J144" s="9">
        <f t="shared" si="16"/>
        <v>972.22210790421991</v>
      </c>
      <c r="K144" s="9">
        <f t="shared" si="17"/>
        <v>242.66913841808002</v>
      </c>
      <c r="L144" s="10">
        <f t="shared" si="14"/>
        <v>0.24960257172220876</v>
      </c>
      <c r="M144" s="10">
        <f t="shared" si="18"/>
        <v>0.28589584839290888</v>
      </c>
      <c r="P144" s="8">
        <f t="shared" si="19"/>
        <v>-2.6076204136710017</v>
      </c>
    </row>
    <row r="145" spans="1:16" x14ac:dyDescent="0.2">
      <c r="A145" s="8">
        <v>71.5</v>
      </c>
      <c r="B145" s="8">
        <v>143</v>
      </c>
      <c r="D145">
        <v>1114.1586794462</v>
      </c>
      <c r="E145">
        <v>361.43556975505999</v>
      </c>
      <c r="F145">
        <v>143.16737288136</v>
      </c>
      <c r="G145">
        <v>119.16843220339</v>
      </c>
      <c r="I145" s="9">
        <f t="shared" si="15"/>
        <v>242.26713755166998</v>
      </c>
      <c r="J145" s="9">
        <f t="shared" si="16"/>
        <v>970.99130656483999</v>
      </c>
      <c r="K145" s="9">
        <f t="shared" si="17"/>
        <v>242.26713755166998</v>
      </c>
      <c r="L145" s="10">
        <f t="shared" si="14"/>
        <v>0.2495049501614586</v>
      </c>
      <c r="M145" s="10">
        <f t="shared" si="18"/>
        <v>0.28605381328758617</v>
      </c>
      <c r="P145" s="8">
        <f t="shared" si="19"/>
        <v>-2.5538085899939342</v>
      </c>
    </row>
    <row r="146" spans="1:16" x14ac:dyDescent="0.2">
      <c r="A146" s="8">
        <v>72</v>
      </c>
      <c r="B146" s="8">
        <v>144</v>
      </c>
      <c r="D146">
        <v>1132.4376996804999</v>
      </c>
      <c r="E146">
        <v>365.94249201278001</v>
      </c>
      <c r="F146">
        <v>142.79025423728999</v>
      </c>
      <c r="G146">
        <v>118.39512711864</v>
      </c>
      <c r="I146" s="9">
        <f t="shared" si="15"/>
        <v>247.54736489414</v>
      </c>
      <c r="J146" s="9">
        <f t="shared" si="16"/>
        <v>989.6474454432099</v>
      </c>
      <c r="K146" s="9">
        <f t="shared" si="17"/>
        <v>247.54736489414</v>
      </c>
      <c r="L146" s="10">
        <f t="shared" si="14"/>
        <v>0.25013692101562174</v>
      </c>
      <c r="M146" s="10">
        <f t="shared" si="18"/>
        <v>0.28694137059717678</v>
      </c>
      <c r="P146" s="8">
        <f t="shared" si="19"/>
        <v>-2.2514561113336877</v>
      </c>
    </row>
    <row r="147" spans="1:16" x14ac:dyDescent="0.2">
      <c r="A147" s="8">
        <v>72.5</v>
      </c>
      <c r="B147" s="8">
        <v>145</v>
      </c>
      <c r="D147">
        <v>1099.9936102235999</v>
      </c>
      <c r="E147">
        <v>358.12353567625001</v>
      </c>
      <c r="F147">
        <v>143.58898305085</v>
      </c>
      <c r="G147">
        <v>118.43855932203</v>
      </c>
      <c r="I147" s="9">
        <f t="shared" si="15"/>
        <v>239.68497635422</v>
      </c>
      <c r="J147" s="9">
        <f t="shared" si="16"/>
        <v>956.40462717275</v>
      </c>
      <c r="K147" s="9">
        <f t="shared" si="17"/>
        <v>239.68497635422</v>
      </c>
      <c r="L147" s="10">
        <f t="shared" si="14"/>
        <v>0.25061043155213325</v>
      </c>
      <c r="M147" s="10">
        <f t="shared" si="18"/>
        <v>0.2876704675891158</v>
      </c>
      <c r="P147" s="8">
        <f t="shared" si="19"/>
        <v>-2.0030842255811261</v>
      </c>
    </row>
    <row r="148" spans="1:16" x14ac:dyDescent="0.2">
      <c r="A148" s="8">
        <v>73</v>
      </c>
      <c r="B148" s="8">
        <v>146</v>
      </c>
      <c r="D148">
        <v>1181.5383795309001</v>
      </c>
      <c r="E148">
        <v>372.89658848613999</v>
      </c>
      <c r="F148">
        <v>143.46504237287999</v>
      </c>
      <c r="G148">
        <v>118.47775423729</v>
      </c>
      <c r="I148" s="9">
        <f t="shared" si="15"/>
        <v>254.41883424884998</v>
      </c>
      <c r="J148" s="9">
        <f t="shared" si="16"/>
        <v>1038.0733371580202</v>
      </c>
      <c r="K148" s="9">
        <f t="shared" si="17"/>
        <v>254.41883424884998</v>
      </c>
      <c r="L148" s="10">
        <f t="shared" si="14"/>
        <v>0.2450875339360741</v>
      </c>
      <c r="M148" s="10">
        <f t="shared" si="18"/>
        <v>0.28240315642848407</v>
      </c>
      <c r="P148" s="8">
        <f t="shared" si="19"/>
        <v>-3.7974298617252997</v>
      </c>
    </row>
    <row r="149" spans="1:16" x14ac:dyDescent="0.2">
      <c r="A149" s="8">
        <v>73.5</v>
      </c>
      <c r="B149" s="8">
        <v>147</v>
      </c>
      <c r="D149">
        <v>1184.3742004264</v>
      </c>
      <c r="E149">
        <v>371.33049040511997</v>
      </c>
      <c r="F149">
        <v>143.03707627118999</v>
      </c>
      <c r="G149">
        <v>118.87605932203</v>
      </c>
      <c r="I149" s="9">
        <f t="shared" si="15"/>
        <v>252.45443108308996</v>
      </c>
      <c r="J149" s="9">
        <f t="shared" si="16"/>
        <v>1041.3371241552099</v>
      </c>
      <c r="K149" s="9">
        <f t="shared" si="17"/>
        <v>252.45443108308996</v>
      </c>
      <c r="L149" s="10">
        <f t="shared" si="14"/>
        <v>0.24243295012448049</v>
      </c>
      <c r="M149" s="10">
        <f t="shared" si="18"/>
        <v>0.28000415907231796</v>
      </c>
      <c r="P149" s="8">
        <f t="shared" si="19"/>
        <v>-4.6146647479669172</v>
      </c>
    </row>
    <row r="150" spans="1:16" x14ac:dyDescent="0.2">
      <c r="A150" s="8">
        <v>74</v>
      </c>
      <c r="B150" s="8">
        <v>148</v>
      </c>
      <c r="D150">
        <v>1153.5724946695</v>
      </c>
      <c r="E150">
        <v>363.58955223880997</v>
      </c>
      <c r="F150">
        <v>142.23940677965999</v>
      </c>
      <c r="G150">
        <v>118.66101694915</v>
      </c>
      <c r="I150" s="9">
        <f t="shared" si="15"/>
        <v>244.92853528965998</v>
      </c>
      <c r="J150" s="9">
        <f t="shared" si="16"/>
        <v>1011.33308788984</v>
      </c>
      <c r="K150" s="9">
        <f t="shared" si="17"/>
        <v>244.92853528965998</v>
      </c>
      <c r="L150" s="10">
        <f t="shared" si="14"/>
        <v>0.24218384449450439</v>
      </c>
      <c r="M150" s="10">
        <f t="shared" si="18"/>
        <v>0.28001063989776931</v>
      </c>
      <c r="P150" s="8">
        <f t="shared" si="19"/>
        <v>-4.6124570103731788</v>
      </c>
    </row>
    <row r="151" spans="1:16" x14ac:dyDescent="0.2">
      <c r="A151" s="8">
        <v>74.5</v>
      </c>
      <c r="B151" s="8">
        <v>149</v>
      </c>
      <c r="D151">
        <v>1159.4581124071999</v>
      </c>
      <c r="E151">
        <v>359.55673382820999</v>
      </c>
      <c r="F151">
        <v>142.64194915254001</v>
      </c>
      <c r="G151">
        <v>118.83580508475001</v>
      </c>
      <c r="I151" s="9">
        <f t="shared" si="15"/>
        <v>240.72092874345998</v>
      </c>
      <c r="J151" s="9">
        <f t="shared" si="16"/>
        <v>1016.8161632546598</v>
      </c>
      <c r="K151" s="9">
        <f t="shared" si="17"/>
        <v>240.72092874345998</v>
      </c>
      <c r="L151" s="10">
        <f t="shared" si="14"/>
        <v>0.23673987240028938</v>
      </c>
      <c r="M151" s="10">
        <f t="shared" si="18"/>
        <v>0.27482225425898177</v>
      </c>
      <c r="P151" s="8">
        <f t="shared" si="19"/>
        <v>-6.379916126738534</v>
      </c>
    </row>
    <row r="152" spans="1:16" x14ac:dyDescent="0.2">
      <c r="A152" s="8">
        <v>75</v>
      </c>
      <c r="B152" s="8">
        <v>150</v>
      </c>
      <c r="D152">
        <v>1163.0095440084999</v>
      </c>
      <c r="E152">
        <v>358.46447507953002</v>
      </c>
      <c r="F152">
        <v>142.64088983050999</v>
      </c>
      <c r="G152">
        <v>118.88029661017001</v>
      </c>
      <c r="I152" s="9">
        <f t="shared" si="15"/>
        <v>239.58417846936001</v>
      </c>
      <c r="J152" s="9">
        <f t="shared" si="16"/>
        <v>1020.3686541779899</v>
      </c>
      <c r="K152" s="9">
        <f t="shared" si="17"/>
        <v>239.58417846936001</v>
      </c>
      <c r="L152" s="10">
        <f t="shared" si="14"/>
        <v>0.23480158616041502</v>
      </c>
      <c r="M152" s="10">
        <f t="shared" si="18"/>
        <v>0.27313955447453486</v>
      </c>
      <c r="P152" s="8">
        <f t="shared" si="19"/>
        <v>-6.9531393374214074</v>
      </c>
    </row>
    <row r="153" spans="1:16" x14ac:dyDescent="0.2">
      <c r="A153" s="8">
        <v>75.5</v>
      </c>
      <c r="B153" s="8">
        <v>151</v>
      </c>
      <c r="D153">
        <v>1157.7359490986</v>
      </c>
      <c r="E153">
        <v>356.02014846234999</v>
      </c>
      <c r="F153">
        <v>142.43326271186001</v>
      </c>
      <c r="G153">
        <v>118.85911016948999</v>
      </c>
      <c r="I153" s="9">
        <f t="shared" si="15"/>
        <v>237.16103829285998</v>
      </c>
      <c r="J153" s="9">
        <f t="shared" si="16"/>
        <v>1015.30268638674</v>
      </c>
      <c r="K153" s="9">
        <f t="shared" si="17"/>
        <v>237.16103829285998</v>
      </c>
      <c r="L153" s="10">
        <f t="shared" si="14"/>
        <v>0.23358653677640595</v>
      </c>
      <c r="M153" s="10">
        <f t="shared" si="18"/>
        <v>0.27218009154595324</v>
      </c>
      <c r="P153" s="8">
        <f t="shared" si="19"/>
        <v>-7.2799869578562824</v>
      </c>
    </row>
    <row r="154" spans="1:16" x14ac:dyDescent="0.2">
      <c r="A154" s="8">
        <v>76</v>
      </c>
      <c r="B154" s="8">
        <v>152</v>
      </c>
      <c r="D154">
        <v>1158.0392364792999</v>
      </c>
      <c r="E154">
        <v>355.80275715801002</v>
      </c>
      <c r="F154">
        <v>142.66101694915</v>
      </c>
      <c r="G154">
        <v>118.97033898305</v>
      </c>
      <c r="I154" s="9">
        <f t="shared" si="15"/>
        <v>236.83241817496003</v>
      </c>
      <c r="J154" s="9">
        <f t="shared" si="16"/>
        <v>1015.3782195301499</v>
      </c>
      <c r="K154" s="9">
        <f t="shared" si="17"/>
        <v>236.83241817496003</v>
      </c>
      <c r="L154" s="10">
        <f t="shared" si="14"/>
        <v>0.23324551740389948</v>
      </c>
      <c r="M154" s="10">
        <f t="shared" si="18"/>
        <v>0.27209465862887428</v>
      </c>
      <c r="P154" s="8">
        <f t="shared" si="19"/>
        <v>-7.3090902664076083</v>
      </c>
    </row>
    <row r="155" spans="1:16" x14ac:dyDescent="0.2">
      <c r="A155" s="8">
        <v>76.5</v>
      </c>
      <c r="B155" s="8">
        <v>153</v>
      </c>
      <c r="D155">
        <v>1157.3785790032</v>
      </c>
      <c r="E155">
        <v>354.40827147402001</v>
      </c>
      <c r="F155">
        <v>142.38347457627</v>
      </c>
      <c r="G155">
        <v>118.65572033898</v>
      </c>
      <c r="I155" s="9">
        <f t="shared" si="15"/>
        <v>235.75255113503999</v>
      </c>
      <c r="J155" s="9">
        <f t="shared" si="16"/>
        <v>1014.99510442693</v>
      </c>
      <c r="K155" s="9">
        <f t="shared" si="17"/>
        <v>235.75255113503999</v>
      </c>
      <c r="L155" s="10">
        <f t="shared" si="14"/>
        <v>0.23226964357443552</v>
      </c>
      <c r="M155" s="10">
        <f t="shared" si="18"/>
        <v>0.27137437125483777</v>
      </c>
      <c r="P155" s="8">
        <f t="shared" si="19"/>
        <v>-7.554461095462095</v>
      </c>
    </row>
    <row r="156" spans="1:16" x14ac:dyDescent="0.2">
      <c r="A156" s="8">
        <v>77</v>
      </c>
      <c r="B156" s="8">
        <v>154</v>
      </c>
      <c r="D156">
        <v>1163.084835631</v>
      </c>
      <c r="E156">
        <v>354.36797454931002</v>
      </c>
      <c r="F156">
        <v>142.77648305085</v>
      </c>
      <c r="G156">
        <v>118.70550847458</v>
      </c>
      <c r="I156" s="9">
        <f t="shared" si="15"/>
        <v>235.66246607473002</v>
      </c>
      <c r="J156" s="9">
        <f t="shared" si="16"/>
        <v>1020.3083525801501</v>
      </c>
      <c r="K156" s="9">
        <f t="shared" si="17"/>
        <v>235.66246607473002</v>
      </c>
      <c r="L156" s="10">
        <f t="shared" si="14"/>
        <v>0.23097180913866683</v>
      </c>
      <c r="M156" s="10">
        <f t="shared" si="18"/>
        <v>0.27033212327449652</v>
      </c>
      <c r="P156" s="8">
        <f t="shared" si="19"/>
        <v>-7.9095100109852687</v>
      </c>
    </row>
    <row r="157" spans="1:16" x14ac:dyDescent="0.2">
      <c r="A157" s="8">
        <v>77.5</v>
      </c>
      <c r="B157" s="8">
        <v>155</v>
      </c>
      <c r="D157">
        <v>1163.8271474019</v>
      </c>
      <c r="E157">
        <v>355.30540827147001</v>
      </c>
      <c r="F157">
        <v>143.04872881355999</v>
      </c>
      <c r="G157">
        <v>118.7468220339</v>
      </c>
      <c r="I157" s="9">
        <f t="shared" si="15"/>
        <v>236.55858623757001</v>
      </c>
      <c r="J157" s="9">
        <f t="shared" si="16"/>
        <v>1020.7784185883399</v>
      </c>
      <c r="K157" s="9">
        <f t="shared" si="17"/>
        <v>236.55858623757001</v>
      </c>
      <c r="L157" s="10">
        <f t="shared" si="14"/>
        <v>0.23174332639664622</v>
      </c>
      <c r="M157" s="10">
        <f t="shared" si="18"/>
        <v>0.27135922698790338</v>
      </c>
      <c r="P157" s="8">
        <f t="shared" si="19"/>
        <v>-7.5596200937550799</v>
      </c>
    </row>
    <row r="158" spans="1:16" x14ac:dyDescent="0.2">
      <c r="A158" s="8">
        <v>78</v>
      </c>
      <c r="B158" s="8">
        <v>156</v>
      </c>
      <c r="D158">
        <v>1168.4156945917</v>
      </c>
      <c r="E158">
        <v>356.09968186638002</v>
      </c>
      <c r="F158">
        <v>142.23622881355999</v>
      </c>
      <c r="G158">
        <v>118.96398305085</v>
      </c>
      <c r="I158" s="9">
        <f t="shared" si="15"/>
        <v>237.13569881553002</v>
      </c>
      <c r="J158" s="9">
        <f t="shared" si="16"/>
        <v>1026.17946577814</v>
      </c>
      <c r="K158" s="9">
        <f t="shared" si="17"/>
        <v>237.13569881553002</v>
      </c>
      <c r="L158" s="10">
        <f t="shared" si="14"/>
        <v>0.23108599102176808</v>
      </c>
      <c r="M158" s="10">
        <f t="shared" si="18"/>
        <v>0.27095747806845272</v>
      </c>
      <c r="P158" s="8">
        <f t="shared" si="19"/>
        <v>-7.6964786157709835</v>
      </c>
    </row>
    <row r="159" spans="1:16" x14ac:dyDescent="0.2">
      <c r="A159" s="8">
        <v>78.5</v>
      </c>
      <c r="B159" s="8">
        <v>157</v>
      </c>
      <c r="D159">
        <v>1171.2354188759</v>
      </c>
      <c r="E159">
        <v>357.92576882291002</v>
      </c>
      <c r="F159">
        <v>142.74258474576001</v>
      </c>
      <c r="G159">
        <v>118.97669491524999</v>
      </c>
      <c r="I159" s="9">
        <f t="shared" si="15"/>
        <v>238.94907390766002</v>
      </c>
      <c r="J159" s="9">
        <f t="shared" si="16"/>
        <v>1028.49283413014</v>
      </c>
      <c r="K159" s="9">
        <f t="shared" si="17"/>
        <v>238.94907390766002</v>
      </c>
      <c r="L159" s="10">
        <f t="shared" si="14"/>
        <v>0.23232935221153392</v>
      </c>
      <c r="M159" s="10">
        <f t="shared" si="18"/>
        <v>0.27245642571364603</v>
      </c>
      <c r="P159" s="8">
        <f t="shared" si="19"/>
        <v>-7.185851830312834</v>
      </c>
    </row>
    <row r="160" spans="1:16" x14ac:dyDescent="0.2">
      <c r="A160" s="8">
        <v>79</v>
      </c>
      <c r="B160" s="8">
        <v>158</v>
      </c>
      <c r="D160">
        <v>1169.7465535525</v>
      </c>
      <c r="E160">
        <v>353.98303287380998</v>
      </c>
      <c r="F160">
        <v>142.35699152542</v>
      </c>
      <c r="G160">
        <v>118.53707627119</v>
      </c>
      <c r="I160" s="9">
        <f t="shared" si="15"/>
        <v>235.44595660261996</v>
      </c>
      <c r="J160" s="9">
        <f t="shared" si="16"/>
        <v>1027.38956202708</v>
      </c>
      <c r="K160" s="9">
        <f t="shared" si="17"/>
        <v>235.44595660261996</v>
      </c>
      <c r="L160" s="10">
        <f t="shared" si="14"/>
        <v>0.22916911491496547</v>
      </c>
      <c r="M160" s="10">
        <f t="shared" si="18"/>
        <v>0.26955177487250503</v>
      </c>
      <c r="P160" s="8">
        <f t="shared" si="19"/>
        <v>-8.175341040724085</v>
      </c>
    </row>
    <row r="161" spans="1:16" x14ac:dyDescent="0.2">
      <c r="A161" s="8">
        <v>79.5</v>
      </c>
      <c r="B161" s="8">
        <v>159</v>
      </c>
      <c r="D161">
        <v>1170.4761399787999</v>
      </c>
      <c r="E161">
        <v>353.0901378579</v>
      </c>
      <c r="F161">
        <v>142.76165254237</v>
      </c>
      <c r="G161">
        <v>118.78177966102</v>
      </c>
      <c r="I161" s="9">
        <f t="shared" si="15"/>
        <v>234.30835819688002</v>
      </c>
      <c r="J161" s="9">
        <f t="shared" si="16"/>
        <v>1027.7144874364299</v>
      </c>
      <c r="K161" s="9">
        <f t="shared" si="17"/>
        <v>234.30835819688002</v>
      </c>
      <c r="L161" s="10">
        <f t="shared" si="14"/>
        <v>0.22798973942787137</v>
      </c>
      <c r="M161" s="10">
        <f t="shared" si="18"/>
        <v>0.26862798584083841</v>
      </c>
      <c r="P161" s="8">
        <f t="shared" si="19"/>
        <v>-8.4900361037531784</v>
      </c>
    </row>
    <row r="162" spans="1:16" x14ac:dyDescent="0.2">
      <c r="A162" s="8">
        <v>80</v>
      </c>
      <c r="B162" s="4">
        <v>160</v>
      </c>
      <c r="C162" s="4" t="s">
        <v>6</v>
      </c>
      <c r="D162">
        <v>1182.6214209968</v>
      </c>
      <c r="E162">
        <v>355.76564156946</v>
      </c>
      <c r="F162">
        <v>142.66419491524999</v>
      </c>
      <c r="G162">
        <v>118.84533898305</v>
      </c>
      <c r="H162" s="4"/>
      <c r="I162" s="5">
        <f t="shared" si="15"/>
        <v>236.92030258641</v>
      </c>
      <c r="J162" s="5">
        <f t="shared" si="16"/>
        <v>1039.9572260815501</v>
      </c>
      <c r="K162" s="9">
        <f t="shared" si="17"/>
        <v>236.92030258641</v>
      </c>
      <c r="L162" s="6">
        <f t="shared" si="14"/>
        <v>0.22781735310316645</v>
      </c>
      <c r="M162" s="6">
        <f t="shared" si="18"/>
        <v>0.26871118597156096</v>
      </c>
      <c r="N162" s="4"/>
      <c r="O162" s="4"/>
      <c r="P162" s="4">
        <f t="shared" si="19"/>
        <v>-8.4616934091722253</v>
      </c>
    </row>
    <row r="163" spans="1:16" x14ac:dyDescent="0.2">
      <c r="A163" s="8">
        <v>80.5</v>
      </c>
      <c r="B163" s="8">
        <v>161</v>
      </c>
      <c r="D163">
        <v>1177.525980912</v>
      </c>
      <c r="E163">
        <v>352.75821845175</v>
      </c>
      <c r="F163">
        <v>142.40042372881001</v>
      </c>
      <c r="G163">
        <v>118.83898305085</v>
      </c>
      <c r="I163" s="9">
        <f t="shared" si="15"/>
        <v>233.91923540089999</v>
      </c>
      <c r="J163" s="9">
        <f t="shared" si="16"/>
        <v>1035.12555718319</v>
      </c>
      <c r="K163" s="9">
        <f t="shared" si="17"/>
        <v>233.91923540089999</v>
      </c>
      <c r="L163" s="10">
        <f t="shared" si="14"/>
        <v>0.22598150898471386</v>
      </c>
      <c r="M163" s="10">
        <f t="shared" si="18"/>
        <v>0.26713092830853585</v>
      </c>
      <c r="P163" s="8">
        <f t="shared" si="19"/>
        <v>-9.0000190093048786</v>
      </c>
    </row>
    <row r="164" spans="1:16" x14ac:dyDescent="0.2">
      <c r="A164" s="8">
        <v>81</v>
      </c>
      <c r="B164" s="8">
        <v>162</v>
      </c>
      <c r="D164">
        <v>1179.1102863203</v>
      </c>
      <c r="E164">
        <v>353.40402969246998</v>
      </c>
      <c r="F164">
        <v>142.60593220339001</v>
      </c>
      <c r="G164">
        <v>118.65572033898</v>
      </c>
      <c r="I164" s="9">
        <f t="shared" si="15"/>
        <v>234.74830935348996</v>
      </c>
      <c r="J164" s="9">
        <f t="shared" si="16"/>
        <v>1036.50435411691</v>
      </c>
      <c r="K164" s="9">
        <f t="shared" si="17"/>
        <v>234.74830935348996</v>
      </c>
      <c r="L164" s="10">
        <f t="shared" si="14"/>
        <v>0.22648077494425276</v>
      </c>
      <c r="M164" s="10">
        <f t="shared" si="18"/>
        <v>0.26788578072350222</v>
      </c>
      <c r="P164" s="8">
        <f t="shared" si="19"/>
        <v>-8.7428733622333397</v>
      </c>
    </row>
    <row r="165" spans="1:16" x14ac:dyDescent="0.2">
      <c r="A165" s="8">
        <v>81.5</v>
      </c>
      <c r="B165" s="8">
        <v>163</v>
      </c>
      <c r="D165">
        <v>1178.7136797455</v>
      </c>
      <c r="E165">
        <v>353.51431601272998</v>
      </c>
      <c r="F165">
        <v>142.22139830508999</v>
      </c>
      <c r="G165">
        <v>118.23093220339</v>
      </c>
      <c r="I165" s="9">
        <f t="shared" si="15"/>
        <v>235.28338380933997</v>
      </c>
      <c r="J165" s="9">
        <f t="shared" si="16"/>
        <v>1036.4922814404101</v>
      </c>
      <c r="K165" s="9">
        <f t="shared" si="17"/>
        <v>235.28338380933997</v>
      </c>
      <c r="L165" s="10">
        <f t="shared" si="14"/>
        <v>0.22699964874062292</v>
      </c>
      <c r="M165" s="10">
        <f t="shared" si="18"/>
        <v>0.26866024097529984</v>
      </c>
      <c r="P165" s="8">
        <f t="shared" si="19"/>
        <v>-8.4790481712010504</v>
      </c>
    </row>
    <row r="166" spans="1:16" x14ac:dyDescent="0.2">
      <c r="A166" s="8">
        <v>82</v>
      </c>
      <c r="B166" s="8">
        <v>164</v>
      </c>
      <c r="D166">
        <v>1185.6956521739</v>
      </c>
      <c r="E166">
        <v>354.04347826087002</v>
      </c>
      <c r="F166">
        <v>142.5031779661</v>
      </c>
      <c r="G166">
        <v>118.86228813559001</v>
      </c>
      <c r="I166" s="9">
        <f t="shared" si="15"/>
        <v>235.18119012528001</v>
      </c>
      <c r="J166" s="9">
        <f t="shared" si="16"/>
        <v>1043.1924742077999</v>
      </c>
      <c r="K166" s="9">
        <f t="shared" si="17"/>
        <v>235.18119012528001</v>
      </c>
      <c r="L166" s="10">
        <f t="shared" si="14"/>
        <v>0.22544371814403333</v>
      </c>
      <c r="M166" s="10">
        <f t="shared" si="18"/>
        <v>0.26735989683413769</v>
      </c>
      <c r="P166" s="8">
        <f t="shared" si="19"/>
        <v>-8.9220193122680431</v>
      </c>
    </row>
    <row r="167" spans="1:16" x14ac:dyDescent="0.2">
      <c r="A167" s="8">
        <v>82.5</v>
      </c>
      <c r="B167" s="8">
        <v>165</v>
      </c>
      <c r="D167">
        <v>1182.2693531283001</v>
      </c>
      <c r="E167">
        <v>352.40827147402001</v>
      </c>
      <c r="F167">
        <v>143.60911016949001</v>
      </c>
      <c r="G167">
        <v>118.80402542373</v>
      </c>
      <c r="I167" s="9">
        <f t="shared" si="15"/>
        <v>233.60424605029002</v>
      </c>
      <c r="J167" s="9">
        <f t="shared" si="16"/>
        <v>1038.6602429588102</v>
      </c>
      <c r="K167" s="9">
        <f t="shared" si="17"/>
        <v>233.60424605029002</v>
      </c>
      <c r="L167" s="10">
        <f t="shared" si="14"/>
        <v>0.22490920167005371</v>
      </c>
      <c r="M167" s="10">
        <f t="shared" si="18"/>
        <v>0.26708096681558557</v>
      </c>
      <c r="P167" s="8">
        <f t="shared" si="19"/>
        <v>-9.0170387341923348</v>
      </c>
    </row>
    <row r="168" spans="1:16" x14ac:dyDescent="0.2">
      <c r="A168" s="8">
        <v>83</v>
      </c>
      <c r="B168" s="8">
        <v>166</v>
      </c>
      <c r="D168">
        <v>1185.6585365854</v>
      </c>
      <c r="E168">
        <v>355.70307529162</v>
      </c>
      <c r="F168">
        <v>142.61122881355999</v>
      </c>
      <c r="G168">
        <v>119.22775423729</v>
      </c>
      <c r="I168" s="9">
        <f t="shared" si="15"/>
        <v>236.47532105432998</v>
      </c>
      <c r="J168" s="9">
        <f t="shared" si="16"/>
        <v>1043.04730777184</v>
      </c>
      <c r="K168" s="9">
        <f t="shared" si="17"/>
        <v>236.47532105432998</v>
      </c>
      <c r="L168" s="10">
        <f t="shared" si="14"/>
        <v>0.22671581556496137</v>
      </c>
      <c r="M168" s="10">
        <f t="shared" si="18"/>
        <v>0.26914316716592068</v>
      </c>
      <c r="P168" s="8">
        <f t="shared" si="19"/>
        <v>-8.3145360555704411</v>
      </c>
    </row>
    <row r="169" spans="1:16" x14ac:dyDescent="0.2">
      <c r="A169" s="8">
        <v>83.5</v>
      </c>
      <c r="B169" s="8">
        <v>167</v>
      </c>
      <c r="D169">
        <v>1186.3637327678</v>
      </c>
      <c r="E169">
        <v>357.09862142100002</v>
      </c>
      <c r="F169">
        <v>142.63559322034001</v>
      </c>
      <c r="G169">
        <v>118.95021186440999</v>
      </c>
      <c r="I169" s="9">
        <f t="shared" si="15"/>
        <v>238.14840955659002</v>
      </c>
      <c r="J169" s="9">
        <f t="shared" si="16"/>
        <v>1043.7281395474599</v>
      </c>
      <c r="K169" s="9">
        <f t="shared" si="17"/>
        <v>238.14840955659002</v>
      </c>
      <c r="L169" s="10">
        <f t="shared" si="14"/>
        <v>0.22817091973763062</v>
      </c>
      <c r="M169" s="10">
        <f t="shared" si="18"/>
        <v>0.27085385779401738</v>
      </c>
      <c r="P169" s="8">
        <f t="shared" si="19"/>
        <v>-7.7317775722174451</v>
      </c>
    </row>
    <row r="170" spans="1:16" x14ac:dyDescent="0.2">
      <c r="A170" s="8">
        <v>84</v>
      </c>
      <c r="B170" s="8">
        <v>168</v>
      </c>
      <c r="D170">
        <v>1179.7030752916</v>
      </c>
      <c r="E170">
        <v>356.48674443265998</v>
      </c>
      <c r="F170">
        <v>142.73305084745999</v>
      </c>
      <c r="G170">
        <v>118.97245762711999</v>
      </c>
      <c r="I170" s="9">
        <f t="shared" si="15"/>
        <v>237.51428680554</v>
      </c>
      <c r="J170" s="9">
        <f t="shared" si="16"/>
        <v>1036.9700244441401</v>
      </c>
      <c r="K170" s="9">
        <f t="shared" si="17"/>
        <v>237.51428680554</v>
      </c>
      <c r="L170" s="10">
        <f t="shared" si="14"/>
        <v>0.22904643452240359</v>
      </c>
      <c r="M170" s="10">
        <f t="shared" si="18"/>
        <v>0.27198495903421782</v>
      </c>
      <c r="P170" s="8">
        <f t="shared" si="19"/>
        <v>-7.3464601849401951</v>
      </c>
    </row>
    <row r="171" spans="1:16" x14ac:dyDescent="0.2">
      <c r="A171" s="8">
        <v>84.5</v>
      </c>
      <c r="B171" s="8">
        <v>169</v>
      </c>
      <c r="D171">
        <v>1185.0106044539</v>
      </c>
      <c r="E171">
        <v>359.83987274654999</v>
      </c>
      <c r="F171">
        <v>142.43855932202999</v>
      </c>
      <c r="G171">
        <v>118.83262711864</v>
      </c>
      <c r="I171" s="9">
        <f t="shared" si="15"/>
        <v>241.00724562790998</v>
      </c>
      <c r="J171" s="9">
        <f t="shared" si="16"/>
        <v>1042.57204513187</v>
      </c>
      <c r="K171" s="9">
        <f t="shared" si="17"/>
        <v>241.00724562790998</v>
      </c>
      <c r="L171" s="10">
        <f t="shared" si="14"/>
        <v>0.23116603476302314</v>
      </c>
      <c r="M171" s="10">
        <f t="shared" si="18"/>
        <v>0.27436014573026485</v>
      </c>
      <c r="P171" s="8">
        <f t="shared" si="19"/>
        <v>-6.5373365632082043</v>
      </c>
    </row>
    <row r="172" spans="1:16" x14ac:dyDescent="0.2">
      <c r="A172" s="8">
        <v>85</v>
      </c>
      <c r="B172" s="8">
        <v>170</v>
      </c>
      <c r="D172">
        <v>1175.3658536585001</v>
      </c>
      <c r="E172">
        <v>358.85896076351997</v>
      </c>
      <c r="F172">
        <v>143.22987288136</v>
      </c>
      <c r="G172">
        <v>118.95021186440999</v>
      </c>
      <c r="I172" s="9">
        <f t="shared" si="15"/>
        <v>239.90874889910998</v>
      </c>
      <c r="J172" s="9">
        <f t="shared" si="16"/>
        <v>1032.13598077714</v>
      </c>
      <c r="K172" s="9">
        <f t="shared" si="17"/>
        <v>239.90874889910998</v>
      </c>
      <c r="L172" s="10">
        <f t="shared" si="14"/>
        <v>0.23243909074700822</v>
      </c>
      <c r="M172" s="10">
        <f t="shared" si="18"/>
        <v>0.27588878816967738</v>
      </c>
      <c r="P172" s="8">
        <f t="shared" si="19"/>
        <v>-6.0165940426437476</v>
      </c>
    </row>
    <row r="173" spans="1:16" x14ac:dyDescent="0.2">
      <c r="A173" s="8">
        <v>85.5</v>
      </c>
      <c r="B173" s="8">
        <v>171</v>
      </c>
      <c r="D173">
        <v>1175.1983032874</v>
      </c>
      <c r="E173">
        <v>357.92682926829002</v>
      </c>
      <c r="F173">
        <v>142.76059322034001</v>
      </c>
      <c r="G173">
        <v>118.74258474576</v>
      </c>
      <c r="I173" s="9">
        <f t="shared" si="15"/>
        <v>239.18424452253004</v>
      </c>
      <c r="J173" s="9">
        <f t="shared" si="16"/>
        <v>1032.4377100670599</v>
      </c>
      <c r="K173" s="9">
        <f t="shared" si="17"/>
        <v>239.18424452253004</v>
      </c>
      <c r="L173" s="10">
        <f t="shared" si="14"/>
        <v>0.23166941907516561</v>
      </c>
      <c r="M173" s="10">
        <f t="shared" si="18"/>
        <v>0.27537470295326227</v>
      </c>
      <c r="P173" s="8">
        <f t="shared" si="19"/>
        <v>-6.1917206938989668</v>
      </c>
    </row>
    <row r="174" spans="1:16" x14ac:dyDescent="0.2">
      <c r="A174" s="8">
        <v>86</v>
      </c>
      <c r="B174" s="8">
        <v>172</v>
      </c>
      <c r="D174">
        <v>1175.7804878049001</v>
      </c>
      <c r="E174">
        <v>358.06680805938998</v>
      </c>
      <c r="F174">
        <v>142.98622881355999</v>
      </c>
      <c r="G174">
        <v>119.13453389831</v>
      </c>
      <c r="I174" s="9">
        <f t="shared" si="15"/>
        <v>238.93227416107999</v>
      </c>
      <c r="J174" s="9">
        <f t="shared" si="16"/>
        <v>1032.79425899134</v>
      </c>
      <c r="K174" s="9">
        <f t="shared" si="17"/>
        <v>238.93227416107999</v>
      </c>
      <c r="L174" s="10">
        <f t="shared" si="14"/>
        <v>0.23134547087280374</v>
      </c>
      <c r="M174" s="10">
        <f t="shared" si="18"/>
        <v>0.27530634120632785</v>
      </c>
      <c r="P174" s="8">
        <f t="shared" si="19"/>
        <v>-6.215008591376483</v>
      </c>
    </row>
    <row r="175" spans="1:16" x14ac:dyDescent="0.2">
      <c r="A175" s="8">
        <v>86.5</v>
      </c>
      <c r="B175" s="8">
        <v>173</v>
      </c>
      <c r="D175">
        <v>1182.750795334</v>
      </c>
      <c r="E175">
        <v>362.53340402969002</v>
      </c>
      <c r="F175">
        <v>143.19703389831</v>
      </c>
      <c r="G175">
        <v>119.21610169492</v>
      </c>
      <c r="I175" s="9">
        <f t="shared" si="15"/>
        <v>243.31730233477003</v>
      </c>
      <c r="J175" s="9">
        <f t="shared" si="16"/>
        <v>1039.5537614356899</v>
      </c>
      <c r="K175" s="9">
        <f t="shared" si="17"/>
        <v>243.31730233477003</v>
      </c>
      <c r="L175" s="10">
        <f t="shared" si="14"/>
        <v>0.23405937370543814</v>
      </c>
      <c r="M175" s="10">
        <f t="shared" si="18"/>
        <v>0.2782758304943897</v>
      </c>
      <c r="P175" s="8">
        <f t="shared" si="19"/>
        <v>-5.2034317197774262</v>
      </c>
    </row>
    <row r="176" spans="1:16" x14ac:dyDescent="0.2">
      <c r="A176" s="8">
        <v>87</v>
      </c>
      <c r="B176" s="8">
        <v>174</v>
      </c>
      <c r="D176">
        <v>1180.3637327678</v>
      </c>
      <c r="E176">
        <v>359.90031813361998</v>
      </c>
      <c r="F176">
        <v>143.22457627118999</v>
      </c>
      <c r="G176">
        <v>118.75</v>
      </c>
      <c r="I176" s="9">
        <f t="shared" si="15"/>
        <v>241.15031813361998</v>
      </c>
      <c r="J176" s="9">
        <f t="shared" si="16"/>
        <v>1037.13915649661</v>
      </c>
      <c r="K176" s="9">
        <f t="shared" si="17"/>
        <v>241.15031813361998</v>
      </c>
      <c r="L176" s="10">
        <f t="shared" si="14"/>
        <v>0.23251491048531076</v>
      </c>
      <c r="M176" s="10">
        <f t="shared" si="18"/>
        <v>0.27698695372968979</v>
      </c>
      <c r="P176" s="8">
        <f t="shared" si="19"/>
        <v>-5.6424964204831909</v>
      </c>
    </row>
    <row r="177" spans="1:16" x14ac:dyDescent="0.2">
      <c r="A177" s="8">
        <v>87.5</v>
      </c>
      <c r="B177" s="8">
        <v>175</v>
      </c>
      <c r="D177">
        <v>1175.6924708378001</v>
      </c>
      <c r="E177">
        <v>358.00848356310001</v>
      </c>
      <c r="F177">
        <v>143.27012711864</v>
      </c>
      <c r="G177">
        <v>119.11016949153</v>
      </c>
      <c r="I177" s="9">
        <f t="shared" si="15"/>
        <v>238.89831407157001</v>
      </c>
      <c r="J177" s="9">
        <f t="shared" si="16"/>
        <v>1032.4223437191602</v>
      </c>
      <c r="K177" s="9">
        <f t="shared" si="17"/>
        <v>238.89831407157001</v>
      </c>
      <c r="L177" s="10">
        <f t="shared" si="14"/>
        <v>0.23139591614316632</v>
      </c>
      <c r="M177" s="10">
        <f t="shared" si="18"/>
        <v>0.27612354584297283</v>
      </c>
      <c r="P177" s="8">
        <f t="shared" si="19"/>
        <v>-5.9366222327804152</v>
      </c>
    </row>
    <row r="178" spans="1:16" x14ac:dyDescent="0.2">
      <c r="A178" s="8">
        <v>88</v>
      </c>
      <c r="B178" s="8">
        <v>176</v>
      </c>
      <c r="D178">
        <v>1177.6553552492001</v>
      </c>
      <c r="E178">
        <v>359.34146341463003</v>
      </c>
      <c r="F178">
        <v>142.47033898305</v>
      </c>
      <c r="G178">
        <v>119.76165254237</v>
      </c>
      <c r="I178" s="9">
        <f t="shared" si="15"/>
        <v>239.57981087226003</v>
      </c>
      <c r="J178" s="9">
        <f t="shared" si="16"/>
        <v>1035.1850162661501</v>
      </c>
      <c r="K178" s="9">
        <f t="shared" si="17"/>
        <v>239.57981087226003</v>
      </c>
      <c r="L178" s="10">
        <f t="shared" si="14"/>
        <v>0.2314367065864322</v>
      </c>
      <c r="M178" s="10">
        <f t="shared" si="18"/>
        <v>0.27641992274166616</v>
      </c>
      <c r="P178" s="8">
        <f t="shared" si="19"/>
        <v>-5.8356594115977494</v>
      </c>
    </row>
    <row r="179" spans="1:16" x14ac:dyDescent="0.2">
      <c r="A179" s="8">
        <v>88.5</v>
      </c>
      <c r="B179" s="8">
        <v>177</v>
      </c>
      <c r="D179">
        <v>1177.2089077413</v>
      </c>
      <c r="E179">
        <v>357.0901378579</v>
      </c>
      <c r="F179">
        <v>143.79661016949001</v>
      </c>
      <c r="G179">
        <v>118.89618644068</v>
      </c>
      <c r="I179" s="9">
        <f t="shared" si="15"/>
        <v>238.19395141722001</v>
      </c>
      <c r="J179" s="9">
        <f t="shared" si="16"/>
        <v>1033.4122975718101</v>
      </c>
      <c r="K179" s="9">
        <f t="shared" si="17"/>
        <v>238.19395141722001</v>
      </c>
      <c r="L179" s="10">
        <f t="shared" si="14"/>
        <v>0.23049266200615182</v>
      </c>
      <c r="M179" s="10">
        <f t="shared" si="18"/>
        <v>0.27573146461681325</v>
      </c>
      <c r="P179" s="8">
        <f t="shared" si="19"/>
        <v>-6.070187388837974</v>
      </c>
    </row>
    <row r="180" spans="1:16" x14ac:dyDescent="0.2">
      <c r="A180" s="8">
        <v>89</v>
      </c>
      <c r="B180" s="8">
        <v>178</v>
      </c>
      <c r="D180">
        <v>1177.9809119829999</v>
      </c>
      <c r="E180">
        <v>358.02863202545001</v>
      </c>
      <c r="F180">
        <v>143.63771186440999</v>
      </c>
      <c r="G180">
        <v>119.02542372881</v>
      </c>
      <c r="I180" s="9">
        <f t="shared" si="15"/>
        <v>239.00320829664003</v>
      </c>
      <c r="J180" s="9">
        <f t="shared" si="16"/>
        <v>1034.3432001185899</v>
      </c>
      <c r="K180" s="9">
        <f t="shared" si="17"/>
        <v>239.00320829664003</v>
      </c>
      <c r="L180" s="10">
        <f t="shared" si="14"/>
        <v>0.23106760722092795</v>
      </c>
      <c r="M180" s="10">
        <f t="shared" si="18"/>
        <v>0.27656199628701683</v>
      </c>
      <c r="P180" s="8">
        <f t="shared" si="19"/>
        <v>-5.7872610849492556</v>
      </c>
    </row>
    <row r="181" spans="1:16" x14ac:dyDescent="0.2">
      <c r="A181" s="8">
        <v>89.5</v>
      </c>
      <c r="B181" s="8">
        <v>179</v>
      </c>
      <c r="D181">
        <v>1176.0307529162001</v>
      </c>
      <c r="E181">
        <v>357.34146341463003</v>
      </c>
      <c r="F181">
        <v>143.16631355932</v>
      </c>
      <c r="G181">
        <v>118.81885593219999</v>
      </c>
      <c r="I181" s="9">
        <f t="shared" si="15"/>
        <v>238.52260748243003</v>
      </c>
      <c r="J181" s="9">
        <f t="shared" si="16"/>
        <v>1032.86443935688</v>
      </c>
      <c r="K181" s="9">
        <f t="shared" si="17"/>
        <v>238.52260748243003</v>
      </c>
      <c r="L181" s="10">
        <f t="shared" si="14"/>
        <v>0.23093311996581831</v>
      </c>
      <c r="M181" s="10">
        <f t="shared" si="18"/>
        <v>0.27668309548733466</v>
      </c>
      <c r="P181" s="8">
        <f t="shared" si="19"/>
        <v>-5.7460078126430894</v>
      </c>
    </row>
    <row r="182" spans="1:16" x14ac:dyDescent="0.2">
      <c r="A182" s="8">
        <v>90</v>
      </c>
      <c r="B182" s="8">
        <v>180</v>
      </c>
      <c r="D182">
        <v>1181.3244962884</v>
      </c>
      <c r="E182">
        <v>359.84835630965</v>
      </c>
      <c r="F182">
        <v>143.22987288136</v>
      </c>
      <c r="G182">
        <v>119.42690677966</v>
      </c>
      <c r="I182" s="9">
        <f t="shared" si="15"/>
        <v>240.42144952999001</v>
      </c>
      <c r="J182" s="9">
        <f t="shared" si="16"/>
        <v>1038.09462340704</v>
      </c>
      <c r="K182" s="9">
        <f t="shared" si="17"/>
        <v>240.42144952999001</v>
      </c>
      <c r="L182" s="10">
        <f t="shared" si="14"/>
        <v>0.23159878117943017</v>
      </c>
      <c r="M182" s="10">
        <f>L182+ABS($N$2)*A182</f>
        <v>0.277604343156374</v>
      </c>
      <c r="P182" s="8">
        <f t="shared" si="19"/>
        <v>-5.4321784822052663</v>
      </c>
    </row>
    <row r="183" spans="1:16" x14ac:dyDescent="0.2">
      <c r="A183" s="8">
        <v>90.5</v>
      </c>
      <c r="B183" s="8">
        <v>181</v>
      </c>
      <c r="D183">
        <v>1185.8525980912</v>
      </c>
      <c r="E183">
        <v>359.77624602332997</v>
      </c>
      <c r="F183">
        <v>143.80084745763</v>
      </c>
      <c r="G183">
        <v>119.04025423729</v>
      </c>
      <c r="I183" s="9">
        <f t="shared" si="15"/>
        <v>240.73599178603996</v>
      </c>
      <c r="J183" s="9">
        <f t="shared" si="16"/>
        <v>1042.05175063357</v>
      </c>
      <c r="K183" s="9">
        <f t="shared" si="17"/>
        <v>240.73599178603996</v>
      </c>
      <c r="L183" s="10">
        <f t="shared" si="14"/>
        <v>0.23102114807606425</v>
      </c>
      <c r="M183" s="10">
        <f t="shared" ref="M183:M241" si="20">L183+ABS($N$2)*A183</f>
        <v>0.27728229650843556</v>
      </c>
      <c r="P183" s="8">
        <f t="shared" si="19"/>
        <v>-5.5418858793459931</v>
      </c>
    </row>
    <row r="184" spans="1:16" x14ac:dyDescent="0.2">
      <c r="A184" s="8">
        <v>91</v>
      </c>
      <c r="B184" s="8">
        <v>182</v>
      </c>
      <c r="D184">
        <v>1182.4019088017001</v>
      </c>
      <c r="E184">
        <v>358.87910922587997</v>
      </c>
      <c r="F184">
        <v>143.51483050848</v>
      </c>
      <c r="G184">
        <v>119.66101694915</v>
      </c>
      <c r="I184" s="9">
        <f t="shared" si="15"/>
        <v>239.21809227672998</v>
      </c>
      <c r="J184" s="9">
        <f t="shared" si="16"/>
        <v>1038.8870782932202</v>
      </c>
      <c r="K184" s="9">
        <f t="shared" si="17"/>
        <v>239.21809227672998</v>
      </c>
      <c r="L184" s="10">
        <f t="shared" si="14"/>
        <v>0.23026380563876067</v>
      </c>
      <c r="M184" s="10">
        <f t="shared" si="20"/>
        <v>0.27678054052655943</v>
      </c>
      <c r="P184" s="8">
        <f t="shared" si="19"/>
        <v>-5.7128124923810741</v>
      </c>
    </row>
    <row r="185" spans="1:16" x14ac:dyDescent="0.2">
      <c r="A185" s="8">
        <v>91.5</v>
      </c>
      <c r="B185" s="8">
        <v>183</v>
      </c>
      <c r="D185">
        <v>1187.6182396607001</v>
      </c>
      <c r="E185">
        <v>358.55673382820999</v>
      </c>
      <c r="F185">
        <v>143.56673728813999</v>
      </c>
      <c r="G185">
        <v>119.14724576271</v>
      </c>
      <c r="I185" s="9">
        <f t="shared" si="15"/>
        <v>239.4094880655</v>
      </c>
      <c r="J185" s="9">
        <f t="shared" si="16"/>
        <v>1044.05150237256</v>
      </c>
      <c r="K185" s="9">
        <f t="shared" si="17"/>
        <v>239.4094880655</v>
      </c>
      <c r="L185" s="10">
        <f t="shared" si="14"/>
        <v>0.22930812083642688</v>
      </c>
      <c r="M185" s="10">
        <f t="shared" si="20"/>
        <v>0.27608044217965311</v>
      </c>
      <c r="P185" s="8">
        <f t="shared" si="19"/>
        <v>-5.9513057910174219</v>
      </c>
    </row>
    <row r="186" spans="1:16" x14ac:dyDescent="0.2">
      <c r="A186" s="8">
        <v>92</v>
      </c>
      <c r="B186" s="8">
        <v>184</v>
      </c>
      <c r="D186">
        <v>1194.0721102862999</v>
      </c>
      <c r="E186">
        <v>360.04878048781001</v>
      </c>
      <c r="F186">
        <v>143.96186440677999</v>
      </c>
      <c r="G186">
        <v>119.73622881356</v>
      </c>
      <c r="I186" s="9">
        <f t="shared" si="15"/>
        <v>240.31255167425002</v>
      </c>
      <c r="J186" s="9">
        <f t="shared" si="16"/>
        <v>1050.1102458795199</v>
      </c>
      <c r="K186" s="9">
        <f t="shared" si="17"/>
        <v>240.31255167425002</v>
      </c>
      <c r="L186" s="10">
        <f t="shared" si="14"/>
        <v>0.22884506899842333</v>
      </c>
      <c r="M186" s="10">
        <f t="shared" si="20"/>
        <v>0.27587297679707701</v>
      </c>
      <c r="P186" s="8">
        <f t="shared" si="19"/>
        <v>-6.021980295052562</v>
      </c>
    </row>
    <row r="187" spans="1:16" x14ac:dyDescent="0.2">
      <c r="A187" s="8">
        <v>92.5</v>
      </c>
      <c r="B187" s="8">
        <v>185</v>
      </c>
      <c r="D187">
        <v>1193.0424178154999</v>
      </c>
      <c r="E187">
        <v>359.09968186638002</v>
      </c>
      <c r="F187">
        <v>142.9406779661</v>
      </c>
      <c r="G187">
        <v>119.25211864406999</v>
      </c>
      <c r="I187" s="9">
        <f t="shared" si="15"/>
        <v>239.84756322231004</v>
      </c>
      <c r="J187" s="9">
        <f t="shared" si="16"/>
        <v>1050.1017398494</v>
      </c>
      <c r="K187" s="9">
        <f t="shared" si="17"/>
        <v>239.84756322231004</v>
      </c>
      <c r="L187" s="10">
        <f t="shared" si="14"/>
        <v>0.22840411944913805</v>
      </c>
      <c r="M187" s="10">
        <f t="shared" si="20"/>
        <v>0.2756876137032192</v>
      </c>
      <c r="P187" s="8">
        <f t="shared" si="19"/>
        <v>-6.0851255030007563</v>
      </c>
    </row>
    <row r="188" spans="1:16" x14ac:dyDescent="0.2">
      <c r="A188" s="8">
        <v>93</v>
      </c>
      <c r="B188" s="8">
        <v>186</v>
      </c>
      <c r="D188">
        <v>1199.6394485684</v>
      </c>
      <c r="E188">
        <v>358.19512195122002</v>
      </c>
      <c r="F188">
        <v>143.46927966102001</v>
      </c>
      <c r="G188">
        <v>119.36334745763</v>
      </c>
      <c r="I188" s="9">
        <f t="shared" si="15"/>
        <v>238.83177449359002</v>
      </c>
      <c r="J188" s="9">
        <f t="shared" si="16"/>
        <v>1056.17016890738</v>
      </c>
      <c r="K188" s="9">
        <f t="shared" si="17"/>
        <v>238.83177449359002</v>
      </c>
      <c r="L188" s="10">
        <f t="shared" si="14"/>
        <v>0.22613001344344369</v>
      </c>
      <c r="M188" s="10">
        <f t="shared" si="20"/>
        <v>0.27366909415295232</v>
      </c>
      <c r="P188" s="8">
        <f t="shared" si="19"/>
        <v>-6.7727480177979817</v>
      </c>
    </row>
    <row r="189" spans="1:16" x14ac:dyDescent="0.2">
      <c r="A189" s="8">
        <v>93.5</v>
      </c>
      <c r="B189" s="8">
        <v>187</v>
      </c>
      <c r="D189">
        <v>1194.4856839873</v>
      </c>
      <c r="E189">
        <v>353.91198303287001</v>
      </c>
      <c r="F189">
        <v>143.62288135592999</v>
      </c>
      <c r="G189">
        <v>119.10699152542</v>
      </c>
      <c r="I189" s="9">
        <f t="shared" si="15"/>
        <v>234.80499150745001</v>
      </c>
      <c r="J189" s="9">
        <f t="shared" si="16"/>
        <v>1050.86280263137</v>
      </c>
      <c r="K189" s="9">
        <f t="shared" si="17"/>
        <v>234.80499150745001</v>
      </c>
      <c r="L189" s="10">
        <f t="shared" si="14"/>
        <v>0.22344019687393654</v>
      </c>
      <c r="M189" s="10">
        <f t="shared" si="20"/>
        <v>0.27123486403887265</v>
      </c>
      <c r="P189" s="8">
        <f t="shared" si="19"/>
        <v>-7.601985184422051</v>
      </c>
    </row>
    <row r="190" spans="1:16" x14ac:dyDescent="0.2">
      <c r="A190" s="8">
        <v>94</v>
      </c>
      <c r="B190" s="8">
        <v>188</v>
      </c>
      <c r="D190">
        <v>1204.2364793213001</v>
      </c>
      <c r="E190">
        <v>354.78154825027002</v>
      </c>
      <c r="F190">
        <v>143.79766949153</v>
      </c>
      <c r="G190">
        <v>119.24894067797</v>
      </c>
      <c r="I190" s="9">
        <f t="shared" si="15"/>
        <v>235.53260757230004</v>
      </c>
      <c r="J190" s="9">
        <f t="shared" si="16"/>
        <v>1060.43880982977</v>
      </c>
      <c r="K190" s="9">
        <f t="shared" si="17"/>
        <v>235.53260757230004</v>
      </c>
      <c r="L190" s="10">
        <f t="shared" si="14"/>
        <v>0.22210862653179356</v>
      </c>
      <c r="M190" s="10">
        <f t="shared" si="20"/>
        <v>0.27015888015215711</v>
      </c>
      <c r="P190" s="8">
        <f t="shared" si="19"/>
        <v>-7.968526467595062</v>
      </c>
    </row>
    <row r="191" spans="1:16" x14ac:dyDescent="0.2">
      <c r="A191" s="8">
        <v>94.5</v>
      </c>
      <c r="B191" s="8">
        <v>189</v>
      </c>
      <c r="D191">
        <v>1198.8981972428001</v>
      </c>
      <c r="E191">
        <v>353.82184517497001</v>
      </c>
      <c r="F191">
        <v>143.21927966102001</v>
      </c>
      <c r="G191">
        <v>119.45338983051001</v>
      </c>
      <c r="I191" s="9">
        <f t="shared" si="15"/>
        <v>234.36845534446002</v>
      </c>
      <c r="J191" s="9">
        <f t="shared" si="16"/>
        <v>1055.6789175817801</v>
      </c>
      <c r="K191" s="9">
        <f t="shared" si="17"/>
        <v>234.36845534446002</v>
      </c>
      <c r="L191" s="10">
        <f t="shared" si="14"/>
        <v>0.22200732764591205</v>
      </c>
      <c r="M191" s="10">
        <f t="shared" si="20"/>
        <v>0.27031316772170305</v>
      </c>
      <c r="P191" s="8">
        <f t="shared" si="19"/>
        <v>-7.9159673499193843</v>
      </c>
    </row>
    <row r="192" spans="1:16" x14ac:dyDescent="0.2">
      <c r="A192" s="8">
        <v>95</v>
      </c>
      <c r="B192" s="8">
        <v>190</v>
      </c>
      <c r="D192">
        <v>1193.3722163309001</v>
      </c>
      <c r="E192">
        <v>352.74973488864998</v>
      </c>
      <c r="F192">
        <v>143.13771186440999</v>
      </c>
      <c r="G192">
        <v>119.07627118644</v>
      </c>
      <c r="I192" s="9">
        <f t="shared" si="15"/>
        <v>233.67346370220997</v>
      </c>
      <c r="J192" s="9">
        <f t="shared" si="16"/>
        <v>1050.2345044664901</v>
      </c>
      <c r="K192" s="9">
        <f t="shared" si="17"/>
        <v>233.67346370220997</v>
      </c>
      <c r="L192" s="10">
        <f t="shared" si="14"/>
        <v>0.22249646408343254</v>
      </c>
      <c r="M192" s="10">
        <f t="shared" si="20"/>
        <v>0.27105789061465102</v>
      </c>
      <c r="P192" s="8">
        <f t="shared" si="19"/>
        <v>-7.6622723939263953</v>
      </c>
    </row>
    <row r="193" spans="1:16" x14ac:dyDescent="0.2">
      <c r="A193" s="8">
        <v>95.5</v>
      </c>
      <c r="B193" s="8">
        <v>191</v>
      </c>
      <c r="D193">
        <v>1200.6489925768999</v>
      </c>
      <c r="E193">
        <v>353.60975609756002</v>
      </c>
      <c r="F193">
        <v>143.78919491524999</v>
      </c>
      <c r="G193">
        <v>119.55084745763</v>
      </c>
      <c r="I193" s="9">
        <f t="shared" si="15"/>
        <v>234.05890863993002</v>
      </c>
      <c r="J193" s="9">
        <f t="shared" si="16"/>
        <v>1056.85979766165</v>
      </c>
      <c r="K193" s="9">
        <f t="shared" si="17"/>
        <v>234.05890863993002</v>
      </c>
      <c r="L193" s="10">
        <f t="shared" si="14"/>
        <v>0.22146637534874156</v>
      </c>
      <c r="M193" s="10">
        <f t="shared" si="20"/>
        <v>0.27028338833538751</v>
      </c>
      <c r="P193" s="8">
        <f t="shared" si="19"/>
        <v>-7.9261119019028934</v>
      </c>
    </row>
    <row r="194" spans="1:16" x14ac:dyDescent="0.2">
      <c r="A194" s="8">
        <v>96</v>
      </c>
      <c r="B194" s="8">
        <v>192</v>
      </c>
      <c r="D194">
        <v>1190.1781548250001</v>
      </c>
      <c r="E194">
        <v>350.45281018027998</v>
      </c>
      <c r="F194">
        <v>143.84639830508999</v>
      </c>
      <c r="G194">
        <v>119.31673728814</v>
      </c>
      <c r="I194" s="9">
        <f t="shared" si="15"/>
        <v>231.13607289213996</v>
      </c>
      <c r="J194" s="9">
        <f t="shared" si="16"/>
        <v>1046.3317565199102</v>
      </c>
      <c r="K194" s="9">
        <f t="shared" si="17"/>
        <v>231.13607289213996</v>
      </c>
      <c r="L194" s="10">
        <f t="shared" ref="L194:L257" si="21">K194/J194</f>
        <v>0.22090132642145588</v>
      </c>
      <c r="M194" s="10">
        <f t="shared" si="20"/>
        <v>0.26997392586352931</v>
      </c>
      <c r="P194" s="8">
        <f t="shared" si="19"/>
        <v>-8.0315324132407042</v>
      </c>
    </row>
    <row r="195" spans="1:16" x14ac:dyDescent="0.2">
      <c r="A195" s="8">
        <v>96.5</v>
      </c>
      <c r="B195" s="8">
        <v>193</v>
      </c>
      <c r="D195">
        <v>1195.5281018027999</v>
      </c>
      <c r="E195">
        <v>351.29480381759998</v>
      </c>
      <c r="F195">
        <v>143.5625</v>
      </c>
      <c r="G195">
        <v>119.21186440677999</v>
      </c>
      <c r="I195" s="9">
        <f t="shared" ref="I195:I241" si="22">E195-G195</f>
        <v>232.08293941081999</v>
      </c>
      <c r="J195" s="9">
        <f t="shared" ref="J195:J241" si="23">D195-F195</f>
        <v>1051.9656018027999</v>
      </c>
      <c r="K195" s="9">
        <f t="shared" ref="K195:K258" si="24">I195*1</f>
        <v>232.08293941081999</v>
      </c>
      <c r="L195" s="10">
        <f t="shared" si="21"/>
        <v>0.22061837289459768</v>
      </c>
      <c r="M195" s="10">
        <f t="shared" si="20"/>
        <v>0.26994655879209856</v>
      </c>
      <c r="P195" s="8">
        <f t="shared" ref="P195:P241" si="25">(M195-$O$2)/$O$2*100</f>
        <v>-8.0408551936305983</v>
      </c>
    </row>
    <row r="196" spans="1:16" x14ac:dyDescent="0.2">
      <c r="A196" s="8">
        <v>97</v>
      </c>
      <c r="B196" s="8">
        <v>194</v>
      </c>
      <c r="D196">
        <v>1186.8303287381</v>
      </c>
      <c r="E196">
        <v>345.67020148462001</v>
      </c>
      <c r="F196">
        <v>143.88347457627</v>
      </c>
      <c r="G196">
        <v>119.03601694915</v>
      </c>
      <c r="I196" s="9">
        <f t="shared" si="22"/>
        <v>226.63418453547001</v>
      </c>
      <c r="J196" s="9">
        <f t="shared" si="23"/>
        <v>1042.9468541618301</v>
      </c>
      <c r="K196" s="9">
        <f t="shared" si="24"/>
        <v>226.63418453547001</v>
      </c>
      <c r="L196" s="10">
        <f t="shared" si="21"/>
        <v>0.21730175764095461</v>
      </c>
      <c r="M196" s="10">
        <f t="shared" si="20"/>
        <v>0.26688552999388293</v>
      </c>
      <c r="P196" s="8">
        <f t="shared" si="25"/>
        <v>-9.0836156265515786</v>
      </c>
    </row>
    <row r="197" spans="1:16" x14ac:dyDescent="0.2">
      <c r="A197" s="8">
        <v>97.5</v>
      </c>
      <c r="B197" s="8">
        <v>195</v>
      </c>
      <c r="D197">
        <v>1171.5281018027999</v>
      </c>
      <c r="E197">
        <v>340.12195121950998</v>
      </c>
      <c r="F197">
        <v>143.27754237287999</v>
      </c>
      <c r="G197">
        <v>118.96186440677999</v>
      </c>
      <c r="I197" s="9">
        <f t="shared" si="22"/>
        <v>221.16008681272999</v>
      </c>
      <c r="J197" s="9">
        <f t="shared" si="23"/>
        <v>1028.25055942992</v>
      </c>
      <c r="K197" s="9">
        <f t="shared" si="24"/>
        <v>221.16008681272999</v>
      </c>
      <c r="L197" s="10">
        <f t="shared" si="21"/>
        <v>0.21508384778836881</v>
      </c>
      <c r="M197" s="10">
        <f t="shared" si="20"/>
        <v>0.26492320659672464</v>
      </c>
      <c r="P197" s="8">
        <f t="shared" si="25"/>
        <v>-9.7520945367612999</v>
      </c>
    </row>
    <row r="198" spans="1:16" x14ac:dyDescent="0.2">
      <c r="A198" s="8">
        <v>98</v>
      </c>
      <c r="B198" s="8">
        <v>196</v>
      </c>
      <c r="D198">
        <v>1159.882290562</v>
      </c>
      <c r="E198">
        <v>338.41463414634001</v>
      </c>
      <c r="F198">
        <v>143.69279661017001</v>
      </c>
      <c r="G198">
        <v>119.16313559322001</v>
      </c>
      <c r="I198" s="9">
        <f t="shared" si="22"/>
        <v>219.25149855312</v>
      </c>
      <c r="J198" s="9">
        <f t="shared" si="23"/>
        <v>1016.1894939518299</v>
      </c>
      <c r="K198" s="9">
        <f t="shared" si="24"/>
        <v>219.25149855312</v>
      </c>
      <c r="L198" s="10">
        <f t="shared" si="21"/>
        <v>0.21575847797882577</v>
      </c>
      <c r="M198" s="10">
        <f t="shared" si="20"/>
        <v>0.26585342324260908</v>
      </c>
      <c r="P198" s="8">
        <f t="shared" si="25"/>
        <v>-9.4352098629097512</v>
      </c>
    </row>
    <row r="199" spans="1:16" x14ac:dyDescent="0.2">
      <c r="A199" s="8">
        <v>98.5</v>
      </c>
      <c r="B199" s="8">
        <v>197</v>
      </c>
      <c r="D199">
        <v>1164.2110286320001</v>
      </c>
      <c r="E199">
        <v>340.45811240721002</v>
      </c>
      <c r="F199">
        <v>143.55190677965999</v>
      </c>
      <c r="G199">
        <v>119.40466101695</v>
      </c>
      <c r="I199" s="9">
        <f t="shared" si="22"/>
        <v>221.05345139026002</v>
      </c>
      <c r="J199" s="9">
        <f t="shared" si="23"/>
        <v>1020.6591218523401</v>
      </c>
      <c r="K199" s="9">
        <f t="shared" si="24"/>
        <v>221.05345139026002</v>
      </c>
      <c r="L199" s="10">
        <f t="shared" si="21"/>
        <v>0.21657911702104993</v>
      </c>
      <c r="M199" s="10">
        <f t="shared" si="20"/>
        <v>0.26692964874026065</v>
      </c>
      <c r="P199" s="8">
        <f t="shared" si="25"/>
        <v>-9.068586273315967</v>
      </c>
    </row>
    <row r="200" spans="1:16" x14ac:dyDescent="0.2">
      <c r="A200" s="8">
        <v>99</v>
      </c>
      <c r="B200" s="8">
        <v>198</v>
      </c>
      <c r="D200">
        <v>1174.309650053</v>
      </c>
      <c r="E200">
        <v>341.21739130434997</v>
      </c>
      <c r="F200">
        <v>143.89618644068</v>
      </c>
      <c r="G200">
        <v>119.26165254237</v>
      </c>
      <c r="I200" s="9">
        <f t="shared" si="22"/>
        <v>221.95573876197997</v>
      </c>
      <c r="J200" s="9">
        <f t="shared" si="23"/>
        <v>1030.4134636123201</v>
      </c>
      <c r="K200" s="9">
        <f t="shared" si="24"/>
        <v>221.95573876197997</v>
      </c>
      <c r="L200" s="10">
        <f t="shared" si="21"/>
        <v>0.21540454060438013</v>
      </c>
      <c r="M200" s="10">
        <f t="shared" si="20"/>
        <v>0.26601065877901836</v>
      </c>
      <c r="P200" s="8">
        <f t="shared" si="25"/>
        <v>-9.3816465001239155</v>
      </c>
    </row>
    <row r="201" spans="1:16" x14ac:dyDescent="0.2">
      <c r="A201" s="8">
        <v>99.5</v>
      </c>
      <c r="B201" s="8">
        <v>199</v>
      </c>
      <c r="D201">
        <v>1179.9363732767999</v>
      </c>
      <c r="E201">
        <v>339.85577942736001</v>
      </c>
      <c r="F201">
        <v>143.36122881355999</v>
      </c>
      <c r="G201">
        <v>119.47881355932</v>
      </c>
      <c r="I201" s="9">
        <f t="shared" si="22"/>
        <v>220.37696586804</v>
      </c>
      <c r="J201" s="9">
        <f t="shared" si="23"/>
        <v>1036.5751444632399</v>
      </c>
      <c r="K201" s="9">
        <f t="shared" si="24"/>
        <v>220.37696586804</v>
      </c>
      <c r="L201" s="10">
        <f t="shared" si="21"/>
        <v>0.21260105168946122</v>
      </c>
      <c r="M201" s="10">
        <f t="shared" si="20"/>
        <v>0.26346275631952687</v>
      </c>
      <c r="P201" s="8">
        <f t="shared" si="25"/>
        <v>-10.24960693004491</v>
      </c>
    </row>
    <row r="202" spans="1:16" x14ac:dyDescent="0.2">
      <c r="A202" s="8">
        <v>100</v>
      </c>
      <c r="B202" s="8">
        <v>200</v>
      </c>
      <c r="D202">
        <v>1176.7168610817</v>
      </c>
      <c r="E202">
        <v>338.85047720042002</v>
      </c>
      <c r="F202">
        <v>143.67478813559001</v>
      </c>
      <c r="G202">
        <v>118.68961864406999</v>
      </c>
      <c r="I202" s="9">
        <f t="shared" si="22"/>
        <v>220.16085855635004</v>
      </c>
      <c r="J202" s="9">
        <f t="shared" si="23"/>
        <v>1033.04207294611</v>
      </c>
      <c r="K202" s="9">
        <f t="shared" si="24"/>
        <v>220.16085855635004</v>
      </c>
      <c r="L202" s="10">
        <f t="shared" si="21"/>
        <v>0.21311896613124198</v>
      </c>
      <c r="M202" s="10">
        <f t="shared" si="20"/>
        <v>0.2642362572167351</v>
      </c>
      <c r="P202" s="8">
        <f t="shared" si="25"/>
        <v>-9.9861085497265663</v>
      </c>
    </row>
    <row r="203" spans="1:16" x14ac:dyDescent="0.2">
      <c r="A203" s="8">
        <v>100.5</v>
      </c>
      <c r="B203" s="8">
        <v>201</v>
      </c>
      <c r="D203">
        <v>1174.4369034995</v>
      </c>
      <c r="E203">
        <v>338.58324496287997</v>
      </c>
      <c r="F203">
        <v>143.86228813559001</v>
      </c>
      <c r="G203">
        <v>119.13347457627</v>
      </c>
      <c r="I203" s="9">
        <f t="shared" si="22"/>
        <v>219.44977038660997</v>
      </c>
      <c r="J203" s="9">
        <f t="shared" si="23"/>
        <v>1030.57461536391</v>
      </c>
      <c r="K203" s="9">
        <f t="shared" si="24"/>
        <v>219.44977038660997</v>
      </c>
      <c r="L203" s="10">
        <f t="shared" si="21"/>
        <v>0.2129392351752418</v>
      </c>
      <c r="M203" s="10">
        <f t="shared" si="20"/>
        <v>0.2643121127161624</v>
      </c>
      <c r="P203" s="8">
        <f t="shared" si="25"/>
        <v>-9.9602678541184915</v>
      </c>
    </row>
    <row r="204" spans="1:16" x14ac:dyDescent="0.2">
      <c r="A204" s="8">
        <v>101</v>
      </c>
      <c r="B204" s="8">
        <v>202</v>
      </c>
      <c r="D204">
        <v>1178.2375397666999</v>
      </c>
      <c r="E204">
        <v>337.58642629905</v>
      </c>
      <c r="F204">
        <v>143.62711864407001</v>
      </c>
      <c r="G204">
        <v>119.41419491524999</v>
      </c>
      <c r="I204" s="9">
        <f t="shared" si="22"/>
        <v>218.17223138380001</v>
      </c>
      <c r="J204" s="9">
        <f t="shared" si="23"/>
        <v>1034.61042112263</v>
      </c>
      <c r="K204" s="9">
        <f t="shared" si="24"/>
        <v>218.17223138380001</v>
      </c>
      <c r="L204" s="10">
        <f t="shared" si="21"/>
        <v>0.21087380034995853</v>
      </c>
      <c r="M204" s="10">
        <f t="shared" si="20"/>
        <v>0.26250226434630658</v>
      </c>
      <c r="P204" s="8">
        <f t="shared" si="25"/>
        <v>-10.576805101586505</v>
      </c>
    </row>
    <row r="205" spans="1:16" x14ac:dyDescent="0.2">
      <c r="A205" s="8">
        <v>101.5</v>
      </c>
      <c r="B205" s="8">
        <v>203</v>
      </c>
      <c r="D205">
        <v>1173.7645811241</v>
      </c>
      <c r="E205">
        <v>337.05514316013</v>
      </c>
      <c r="F205">
        <v>143.40466101695</v>
      </c>
      <c r="G205">
        <v>119.55826271186</v>
      </c>
      <c r="I205" s="9">
        <f t="shared" si="22"/>
        <v>217.49688044827002</v>
      </c>
      <c r="J205" s="9">
        <f t="shared" si="23"/>
        <v>1030.3599201071499</v>
      </c>
      <c r="K205" s="9">
        <f t="shared" si="24"/>
        <v>217.49688044827002</v>
      </c>
      <c r="L205" s="10">
        <f t="shared" si="21"/>
        <v>0.21108825780573057</v>
      </c>
      <c r="M205" s="10">
        <f t="shared" si="20"/>
        <v>0.26297230825750612</v>
      </c>
      <c r="P205" s="8">
        <f t="shared" si="25"/>
        <v>-10.416681422704418</v>
      </c>
    </row>
    <row r="206" spans="1:16" x14ac:dyDescent="0.2">
      <c r="A206" s="8">
        <v>102</v>
      </c>
      <c r="B206" s="8">
        <v>204</v>
      </c>
      <c r="D206">
        <v>1183.9416755037</v>
      </c>
      <c r="E206">
        <v>337.65323435842998</v>
      </c>
      <c r="F206">
        <v>143.67796610170001</v>
      </c>
      <c r="G206">
        <v>119.30508474576</v>
      </c>
      <c r="I206" s="9">
        <f t="shared" si="22"/>
        <v>218.34814961267</v>
      </c>
      <c r="J206" s="9">
        <f t="shared" si="23"/>
        <v>1040.2637094020001</v>
      </c>
      <c r="K206" s="9">
        <f t="shared" si="24"/>
        <v>218.34814961267</v>
      </c>
      <c r="L206" s="10">
        <f t="shared" si="21"/>
        <v>0.20989692098188095</v>
      </c>
      <c r="M206" s="10">
        <f t="shared" si="20"/>
        <v>0.26203655788908398</v>
      </c>
      <c r="P206" s="8">
        <f t="shared" si="25"/>
        <v>-10.735451197053044</v>
      </c>
    </row>
    <row r="207" spans="1:16" x14ac:dyDescent="0.2">
      <c r="A207" s="8">
        <v>102.5</v>
      </c>
      <c r="B207" s="8">
        <v>205</v>
      </c>
      <c r="D207">
        <v>1180.9236479321</v>
      </c>
      <c r="E207">
        <v>338.82820784730001</v>
      </c>
      <c r="F207">
        <v>144.33050847458</v>
      </c>
      <c r="G207">
        <v>119.42796610169999</v>
      </c>
      <c r="I207" s="9">
        <f t="shared" si="22"/>
        <v>219.4002417456</v>
      </c>
      <c r="J207" s="9">
        <f t="shared" si="23"/>
        <v>1036.59313945752</v>
      </c>
      <c r="K207" s="9">
        <f t="shared" si="24"/>
        <v>219.4002417456</v>
      </c>
      <c r="L207" s="10">
        <f t="shared" si="21"/>
        <v>0.21165511654883098</v>
      </c>
      <c r="M207" s="10">
        <f t="shared" si="20"/>
        <v>0.26405033991146143</v>
      </c>
      <c r="P207" s="8">
        <f t="shared" si="25"/>
        <v>-10.049442553590787</v>
      </c>
    </row>
    <row r="208" spans="1:16" x14ac:dyDescent="0.2">
      <c r="A208" s="8">
        <v>103</v>
      </c>
      <c r="B208" s="8">
        <v>206</v>
      </c>
      <c r="D208">
        <v>1180.0805938494</v>
      </c>
      <c r="E208">
        <v>338.29480381759998</v>
      </c>
      <c r="F208">
        <v>143.50953389831</v>
      </c>
      <c r="G208">
        <v>118.88665254237</v>
      </c>
      <c r="I208" s="9">
        <f t="shared" si="22"/>
        <v>219.40815127522998</v>
      </c>
      <c r="J208" s="9">
        <f t="shared" si="23"/>
        <v>1036.5710599510899</v>
      </c>
      <c r="K208" s="9">
        <f t="shared" si="24"/>
        <v>219.40815127522998</v>
      </c>
      <c r="L208" s="10">
        <f t="shared" si="21"/>
        <v>0.21166725538872622</v>
      </c>
      <c r="M208" s="10">
        <f t="shared" si="20"/>
        <v>0.26431806520678414</v>
      </c>
      <c r="P208" s="8">
        <f t="shared" si="25"/>
        <v>-9.9582400974043761</v>
      </c>
    </row>
    <row r="209" spans="1:16" x14ac:dyDescent="0.2">
      <c r="A209" s="8">
        <v>103.5</v>
      </c>
      <c r="B209" s="8">
        <v>207</v>
      </c>
      <c r="D209">
        <v>1181.4178154824999</v>
      </c>
      <c r="E209">
        <v>340.00742311771</v>
      </c>
      <c r="F209">
        <v>144.36122881355999</v>
      </c>
      <c r="G209">
        <v>118.76059322034</v>
      </c>
      <c r="I209" s="9">
        <f t="shared" si="22"/>
        <v>221.24682989736999</v>
      </c>
      <c r="J209" s="9">
        <f t="shared" si="23"/>
        <v>1037.0565866689399</v>
      </c>
      <c r="K209" s="9">
        <f t="shared" si="24"/>
        <v>221.24682989736999</v>
      </c>
      <c r="L209" s="10">
        <f t="shared" si="21"/>
        <v>0.21334113561538831</v>
      </c>
      <c r="M209" s="10">
        <f t="shared" si="20"/>
        <v>0.26624753188887373</v>
      </c>
      <c r="P209" s="8">
        <f t="shared" si="25"/>
        <v>-9.3009540523024157</v>
      </c>
    </row>
    <row r="210" spans="1:16" x14ac:dyDescent="0.2">
      <c r="A210" s="8">
        <v>104</v>
      </c>
      <c r="B210" s="8">
        <v>208</v>
      </c>
      <c r="D210">
        <v>1173.3181336161001</v>
      </c>
      <c r="E210">
        <v>337.71367974549003</v>
      </c>
      <c r="F210">
        <v>143.80720338982999</v>
      </c>
      <c r="G210">
        <v>119.21186440677999</v>
      </c>
      <c r="I210" s="9">
        <f t="shared" si="22"/>
        <v>218.50181533871003</v>
      </c>
      <c r="J210" s="9">
        <f t="shared" si="23"/>
        <v>1029.5109302262701</v>
      </c>
      <c r="K210" s="9">
        <f t="shared" si="24"/>
        <v>218.50181533871003</v>
      </c>
      <c r="L210" s="10">
        <f t="shared" si="21"/>
        <v>0.21223846092696344</v>
      </c>
      <c r="M210" s="10">
        <f t="shared" si="20"/>
        <v>0.26540044365587628</v>
      </c>
      <c r="P210" s="8">
        <f t="shared" si="25"/>
        <v>-9.5895204627450745</v>
      </c>
    </row>
    <row r="211" spans="1:16" x14ac:dyDescent="0.2">
      <c r="A211" s="8">
        <v>104.5</v>
      </c>
      <c r="B211" s="8">
        <v>209</v>
      </c>
      <c r="D211">
        <v>1158.8048780488</v>
      </c>
      <c r="E211">
        <v>335.23966065747999</v>
      </c>
      <c r="F211">
        <v>143.11652542373</v>
      </c>
      <c r="G211">
        <v>119.42584745763</v>
      </c>
      <c r="I211" s="9">
        <f t="shared" si="22"/>
        <v>215.81381319984999</v>
      </c>
      <c r="J211" s="9">
        <f t="shared" si="23"/>
        <v>1015.68835262507</v>
      </c>
      <c r="K211" s="9">
        <f t="shared" si="24"/>
        <v>215.81381319984999</v>
      </c>
      <c r="L211" s="10">
        <f t="shared" si="21"/>
        <v>0.21248034659654627</v>
      </c>
      <c r="M211" s="10">
        <f t="shared" si="20"/>
        <v>0.26589791578088662</v>
      </c>
      <c r="P211" s="8">
        <f t="shared" si="25"/>
        <v>-9.4200531749024083</v>
      </c>
    </row>
    <row r="212" spans="1:16" x14ac:dyDescent="0.2">
      <c r="A212" s="8">
        <v>105</v>
      </c>
      <c r="B212" s="8">
        <v>210</v>
      </c>
      <c r="D212">
        <v>1163.6267232237999</v>
      </c>
      <c r="E212">
        <v>335.04559915163998</v>
      </c>
      <c r="F212">
        <v>143.80084745763</v>
      </c>
      <c r="G212">
        <v>119.11864406780001</v>
      </c>
      <c r="I212" s="9">
        <f t="shared" si="22"/>
        <v>215.92695508383997</v>
      </c>
      <c r="J212" s="9">
        <f t="shared" si="23"/>
        <v>1019.8258757661699</v>
      </c>
      <c r="K212" s="9">
        <f t="shared" si="24"/>
        <v>215.92695508383997</v>
      </c>
      <c r="L212" s="10">
        <f t="shared" si="21"/>
        <v>0.21172923752461115</v>
      </c>
      <c r="M212" s="10">
        <f t="shared" si="20"/>
        <v>0.26540239316437897</v>
      </c>
      <c r="P212" s="8">
        <f t="shared" si="25"/>
        <v>-9.5888563493164689</v>
      </c>
    </row>
    <row r="213" spans="1:16" x14ac:dyDescent="0.2">
      <c r="A213" s="8">
        <v>105.5</v>
      </c>
      <c r="B213" s="8">
        <v>211</v>
      </c>
      <c r="D213">
        <v>1162.0933191941001</v>
      </c>
      <c r="E213">
        <v>333.65959703074998</v>
      </c>
      <c r="F213">
        <v>143.99894067797001</v>
      </c>
      <c r="G213">
        <v>118.99152542373</v>
      </c>
      <c r="I213" s="9">
        <f t="shared" si="22"/>
        <v>214.66807160701998</v>
      </c>
      <c r="J213" s="9">
        <f t="shared" si="23"/>
        <v>1018.0943785161301</v>
      </c>
      <c r="K213" s="9">
        <f t="shared" si="24"/>
        <v>214.66807160701998</v>
      </c>
      <c r="L213" s="10">
        <f t="shared" si="21"/>
        <v>0.21085282085527093</v>
      </c>
      <c r="M213" s="10">
        <f t="shared" si="20"/>
        <v>0.26478156295046618</v>
      </c>
      <c r="P213" s="8">
        <f t="shared" si="25"/>
        <v>-9.800346415338554</v>
      </c>
    </row>
    <row r="214" spans="1:16" x14ac:dyDescent="0.2">
      <c r="A214" s="8">
        <v>106</v>
      </c>
      <c r="B214" s="8">
        <v>212</v>
      </c>
      <c r="D214">
        <v>1163.7741251325999</v>
      </c>
      <c r="E214">
        <v>335.95227995758</v>
      </c>
      <c r="F214">
        <v>144.01588983050999</v>
      </c>
      <c r="G214">
        <v>119.27330508475001</v>
      </c>
      <c r="I214" s="9">
        <f t="shared" si="22"/>
        <v>216.67897487283</v>
      </c>
      <c r="J214" s="9">
        <f t="shared" si="23"/>
        <v>1019.7582353020899</v>
      </c>
      <c r="K214" s="9">
        <f t="shared" si="24"/>
        <v>216.67897487283</v>
      </c>
      <c r="L214" s="10">
        <f t="shared" si="21"/>
        <v>0.21248073060046602</v>
      </c>
      <c r="M214" s="10">
        <f t="shared" si="20"/>
        <v>0.26666505915108873</v>
      </c>
      <c r="P214" s="8">
        <f t="shared" si="25"/>
        <v>-9.1587205297176464</v>
      </c>
    </row>
    <row r="215" spans="1:16" x14ac:dyDescent="0.2">
      <c r="A215" s="8">
        <v>106.5</v>
      </c>
      <c r="B215" s="8">
        <v>213</v>
      </c>
      <c r="D215">
        <v>1165.6712619299999</v>
      </c>
      <c r="E215">
        <v>334.88865323435999</v>
      </c>
      <c r="F215">
        <v>143.74576271186001</v>
      </c>
      <c r="G215">
        <v>119.18114406780001</v>
      </c>
      <c r="I215" s="9">
        <f t="shared" si="22"/>
        <v>215.70750916655999</v>
      </c>
      <c r="J215" s="9">
        <f t="shared" si="23"/>
        <v>1021.9254992181399</v>
      </c>
      <c r="K215" s="9">
        <f t="shared" si="24"/>
        <v>215.70750916655999</v>
      </c>
      <c r="L215" s="10">
        <f t="shared" si="21"/>
        <v>0.21107948605998639</v>
      </c>
      <c r="M215" s="10">
        <f t="shared" si="20"/>
        <v>0.26551940106603655</v>
      </c>
      <c r="P215" s="8">
        <f t="shared" si="25"/>
        <v>-9.548996805930674</v>
      </c>
    </row>
    <row r="216" spans="1:16" x14ac:dyDescent="0.2">
      <c r="A216" s="8">
        <v>107</v>
      </c>
      <c r="B216" s="8">
        <v>214</v>
      </c>
      <c r="D216">
        <v>1171.4644750795001</v>
      </c>
      <c r="E216">
        <v>335.46977730647001</v>
      </c>
      <c r="F216">
        <v>143.71186440677999</v>
      </c>
      <c r="G216">
        <v>119.20127118644</v>
      </c>
      <c r="I216" s="9">
        <f t="shared" si="22"/>
        <v>216.26850612003</v>
      </c>
      <c r="J216" s="9">
        <f t="shared" si="23"/>
        <v>1027.75261067272</v>
      </c>
      <c r="K216" s="9">
        <f t="shared" si="24"/>
        <v>216.26850612003</v>
      </c>
      <c r="L216" s="10">
        <f t="shared" si="21"/>
        <v>0.21042856410597729</v>
      </c>
      <c r="M216" s="10">
        <f t="shared" si="20"/>
        <v>0.26512406556745494</v>
      </c>
      <c r="P216" s="8">
        <f t="shared" si="25"/>
        <v>-9.6836705521856281</v>
      </c>
    </row>
    <row r="217" spans="1:16" x14ac:dyDescent="0.2">
      <c r="A217" s="8">
        <v>107.5</v>
      </c>
      <c r="B217" s="8">
        <v>215</v>
      </c>
      <c r="D217">
        <v>1174.1908801697</v>
      </c>
      <c r="E217">
        <v>338.39448568399001</v>
      </c>
      <c r="F217">
        <v>143.74258474576001</v>
      </c>
      <c r="G217">
        <v>119.43220338982999</v>
      </c>
      <c r="I217" s="9">
        <f t="shared" si="22"/>
        <v>218.96228229416002</v>
      </c>
      <c r="J217" s="9">
        <f t="shared" si="23"/>
        <v>1030.44829542394</v>
      </c>
      <c r="K217" s="9">
        <f t="shared" si="24"/>
        <v>218.96228229416002</v>
      </c>
      <c r="L217" s="10">
        <f t="shared" si="21"/>
        <v>0.21249225532861507</v>
      </c>
      <c r="M217" s="10">
        <f t="shared" si="20"/>
        <v>0.26744334324552022</v>
      </c>
      <c r="P217" s="8">
        <f t="shared" si="25"/>
        <v>-8.8935927204928635</v>
      </c>
    </row>
    <row r="218" spans="1:16" x14ac:dyDescent="0.2">
      <c r="A218" s="8">
        <v>108</v>
      </c>
      <c r="B218" s="8">
        <v>216</v>
      </c>
      <c r="D218">
        <v>1162.8663838811999</v>
      </c>
      <c r="E218">
        <v>333.22163308590001</v>
      </c>
      <c r="F218">
        <v>143.86970338982999</v>
      </c>
      <c r="G218">
        <v>118.96822033898</v>
      </c>
      <c r="I218" s="9">
        <f t="shared" si="22"/>
        <v>214.25341274691999</v>
      </c>
      <c r="J218" s="9">
        <f t="shared" si="23"/>
        <v>1018.9966804913699</v>
      </c>
      <c r="K218" s="9">
        <f t="shared" si="24"/>
        <v>214.25341274691999</v>
      </c>
      <c r="L218" s="10">
        <f t="shared" si="21"/>
        <v>0.21025918616693132</v>
      </c>
      <c r="M218" s="10">
        <f t="shared" si="20"/>
        <v>0.26546586053926391</v>
      </c>
      <c r="P218" s="8">
        <f t="shared" si="25"/>
        <v>-9.5672357532116692</v>
      </c>
    </row>
    <row r="219" spans="1:16" x14ac:dyDescent="0.2">
      <c r="A219" s="8">
        <v>108.5</v>
      </c>
      <c r="B219" s="8">
        <v>217</v>
      </c>
      <c r="D219">
        <v>1161.6394485684</v>
      </c>
      <c r="E219">
        <v>332.88865323435999</v>
      </c>
      <c r="F219">
        <v>144.21927966102001</v>
      </c>
      <c r="G219">
        <v>119.03495762711999</v>
      </c>
      <c r="I219" s="9">
        <f t="shared" si="22"/>
        <v>213.85369560724001</v>
      </c>
      <c r="J219" s="9">
        <f t="shared" si="23"/>
        <v>1017.42016890738</v>
      </c>
      <c r="K219" s="9">
        <f t="shared" si="24"/>
        <v>213.85369560724001</v>
      </c>
      <c r="L219" s="10">
        <f t="shared" si="21"/>
        <v>0.21019211348729219</v>
      </c>
      <c r="M219" s="10">
        <f t="shared" si="20"/>
        <v>0.26565437431505223</v>
      </c>
      <c r="P219" s="8">
        <f t="shared" si="25"/>
        <v>-9.503017243876771</v>
      </c>
    </row>
    <row r="220" spans="1:16" x14ac:dyDescent="0.2">
      <c r="A220" s="8">
        <v>109</v>
      </c>
      <c r="B220" s="8">
        <v>218</v>
      </c>
      <c r="D220">
        <v>1163.441145281</v>
      </c>
      <c r="E220">
        <v>333.84517497348997</v>
      </c>
      <c r="F220">
        <v>143.13771186440999</v>
      </c>
      <c r="G220">
        <v>119.26906779661</v>
      </c>
      <c r="I220" s="9">
        <f t="shared" si="22"/>
        <v>214.57610717687999</v>
      </c>
      <c r="J220" s="9">
        <f t="shared" si="23"/>
        <v>1020.30343341659</v>
      </c>
      <c r="K220" s="9">
        <f t="shared" si="24"/>
        <v>214.57610717687999</v>
      </c>
      <c r="L220" s="10">
        <f t="shared" si="21"/>
        <v>0.21030616986002881</v>
      </c>
      <c r="M220" s="10">
        <f t="shared" si="20"/>
        <v>0.26602401714321633</v>
      </c>
      <c r="P220" s="8">
        <f t="shared" si="25"/>
        <v>-9.377095881834304</v>
      </c>
    </row>
    <row r="221" spans="1:16" x14ac:dyDescent="0.2">
      <c r="A221" s="8">
        <v>109.5</v>
      </c>
      <c r="B221" s="8">
        <v>219</v>
      </c>
      <c r="D221">
        <v>1167.5132555672999</v>
      </c>
      <c r="E221">
        <v>336.09437963944998</v>
      </c>
      <c r="F221">
        <v>143.60805084745999</v>
      </c>
      <c r="G221">
        <v>119.09004237288001</v>
      </c>
      <c r="I221" s="9">
        <f t="shared" si="22"/>
        <v>217.00433726656996</v>
      </c>
      <c r="J221" s="9">
        <f t="shared" si="23"/>
        <v>1023.90520471984</v>
      </c>
      <c r="K221" s="9">
        <f t="shared" si="24"/>
        <v>217.00433726656996</v>
      </c>
      <c r="L221" s="10">
        <f t="shared" si="21"/>
        <v>0.21193791795007674</v>
      </c>
      <c r="M221" s="10">
        <f t="shared" si="20"/>
        <v>0.26791135168869173</v>
      </c>
      <c r="P221" s="8">
        <f t="shared" si="25"/>
        <v>-8.7341624377406415</v>
      </c>
    </row>
    <row r="222" spans="1:16" x14ac:dyDescent="0.2">
      <c r="A222" s="8">
        <v>110</v>
      </c>
      <c r="B222" s="8">
        <v>220</v>
      </c>
      <c r="D222">
        <v>1178.2279957582</v>
      </c>
      <c r="E222">
        <v>338.96818663839002</v>
      </c>
      <c r="F222">
        <v>143.07415254237</v>
      </c>
      <c r="G222">
        <v>118.54978813559001</v>
      </c>
      <c r="I222" s="9">
        <f t="shared" si="22"/>
        <v>220.41839850280002</v>
      </c>
      <c r="J222" s="9">
        <f t="shared" si="23"/>
        <v>1035.15384321583</v>
      </c>
      <c r="K222" s="9">
        <f t="shared" si="24"/>
        <v>220.41839850280002</v>
      </c>
      <c r="L222" s="10">
        <f t="shared" si="21"/>
        <v>0.21293298570775118</v>
      </c>
      <c r="M222" s="10">
        <f t="shared" si="20"/>
        <v>0.26916200590179362</v>
      </c>
      <c r="P222" s="8">
        <f t="shared" si="25"/>
        <v>-8.3081185111206803</v>
      </c>
    </row>
    <row r="223" spans="1:16" x14ac:dyDescent="0.2">
      <c r="A223" s="8">
        <v>110.5</v>
      </c>
      <c r="B223" s="8">
        <v>221</v>
      </c>
      <c r="D223">
        <v>1173.1495227995999</v>
      </c>
      <c r="E223">
        <v>336.85471898197</v>
      </c>
      <c r="F223">
        <v>144.11546610170001</v>
      </c>
      <c r="G223">
        <v>118.77860169492</v>
      </c>
      <c r="I223" s="9">
        <f t="shared" si="22"/>
        <v>218.07611728705001</v>
      </c>
      <c r="J223" s="9">
        <f t="shared" si="23"/>
        <v>1029.0340566978998</v>
      </c>
      <c r="K223" s="9">
        <f t="shared" si="24"/>
        <v>218.07611728705001</v>
      </c>
      <c r="L223" s="10">
        <f t="shared" si="21"/>
        <v>0.21192312914000283</v>
      </c>
      <c r="M223" s="10">
        <f t="shared" si="20"/>
        <v>0.26840773578947275</v>
      </c>
      <c r="P223" s="8">
        <f t="shared" si="25"/>
        <v>-8.5650657928063527</v>
      </c>
    </row>
    <row r="224" spans="1:16" x14ac:dyDescent="0.2">
      <c r="A224" s="8">
        <v>111</v>
      </c>
      <c r="B224" s="8">
        <v>222</v>
      </c>
      <c r="D224">
        <v>1170.0636267232001</v>
      </c>
      <c r="E224">
        <v>336.10074231176998</v>
      </c>
      <c r="F224">
        <v>144.07309322034001</v>
      </c>
      <c r="G224">
        <v>118.66419491524999</v>
      </c>
      <c r="I224" s="9">
        <f t="shared" si="22"/>
        <v>217.43654739651998</v>
      </c>
      <c r="J224" s="9">
        <f t="shared" si="23"/>
        <v>1025.99053350286</v>
      </c>
      <c r="K224" s="9">
        <f t="shared" si="24"/>
        <v>217.43654739651998</v>
      </c>
      <c r="L224" s="10">
        <f t="shared" si="21"/>
        <v>0.2119284148306558</v>
      </c>
      <c r="M224" s="10">
        <f t="shared" si="20"/>
        <v>0.26866860793555319</v>
      </c>
      <c r="P224" s="8">
        <f t="shared" si="25"/>
        <v>-8.4761979088640516</v>
      </c>
    </row>
    <row r="225" spans="1:16" x14ac:dyDescent="0.2">
      <c r="A225" s="8">
        <v>111.5</v>
      </c>
      <c r="B225" s="8">
        <v>223</v>
      </c>
      <c r="D225">
        <v>1173.7295864263001</v>
      </c>
      <c r="E225">
        <v>335.45811240721002</v>
      </c>
      <c r="F225">
        <v>142.90995762712001</v>
      </c>
      <c r="G225">
        <v>118.91737288136</v>
      </c>
      <c r="I225" s="9">
        <f t="shared" si="22"/>
        <v>216.54073952585003</v>
      </c>
      <c r="J225" s="9">
        <f t="shared" si="23"/>
        <v>1030.81962879918</v>
      </c>
      <c r="K225" s="9">
        <f t="shared" si="24"/>
        <v>216.54073952585003</v>
      </c>
      <c r="L225" s="10">
        <f t="shared" si="21"/>
        <v>0.21006656594044698</v>
      </c>
      <c r="M225" s="10">
        <f t="shared" si="20"/>
        <v>0.26706234550077185</v>
      </c>
      <c r="P225" s="8">
        <f t="shared" si="25"/>
        <v>-9.0233822126686043</v>
      </c>
    </row>
    <row r="226" spans="1:16" x14ac:dyDescent="0.2">
      <c r="A226" s="8">
        <v>112</v>
      </c>
      <c r="B226" s="8">
        <v>224</v>
      </c>
      <c r="D226">
        <v>1175.6171792153</v>
      </c>
      <c r="E226">
        <v>337.34570519618001</v>
      </c>
      <c r="F226">
        <v>143.72139830508999</v>
      </c>
      <c r="G226">
        <v>118.83898305085</v>
      </c>
      <c r="I226" s="9">
        <f t="shared" si="22"/>
        <v>218.50672214533</v>
      </c>
      <c r="J226" s="9">
        <f t="shared" si="23"/>
        <v>1031.8957809102101</v>
      </c>
      <c r="K226" s="9">
        <f t="shared" si="24"/>
        <v>218.50672214533</v>
      </c>
      <c r="L226" s="10">
        <f t="shared" si="21"/>
        <v>0.21175270428239426</v>
      </c>
      <c r="M226" s="10">
        <f t="shared" si="20"/>
        <v>0.26900407029814655</v>
      </c>
      <c r="P226" s="8">
        <f t="shared" si="25"/>
        <v>-8.3619203566076159</v>
      </c>
    </row>
    <row r="227" spans="1:16" x14ac:dyDescent="0.2">
      <c r="A227" s="8">
        <v>112.5</v>
      </c>
      <c r="B227" s="8">
        <v>225</v>
      </c>
      <c r="D227">
        <v>1174.5949098620999</v>
      </c>
      <c r="E227">
        <v>337.29268292683003</v>
      </c>
      <c r="F227">
        <v>143.51906779660999</v>
      </c>
      <c r="G227">
        <v>118.70233050848</v>
      </c>
      <c r="I227" s="9">
        <f t="shared" si="22"/>
        <v>218.59035241835002</v>
      </c>
      <c r="J227" s="9">
        <f t="shared" si="23"/>
        <v>1031.07584206549</v>
      </c>
      <c r="K227" s="9">
        <f t="shared" si="24"/>
        <v>218.59035241835002</v>
      </c>
      <c r="L227" s="10">
        <f t="shared" si="21"/>
        <v>0.2120022053668347</v>
      </c>
      <c r="M227" s="10">
        <f t="shared" si="20"/>
        <v>0.26950915783801449</v>
      </c>
      <c r="P227" s="8">
        <f t="shared" si="25"/>
        <v>-8.1898588255162679</v>
      </c>
    </row>
    <row r="228" spans="1:16" x14ac:dyDescent="0.2">
      <c r="A228" s="8">
        <v>113</v>
      </c>
      <c r="B228" s="8">
        <v>226</v>
      </c>
      <c r="D228">
        <v>1156.7879109226001</v>
      </c>
      <c r="E228">
        <v>332.41781548249998</v>
      </c>
      <c r="F228">
        <v>143.75423728813999</v>
      </c>
      <c r="G228">
        <v>119.01906779661</v>
      </c>
      <c r="I228" s="9">
        <f t="shared" si="22"/>
        <v>213.39874768588999</v>
      </c>
      <c r="J228" s="9">
        <f t="shared" si="23"/>
        <v>1013.0336736344601</v>
      </c>
      <c r="K228" s="9">
        <f t="shared" si="24"/>
        <v>213.39874768588999</v>
      </c>
      <c r="L228" s="10">
        <f t="shared" si="21"/>
        <v>0.21065316310787524</v>
      </c>
      <c r="M228" s="10">
        <f t="shared" si="20"/>
        <v>0.26841570203448251</v>
      </c>
      <c r="P228" s="8">
        <f t="shared" si="25"/>
        <v>-8.5623520368626078</v>
      </c>
    </row>
    <row r="229" spans="1:16" x14ac:dyDescent="0.2">
      <c r="A229" s="8">
        <v>113.5</v>
      </c>
      <c r="B229" s="8">
        <v>227</v>
      </c>
      <c r="D229">
        <v>1154.5652173912999</v>
      </c>
      <c r="E229">
        <v>332.27995758218998</v>
      </c>
      <c r="F229">
        <v>144.21080508475001</v>
      </c>
      <c r="G229">
        <v>119.02648305085</v>
      </c>
      <c r="I229" s="9">
        <f t="shared" si="22"/>
        <v>213.25347453133998</v>
      </c>
      <c r="J229" s="9">
        <f t="shared" si="23"/>
        <v>1010.3544123065499</v>
      </c>
      <c r="K229" s="9">
        <f t="shared" si="24"/>
        <v>213.25347453133998</v>
      </c>
      <c r="L229" s="10">
        <f t="shared" si="21"/>
        <v>0.21106798954289824</v>
      </c>
      <c r="M229" s="10">
        <f t="shared" si="20"/>
        <v>0.26908611492493295</v>
      </c>
      <c r="P229" s="8">
        <f t="shared" si="25"/>
        <v>-8.3339712923595108</v>
      </c>
    </row>
    <row r="230" spans="1:16" x14ac:dyDescent="0.2">
      <c r="A230" s="8">
        <v>114</v>
      </c>
      <c r="B230" s="8">
        <v>228</v>
      </c>
      <c r="D230">
        <v>1149.8950159067001</v>
      </c>
      <c r="E230">
        <v>329.40615058325</v>
      </c>
      <c r="F230">
        <v>143.34533898305</v>
      </c>
      <c r="G230">
        <v>119.13029661017001</v>
      </c>
      <c r="I230" s="9">
        <f t="shared" si="22"/>
        <v>210.27585397307999</v>
      </c>
      <c r="J230" s="9">
        <f t="shared" si="23"/>
        <v>1006.5496769236502</v>
      </c>
      <c r="K230" s="9">
        <f t="shared" si="24"/>
        <v>210.27585397307999</v>
      </c>
      <c r="L230" s="10">
        <f t="shared" si="21"/>
        <v>0.20890757683788919</v>
      </c>
      <c r="M230" s="10">
        <f t="shared" si="20"/>
        <v>0.26718128867535135</v>
      </c>
      <c r="P230" s="8">
        <f t="shared" si="25"/>
        <v>-8.9828634053023304</v>
      </c>
    </row>
    <row r="231" spans="1:16" x14ac:dyDescent="0.2">
      <c r="A231" s="8">
        <v>114.5</v>
      </c>
      <c r="B231" s="8">
        <v>229</v>
      </c>
      <c r="D231">
        <v>1147.4888653234</v>
      </c>
      <c r="E231">
        <v>330.38600212089</v>
      </c>
      <c r="F231">
        <v>143.64724576271001</v>
      </c>
      <c r="G231">
        <v>118.51165254237</v>
      </c>
      <c r="I231" s="9">
        <f t="shared" si="22"/>
        <v>211.87434957852</v>
      </c>
      <c r="J231" s="9">
        <f t="shared" si="23"/>
        <v>1003.84161956069</v>
      </c>
      <c r="K231" s="9">
        <f t="shared" si="24"/>
        <v>211.87434957852</v>
      </c>
      <c r="L231" s="10">
        <f t="shared" si="21"/>
        <v>0.21106352381687693</v>
      </c>
      <c r="M231" s="10">
        <f t="shared" si="20"/>
        <v>0.26959282210976659</v>
      </c>
      <c r="P231" s="8">
        <f t="shared" si="25"/>
        <v>-8.1613580181135088</v>
      </c>
    </row>
    <row r="232" spans="1:16" x14ac:dyDescent="0.2">
      <c r="A232" s="8">
        <v>115</v>
      </c>
      <c r="B232" s="8">
        <v>230</v>
      </c>
      <c r="D232">
        <v>1149.2428419936</v>
      </c>
      <c r="E232">
        <v>333.38282078472997</v>
      </c>
      <c r="F232">
        <v>143.31038135592999</v>
      </c>
      <c r="G232">
        <v>119.12394067797</v>
      </c>
      <c r="I232" s="9">
        <f t="shared" si="22"/>
        <v>214.25888010675999</v>
      </c>
      <c r="J232" s="9">
        <f t="shared" si="23"/>
        <v>1005.93246063767</v>
      </c>
      <c r="K232" s="9">
        <f t="shared" si="24"/>
        <v>214.25888010675999</v>
      </c>
      <c r="L232" s="10">
        <f t="shared" si="21"/>
        <v>0.21299529390963215</v>
      </c>
      <c r="M232" s="10">
        <f t="shared" si="20"/>
        <v>0.27178017865794923</v>
      </c>
      <c r="P232" s="8">
        <f t="shared" si="25"/>
        <v>-7.4162200231802116</v>
      </c>
    </row>
    <row r="233" spans="1:16" x14ac:dyDescent="0.2">
      <c r="A233" s="8">
        <v>115.5</v>
      </c>
      <c r="B233" s="8">
        <v>231</v>
      </c>
      <c r="D233">
        <v>1155.9575821845001</v>
      </c>
      <c r="E233">
        <v>334.11452810179998</v>
      </c>
      <c r="F233">
        <v>143.27860169492001</v>
      </c>
      <c r="G233">
        <v>118.90783898305</v>
      </c>
      <c r="I233" s="9">
        <f t="shared" si="22"/>
        <v>215.20668911874998</v>
      </c>
      <c r="J233" s="9">
        <f t="shared" si="23"/>
        <v>1012.6789804895801</v>
      </c>
      <c r="K233" s="9">
        <f t="shared" si="24"/>
        <v>215.20668911874998</v>
      </c>
      <c r="L233" s="10">
        <f t="shared" si="21"/>
        <v>0.21251225044160413</v>
      </c>
      <c r="M233" s="10">
        <f t="shared" si="20"/>
        <v>0.27155272164534872</v>
      </c>
      <c r="P233" s="8">
        <f t="shared" si="25"/>
        <v>-7.493704812956933</v>
      </c>
    </row>
    <row r="234" spans="1:16" x14ac:dyDescent="0.2">
      <c r="A234" s="8">
        <v>116</v>
      </c>
      <c r="B234" s="8">
        <v>232</v>
      </c>
      <c r="D234">
        <v>1155.3213149523001</v>
      </c>
      <c r="E234">
        <v>336.96076352068002</v>
      </c>
      <c r="F234">
        <v>143.26483050848</v>
      </c>
      <c r="G234">
        <v>119.01059322034</v>
      </c>
      <c r="I234" s="9">
        <f t="shared" si="22"/>
        <v>217.95017030034001</v>
      </c>
      <c r="J234" s="9">
        <f t="shared" si="23"/>
        <v>1012.0564844438201</v>
      </c>
      <c r="K234" s="9">
        <f t="shared" si="24"/>
        <v>217.95017030034001</v>
      </c>
      <c r="L234" s="10">
        <f t="shared" si="21"/>
        <v>0.21535376103055695</v>
      </c>
      <c r="M234" s="10">
        <f t="shared" si="20"/>
        <v>0.27464981868972899</v>
      </c>
      <c r="P234" s="8">
        <f t="shared" si="25"/>
        <v>-6.4386574848563747</v>
      </c>
    </row>
    <row r="235" spans="1:16" x14ac:dyDescent="0.2">
      <c r="A235" s="8">
        <v>116.5</v>
      </c>
      <c r="B235" s="8">
        <v>233</v>
      </c>
      <c r="D235">
        <v>1169.9862142100001</v>
      </c>
      <c r="E235">
        <v>337.94273594909998</v>
      </c>
      <c r="F235">
        <v>144.01800847458</v>
      </c>
      <c r="G235">
        <v>119.09957627119</v>
      </c>
      <c r="I235" s="9">
        <f t="shared" si="22"/>
        <v>218.84315967790997</v>
      </c>
      <c r="J235" s="9">
        <f t="shared" si="23"/>
        <v>1025.96820573542</v>
      </c>
      <c r="K235" s="9">
        <f t="shared" si="24"/>
        <v>218.84315967790997</v>
      </c>
      <c r="L235" s="10">
        <f t="shared" si="21"/>
        <v>0.21330403657201238</v>
      </c>
      <c r="M235" s="10">
        <f t="shared" si="20"/>
        <v>0.27285568068661187</v>
      </c>
      <c r="P235" s="8">
        <f t="shared" si="25"/>
        <v>-7.0498428882543998</v>
      </c>
    </row>
    <row r="236" spans="1:16" x14ac:dyDescent="0.2">
      <c r="A236" s="8">
        <v>117</v>
      </c>
      <c r="B236" s="8">
        <v>234</v>
      </c>
      <c r="D236">
        <v>1167.1686108164999</v>
      </c>
      <c r="E236">
        <v>336.79215270413999</v>
      </c>
      <c r="F236">
        <v>143.22987288136</v>
      </c>
      <c r="G236">
        <v>118.88877118644</v>
      </c>
      <c r="I236" s="9">
        <f t="shared" si="22"/>
        <v>217.90338151769998</v>
      </c>
      <c r="J236" s="9">
        <f t="shared" si="23"/>
        <v>1023.9387379351399</v>
      </c>
      <c r="K236" s="9">
        <f t="shared" si="24"/>
        <v>217.90338151769998</v>
      </c>
      <c r="L236" s="10">
        <f t="shared" si="21"/>
        <v>0.2128090025748228</v>
      </c>
      <c r="M236" s="10">
        <f t="shared" si="20"/>
        <v>0.27261623314484978</v>
      </c>
      <c r="P236" s="8">
        <f t="shared" si="25"/>
        <v>-7.1314123339437856</v>
      </c>
    </row>
    <row r="237" spans="1:16" x14ac:dyDescent="0.2">
      <c r="A237" s="8">
        <v>117.5</v>
      </c>
      <c r="B237" s="8">
        <v>235</v>
      </c>
      <c r="D237">
        <v>1163.6033934252</v>
      </c>
      <c r="E237">
        <v>332.67126193001002</v>
      </c>
      <c r="F237">
        <v>143.65889830508999</v>
      </c>
      <c r="G237">
        <v>119.07203389831</v>
      </c>
      <c r="I237" s="9">
        <f t="shared" si="22"/>
        <v>213.59922803170002</v>
      </c>
      <c r="J237" s="9">
        <f t="shared" si="23"/>
        <v>1019.94449512011</v>
      </c>
      <c r="K237" s="9">
        <f t="shared" si="24"/>
        <v>213.59922803170002</v>
      </c>
      <c r="L237" s="10">
        <f t="shared" si="21"/>
        <v>0.20942240391870176</v>
      </c>
      <c r="M237" s="10">
        <f t="shared" si="20"/>
        <v>0.26948522094415617</v>
      </c>
      <c r="P237" s="8">
        <f t="shared" si="25"/>
        <v>-8.1980130924140617</v>
      </c>
    </row>
    <row r="238" spans="1:16" x14ac:dyDescent="0.2">
      <c r="A238" s="8">
        <v>118</v>
      </c>
      <c r="B238" s="8">
        <v>236</v>
      </c>
      <c r="D238">
        <v>1169.0678685047999</v>
      </c>
      <c r="E238">
        <v>333.40509013785999</v>
      </c>
      <c r="F238">
        <v>143.65148305085</v>
      </c>
      <c r="G238">
        <v>118.96927966102</v>
      </c>
      <c r="I238" s="9">
        <f t="shared" si="22"/>
        <v>214.43581047684</v>
      </c>
      <c r="J238" s="9">
        <f t="shared" si="23"/>
        <v>1025.4163854539499</v>
      </c>
      <c r="K238" s="9">
        <f t="shared" si="24"/>
        <v>214.43581047684</v>
      </c>
      <c r="L238" s="10">
        <f t="shared" si="21"/>
        <v>0.2091207177091379</v>
      </c>
      <c r="M238" s="10">
        <f t="shared" si="20"/>
        <v>0.26943912119001978</v>
      </c>
      <c r="P238" s="8">
        <f t="shared" si="25"/>
        <v>-8.2137172895156478</v>
      </c>
    </row>
    <row r="239" spans="1:16" x14ac:dyDescent="0.2">
      <c r="A239" s="8">
        <v>118.5</v>
      </c>
      <c r="B239" s="8">
        <v>237</v>
      </c>
      <c r="D239">
        <v>1172.3361611877001</v>
      </c>
      <c r="E239">
        <v>334.4347826087</v>
      </c>
      <c r="F239">
        <v>144.02224576271001</v>
      </c>
      <c r="G239">
        <v>118.53177966102</v>
      </c>
      <c r="I239" s="9">
        <f t="shared" si="22"/>
        <v>215.90300294768002</v>
      </c>
      <c r="J239" s="9">
        <f t="shared" si="23"/>
        <v>1028.31391542499</v>
      </c>
      <c r="K239" s="9">
        <f t="shared" si="24"/>
        <v>215.90300294768002</v>
      </c>
      <c r="L239" s="10">
        <f t="shared" si="21"/>
        <v>0.2099582624615654</v>
      </c>
      <c r="M239" s="10">
        <f t="shared" si="20"/>
        <v>0.27053225239787476</v>
      </c>
      <c r="P239" s="8">
        <f t="shared" si="25"/>
        <v>-7.8413346539106641</v>
      </c>
    </row>
    <row r="240" spans="1:16" x14ac:dyDescent="0.2">
      <c r="A240" s="8">
        <v>119</v>
      </c>
      <c r="B240" s="8">
        <v>238</v>
      </c>
      <c r="D240">
        <v>1141.4729586425999</v>
      </c>
      <c r="E240">
        <v>325.46341463415001</v>
      </c>
      <c r="F240">
        <v>142.55826271186001</v>
      </c>
      <c r="G240">
        <v>119.15677966102</v>
      </c>
      <c r="I240" s="9">
        <f t="shared" si="22"/>
        <v>206.30663497313003</v>
      </c>
      <c r="J240" s="9">
        <f t="shared" si="23"/>
        <v>998.91469593073987</v>
      </c>
      <c r="K240" s="9">
        <f t="shared" si="24"/>
        <v>206.30663497313003</v>
      </c>
      <c r="L240" s="10">
        <f t="shared" si="21"/>
        <v>0.20653078367307789</v>
      </c>
      <c r="M240" s="10">
        <f t="shared" si="20"/>
        <v>0.26736036006481473</v>
      </c>
      <c r="P240" s="8">
        <f t="shared" si="25"/>
        <v>-8.9218615095640601</v>
      </c>
    </row>
    <row r="241" spans="1:16" x14ac:dyDescent="0.2">
      <c r="A241" s="8">
        <v>119.5</v>
      </c>
      <c r="B241" s="8">
        <v>239</v>
      </c>
      <c r="D241">
        <v>1149.3594909861999</v>
      </c>
      <c r="E241">
        <v>326.57794273594999</v>
      </c>
      <c r="F241">
        <v>143.1843220339</v>
      </c>
      <c r="G241">
        <v>118.67796610169999</v>
      </c>
      <c r="I241" s="9">
        <f t="shared" si="22"/>
        <v>207.89997663424998</v>
      </c>
      <c r="J241" s="9">
        <f t="shared" si="23"/>
        <v>1006.1751689522999</v>
      </c>
      <c r="K241" s="9">
        <f t="shared" si="24"/>
        <v>207.89997663424998</v>
      </c>
      <c r="L241" s="10">
        <f t="shared" si="21"/>
        <v>0.20662403828821377</v>
      </c>
      <c r="M241" s="10">
        <f t="shared" si="20"/>
        <v>0.26770920113537805</v>
      </c>
      <c r="P241" s="8">
        <f t="shared" si="25"/>
        <v>-8.803026408772693</v>
      </c>
    </row>
    <row r="242" spans="1:16" x14ac:dyDescent="0.2">
      <c r="A242" s="8">
        <v>120</v>
      </c>
      <c r="B242" s="8">
        <v>240</v>
      </c>
      <c r="D242">
        <v>1151.6193001060001</v>
      </c>
      <c r="E242">
        <v>325.97242841994</v>
      </c>
      <c r="F242">
        <v>142.92372881355999</v>
      </c>
      <c r="G242">
        <v>118.62076271186</v>
      </c>
      <c r="I242" s="9">
        <f>E242-G242</f>
        <v>207.35166570808002</v>
      </c>
      <c r="J242" s="9">
        <f>D242-F242</f>
        <v>1008.69557129244</v>
      </c>
      <c r="K242" s="9">
        <f t="shared" si="24"/>
        <v>207.35166570808002</v>
      </c>
      <c r="L242" s="10">
        <f t="shared" si="21"/>
        <v>0.20556416783152984</v>
      </c>
      <c r="M242" s="10">
        <f>L242+ABS($N$2)*A242</f>
        <v>0.26690491713412162</v>
      </c>
      <c r="O242" s="11"/>
      <c r="P242" s="8">
        <f>(M242-$O$2)/$O$2*100</f>
        <v>-9.0770112643972016</v>
      </c>
    </row>
    <row r="243" spans="1:16" x14ac:dyDescent="0.2">
      <c r="A243" s="8">
        <v>120.5</v>
      </c>
      <c r="B243" s="8">
        <v>241</v>
      </c>
      <c r="D243">
        <v>1150.6712619299999</v>
      </c>
      <c r="E243">
        <v>325.90668080594003</v>
      </c>
      <c r="F243">
        <v>142.80508474576001</v>
      </c>
      <c r="G243">
        <v>118.89300847458</v>
      </c>
      <c r="I243" s="9">
        <f t="shared" ref="I243:I274" si="26">E243-G243</f>
        <v>207.01367233136003</v>
      </c>
      <c r="J243" s="9">
        <f t="shared" ref="J243:J274" si="27">D243-F243</f>
        <v>1007.8661771842399</v>
      </c>
      <c r="K243" s="9">
        <f t="shared" si="24"/>
        <v>207.01367233136003</v>
      </c>
      <c r="L243" s="10">
        <f t="shared" si="21"/>
        <v>0.20539797546308328</v>
      </c>
      <c r="M243" s="10">
        <f t="shared" ref="M243:M274" si="28">L243+ABS($N$2)*A243</f>
        <v>0.26699431122110251</v>
      </c>
      <c r="P243" s="8">
        <f t="shared" ref="P243:P274" si="29">(M243-$O$2)/$O$2*100</f>
        <v>-9.0465585561786099</v>
      </c>
    </row>
    <row r="244" spans="1:16" x14ac:dyDescent="0.2">
      <c r="A244" s="8">
        <v>121</v>
      </c>
      <c r="B244" s="8">
        <v>242</v>
      </c>
      <c r="D244">
        <v>1151.9713679746001</v>
      </c>
      <c r="E244">
        <v>324.92470837752001</v>
      </c>
      <c r="F244">
        <v>143.52966101695</v>
      </c>
      <c r="G244">
        <v>119.19279661017001</v>
      </c>
      <c r="I244" s="9">
        <f t="shared" si="26"/>
        <v>205.73191176735</v>
      </c>
      <c r="J244" s="9">
        <f t="shared" si="27"/>
        <v>1008.44170695765</v>
      </c>
      <c r="K244" s="9">
        <f t="shared" si="24"/>
        <v>205.73191176735</v>
      </c>
      <c r="L244" s="10">
        <f t="shared" si="21"/>
        <v>0.20400972148208643</v>
      </c>
      <c r="M244" s="10">
        <f t="shared" si="28"/>
        <v>0.26586164369553311</v>
      </c>
      <c r="N244" s="1"/>
      <c r="P244" s="8">
        <f t="shared" si="29"/>
        <v>-9.4324095092982887</v>
      </c>
    </row>
    <row r="245" spans="1:16" x14ac:dyDescent="0.2">
      <c r="A245" s="8">
        <v>121.5</v>
      </c>
      <c r="B245" s="8">
        <v>243</v>
      </c>
      <c r="D245">
        <v>1159.5896076352001</v>
      </c>
      <c r="E245">
        <v>326.21739130434997</v>
      </c>
      <c r="F245">
        <v>143.31038135592999</v>
      </c>
      <c r="G245">
        <v>118.99046610169999</v>
      </c>
      <c r="I245" s="9">
        <f t="shared" si="26"/>
        <v>207.22692520264997</v>
      </c>
      <c r="J245" s="9">
        <f t="shared" si="27"/>
        <v>1016.2792262792701</v>
      </c>
      <c r="K245" s="9">
        <f t="shared" si="24"/>
        <v>207.22692520264997</v>
      </c>
      <c r="L245" s="10">
        <f t="shared" si="21"/>
        <v>0.20390746936876253</v>
      </c>
      <c r="M245" s="10">
        <f t="shared" si="28"/>
        <v>0.26601497803763668</v>
      </c>
      <c r="P245" s="8">
        <f t="shared" si="29"/>
        <v>-9.3801751150819435</v>
      </c>
    </row>
    <row r="246" spans="1:16" x14ac:dyDescent="0.2">
      <c r="A246" s="8">
        <v>122</v>
      </c>
      <c r="B246" s="8">
        <v>244</v>
      </c>
      <c r="D246">
        <v>1164.6553552492001</v>
      </c>
      <c r="E246">
        <v>324.86320254507001</v>
      </c>
      <c r="F246">
        <v>143.21292372881001</v>
      </c>
      <c r="G246">
        <v>119.30614406780001</v>
      </c>
      <c r="I246" s="9">
        <f t="shared" si="26"/>
        <v>205.55705847727</v>
      </c>
      <c r="J246" s="9">
        <f t="shared" si="27"/>
        <v>1021.4424315203901</v>
      </c>
      <c r="K246" s="9">
        <f t="shared" si="24"/>
        <v>205.55705847727</v>
      </c>
      <c r="L246" s="10">
        <f t="shared" si="21"/>
        <v>0.20124194191864905</v>
      </c>
      <c r="M246" s="10">
        <f t="shared" si="28"/>
        <v>0.26360503704295069</v>
      </c>
      <c r="P246" s="8">
        <f t="shared" si="29"/>
        <v>-10.201138026766309</v>
      </c>
    </row>
    <row r="247" spans="1:16" x14ac:dyDescent="0.2">
      <c r="A247" s="8">
        <v>122.5</v>
      </c>
      <c r="B247" s="8">
        <v>245</v>
      </c>
      <c r="D247">
        <v>1161.9289501590999</v>
      </c>
      <c r="E247">
        <v>327.49734888653001</v>
      </c>
      <c r="F247">
        <v>143.61440677965999</v>
      </c>
      <c r="G247">
        <v>119.14724576271</v>
      </c>
      <c r="I247" s="9">
        <f t="shared" si="26"/>
        <v>208.35010312382002</v>
      </c>
      <c r="J247" s="9">
        <f t="shared" si="27"/>
        <v>1018.31454337944</v>
      </c>
      <c r="K247" s="9">
        <f t="shared" si="24"/>
        <v>208.35010312382002</v>
      </c>
      <c r="L247" s="10">
        <f t="shared" si="21"/>
        <v>0.20460289453627639</v>
      </c>
      <c r="M247" s="10">
        <f t="shared" si="28"/>
        <v>0.2672215761160055</v>
      </c>
      <c r="P247" s="8">
        <f t="shared" si="29"/>
        <v>-8.9691392126118572</v>
      </c>
    </row>
    <row r="248" spans="1:16" x14ac:dyDescent="0.2">
      <c r="A248" s="8">
        <v>123</v>
      </c>
      <c r="B248" s="8">
        <v>246</v>
      </c>
      <c r="D248">
        <v>1157.7433722163</v>
      </c>
      <c r="E248">
        <v>323.96606574761</v>
      </c>
      <c r="F248">
        <v>143.74258474576001</v>
      </c>
      <c r="G248">
        <v>119.13665254237</v>
      </c>
      <c r="I248" s="9">
        <f t="shared" si="26"/>
        <v>204.82941320524</v>
      </c>
      <c r="J248" s="9">
        <f t="shared" si="27"/>
        <v>1014.00078747054</v>
      </c>
      <c r="K248" s="9">
        <f t="shared" si="24"/>
        <v>204.82941320524</v>
      </c>
      <c r="L248" s="10">
        <f t="shared" si="21"/>
        <v>0.20200123681974061</v>
      </c>
      <c r="M248" s="10">
        <f t="shared" si="28"/>
        <v>0.26487550485489719</v>
      </c>
      <c r="P248" s="8">
        <f t="shared" si="29"/>
        <v>-9.7683444619459525</v>
      </c>
    </row>
    <row r="249" spans="1:16" x14ac:dyDescent="0.2">
      <c r="A249" s="8">
        <v>123.5</v>
      </c>
      <c r="B249" s="8">
        <v>247</v>
      </c>
      <c r="D249">
        <v>1161.3605514316</v>
      </c>
      <c r="E249">
        <v>323.37433722163001</v>
      </c>
      <c r="F249">
        <v>143.03283898305</v>
      </c>
      <c r="G249">
        <v>118.53919491524999</v>
      </c>
      <c r="I249" s="9">
        <f t="shared" si="26"/>
        <v>204.83514230638002</v>
      </c>
      <c r="J249" s="9">
        <f t="shared" si="27"/>
        <v>1018.3277124485501</v>
      </c>
      <c r="K249" s="9">
        <f t="shared" si="24"/>
        <v>204.83514230638002</v>
      </c>
      <c r="L249" s="10">
        <f t="shared" si="21"/>
        <v>0.20114854953113054</v>
      </c>
      <c r="M249" s="10">
        <f t="shared" si="28"/>
        <v>0.26427840402171454</v>
      </c>
      <c r="P249" s="8">
        <f t="shared" si="29"/>
        <v>-9.9717509518391463</v>
      </c>
    </row>
    <row r="250" spans="1:16" x14ac:dyDescent="0.2">
      <c r="A250" s="8">
        <v>124</v>
      </c>
      <c r="B250" s="8">
        <v>248</v>
      </c>
      <c r="D250">
        <v>1163.7677624601999</v>
      </c>
      <c r="E250">
        <v>325.40509013785999</v>
      </c>
      <c r="F250">
        <v>143.03601694915</v>
      </c>
      <c r="G250">
        <v>118.76694915253999</v>
      </c>
      <c r="I250" s="9">
        <f t="shared" si="26"/>
        <v>206.63814098531998</v>
      </c>
      <c r="J250" s="9">
        <f t="shared" si="27"/>
        <v>1020.7317455110499</v>
      </c>
      <c r="K250" s="9">
        <f t="shared" si="24"/>
        <v>206.63814098531998</v>
      </c>
      <c r="L250" s="10">
        <f t="shared" si="21"/>
        <v>0.20244118192078217</v>
      </c>
      <c r="M250" s="10">
        <f t="shared" si="28"/>
        <v>0.26582662286679365</v>
      </c>
      <c r="P250" s="8">
        <f t="shared" si="29"/>
        <v>-9.4443395945555384</v>
      </c>
    </row>
    <row r="251" spans="1:16" x14ac:dyDescent="0.2">
      <c r="A251" s="8">
        <v>124.5</v>
      </c>
      <c r="B251" s="8">
        <v>249</v>
      </c>
      <c r="D251">
        <v>1130.8875927890001</v>
      </c>
      <c r="E251">
        <v>323.08589607635002</v>
      </c>
      <c r="F251">
        <v>142.97563559322001</v>
      </c>
      <c r="G251">
        <v>119.06355932203</v>
      </c>
      <c r="I251" s="9">
        <f t="shared" si="26"/>
        <v>204.02233675432001</v>
      </c>
      <c r="J251" s="9">
        <f t="shared" si="27"/>
        <v>987.91195719578013</v>
      </c>
      <c r="K251" s="9">
        <f t="shared" si="24"/>
        <v>204.02233675432001</v>
      </c>
      <c r="L251" s="10">
        <f t="shared" si="21"/>
        <v>0.20651874417376623</v>
      </c>
      <c r="M251" s="10">
        <f t="shared" si="28"/>
        <v>0.27015977157520521</v>
      </c>
      <c r="P251" s="8">
        <f t="shared" si="29"/>
        <v>-7.9682227982260923</v>
      </c>
    </row>
    <row r="252" spans="1:16" x14ac:dyDescent="0.2">
      <c r="A252" s="8">
        <v>125</v>
      </c>
      <c r="B252" s="8">
        <v>250</v>
      </c>
      <c r="D252">
        <v>1125.8451749735</v>
      </c>
      <c r="E252">
        <v>321.82184517497001</v>
      </c>
      <c r="F252">
        <v>143.41949152542</v>
      </c>
      <c r="G252">
        <v>118.76377118644</v>
      </c>
      <c r="I252" s="9">
        <f t="shared" si="26"/>
        <v>203.05807398853</v>
      </c>
      <c r="J252" s="9">
        <f t="shared" si="27"/>
        <v>982.42568344808001</v>
      </c>
      <c r="K252" s="9">
        <f t="shared" si="24"/>
        <v>203.05807398853</v>
      </c>
      <c r="L252" s="10">
        <f t="shared" si="21"/>
        <v>0.20669051859052032</v>
      </c>
      <c r="M252" s="10">
        <f t="shared" si="28"/>
        <v>0.27058713244738675</v>
      </c>
      <c r="P252" s="8">
        <f t="shared" si="29"/>
        <v>-7.8226393890306989</v>
      </c>
    </row>
    <row r="253" spans="1:16" x14ac:dyDescent="0.2">
      <c r="A253" s="8">
        <v>125.5</v>
      </c>
      <c r="B253" s="8">
        <v>251</v>
      </c>
      <c r="D253">
        <v>1133.0159066808001</v>
      </c>
      <c r="E253">
        <v>322.58430540826998</v>
      </c>
      <c r="F253">
        <v>143.16737288136</v>
      </c>
      <c r="G253">
        <v>118.6218220339</v>
      </c>
      <c r="I253" s="9">
        <f t="shared" si="26"/>
        <v>203.96248337436998</v>
      </c>
      <c r="J253" s="9">
        <f t="shared" si="27"/>
        <v>989.84853379944002</v>
      </c>
      <c r="K253" s="9">
        <f t="shared" si="24"/>
        <v>203.96248337436998</v>
      </c>
      <c r="L253" s="10">
        <f t="shared" si="21"/>
        <v>0.20605423598646883</v>
      </c>
      <c r="M253" s="10">
        <f t="shared" si="28"/>
        <v>0.27020643629876273</v>
      </c>
      <c r="P253" s="8">
        <f t="shared" si="29"/>
        <v>-7.9523261404202765</v>
      </c>
    </row>
    <row r="254" spans="1:16" x14ac:dyDescent="0.2">
      <c r="A254" s="8">
        <v>126</v>
      </c>
      <c r="B254" s="8">
        <v>252</v>
      </c>
      <c r="D254">
        <v>1132.4019088017001</v>
      </c>
      <c r="E254">
        <v>321.63944856839998</v>
      </c>
      <c r="F254">
        <v>143.78495762712001</v>
      </c>
      <c r="G254">
        <v>118.62711864406999</v>
      </c>
      <c r="I254" s="9">
        <f t="shared" si="26"/>
        <v>203.01232992433</v>
      </c>
      <c r="J254" s="9">
        <f t="shared" si="27"/>
        <v>988.61695117458009</v>
      </c>
      <c r="K254" s="9">
        <f t="shared" si="24"/>
        <v>203.01232992433</v>
      </c>
      <c r="L254" s="10">
        <f t="shared" si="21"/>
        <v>0.20534983714686481</v>
      </c>
      <c r="M254" s="10">
        <f t="shared" si="28"/>
        <v>0.26975762391458613</v>
      </c>
      <c r="P254" s="8">
        <f t="shared" si="29"/>
        <v>-8.1052171541530154</v>
      </c>
    </row>
    <row r="255" spans="1:16" x14ac:dyDescent="0.2">
      <c r="A255" s="8">
        <v>126.5</v>
      </c>
      <c r="B255" s="8">
        <v>253</v>
      </c>
      <c r="D255">
        <v>1137.0286320255</v>
      </c>
      <c r="E255">
        <v>321.53552492046998</v>
      </c>
      <c r="F255">
        <v>143.40889830508999</v>
      </c>
      <c r="G255">
        <v>118.82627118644</v>
      </c>
      <c r="I255" s="9">
        <f t="shared" si="26"/>
        <v>202.70925373402997</v>
      </c>
      <c r="J255" s="9">
        <f t="shared" si="27"/>
        <v>993.61973372040995</v>
      </c>
      <c r="K255" s="9">
        <f t="shared" si="24"/>
        <v>202.70925373402997</v>
      </c>
      <c r="L255" s="10">
        <f t="shared" si="21"/>
        <v>0.20401089758455762</v>
      </c>
      <c r="M255" s="10">
        <f t="shared" si="28"/>
        <v>0.26867427080770645</v>
      </c>
      <c r="P255" s="8">
        <f t="shared" si="29"/>
        <v>-8.4742688126655619</v>
      </c>
    </row>
    <row r="256" spans="1:16" x14ac:dyDescent="0.2">
      <c r="A256" s="8">
        <v>127</v>
      </c>
      <c r="B256" s="8">
        <v>254</v>
      </c>
      <c r="D256">
        <v>1141.2714740191</v>
      </c>
      <c r="E256">
        <v>320.35524920466997</v>
      </c>
      <c r="F256">
        <v>143.04661016949001</v>
      </c>
      <c r="G256">
        <v>118.81991525424</v>
      </c>
      <c r="I256" s="9">
        <f t="shared" si="26"/>
        <v>201.53533395042996</v>
      </c>
      <c r="J256" s="9">
        <f t="shared" si="27"/>
        <v>998.22486384960996</v>
      </c>
      <c r="K256" s="9">
        <f t="shared" si="24"/>
        <v>201.53533395042996</v>
      </c>
      <c r="L256" s="10">
        <f t="shared" si="21"/>
        <v>0.20189372279630249</v>
      </c>
      <c r="M256" s="10">
        <f t="shared" si="28"/>
        <v>0.26681268247487877</v>
      </c>
      <c r="P256" s="8">
        <f t="shared" si="29"/>
        <v>-9.108431633019169</v>
      </c>
    </row>
    <row r="257" spans="1:16" x14ac:dyDescent="0.2">
      <c r="A257" s="8">
        <v>127.5</v>
      </c>
      <c r="B257" s="8">
        <v>255</v>
      </c>
      <c r="D257">
        <v>1137.8748674443</v>
      </c>
      <c r="E257">
        <v>322.03393425239</v>
      </c>
      <c r="F257">
        <v>143.24470338982999</v>
      </c>
      <c r="G257">
        <v>118.6281779661</v>
      </c>
      <c r="I257" s="9">
        <f t="shared" si="26"/>
        <v>203.40575628629</v>
      </c>
      <c r="J257" s="9">
        <f t="shared" si="27"/>
        <v>994.63016405447001</v>
      </c>
      <c r="K257" s="9">
        <f t="shared" si="24"/>
        <v>203.40575628629</v>
      </c>
      <c r="L257" s="10">
        <f t="shared" si="21"/>
        <v>0.20450390872637025</v>
      </c>
      <c r="M257" s="10">
        <f t="shared" si="28"/>
        <v>0.26967845486037401</v>
      </c>
      <c r="P257" s="8">
        <f t="shared" si="29"/>
        <v>-8.1321866349015455</v>
      </c>
    </row>
    <row r="258" spans="1:16" x14ac:dyDescent="0.2">
      <c r="A258" s="8">
        <v>128</v>
      </c>
      <c r="B258" s="8">
        <v>256</v>
      </c>
      <c r="D258">
        <v>1147.4718981972001</v>
      </c>
      <c r="E258">
        <v>322.07953340402997</v>
      </c>
      <c r="F258">
        <v>142.97775423728999</v>
      </c>
      <c r="G258">
        <v>118.71927966102</v>
      </c>
      <c r="I258" s="9">
        <f t="shared" si="26"/>
        <v>203.36025374300999</v>
      </c>
      <c r="J258" s="9">
        <f t="shared" si="27"/>
        <v>1004.49414395991</v>
      </c>
      <c r="K258" s="9">
        <f t="shared" si="24"/>
        <v>203.36025374300999</v>
      </c>
      <c r="L258" s="10">
        <f t="shared" ref="L258:L321" si="30">K258/J258</f>
        <v>0.20245041244474016</v>
      </c>
      <c r="M258" s="10">
        <f t="shared" si="28"/>
        <v>0.26788054503417136</v>
      </c>
      <c r="P258" s="8">
        <f t="shared" si="29"/>
        <v>-8.7446569356765131</v>
      </c>
    </row>
    <row r="259" spans="1:16" x14ac:dyDescent="0.2">
      <c r="A259" s="8">
        <v>128.5</v>
      </c>
      <c r="B259" s="8">
        <v>257</v>
      </c>
      <c r="D259">
        <v>1161.1813361612001</v>
      </c>
      <c r="E259">
        <v>322.88441145281001</v>
      </c>
      <c r="F259">
        <v>143.3125</v>
      </c>
      <c r="G259">
        <v>118.53495762711999</v>
      </c>
      <c r="I259" s="9">
        <f t="shared" si="26"/>
        <v>204.34945382569003</v>
      </c>
      <c r="J259" s="9">
        <f t="shared" si="27"/>
        <v>1017.8688361612001</v>
      </c>
      <c r="K259" s="9">
        <f t="shared" ref="K259:K321" si="31">I259*1</f>
        <v>204.34945382569003</v>
      </c>
      <c r="L259" s="10">
        <f t="shared" si="30"/>
        <v>0.20076206930194998</v>
      </c>
      <c r="M259" s="10">
        <f t="shared" si="28"/>
        <v>0.26644778834680866</v>
      </c>
      <c r="P259" s="8">
        <f t="shared" si="29"/>
        <v>-9.2327353178386389</v>
      </c>
    </row>
    <row r="260" spans="1:16" x14ac:dyDescent="0.2">
      <c r="A260" s="8">
        <v>129</v>
      </c>
      <c r="B260" s="8">
        <v>258</v>
      </c>
      <c r="D260">
        <v>1156.7486744432999</v>
      </c>
      <c r="E260">
        <v>321.73064687169</v>
      </c>
      <c r="F260">
        <v>143.14724576271001</v>
      </c>
      <c r="G260">
        <v>118.50741525424</v>
      </c>
      <c r="I260" s="9">
        <f t="shared" si="26"/>
        <v>203.22323161744998</v>
      </c>
      <c r="J260" s="9">
        <f t="shared" si="27"/>
        <v>1013.6014286805899</v>
      </c>
      <c r="K260" s="9">
        <f t="shared" si="31"/>
        <v>203.22323161744998</v>
      </c>
      <c r="L260" s="10">
        <f t="shared" si="30"/>
        <v>0.20049619689465778</v>
      </c>
      <c r="M260" s="10">
        <f t="shared" si="28"/>
        <v>0.2664375023949439</v>
      </c>
      <c r="P260" s="8">
        <f t="shared" si="29"/>
        <v>-9.2362392978161374</v>
      </c>
    </row>
    <row r="261" spans="1:16" x14ac:dyDescent="0.2">
      <c r="A261" s="8">
        <v>129.5</v>
      </c>
      <c r="B261" s="8">
        <v>259</v>
      </c>
      <c r="D261">
        <v>1160.3902439024</v>
      </c>
      <c r="E261">
        <v>323.08377518558001</v>
      </c>
      <c r="F261">
        <v>143.34004237287999</v>
      </c>
      <c r="G261">
        <v>118.73411016948999</v>
      </c>
      <c r="I261" s="9">
        <f t="shared" si="26"/>
        <v>204.34966501609</v>
      </c>
      <c r="J261" s="9">
        <f t="shared" si="27"/>
        <v>1017.05020152952</v>
      </c>
      <c r="K261" s="9">
        <f t="shared" si="31"/>
        <v>204.34966501609</v>
      </c>
      <c r="L261" s="10">
        <f t="shared" si="30"/>
        <v>0.20092387249790908</v>
      </c>
      <c r="M261" s="10">
        <f t="shared" si="28"/>
        <v>0.26712076445362271</v>
      </c>
      <c r="P261" s="8">
        <f t="shared" si="29"/>
        <v>-9.003481396119259</v>
      </c>
    </row>
    <row r="262" spans="1:16" x14ac:dyDescent="0.2">
      <c r="A262" s="8">
        <v>130</v>
      </c>
      <c r="B262" s="8">
        <v>260</v>
      </c>
      <c r="D262">
        <v>1160.9544008483999</v>
      </c>
      <c r="E262">
        <v>322.19618239661003</v>
      </c>
      <c r="F262">
        <v>143.16737288136</v>
      </c>
      <c r="G262">
        <v>118.75105932203</v>
      </c>
      <c r="I262" s="9">
        <f t="shared" si="26"/>
        <v>203.44512307458001</v>
      </c>
      <c r="J262" s="9">
        <f t="shared" si="27"/>
        <v>1017.7870279670399</v>
      </c>
      <c r="K262" s="9">
        <f t="shared" si="31"/>
        <v>203.44512307458001</v>
      </c>
      <c r="L262" s="10">
        <f t="shared" si="30"/>
        <v>0.19988967975053459</v>
      </c>
      <c r="M262" s="10">
        <f t="shared" si="28"/>
        <v>0.26634215816167567</v>
      </c>
      <c r="P262" s="8">
        <f t="shared" si="29"/>
        <v>-9.2687189641352727</v>
      </c>
    </row>
    <row r="263" spans="1:16" x14ac:dyDescent="0.2">
      <c r="A263" s="8">
        <v>130.5</v>
      </c>
      <c r="B263" s="8">
        <v>261</v>
      </c>
      <c r="D263">
        <v>1159.3785790032</v>
      </c>
      <c r="E263">
        <v>325.13785790032</v>
      </c>
      <c r="F263">
        <v>143.03283898305</v>
      </c>
      <c r="G263">
        <v>118.5656779661</v>
      </c>
      <c r="I263" s="9">
        <f t="shared" si="26"/>
        <v>206.57217993422</v>
      </c>
      <c r="J263" s="9">
        <f t="shared" si="27"/>
        <v>1016.3457400201501</v>
      </c>
      <c r="K263" s="9">
        <f t="shared" si="31"/>
        <v>206.57217993422</v>
      </c>
      <c r="L263" s="10">
        <f t="shared" si="30"/>
        <v>0.20324990975032228</v>
      </c>
      <c r="M263" s="10">
        <f t="shared" si="28"/>
        <v>0.26995797461689081</v>
      </c>
      <c r="P263" s="8">
        <f t="shared" si="29"/>
        <v>-8.0369663146989616</v>
      </c>
    </row>
    <row r="264" spans="1:16" x14ac:dyDescent="0.2">
      <c r="A264" s="8">
        <v>131</v>
      </c>
      <c r="B264" s="8">
        <v>262</v>
      </c>
      <c r="D264">
        <v>1138.3269024652</v>
      </c>
      <c r="E264">
        <v>317.02036441586</v>
      </c>
      <c r="F264">
        <v>142.76271186440999</v>
      </c>
      <c r="G264">
        <v>119.04131355932</v>
      </c>
      <c r="I264" s="9">
        <f t="shared" si="26"/>
        <v>197.97905085654</v>
      </c>
      <c r="J264" s="9">
        <f t="shared" si="27"/>
        <v>995.56419060078997</v>
      </c>
      <c r="K264" s="9">
        <f t="shared" si="31"/>
        <v>197.97905085654</v>
      </c>
      <c r="L264" s="10">
        <f t="shared" si="30"/>
        <v>0.19886116106392518</v>
      </c>
      <c r="M264" s="10">
        <f t="shared" si="28"/>
        <v>0.26582481238592121</v>
      </c>
      <c r="P264" s="8">
        <f t="shared" si="29"/>
        <v>-9.444956347269347</v>
      </c>
    </row>
    <row r="265" spans="1:16" x14ac:dyDescent="0.2">
      <c r="A265" s="8">
        <v>131.5</v>
      </c>
      <c r="B265" s="8">
        <v>263</v>
      </c>
      <c r="D265">
        <v>1150.4794086589</v>
      </c>
      <c r="E265">
        <v>318.04540654699002</v>
      </c>
      <c r="F265">
        <v>143.29343220339001</v>
      </c>
      <c r="G265">
        <v>118.60063559322001</v>
      </c>
      <c r="I265" s="9">
        <f t="shared" si="26"/>
        <v>199.44477095377002</v>
      </c>
      <c r="J265" s="9">
        <f t="shared" si="27"/>
        <v>1007.1859764555099</v>
      </c>
      <c r="K265" s="9">
        <f t="shared" si="31"/>
        <v>199.44477095377002</v>
      </c>
      <c r="L265" s="10">
        <f t="shared" si="30"/>
        <v>0.19802179102578085</v>
      </c>
      <c r="M265" s="10">
        <f t="shared" si="28"/>
        <v>0.26524102880320433</v>
      </c>
      <c r="P265" s="8">
        <f t="shared" si="29"/>
        <v>-9.6438262245474942</v>
      </c>
    </row>
    <row r="266" spans="1:16" x14ac:dyDescent="0.2">
      <c r="A266" s="8">
        <v>132</v>
      </c>
      <c r="B266" s="8">
        <v>264</v>
      </c>
      <c r="D266">
        <v>1124.3537486800001</v>
      </c>
      <c r="E266">
        <v>314.77824709609001</v>
      </c>
      <c r="F266">
        <v>142.39194915254001</v>
      </c>
      <c r="G266">
        <v>118.84110169492</v>
      </c>
      <c r="I266" s="9">
        <f t="shared" si="26"/>
        <v>195.93714540117003</v>
      </c>
      <c r="J266" s="9">
        <f t="shared" si="27"/>
        <v>981.96179952746002</v>
      </c>
      <c r="K266" s="9">
        <f t="shared" si="31"/>
        <v>195.93714540117003</v>
      </c>
      <c r="L266" s="10">
        <f t="shared" si="30"/>
        <v>0.1995364234081804</v>
      </c>
      <c r="M266" s="10">
        <f t="shared" si="28"/>
        <v>0.26701124764103135</v>
      </c>
      <c r="P266" s="8">
        <f t="shared" si="29"/>
        <v>-9.0407890486890299</v>
      </c>
    </row>
    <row r="267" spans="1:16" x14ac:dyDescent="0.2">
      <c r="A267" s="8">
        <v>132.5</v>
      </c>
      <c r="B267" s="8">
        <v>265</v>
      </c>
      <c r="D267">
        <v>1108.5733896515001</v>
      </c>
      <c r="E267">
        <v>312.81731784583002</v>
      </c>
      <c r="F267">
        <v>142.85487288136</v>
      </c>
      <c r="G267">
        <v>118.25211864406999</v>
      </c>
      <c r="I267" s="9">
        <f t="shared" si="26"/>
        <v>194.56519920176004</v>
      </c>
      <c r="J267" s="9">
        <f t="shared" si="27"/>
        <v>965.71851677014001</v>
      </c>
      <c r="K267" s="9">
        <f t="shared" si="31"/>
        <v>194.56519920176004</v>
      </c>
      <c r="L267" s="10">
        <f t="shared" si="30"/>
        <v>0.20147195670689452</v>
      </c>
      <c r="M267" s="10">
        <f t="shared" si="28"/>
        <v>0.26920236739517295</v>
      </c>
      <c r="P267" s="8">
        <f t="shared" si="29"/>
        <v>-8.2943690918619968</v>
      </c>
    </row>
    <row r="268" spans="1:16" x14ac:dyDescent="0.2">
      <c r="A268" s="8">
        <v>133</v>
      </c>
      <c r="B268" s="8">
        <v>266</v>
      </c>
      <c r="D268">
        <v>1128.0232312566</v>
      </c>
      <c r="E268">
        <v>315.06969376979998</v>
      </c>
      <c r="F268">
        <v>142.52436440677999</v>
      </c>
      <c r="G268">
        <v>118.44173728814</v>
      </c>
      <c r="I268" s="9">
        <f t="shared" si="26"/>
        <v>196.62795648165996</v>
      </c>
      <c r="J268" s="9">
        <f t="shared" si="27"/>
        <v>985.49886684981993</v>
      </c>
      <c r="K268" s="9">
        <f t="shared" si="31"/>
        <v>196.62795648165996</v>
      </c>
      <c r="L268" s="10">
        <f t="shared" si="30"/>
        <v>0.19952124055727005</v>
      </c>
      <c r="M268" s="10">
        <f t="shared" si="28"/>
        <v>0.26750723770097595</v>
      </c>
      <c r="P268" s="8">
        <f t="shared" si="29"/>
        <v>-8.8718266364654568</v>
      </c>
    </row>
    <row r="269" spans="1:16" x14ac:dyDescent="0.2">
      <c r="A269" s="8">
        <v>133.5</v>
      </c>
      <c r="B269" s="8">
        <v>267</v>
      </c>
      <c r="D269">
        <v>1107.3569165787001</v>
      </c>
      <c r="E269">
        <v>312.75395987328</v>
      </c>
      <c r="F269">
        <v>142.58792372881001</v>
      </c>
      <c r="G269">
        <v>118.49788135593001</v>
      </c>
      <c r="I269" s="9">
        <f t="shared" si="26"/>
        <v>194.25607851734998</v>
      </c>
      <c r="J269" s="9">
        <f t="shared" si="27"/>
        <v>964.76899284989008</v>
      </c>
      <c r="K269" s="9">
        <f t="shared" si="31"/>
        <v>194.25607851734998</v>
      </c>
      <c r="L269" s="10">
        <f t="shared" si="30"/>
        <v>0.20134983603020354</v>
      </c>
      <c r="M269" s="10">
        <f t="shared" si="28"/>
        <v>0.26959141962933686</v>
      </c>
      <c r="P269" s="8">
        <f t="shared" si="29"/>
        <v>-8.1618357826810701</v>
      </c>
    </row>
    <row r="270" spans="1:16" x14ac:dyDescent="0.2">
      <c r="A270" s="8">
        <v>134</v>
      </c>
      <c r="B270" s="8">
        <v>268</v>
      </c>
      <c r="D270">
        <v>1096.0052798311001</v>
      </c>
      <c r="E270">
        <v>311.57972544878999</v>
      </c>
      <c r="F270">
        <v>142.8125</v>
      </c>
      <c r="G270">
        <v>118.06779661017001</v>
      </c>
      <c r="I270" s="9">
        <f t="shared" si="26"/>
        <v>193.51192883861998</v>
      </c>
      <c r="J270" s="9">
        <f t="shared" si="27"/>
        <v>953.1927798311001</v>
      </c>
      <c r="K270" s="9">
        <f t="shared" si="31"/>
        <v>193.51192883861998</v>
      </c>
      <c r="L270" s="10">
        <f t="shared" si="30"/>
        <v>0.20301447192341207</v>
      </c>
      <c r="M270" s="10">
        <f t="shared" si="28"/>
        <v>0.27151164197797284</v>
      </c>
      <c r="P270" s="8">
        <f t="shared" si="29"/>
        <v>-7.5076988831081479</v>
      </c>
    </row>
    <row r="271" spans="1:16" x14ac:dyDescent="0.2">
      <c r="A271" s="8">
        <v>134.5</v>
      </c>
      <c r="B271" s="8">
        <v>269</v>
      </c>
      <c r="D271">
        <v>1081.2206969377</v>
      </c>
      <c r="E271">
        <v>309.37697993664</v>
      </c>
      <c r="F271">
        <v>143.16207627118999</v>
      </c>
      <c r="G271">
        <v>118.97033898305</v>
      </c>
      <c r="I271" s="9">
        <f t="shared" si="26"/>
        <v>190.40664095359</v>
      </c>
      <c r="J271" s="9">
        <f t="shared" si="27"/>
        <v>938.05862066651002</v>
      </c>
      <c r="K271" s="9">
        <f t="shared" si="31"/>
        <v>190.40664095359</v>
      </c>
      <c r="L271" s="10">
        <f t="shared" si="30"/>
        <v>0.20297946925566565</v>
      </c>
      <c r="M271" s="10">
        <f t="shared" si="28"/>
        <v>0.27173222576565392</v>
      </c>
      <c r="P271" s="8">
        <f t="shared" si="29"/>
        <v>-7.4325555044925133</v>
      </c>
    </row>
    <row r="272" spans="1:16" x14ac:dyDescent="0.2">
      <c r="A272" s="8">
        <v>135</v>
      </c>
      <c r="B272" s="8">
        <v>270</v>
      </c>
      <c r="D272">
        <v>1079.4128827878001</v>
      </c>
      <c r="E272">
        <v>311.75501583949</v>
      </c>
      <c r="F272">
        <v>142.91843220339001</v>
      </c>
      <c r="G272">
        <v>119.17266949153</v>
      </c>
      <c r="I272" s="9">
        <f t="shared" si="26"/>
        <v>192.58234634796</v>
      </c>
      <c r="J272" s="9">
        <f t="shared" si="27"/>
        <v>936.49445058441006</v>
      </c>
      <c r="K272" s="9">
        <f t="shared" si="31"/>
        <v>192.58234634796</v>
      </c>
      <c r="L272" s="10">
        <f t="shared" si="30"/>
        <v>0.20564173789581017</v>
      </c>
      <c r="M272" s="10">
        <f t="shared" si="28"/>
        <v>0.27465008086122589</v>
      </c>
      <c r="P272" s="8">
        <f t="shared" si="29"/>
        <v>-6.4385681743396734</v>
      </c>
    </row>
    <row r="273" spans="1:16" x14ac:dyDescent="0.2">
      <c r="A273" s="8">
        <v>135.5</v>
      </c>
      <c r="B273" s="8">
        <v>271</v>
      </c>
      <c r="D273">
        <v>1076.7814149947001</v>
      </c>
      <c r="E273">
        <v>312.37170010559998</v>
      </c>
      <c r="F273">
        <v>143.5031779661</v>
      </c>
      <c r="G273">
        <v>118.53707627119</v>
      </c>
      <c r="I273" s="9">
        <f t="shared" si="26"/>
        <v>193.83462383440997</v>
      </c>
      <c r="J273" s="9">
        <f t="shared" si="27"/>
        <v>933.27823702860007</v>
      </c>
      <c r="K273" s="9">
        <f t="shared" si="31"/>
        <v>193.83462383440997</v>
      </c>
      <c r="L273" s="10">
        <f t="shared" si="30"/>
        <v>0.20769221454423559</v>
      </c>
      <c r="M273" s="10">
        <f t="shared" si="28"/>
        <v>0.27695614396507878</v>
      </c>
      <c r="P273" s="8">
        <f t="shared" si="29"/>
        <v>-5.6529919778927438</v>
      </c>
    </row>
    <row r="274" spans="1:16" x14ac:dyDescent="0.2">
      <c r="A274" s="8">
        <v>136</v>
      </c>
      <c r="B274" s="8">
        <v>272</v>
      </c>
      <c r="D274">
        <v>1108.1417910447999</v>
      </c>
      <c r="E274">
        <v>316.95095948826997</v>
      </c>
      <c r="F274">
        <v>142.81885593219999</v>
      </c>
      <c r="G274">
        <v>118.78072033898</v>
      </c>
      <c r="I274" s="9">
        <f t="shared" si="26"/>
        <v>198.17023914928996</v>
      </c>
      <c r="J274" s="9">
        <f t="shared" si="27"/>
        <v>965.32293511259991</v>
      </c>
      <c r="K274" s="9">
        <f t="shared" si="31"/>
        <v>198.17023914928996</v>
      </c>
      <c r="L274" s="10">
        <f t="shared" si="30"/>
        <v>0.20528906124681937</v>
      </c>
      <c r="M274" s="10">
        <f t="shared" si="28"/>
        <v>0.27480857712309004</v>
      </c>
      <c r="P274" s="8">
        <f t="shared" si="29"/>
        <v>-6.3845753367897089</v>
      </c>
    </row>
    <row r="275" spans="1:16" x14ac:dyDescent="0.2">
      <c r="A275" s="8">
        <v>136.5</v>
      </c>
      <c r="B275" s="8">
        <v>273</v>
      </c>
      <c r="D275">
        <v>1104.2409381663001</v>
      </c>
      <c r="E275">
        <v>318.68763326226002</v>
      </c>
      <c r="F275">
        <v>142.90042372881001</v>
      </c>
      <c r="G275">
        <v>118.34533898305</v>
      </c>
      <c r="I275" s="9">
        <f>E275-G275</f>
        <v>200.34229427921002</v>
      </c>
      <c r="J275" s="9">
        <f>D275-F275</f>
        <v>961.34051443749013</v>
      </c>
      <c r="K275" s="9">
        <f t="shared" si="31"/>
        <v>200.34229427921002</v>
      </c>
      <c r="L275" s="10">
        <f t="shared" si="30"/>
        <v>0.20839888808435006</v>
      </c>
      <c r="M275" s="10">
        <f>L275+ABS($N$2)*A275</f>
        <v>0.27817399041604818</v>
      </c>
      <c r="O275" s="11"/>
      <c r="P275" s="8">
        <f>(M275-$O$2)/$O$2*100</f>
        <v>-5.2381242402274184</v>
      </c>
    </row>
    <row r="276" spans="1:16" x14ac:dyDescent="0.2">
      <c r="A276" s="8">
        <v>137</v>
      </c>
      <c r="B276" s="8">
        <v>274</v>
      </c>
      <c r="D276">
        <v>1101.7164179105</v>
      </c>
      <c r="E276">
        <v>318.01385927504998</v>
      </c>
      <c r="F276">
        <v>142.95127118644001</v>
      </c>
      <c r="G276">
        <v>118.61334745763</v>
      </c>
      <c r="I276" s="9">
        <f t="shared" ref="I276:I291" si="32">E276-G276</f>
        <v>199.40051181741998</v>
      </c>
      <c r="J276" s="9">
        <f t="shared" ref="J276:J291" si="33">D276-F276</f>
        <v>958.76514672406006</v>
      </c>
      <c r="K276" s="9">
        <f t="shared" si="31"/>
        <v>199.40051181741998</v>
      </c>
      <c r="L276" s="10">
        <f t="shared" si="30"/>
        <v>0.20797638764689991</v>
      </c>
      <c r="M276" s="10">
        <f t="shared" ref="M276:M291" si="34">L276+ABS($N$2)*A276</f>
        <v>0.2780070764340255</v>
      </c>
      <c r="P276" s="8">
        <f t="shared" ref="P276:P291" si="35">(M276-$O$2)/$O$2*100</f>
        <v>-5.294984631823862</v>
      </c>
    </row>
    <row r="277" spans="1:16" x14ac:dyDescent="0.2">
      <c r="A277" s="8">
        <v>137.5</v>
      </c>
      <c r="B277" s="8">
        <v>275</v>
      </c>
      <c r="D277">
        <v>1095.0565031983001</v>
      </c>
      <c r="E277">
        <v>314.96481876333002</v>
      </c>
      <c r="F277">
        <v>143.24258474576001</v>
      </c>
      <c r="G277">
        <v>118.32627118644</v>
      </c>
      <c r="I277" s="9">
        <f t="shared" si="32"/>
        <v>196.63854757689001</v>
      </c>
      <c r="J277" s="9">
        <f t="shared" si="33"/>
        <v>951.81391845254007</v>
      </c>
      <c r="K277" s="9">
        <f t="shared" si="31"/>
        <v>196.63854757689001</v>
      </c>
      <c r="L277" s="10">
        <f t="shared" si="30"/>
        <v>0.20659347774256667</v>
      </c>
      <c r="M277" s="10">
        <f t="shared" si="34"/>
        <v>0.27687975298511974</v>
      </c>
      <c r="N277" s="1"/>
      <c r="P277" s="8">
        <f t="shared" si="35"/>
        <v>-5.6790150886128332</v>
      </c>
    </row>
    <row r="278" spans="1:16" x14ac:dyDescent="0.2">
      <c r="A278" s="8">
        <v>138</v>
      </c>
      <c r="B278" s="8">
        <v>276</v>
      </c>
      <c r="D278">
        <v>1101.9840085287999</v>
      </c>
      <c r="E278">
        <v>317.64285714286001</v>
      </c>
      <c r="F278">
        <v>142.77224576271001</v>
      </c>
      <c r="G278">
        <v>118.3125</v>
      </c>
      <c r="I278" s="9">
        <f t="shared" si="32"/>
        <v>199.33035714286001</v>
      </c>
      <c r="J278" s="9">
        <f t="shared" si="33"/>
        <v>959.21176276608992</v>
      </c>
      <c r="K278" s="9">
        <f t="shared" si="31"/>
        <v>199.33035714286001</v>
      </c>
      <c r="L278" s="10">
        <f t="shared" si="30"/>
        <v>0.20780641447520282</v>
      </c>
      <c r="M278" s="10">
        <f t="shared" si="34"/>
        <v>0.27834827617318336</v>
      </c>
      <c r="P278" s="8">
        <f t="shared" si="35"/>
        <v>-5.1787526029307722</v>
      </c>
    </row>
    <row r="279" spans="1:16" x14ac:dyDescent="0.2">
      <c r="A279" s="8">
        <v>138.5</v>
      </c>
      <c r="B279" s="8">
        <v>277</v>
      </c>
      <c r="D279">
        <v>1100.2409381663001</v>
      </c>
      <c r="E279">
        <v>315.30170575693001</v>
      </c>
      <c r="F279">
        <v>142.61334745763</v>
      </c>
      <c r="G279">
        <v>118.77648305085</v>
      </c>
      <c r="I279" s="9">
        <f t="shared" si="32"/>
        <v>196.52522270608</v>
      </c>
      <c r="J279" s="9">
        <f t="shared" si="33"/>
        <v>957.62759070867014</v>
      </c>
      <c r="K279" s="9">
        <f t="shared" si="31"/>
        <v>196.52522270608</v>
      </c>
      <c r="L279" s="10">
        <f t="shared" si="30"/>
        <v>0.20522092785635598</v>
      </c>
      <c r="M279" s="10">
        <f t="shared" si="34"/>
        <v>0.27601837600976398</v>
      </c>
      <c r="P279" s="8">
        <f t="shared" si="35"/>
        <v>-5.9724490570399631</v>
      </c>
    </row>
    <row r="280" spans="1:16" x14ac:dyDescent="0.2">
      <c r="A280" s="8">
        <v>139</v>
      </c>
      <c r="B280" s="8">
        <v>278</v>
      </c>
      <c r="D280">
        <v>1108.2675906182999</v>
      </c>
      <c r="E280">
        <v>316.23560767590999</v>
      </c>
      <c r="F280">
        <v>142.18855932202999</v>
      </c>
      <c r="G280">
        <v>117.95974576271</v>
      </c>
      <c r="I280" s="9">
        <f t="shared" si="32"/>
        <v>198.2758619132</v>
      </c>
      <c r="J280" s="9">
        <f t="shared" si="33"/>
        <v>966.07903129626993</v>
      </c>
      <c r="K280" s="9">
        <f t="shared" si="31"/>
        <v>198.2758619132</v>
      </c>
      <c r="L280" s="10">
        <f t="shared" si="30"/>
        <v>0.20523772433726931</v>
      </c>
      <c r="M280" s="10">
        <f t="shared" si="34"/>
        <v>0.27629075894610478</v>
      </c>
      <c r="P280" s="8">
        <f t="shared" si="35"/>
        <v>-5.8796599435286545</v>
      </c>
    </row>
    <row r="281" spans="1:16" x14ac:dyDescent="0.2">
      <c r="A281" s="8">
        <v>139.5</v>
      </c>
      <c r="B281" s="8">
        <v>279</v>
      </c>
      <c r="D281">
        <v>1114.6162046908</v>
      </c>
      <c r="E281">
        <v>317.09701492536999</v>
      </c>
      <c r="F281">
        <v>143.09322033897999</v>
      </c>
      <c r="G281">
        <v>118.32733050848</v>
      </c>
      <c r="I281" s="9">
        <f t="shared" si="32"/>
        <v>198.76968441688999</v>
      </c>
      <c r="J281" s="9">
        <f t="shared" si="33"/>
        <v>971.52298435182001</v>
      </c>
      <c r="K281" s="9">
        <f t="shared" si="31"/>
        <v>198.76968441688999</v>
      </c>
      <c r="L281" s="10">
        <f t="shared" si="30"/>
        <v>0.20459596696984478</v>
      </c>
      <c r="M281" s="10">
        <f t="shared" si="34"/>
        <v>0.27590458803410772</v>
      </c>
      <c r="P281" s="8">
        <f t="shared" si="35"/>
        <v>-6.0112117105719021</v>
      </c>
    </row>
    <row r="282" spans="1:16" x14ac:dyDescent="0.2">
      <c r="A282" s="8">
        <v>140</v>
      </c>
      <c r="B282" s="8">
        <v>280</v>
      </c>
      <c r="D282">
        <v>1120.8582089552001</v>
      </c>
      <c r="E282">
        <v>318.58315565032001</v>
      </c>
      <c r="F282">
        <v>142.79237288136</v>
      </c>
      <c r="G282">
        <v>118.49576271186</v>
      </c>
      <c r="I282" s="9">
        <f t="shared" si="32"/>
        <v>200.08739293846003</v>
      </c>
      <c r="J282" s="9">
        <f t="shared" si="33"/>
        <v>978.06583607384005</v>
      </c>
      <c r="K282" s="9">
        <f t="shared" si="31"/>
        <v>200.08739293846003</v>
      </c>
      <c r="L282" s="10">
        <f t="shared" si="30"/>
        <v>0.2045745649818958</v>
      </c>
      <c r="M282" s="10">
        <f t="shared" si="34"/>
        <v>0.27613877250158619</v>
      </c>
      <c r="P282" s="8">
        <f t="shared" si="35"/>
        <v>-5.931435167197475</v>
      </c>
    </row>
    <row r="283" spans="1:16" x14ac:dyDescent="0.2">
      <c r="A283" s="8">
        <v>140.5</v>
      </c>
      <c r="B283" s="8">
        <v>281</v>
      </c>
      <c r="D283">
        <v>1063.8722044727999</v>
      </c>
      <c r="E283">
        <v>306.14164004259999</v>
      </c>
      <c r="F283">
        <v>142.88983050848</v>
      </c>
      <c r="G283">
        <v>118.30190677966</v>
      </c>
      <c r="I283" s="9">
        <f t="shared" si="32"/>
        <v>187.83973326294</v>
      </c>
      <c r="J283" s="9">
        <f t="shared" si="33"/>
        <v>920.98237396431989</v>
      </c>
      <c r="K283" s="9">
        <f t="shared" si="31"/>
        <v>187.83973326294</v>
      </c>
      <c r="L283" s="10">
        <f t="shared" si="30"/>
        <v>0.20395583951774648</v>
      </c>
      <c r="M283" s="10">
        <f t="shared" si="34"/>
        <v>0.27577563349286432</v>
      </c>
      <c r="P283" s="8">
        <f t="shared" si="35"/>
        <v>-6.0551409585856675</v>
      </c>
    </row>
    <row r="284" spans="1:16" x14ac:dyDescent="0.2">
      <c r="A284" s="8">
        <v>141</v>
      </c>
      <c r="B284" s="8">
        <v>282</v>
      </c>
      <c r="D284">
        <v>1064.9435569755001</v>
      </c>
      <c r="E284">
        <v>306.78807241747</v>
      </c>
      <c r="F284">
        <v>143.53495762712001</v>
      </c>
      <c r="G284">
        <v>118.36334745763</v>
      </c>
      <c r="I284" s="9">
        <f t="shared" si="32"/>
        <v>188.42472495984001</v>
      </c>
      <c r="J284" s="9">
        <f t="shared" si="33"/>
        <v>921.40859934838011</v>
      </c>
      <c r="K284" s="9">
        <f t="shared" si="31"/>
        <v>188.42472495984001</v>
      </c>
      <c r="L284" s="10">
        <f t="shared" si="30"/>
        <v>0.20449638205362303</v>
      </c>
      <c r="M284" s="10">
        <f t="shared" si="34"/>
        <v>0.27657176248416837</v>
      </c>
      <c r="P284" s="8">
        <f t="shared" si="35"/>
        <v>-5.7839341629759415</v>
      </c>
    </row>
    <row r="285" spans="1:16" x14ac:dyDescent="0.2">
      <c r="A285" s="8">
        <v>141.5</v>
      </c>
      <c r="B285" s="8">
        <v>283</v>
      </c>
      <c r="D285">
        <v>1021.5314164004</v>
      </c>
      <c r="E285">
        <v>299.88604898828999</v>
      </c>
      <c r="F285">
        <v>142.53495762712001</v>
      </c>
      <c r="G285">
        <v>118.54131355932</v>
      </c>
      <c r="I285" s="9">
        <f t="shared" si="32"/>
        <v>181.34473542896998</v>
      </c>
      <c r="J285" s="9">
        <f t="shared" si="33"/>
        <v>878.99645877327998</v>
      </c>
      <c r="K285" s="9">
        <f t="shared" si="31"/>
        <v>181.34473542896998</v>
      </c>
      <c r="L285" s="10">
        <f t="shared" si="30"/>
        <v>0.20630883505725742</v>
      </c>
      <c r="M285" s="10">
        <f t="shared" si="34"/>
        <v>0.27863980194323024</v>
      </c>
      <c r="P285" s="8">
        <f t="shared" si="35"/>
        <v>-5.0794423519592993</v>
      </c>
    </row>
    <row r="286" spans="1:16" x14ac:dyDescent="0.2">
      <c r="A286" s="8">
        <v>142</v>
      </c>
      <c r="B286" s="8">
        <v>284</v>
      </c>
      <c r="D286">
        <v>1040.3631522897001</v>
      </c>
      <c r="E286">
        <v>300.92971246005999</v>
      </c>
      <c r="F286">
        <v>142.58050847458</v>
      </c>
      <c r="G286">
        <v>118.39724576271</v>
      </c>
      <c r="I286" s="9">
        <f t="shared" si="32"/>
        <v>182.53246669735</v>
      </c>
      <c r="J286" s="9">
        <f t="shared" si="33"/>
        <v>897.78264381512008</v>
      </c>
      <c r="K286" s="9">
        <f t="shared" si="31"/>
        <v>182.53246669735</v>
      </c>
      <c r="L286" s="10">
        <f t="shared" si="30"/>
        <v>0.20331476438626589</v>
      </c>
      <c r="M286" s="10">
        <f t="shared" si="34"/>
        <v>0.27590131772766613</v>
      </c>
      <c r="P286" s="8">
        <f t="shared" si="35"/>
        <v>-6.012325762867917</v>
      </c>
    </row>
    <row r="287" spans="1:16" x14ac:dyDescent="0.2">
      <c r="A287" s="8">
        <v>142.5</v>
      </c>
      <c r="B287" s="8">
        <v>285</v>
      </c>
      <c r="D287">
        <v>1109.3091684435001</v>
      </c>
      <c r="E287">
        <v>316.93923240938</v>
      </c>
      <c r="F287">
        <v>142.16313559322001</v>
      </c>
      <c r="G287">
        <v>118.38771186440999</v>
      </c>
      <c r="I287" s="9">
        <f t="shared" si="32"/>
        <v>198.55152054497</v>
      </c>
      <c r="J287" s="9">
        <f t="shared" si="33"/>
        <v>967.14603285028011</v>
      </c>
      <c r="K287" s="9">
        <f t="shared" si="31"/>
        <v>198.55152054497</v>
      </c>
      <c r="L287" s="10">
        <f t="shared" si="30"/>
        <v>0.20529631906757451</v>
      </c>
      <c r="M287" s="10">
        <f t="shared" si="34"/>
        <v>0.27813845886440225</v>
      </c>
      <c r="P287" s="8">
        <f t="shared" si="35"/>
        <v>-5.2502283067420041</v>
      </c>
    </row>
    <row r="288" spans="1:16" x14ac:dyDescent="0.2">
      <c r="A288" s="8">
        <v>143</v>
      </c>
      <c r="B288" s="8">
        <v>286</v>
      </c>
      <c r="D288">
        <v>1096.9573560767999</v>
      </c>
      <c r="E288">
        <v>315.97974413646</v>
      </c>
      <c r="F288">
        <v>142.59745762712001</v>
      </c>
      <c r="G288">
        <v>118.33156779661</v>
      </c>
      <c r="I288" s="9">
        <f t="shared" si="32"/>
        <v>197.64817633985001</v>
      </c>
      <c r="J288" s="9">
        <f t="shared" si="33"/>
        <v>954.35989844967992</v>
      </c>
      <c r="K288" s="9">
        <f t="shared" si="31"/>
        <v>197.64817633985001</v>
      </c>
      <c r="L288" s="10">
        <f t="shared" si="30"/>
        <v>0.20710025291393916</v>
      </c>
      <c r="M288" s="10">
        <f t="shared" si="34"/>
        <v>0.28019797916619438</v>
      </c>
      <c r="P288" s="8">
        <f t="shared" si="35"/>
        <v>-4.5486386050187768</v>
      </c>
    </row>
    <row r="289" spans="1:16" x14ac:dyDescent="0.2">
      <c r="A289" s="8">
        <v>143.5</v>
      </c>
      <c r="B289" s="8">
        <v>287</v>
      </c>
      <c r="D289">
        <v>1078.1087420043</v>
      </c>
      <c r="E289">
        <v>316.08208955224001</v>
      </c>
      <c r="F289">
        <v>142.73516949153</v>
      </c>
      <c r="G289">
        <v>117.96292372881</v>
      </c>
      <c r="I289" s="9">
        <f t="shared" si="32"/>
        <v>198.11916582343002</v>
      </c>
      <c r="J289" s="9">
        <f t="shared" si="33"/>
        <v>935.37357251277001</v>
      </c>
      <c r="K289" s="9">
        <f t="shared" si="31"/>
        <v>198.11916582343002</v>
      </c>
      <c r="L289" s="10">
        <f t="shared" si="30"/>
        <v>0.21180752978855968</v>
      </c>
      <c r="M289" s="10">
        <f t="shared" si="34"/>
        <v>0.28516084249624235</v>
      </c>
      <c r="P289" s="8">
        <f t="shared" si="35"/>
        <v>-2.8580052083041796</v>
      </c>
    </row>
    <row r="290" spans="1:16" x14ac:dyDescent="0.2">
      <c r="A290" s="8">
        <v>144</v>
      </c>
      <c r="B290" s="8">
        <v>288</v>
      </c>
      <c r="D290">
        <v>1093.8888888889001</v>
      </c>
      <c r="E290">
        <v>320.0438034188</v>
      </c>
      <c r="F290">
        <v>142.25847457627</v>
      </c>
      <c r="G290">
        <v>118.14618644068</v>
      </c>
      <c r="I290" s="9">
        <f t="shared" si="32"/>
        <v>201.89761697812</v>
      </c>
      <c r="J290" s="9">
        <f t="shared" si="33"/>
        <v>951.63041431263002</v>
      </c>
      <c r="K290" s="9">
        <f t="shared" si="31"/>
        <v>201.89761697812</v>
      </c>
      <c r="L290" s="10">
        <f t="shared" si="30"/>
        <v>0.21215969344984859</v>
      </c>
      <c r="M290" s="10">
        <f t="shared" si="34"/>
        <v>0.28576859261295873</v>
      </c>
      <c r="P290" s="8">
        <f t="shared" si="35"/>
        <v>-2.6509709670110659</v>
      </c>
    </row>
    <row r="291" spans="1:16" x14ac:dyDescent="0.2">
      <c r="A291" s="8">
        <v>144.5</v>
      </c>
      <c r="B291" s="8">
        <v>289</v>
      </c>
      <c r="D291">
        <v>1086.6164529915</v>
      </c>
      <c r="E291">
        <v>318.29273504273999</v>
      </c>
      <c r="F291">
        <v>142.61228813559001</v>
      </c>
      <c r="G291">
        <v>118.49364406780001</v>
      </c>
      <c r="I291" s="9">
        <f t="shared" si="32"/>
        <v>199.79909097493999</v>
      </c>
      <c r="J291" s="9">
        <f t="shared" si="33"/>
        <v>944.00416485590995</v>
      </c>
      <c r="K291" s="9">
        <f t="shared" si="31"/>
        <v>199.79909097493999</v>
      </c>
      <c r="L291" s="10">
        <f t="shared" si="30"/>
        <v>0.2116506456361204</v>
      </c>
      <c r="M291" s="10">
        <f t="shared" si="34"/>
        <v>0.28551513125465799</v>
      </c>
      <c r="P291" s="8">
        <f t="shared" si="35"/>
        <v>-2.7373143153207846</v>
      </c>
    </row>
    <row r="292" spans="1:16" x14ac:dyDescent="0.2">
      <c r="A292" s="8">
        <v>145</v>
      </c>
      <c r="B292" s="8">
        <v>290</v>
      </c>
      <c r="D292">
        <v>1095.2318376067999</v>
      </c>
      <c r="E292">
        <v>322.09294871794998</v>
      </c>
      <c r="F292">
        <v>142.57097457627</v>
      </c>
      <c r="G292">
        <v>117.97139830509001</v>
      </c>
      <c r="I292" s="9">
        <f>E292-G292</f>
        <v>204.12155041285996</v>
      </c>
      <c r="J292" s="9">
        <f>D292-F292</f>
        <v>952.66086303052987</v>
      </c>
      <c r="K292" s="9">
        <f t="shared" si="31"/>
        <v>204.12155041285996</v>
      </c>
      <c r="L292" s="10">
        <f t="shared" si="30"/>
        <v>0.21426465422702948</v>
      </c>
      <c r="M292" s="10">
        <f>L292+ABS($N$2)*A292</f>
        <v>0.28838472630099454</v>
      </c>
      <c r="O292" s="11"/>
      <c r="P292" s="8">
        <f>(M292-$O$2)/$O$2*100</f>
        <v>-1.7597671015963952</v>
      </c>
    </row>
    <row r="293" spans="1:16" x14ac:dyDescent="0.2">
      <c r="A293" s="8">
        <v>145.5</v>
      </c>
      <c r="B293" s="8">
        <v>291</v>
      </c>
      <c r="D293">
        <v>1096.8279914530001</v>
      </c>
      <c r="E293">
        <v>322.30448717949002</v>
      </c>
      <c r="F293">
        <v>142.55296610170001</v>
      </c>
      <c r="G293">
        <v>117.83368644068</v>
      </c>
      <c r="I293" s="9">
        <f t="shared" ref="I293:I301" si="36">E293-G293</f>
        <v>204.47080073881003</v>
      </c>
      <c r="J293" s="9">
        <f t="shared" ref="J293:J301" si="37">D293-F293</f>
        <v>954.27502535130009</v>
      </c>
      <c r="K293" s="9">
        <f t="shared" si="31"/>
        <v>204.47080073881003</v>
      </c>
      <c r="L293" s="10">
        <f t="shared" si="30"/>
        <v>0.21426820917118478</v>
      </c>
      <c r="M293" s="10">
        <f t="shared" ref="M293:M301" si="38">L293+ABS($N$2)*A293</f>
        <v>0.28864386770057726</v>
      </c>
      <c r="P293" s="8">
        <f t="shared" ref="P293:P301" si="39">(M293-$O$2)/$O$2*100</f>
        <v>-1.6714888083068498</v>
      </c>
    </row>
    <row r="294" spans="1:16" x14ac:dyDescent="0.2">
      <c r="A294" s="8">
        <v>146</v>
      </c>
      <c r="B294" s="8">
        <v>292</v>
      </c>
      <c r="D294">
        <v>1091.9711538462</v>
      </c>
      <c r="E294">
        <v>324.65170940170998</v>
      </c>
      <c r="F294">
        <v>141.83368644068</v>
      </c>
      <c r="G294">
        <v>118.34745762711999</v>
      </c>
      <c r="I294" s="9">
        <f t="shared" si="36"/>
        <v>206.30425177459</v>
      </c>
      <c r="J294" s="9">
        <f t="shared" si="37"/>
        <v>950.13746740551994</v>
      </c>
      <c r="K294" s="9">
        <f t="shared" si="31"/>
        <v>206.30425177459</v>
      </c>
      <c r="L294" s="10">
        <f t="shared" si="30"/>
        <v>0.21713095089064524</v>
      </c>
      <c r="M294" s="10">
        <f t="shared" si="38"/>
        <v>0.2917621958754652</v>
      </c>
      <c r="N294" s="1"/>
      <c r="P294" s="8">
        <f t="shared" si="39"/>
        <v>-0.60920895013258314</v>
      </c>
    </row>
    <row r="295" spans="1:16" x14ac:dyDescent="0.2">
      <c r="A295" s="8">
        <v>146.5</v>
      </c>
      <c r="B295" s="8">
        <v>293</v>
      </c>
      <c r="D295">
        <v>1092.9529914530001</v>
      </c>
      <c r="E295">
        <v>325.93482905983001</v>
      </c>
      <c r="F295">
        <v>142.59427966102001</v>
      </c>
      <c r="G295">
        <v>118.52860169492</v>
      </c>
      <c r="I295" s="9">
        <f t="shared" si="36"/>
        <v>207.40622736491002</v>
      </c>
      <c r="J295" s="9">
        <f t="shared" si="37"/>
        <v>950.35871179198011</v>
      </c>
      <c r="K295" s="9">
        <f t="shared" si="31"/>
        <v>207.40622736491002</v>
      </c>
      <c r="L295" s="10">
        <f t="shared" si="30"/>
        <v>0.21823993907924344</v>
      </c>
      <c r="M295" s="10">
        <f t="shared" si="38"/>
        <v>0.29312677051949088</v>
      </c>
      <c r="P295" s="8">
        <f t="shared" si="39"/>
        <v>-0.14435724818627219</v>
      </c>
    </row>
    <row r="296" spans="1:16" x14ac:dyDescent="0.2">
      <c r="A296" s="8">
        <v>147</v>
      </c>
      <c r="B296" s="8">
        <v>294</v>
      </c>
      <c r="D296">
        <v>1094.5651709402</v>
      </c>
      <c r="E296">
        <v>324.38141025640999</v>
      </c>
      <c r="F296">
        <v>143.33050847458</v>
      </c>
      <c r="G296">
        <v>118.38135593219999</v>
      </c>
      <c r="I296" s="9">
        <f t="shared" si="36"/>
        <v>206.00005432421</v>
      </c>
      <c r="J296" s="9">
        <f t="shared" si="37"/>
        <v>951.23466246561998</v>
      </c>
      <c r="K296" s="9">
        <f t="shared" si="31"/>
        <v>206.00005432421</v>
      </c>
      <c r="L296" s="10">
        <f t="shared" si="30"/>
        <v>0.21656071046680908</v>
      </c>
      <c r="M296" s="10">
        <f t="shared" si="38"/>
        <v>0.29170312836248402</v>
      </c>
      <c r="P296" s="8">
        <f t="shared" si="39"/>
        <v>-0.62933070313396844</v>
      </c>
    </row>
    <row r="297" spans="1:16" x14ac:dyDescent="0.2">
      <c r="A297" s="8">
        <v>147.5</v>
      </c>
      <c r="B297" s="8">
        <v>295</v>
      </c>
      <c r="D297">
        <v>1087.6698717949</v>
      </c>
      <c r="E297">
        <v>322.77136752137</v>
      </c>
      <c r="F297">
        <v>142.89406779660999</v>
      </c>
      <c r="G297">
        <v>118.32838983051001</v>
      </c>
      <c r="I297" s="9">
        <f t="shared" si="36"/>
        <v>204.44297769086</v>
      </c>
      <c r="J297" s="9">
        <f t="shared" si="37"/>
        <v>944.77580399829003</v>
      </c>
      <c r="K297" s="9">
        <f t="shared" si="31"/>
        <v>204.44297769086</v>
      </c>
      <c r="L297" s="10">
        <f t="shared" si="30"/>
        <v>0.21639311339860481</v>
      </c>
      <c r="M297" s="10">
        <f t="shared" si="38"/>
        <v>0.29179111774970717</v>
      </c>
      <c r="P297" s="8">
        <f t="shared" si="39"/>
        <v>-0.59935651551222768</v>
      </c>
    </row>
    <row r="298" spans="1:16" x14ac:dyDescent="0.2">
      <c r="A298" s="8">
        <v>148</v>
      </c>
      <c r="B298" s="8">
        <v>296</v>
      </c>
      <c r="D298">
        <v>1079.2393162393</v>
      </c>
      <c r="E298">
        <v>322.62286324785998</v>
      </c>
      <c r="F298">
        <v>142.00847457627</v>
      </c>
      <c r="G298">
        <v>118.23199152542</v>
      </c>
      <c r="I298" s="9">
        <f t="shared" si="36"/>
        <v>204.39087172243998</v>
      </c>
      <c r="J298" s="9">
        <f t="shared" si="37"/>
        <v>937.23084166302999</v>
      </c>
      <c r="K298" s="9">
        <f t="shared" si="31"/>
        <v>204.39087172243998</v>
      </c>
      <c r="L298" s="10">
        <f t="shared" si="30"/>
        <v>0.2180795409589458</v>
      </c>
      <c r="M298" s="10">
        <f t="shared" si="38"/>
        <v>0.29373313176547566</v>
      </c>
      <c r="P298" s="8">
        <f t="shared" si="39"/>
        <v>6.2203864776201351E-2</v>
      </c>
    </row>
    <row r="299" spans="1:16" x14ac:dyDescent="0.2">
      <c r="A299" s="8">
        <v>148.5</v>
      </c>
      <c r="B299" s="8">
        <v>297</v>
      </c>
      <c r="D299">
        <v>1088.7820512820999</v>
      </c>
      <c r="E299">
        <v>324.27243589744</v>
      </c>
      <c r="F299">
        <v>142.62605932202999</v>
      </c>
      <c r="G299">
        <v>118.47881355932</v>
      </c>
      <c r="I299" s="9">
        <f t="shared" si="36"/>
        <v>205.79362233812</v>
      </c>
      <c r="J299" s="9">
        <f t="shared" si="37"/>
        <v>946.15599196006997</v>
      </c>
      <c r="K299" s="9">
        <f t="shared" si="31"/>
        <v>205.79362233812</v>
      </c>
      <c r="L299" s="10">
        <f t="shared" si="30"/>
        <v>0.21750496121870461</v>
      </c>
      <c r="M299" s="10">
        <f t="shared" si="38"/>
        <v>0.29341413848066189</v>
      </c>
      <c r="P299" s="8">
        <f t="shared" si="39"/>
        <v>-4.6463383295819061E-2</v>
      </c>
    </row>
    <row r="300" spans="1:16" x14ac:dyDescent="0.2">
      <c r="A300" s="8">
        <v>149</v>
      </c>
      <c r="B300" s="8">
        <v>298</v>
      </c>
      <c r="D300">
        <v>1087.5202991453</v>
      </c>
      <c r="E300">
        <v>323.18696581197003</v>
      </c>
      <c r="F300">
        <v>142.50847457627</v>
      </c>
      <c r="G300">
        <v>117.86016949153</v>
      </c>
      <c r="I300" s="9">
        <f t="shared" si="36"/>
        <v>205.32679632044002</v>
      </c>
      <c r="J300" s="9">
        <f t="shared" si="37"/>
        <v>945.01182456902995</v>
      </c>
      <c r="K300" s="9">
        <f t="shared" si="31"/>
        <v>205.32679632044002</v>
      </c>
      <c r="L300" s="10">
        <f t="shared" si="30"/>
        <v>0.217274314439482</v>
      </c>
      <c r="M300" s="10">
        <f t="shared" si="38"/>
        <v>0.29343907815686676</v>
      </c>
      <c r="P300" s="8">
        <f t="shared" si="39"/>
        <v>-3.7967511721052866E-2</v>
      </c>
    </row>
    <row r="301" spans="1:16" x14ac:dyDescent="0.2">
      <c r="A301" s="8">
        <v>149.5</v>
      </c>
      <c r="B301" s="8">
        <v>299</v>
      </c>
      <c r="D301">
        <v>1108.1524520256</v>
      </c>
      <c r="E301">
        <v>326.80916844350003</v>
      </c>
      <c r="F301">
        <v>142.81991525423999</v>
      </c>
      <c r="G301">
        <v>118.47987288136</v>
      </c>
      <c r="I301" s="9">
        <f t="shared" si="36"/>
        <v>208.32929556214003</v>
      </c>
      <c r="J301" s="9">
        <f t="shared" si="37"/>
        <v>965.33253677136008</v>
      </c>
      <c r="K301" s="9">
        <f t="shared" si="31"/>
        <v>208.32929556214003</v>
      </c>
      <c r="L301" s="10">
        <f t="shared" si="30"/>
        <v>0.21581091243325928</v>
      </c>
      <c r="M301" s="10">
        <f t="shared" si="38"/>
        <v>0.29223126260607152</v>
      </c>
      <c r="P301" s="8">
        <f t="shared" si="39"/>
        <v>-0.44941815451478384</v>
      </c>
    </row>
    <row r="302" spans="1:16" x14ac:dyDescent="0.2">
      <c r="A302" s="8">
        <v>150</v>
      </c>
      <c r="B302" s="8">
        <v>300</v>
      </c>
      <c r="D302">
        <v>1111.5970149253999</v>
      </c>
      <c r="E302">
        <v>329.57249466950998</v>
      </c>
      <c r="F302">
        <v>142.34745762712001</v>
      </c>
      <c r="G302">
        <v>118.15360169492</v>
      </c>
      <c r="I302" s="9">
        <f>E302-G302</f>
        <v>211.41889297458999</v>
      </c>
      <c r="J302" s="9">
        <f>D302-F302</f>
        <v>969.24955729827991</v>
      </c>
      <c r="K302" s="9">
        <f t="shared" si="31"/>
        <v>211.41889297458999</v>
      </c>
      <c r="L302" s="10">
        <f t="shared" si="30"/>
        <v>0.21812637558886941</v>
      </c>
      <c r="M302" s="10">
        <f>L302+ABS($N$2)*A302</f>
        <v>0.29480231221710912</v>
      </c>
      <c r="O302" s="11"/>
      <c r="P302" s="8">
        <f>(M302-$O$2)/$O$2*100</f>
        <v>0.42642751117438726</v>
      </c>
    </row>
    <row r="303" spans="1:16" x14ac:dyDescent="0.2">
      <c r="A303" s="8">
        <v>150.5</v>
      </c>
      <c r="B303" s="8">
        <v>301</v>
      </c>
      <c r="D303">
        <v>1109.3102345416</v>
      </c>
      <c r="E303">
        <v>325.88166311301001</v>
      </c>
      <c r="F303">
        <v>142.22563559322001</v>
      </c>
      <c r="G303">
        <v>118.42796610169999</v>
      </c>
      <c r="I303" s="9">
        <f t="shared" ref="I303:I309" si="40">E303-G303</f>
        <v>207.45369701131</v>
      </c>
      <c r="J303" s="9">
        <f t="shared" ref="J303:J309" si="41">D303-F303</f>
        <v>967.08459894838006</v>
      </c>
      <c r="K303" s="9">
        <f t="shared" si="31"/>
        <v>207.45369701131</v>
      </c>
      <c r="L303" s="10">
        <f t="shared" si="30"/>
        <v>0.21451452875673727</v>
      </c>
      <c r="M303" s="10">
        <f t="shared" ref="M303:M309" si="42">L303+ABS($N$2)*A303</f>
        <v>0.29144605184040445</v>
      </c>
      <c r="P303" s="8">
        <f t="shared" ref="P303:P309" si="43">(M303-$O$2)/$O$2*100</f>
        <v>-0.71690558175444319</v>
      </c>
    </row>
    <row r="304" spans="1:16" x14ac:dyDescent="0.2">
      <c r="A304" s="8">
        <v>151</v>
      </c>
      <c r="B304" s="8">
        <v>302</v>
      </c>
      <c r="D304">
        <v>1107.1908315564999</v>
      </c>
      <c r="E304">
        <v>328.79317697227998</v>
      </c>
      <c r="F304">
        <v>142.05296610170001</v>
      </c>
      <c r="G304">
        <v>118.27436440677999</v>
      </c>
      <c r="I304" s="9">
        <f t="shared" si="40"/>
        <v>210.51881256549999</v>
      </c>
      <c r="J304" s="9">
        <f t="shared" si="41"/>
        <v>965.13786545479991</v>
      </c>
      <c r="K304" s="9">
        <f t="shared" si="31"/>
        <v>210.51881256549999</v>
      </c>
      <c r="L304" s="10">
        <f t="shared" si="30"/>
        <v>0.21812304759828033</v>
      </c>
      <c r="M304" s="10">
        <f t="shared" si="42"/>
        <v>0.29531015713737496</v>
      </c>
      <c r="N304" s="1"/>
      <c r="P304" s="8">
        <f t="shared" si="43"/>
        <v>0.59942836279062472</v>
      </c>
    </row>
    <row r="305" spans="1:16" x14ac:dyDescent="0.2">
      <c r="A305" s="8">
        <v>151.5</v>
      </c>
      <c r="B305" s="8">
        <v>303</v>
      </c>
      <c r="D305">
        <v>1112.1503198293999</v>
      </c>
      <c r="E305">
        <v>332.078891258</v>
      </c>
      <c r="F305">
        <v>142.51271186440999</v>
      </c>
      <c r="G305">
        <v>118.18008474576</v>
      </c>
      <c r="I305" s="9">
        <f t="shared" si="40"/>
        <v>213.89880651224001</v>
      </c>
      <c r="J305" s="9">
        <f t="shared" si="41"/>
        <v>969.63760796498991</v>
      </c>
      <c r="K305" s="9">
        <f t="shared" si="31"/>
        <v>213.89880651224001</v>
      </c>
      <c r="L305" s="10">
        <f t="shared" si="30"/>
        <v>0.22059664843358998</v>
      </c>
      <c r="M305" s="10">
        <f t="shared" si="42"/>
        <v>0.29803934442811209</v>
      </c>
      <c r="P305" s="8">
        <f t="shared" si="43"/>
        <v>1.5291447125585336</v>
      </c>
    </row>
    <row r="306" spans="1:16" x14ac:dyDescent="0.2">
      <c r="A306" s="8">
        <v>152</v>
      </c>
      <c r="B306" s="8">
        <v>304</v>
      </c>
      <c r="D306">
        <v>1105.71108742</v>
      </c>
      <c r="E306">
        <v>331.81663113005999</v>
      </c>
      <c r="F306">
        <v>142.18326271186001</v>
      </c>
      <c r="G306">
        <v>118.48199152542</v>
      </c>
      <c r="I306" s="9">
        <f t="shared" si="40"/>
        <v>213.33463960463999</v>
      </c>
      <c r="J306" s="9">
        <f t="shared" si="41"/>
        <v>963.52782470813997</v>
      </c>
      <c r="K306" s="9">
        <f t="shared" si="31"/>
        <v>213.33463960463999</v>
      </c>
      <c r="L306" s="10">
        <f t="shared" si="30"/>
        <v>0.22140994181383469</v>
      </c>
      <c r="M306" s="10">
        <f t="shared" si="42"/>
        <v>0.29910822426378425</v>
      </c>
      <c r="P306" s="8">
        <f t="shared" si="43"/>
        <v>1.8932659520698187</v>
      </c>
    </row>
    <row r="307" spans="1:16" x14ac:dyDescent="0.2">
      <c r="A307" s="8">
        <v>152.5</v>
      </c>
      <c r="B307" s="8">
        <v>305</v>
      </c>
      <c r="D307">
        <v>1114.2910447761001</v>
      </c>
      <c r="E307">
        <v>330.10874200426002</v>
      </c>
      <c r="F307">
        <v>143.17902542373</v>
      </c>
      <c r="G307">
        <v>118.09957627119</v>
      </c>
      <c r="I307" s="9">
        <f t="shared" si="40"/>
        <v>212.00916573307001</v>
      </c>
      <c r="J307" s="9">
        <f t="shared" si="41"/>
        <v>971.11201935237011</v>
      </c>
      <c r="K307" s="9">
        <f t="shared" si="31"/>
        <v>212.00916573307001</v>
      </c>
      <c r="L307" s="10">
        <f t="shared" si="30"/>
        <v>0.21831587037143035</v>
      </c>
      <c r="M307" s="10">
        <f t="shared" si="42"/>
        <v>0.29626973927680739</v>
      </c>
      <c r="P307" s="8">
        <f t="shared" si="43"/>
        <v>0.92631659321860593</v>
      </c>
    </row>
    <row r="308" spans="1:16" x14ac:dyDescent="0.2">
      <c r="A308" s="8">
        <v>153</v>
      </c>
      <c r="B308" s="8">
        <v>306</v>
      </c>
      <c r="D308">
        <v>1117.4744136460999</v>
      </c>
      <c r="E308">
        <v>328.25586353944999</v>
      </c>
      <c r="F308">
        <v>141.72139830508999</v>
      </c>
      <c r="G308">
        <v>118.28919491524999</v>
      </c>
      <c r="I308" s="9">
        <f t="shared" si="40"/>
        <v>209.9666686242</v>
      </c>
      <c r="J308" s="9">
        <f t="shared" si="41"/>
        <v>975.75301534100993</v>
      </c>
      <c r="K308" s="9">
        <f t="shared" si="31"/>
        <v>209.9666686242</v>
      </c>
      <c r="L308" s="10">
        <f t="shared" si="30"/>
        <v>0.21518423753045748</v>
      </c>
      <c r="M308" s="10">
        <f t="shared" si="42"/>
        <v>0.29339369289126199</v>
      </c>
      <c r="P308" s="8">
        <f t="shared" si="43"/>
        <v>-5.3428313408985628E-2</v>
      </c>
    </row>
    <row r="309" spans="1:16" x14ac:dyDescent="0.2">
      <c r="A309" s="8">
        <v>153.5</v>
      </c>
      <c r="B309" s="8">
        <v>307</v>
      </c>
      <c r="D309">
        <v>1101.6840981856999</v>
      </c>
      <c r="E309">
        <v>325.19530416222</v>
      </c>
      <c r="F309">
        <v>142.6218220339</v>
      </c>
      <c r="G309">
        <v>117.87288135593001</v>
      </c>
      <c r="I309" s="9">
        <f t="shared" si="40"/>
        <v>207.32242280628998</v>
      </c>
      <c r="J309" s="9">
        <f t="shared" si="41"/>
        <v>959.06227615179989</v>
      </c>
      <c r="K309" s="9">
        <f t="shared" si="31"/>
        <v>207.32242280628998</v>
      </c>
      <c r="L309" s="10">
        <f t="shared" si="30"/>
        <v>0.21617201297726268</v>
      </c>
      <c r="M309" s="10">
        <f t="shared" si="42"/>
        <v>0.29463705479349467</v>
      </c>
      <c r="P309" s="8">
        <f t="shared" si="43"/>
        <v>0.37013143754970779</v>
      </c>
    </row>
    <row r="310" spans="1:16" x14ac:dyDescent="0.2">
      <c r="A310" s="8">
        <v>154</v>
      </c>
      <c r="B310" s="8">
        <v>308</v>
      </c>
      <c r="D310">
        <v>1103.053361793</v>
      </c>
      <c r="E310">
        <v>323.79509071504998</v>
      </c>
      <c r="F310">
        <v>141.96292372881001</v>
      </c>
      <c r="G310">
        <v>117.43538135593001</v>
      </c>
      <c r="I310" s="9">
        <f>E310-G310</f>
        <v>206.35970935911996</v>
      </c>
      <c r="J310" s="9">
        <f>D310-F310</f>
        <v>961.09043806419004</v>
      </c>
      <c r="K310" s="9">
        <f t="shared" si="31"/>
        <v>206.35970935911996</v>
      </c>
      <c r="L310" s="10">
        <f t="shared" si="30"/>
        <v>0.21471414258866808</v>
      </c>
      <c r="M310" s="10">
        <f>L310+ABS($N$2)*A310</f>
        <v>0.29343477086032754</v>
      </c>
      <c r="O310" s="11"/>
      <c r="P310" s="8">
        <f>(M310-$O$2)/$O$2*100</f>
        <v>-3.9434821798819228E-2</v>
      </c>
    </row>
    <row r="311" spans="1:16" x14ac:dyDescent="0.2">
      <c r="A311" s="8">
        <v>154.5</v>
      </c>
      <c r="B311" s="8">
        <v>309</v>
      </c>
      <c r="D311">
        <v>1107.8847385271999</v>
      </c>
      <c r="E311">
        <v>324.55923159017999</v>
      </c>
      <c r="F311">
        <v>142.44597457627</v>
      </c>
      <c r="G311">
        <v>117.98516949153</v>
      </c>
      <c r="I311" s="9">
        <f t="shared" ref="I311:I319" si="44">E311-G311</f>
        <v>206.57406209864999</v>
      </c>
      <c r="J311" s="9">
        <f t="shared" ref="J311:J319" si="45">D311-F311</f>
        <v>965.43876395092991</v>
      </c>
      <c r="K311" s="9">
        <f t="shared" si="31"/>
        <v>206.57406209864999</v>
      </c>
      <c r="L311" s="10">
        <f t="shared" si="30"/>
        <v>0.21396909862337937</v>
      </c>
      <c r="M311" s="10">
        <f t="shared" ref="M311:M319" si="46">L311+ABS($N$2)*A311</f>
        <v>0.29294531335046625</v>
      </c>
      <c r="P311" s="8">
        <f t="shared" ref="P311:P319" si="47">(M311-$O$2)/$O$2*100</f>
        <v>-0.20617187607838236</v>
      </c>
    </row>
    <row r="312" spans="1:16" x14ac:dyDescent="0.2">
      <c r="A312" s="8">
        <v>155</v>
      </c>
      <c r="B312" s="8">
        <v>310</v>
      </c>
      <c r="D312">
        <v>1095.3265741729001</v>
      </c>
      <c r="E312">
        <v>321.48559231590002</v>
      </c>
      <c r="F312">
        <v>142.06779661017001</v>
      </c>
      <c r="G312">
        <v>118.30826271186</v>
      </c>
      <c r="I312" s="9">
        <f t="shared" si="44"/>
        <v>203.17732960404004</v>
      </c>
      <c r="J312" s="9">
        <f t="shared" si="45"/>
        <v>953.25877756273007</v>
      </c>
      <c r="K312" s="9">
        <f t="shared" si="31"/>
        <v>203.17732960404004</v>
      </c>
      <c r="L312" s="10">
        <f t="shared" si="30"/>
        <v>0.21313974168013342</v>
      </c>
      <c r="M312" s="10">
        <f t="shared" si="46"/>
        <v>0.29237154286264777</v>
      </c>
      <c r="N312" s="1"/>
      <c r="P312" s="8">
        <f t="shared" si="47"/>
        <v>-0.40163072397411387</v>
      </c>
    </row>
    <row r="313" spans="1:16" x14ac:dyDescent="0.2">
      <c r="A313" s="8">
        <v>155.5</v>
      </c>
      <c r="B313" s="8">
        <v>311</v>
      </c>
      <c r="D313">
        <v>1087.3543223052</v>
      </c>
      <c r="E313">
        <v>319.16221985059002</v>
      </c>
      <c r="F313">
        <v>142.53283898305</v>
      </c>
      <c r="G313">
        <v>118.22033898305</v>
      </c>
      <c r="I313" s="9">
        <f t="shared" si="44"/>
        <v>200.94188086754002</v>
      </c>
      <c r="J313" s="9">
        <f t="shared" si="45"/>
        <v>944.82148332215002</v>
      </c>
      <c r="K313" s="9">
        <f t="shared" si="31"/>
        <v>200.94188086754002</v>
      </c>
      <c r="L313" s="10">
        <f t="shared" si="30"/>
        <v>0.21267708706304478</v>
      </c>
      <c r="M313" s="10">
        <f t="shared" si="46"/>
        <v>0.29216447470098661</v>
      </c>
      <c r="P313" s="8">
        <f t="shared" si="47"/>
        <v>-0.47216991198299918</v>
      </c>
    </row>
    <row r="314" spans="1:16" x14ac:dyDescent="0.2">
      <c r="A314" s="8">
        <v>156</v>
      </c>
      <c r="B314" s="8">
        <v>312</v>
      </c>
      <c r="D314">
        <v>1094.1237993596999</v>
      </c>
      <c r="E314">
        <v>319.70864461046</v>
      </c>
      <c r="F314">
        <v>141.79555084745999</v>
      </c>
      <c r="G314">
        <v>117.77330508475001</v>
      </c>
      <c r="I314" s="9">
        <f t="shared" si="44"/>
        <v>201.93533952570999</v>
      </c>
      <c r="J314" s="9">
        <f t="shared" si="45"/>
        <v>952.32824851223995</v>
      </c>
      <c r="K314" s="9">
        <f t="shared" si="31"/>
        <v>201.93533952570999</v>
      </c>
      <c r="L314" s="10">
        <f t="shared" si="30"/>
        <v>0.21204384080928015</v>
      </c>
      <c r="M314" s="10">
        <f t="shared" si="46"/>
        <v>0.29178681490264946</v>
      </c>
      <c r="P314" s="8">
        <f t="shared" si="47"/>
        <v>-0.60082230984363327</v>
      </c>
    </row>
    <row r="315" spans="1:16" x14ac:dyDescent="0.2">
      <c r="A315" s="8">
        <v>156.5</v>
      </c>
      <c r="B315" s="8">
        <v>313</v>
      </c>
      <c r="D315">
        <v>1079.8164354322</v>
      </c>
      <c r="E315">
        <v>315.63180362859998</v>
      </c>
      <c r="F315">
        <v>142.57521186440999</v>
      </c>
      <c r="G315">
        <v>117.875</v>
      </c>
      <c r="I315" s="9">
        <f t="shared" si="44"/>
        <v>197.75680362859998</v>
      </c>
      <c r="J315" s="9">
        <f t="shared" si="45"/>
        <v>937.24122356779003</v>
      </c>
      <c r="K315" s="9">
        <f t="shared" si="31"/>
        <v>197.75680362859998</v>
      </c>
      <c r="L315" s="10">
        <f t="shared" si="30"/>
        <v>0.210998832163827</v>
      </c>
      <c r="M315" s="10">
        <f t="shared" si="46"/>
        <v>0.29099739271262376</v>
      </c>
      <c r="P315" s="8">
        <f t="shared" si="47"/>
        <v>-0.86974438764586981</v>
      </c>
    </row>
    <row r="316" spans="1:16" x14ac:dyDescent="0.2">
      <c r="A316" s="8">
        <v>157</v>
      </c>
      <c r="B316" s="8">
        <v>314</v>
      </c>
      <c r="D316">
        <v>1082.5667022411999</v>
      </c>
      <c r="E316">
        <v>315.74706510138998</v>
      </c>
      <c r="F316">
        <v>142.3156779661</v>
      </c>
      <c r="G316">
        <v>117.8156779661</v>
      </c>
      <c r="I316" s="9">
        <f t="shared" si="44"/>
        <v>197.93138713528998</v>
      </c>
      <c r="J316" s="9">
        <f t="shared" si="45"/>
        <v>940.25102427509989</v>
      </c>
      <c r="K316" s="9">
        <f t="shared" si="31"/>
        <v>197.93138713528998</v>
      </c>
      <c r="L316" s="10">
        <f t="shared" si="30"/>
        <v>0.21050908962092121</v>
      </c>
      <c r="M316" s="10">
        <f t="shared" si="46"/>
        <v>0.29076323662514547</v>
      </c>
      <c r="P316" s="8">
        <f t="shared" si="47"/>
        <v>-0.94951126317878753</v>
      </c>
    </row>
    <row r="317" spans="1:16" x14ac:dyDescent="0.2">
      <c r="A317" s="8">
        <v>157.5</v>
      </c>
      <c r="B317" s="8">
        <v>315</v>
      </c>
      <c r="D317">
        <v>1078.2700106724001</v>
      </c>
      <c r="E317">
        <v>315.64354322305002</v>
      </c>
      <c r="F317">
        <v>142.05826271186001</v>
      </c>
      <c r="G317">
        <v>117.79766949153</v>
      </c>
      <c r="I317" s="9">
        <f t="shared" si="44"/>
        <v>197.84587373152002</v>
      </c>
      <c r="J317" s="9">
        <f t="shared" si="45"/>
        <v>936.21174796054004</v>
      </c>
      <c r="K317" s="9">
        <f t="shared" si="31"/>
        <v>197.84587373152002</v>
      </c>
      <c r="L317" s="10">
        <f t="shared" si="30"/>
        <v>0.21132598919262754</v>
      </c>
      <c r="M317" s="10">
        <f t="shared" si="46"/>
        <v>0.29183572265227925</v>
      </c>
      <c r="P317" s="8">
        <f t="shared" si="47"/>
        <v>-0.58416154983808244</v>
      </c>
    </row>
    <row r="318" spans="1:16" x14ac:dyDescent="0.2">
      <c r="A318" s="8">
        <v>158</v>
      </c>
      <c r="B318" s="8">
        <v>316</v>
      </c>
      <c r="D318">
        <v>1071.6798292423</v>
      </c>
      <c r="E318">
        <v>311.49839914620998</v>
      </c>
      <c r="F318">
        <v>142.54343220339001</v>
      </c>
      <c r="G318">
        <v>118.07097457627</v>
      </c>
      <c r="I318" s="9">
        <f t="shared" si="44"/>
        <v>193.42742456993997</v>
      </c>
      <c r="J318" s="9">
        <f t="shared" si="45"/>
        <v>929.13639703890999</v>
      </c>
      <c r="K318" s="9">
        <f t="shared" si="31"/>
        <v>193.42742456993997</v>
      </c>
      <c r="L318" s="10">
        <f t="shared" si="30"/>
        <v>0.20817979490027416</v>
      </c>
      <c r="M318" s="10">
        <f t="shared" si="46"/>
        <v>0.28894511481535334</v>
      </c>
      <c r="P318" s="8">
        <f t="shared" si="47"/>
        <v>-1.5688669146470384</v>
      </c>
    </row>
    <row r="319" spans="1:16" x14ac:dyDescent="0.2">
      <c r="A319" s="8">
        <v>158.5</v>
      </c>
      <c r="B319" s="8">
        <v>317</v>
      </c>
      <c r="D319">
        <v>1079.5805763074</v>
      </c>
      <c r="E319">
        <v>314.59445037352998</v>
      </c>
      <c r="F319">
        <v>141.90466101695</v>
      </c>
      <c r="G319">
        <v>117.82309322034</v>
      </c>
      <c r="I319" s="9">
        <f t="shared" si="44"/>
        <v>196.77135715318997</v>
      </c>
      <c r="J319" s="9">
        <f t="shared" si="45"/>
        <v>937.67591529044989</v>
      </c>
      <c r="K319" s="9">
        <f t="shared" si="31"/>
        <v>196.77135715318997</v>
      </c>
      <c r="L319" s="10">
        <f t="shared" si="30"/>
        <v>0.20985007073818146</v>
      </c>
      <c r="M319" s="10">
        <f t="shared" si="46"/>
        <v>0.29087097710868809</v>
      </c>
      <c r="P319" s="8">
        <f t="shared" si="47"/>
        <v>-0.9128087292700876</v>
      </c>
    </row>
    <row r="320" spans="1:16" x14ac:dyDescent="0.2">
      <c r="A320" s="8">
        <v>159</v>
      </c>
      <c r="B320" s="8">
        <v>318</v>
      </c>
      <c r="D320">
        <v>1076.4119530416001</v>
      </c>
      <c r="E320">
        <v>316.67235859124997</v>
      </c>
      <c r="F320">
        <v>141.71610169492001</v>
      </c>
      <c r="G320">
        <v>117.92478813559001</v>
      </c>
      <c r="I320" s="9">
        <f>E320-G320</f>
        <v>198.74757045565997</v>
      </c>
      <c r="J320" s="9">
        <f>D320-F320</f>
        <v>934.69585134668012</v>
      </c>
      <c r="K320" s="9">
        <f t="shared" si="31"/>
        <v>198.74757045565997</v>
      </c>
      <c r="L320" s="10">
        <f t="shared" si="30"/>
        <v>0.21263341456936047</v>
      </c>
      <c r="M320" s="10">
        <f>L320+ABS($N$2)*A320</f>
        <v>0.29390990739529455</v>
      </c>
      <c r="O320" s="11"/>
      <c r="P320" s="8">
        <f>(M320-$O$2)/$O$2*100</f>
        <v>0.1224236942620496</v>
      </c>
    </row>
    <row r="321" spans="1:16" x14ac:dyDescent="0.2">
      <c r="A321" s="8">
        <v>159.5</v>
      </c>
      <c r="B321" s="8">
        <v>319</v>
      </c>
      <c r="D321">
        <v>1080.5452609158999</v>
      </c>
      <c r="E321">
        <v>315.10862619808</v>
      </c>
      <c r="F321">
        <v>142.00423728813999</v>
      </c>
      <c r="G321">
        <v>117.88559322034</v>
      </c>
      <c r="I321" s="9">
        <f t="shared" ref="I321" si="48">E321-G321</f>
        <v>197.22303297773999</v>
      </c>
      <c r="J321" s="9">
        <f t="shared" ref="J321" si="49">D321-F321</f>
        <v>938.54102362775996</v>
      </c>
      <c r="K321" s="9">
        <f t="shared" si="31"/>
        <v>197.22303297773999</v>
      </c>
      <c r="L321" s="10">
        <f t="shared" si="30"/>
        <v>0.21013789276403727</v>
      </c>
      <c r="M321" s="10">
        <f t="shared" ref="M321" si="50">L321+ABS($N$2)*A321</f>
        <v>0.2916699720453988</v>
      </c>
      <c r="P321" s="8">
        <f t="shared" ref="P321" si="51">(M321-$O$2)/$O$2*100</f>
        <v>-0.64062562972139858</v>
      </c>
    </row>
    <row r="322" spans="1:16" x14ac:dyDescent="0.2">
      <c r="A322" s="8">
        <v>160</v>
      </c>
      <c r="D322">
        <v>1069.8146964856001</v>
      </c>
      <c r="E322">
        <v>313.18636847710002</v>
      </c>
      <c r="F322">
        <v>141.75953389831</v>
      </c>
      <c r="G322">
        <v>118.03601694915</v>
      </c>
      <c r="I322" s="9"/>
      <c r="J322" s="9"/>
      <c r="K322" s="9"/>
      <c r="L322" s="10"/>
      <c r="M322" s="10"/>
      <c r="N322" s="1"/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1329-F3E7-AF4F-A36D-9C37DB66BD25}">
  <dimension ref="A1:Y798"/>
  <sheetViews>
    <sheetView zoomScale="50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677.86842105262997</v>
      </c>
      <c r="E2">
        <v>240.98366606171001</v>
      </c>
      <c r="F2">
        <v>130.45471014493</v>
      </c>
      <c r="G2">
        <v>112.75543478261</v>
      </c>
      <c r="H2" s="4"/>
      <c r="I2" s="5">
        <f>E2-G2</f>
        <v>128.22823127910002</v>
      </c>
      <c r="J2" s="5">
        <f>D2-F2</f>
        <v>547.41371090769996</v>
      </c>
      <c r="K2" s="9">
        <f>I2*1</f>
        <v>128.22823127910002</v>
      </c>
      <c r="L2" s="6">
        <f t="shared" ref="L2:L65" si="0">K2/J2</f>
        <v>0.23424373325702236</v>
      </c>
      <c r="M2" s="6">
        <f>L2+ABS($N$2)*A2</f>
        <v>0.23424373325702236</v>
      </c>
      <c r="N2" s="4">
        <f>LINEST(V64:V103,U64:U103)</f>
        <v>-2.2852555628713022E-4</v>
      </c>
      <c r="O2" s="7">
        <f>AVERAGE(M62:M81)</f>
        <v>0.22813835815740244</v>
      </c>
      <c r="P2" s="4">
        <f>(M2-$O$2)/$O$2*100</f>
        <v>2.6761721040385327</v>
      </c>
    </row>
    <row r="3" spans="1:16" x14ac:dyDescent="0.2">
      <c r="A3" s="8">
        <v>0.5</v>
      </c>
      <c r="B3" s="8">
        <v>1</v>
      </c>
      <c r="D3">
        <v>662.84482758621004</v>
      </c>
      <c r="E3">
        <v>238.60980036298</v>
      </c>
      <c r="F3">
        <v>130.40126811594001</v>
      </c>
      <c r="G3">
        <v>112.97916666667</v>
      </c>
      <c r="I3" s="9">
        <f t="shared" ref="I3:I66" si="1">E3-G3</f>
        <v>125.63063369631</v>
      </c>
      <c r="J3" s="9">
        <f t="shared" ref="J3:J66" si="2">D3-F3</f>
        <v>532.44355947026997</v>
      </c>
      <c r="K3" s="9">
        <f t="shared" ref="K3:K66" si="3">I3*1</f>
        <v>125.63063369631</v>
      </c>
      <c r="L3" s="10">
        <f t="shared" si="0"/>
        <v>0.23595108150298666</v>
      </c>
      <c r="M3" s="10">
        <f t="shared" ref="M3:M66" si="4">L3+ABS($N$2)*A3</f>
        <v>0.23606534428113021</v>
      </c>
      <c r="P3" s="8">
        <f t="shared" ref="P3:P66" si="5">(M3-$O$2)/$O$2*100</f>
        <v>3.4746397702479328</v>
      </c>
    </row>
    <row r="4" spans="1:16" ht="16" x14ac:dyDescent="0.2">
      <c r="A4" s="8">
        <v>1</v>
      </c>
      <c r="B4" s="8">
        <v>2</v>
      </c>
      <c r="D4">
        <v>644.54537205081999</v>
      </c>
      <c r="E4">
        <v>235.49727767695001</v>
      </c>
      <c r="F4">
        <v>130.97826086956999</v>
      </c>
      <c r="G4">
        <v>112.97735507246</v>
      </c>
      <c r="I4" s="9">
        <f t="shared" si="1"/>
        <v>122.51992260449001</v>
      </c>
      <c r="J4" s="9">
        <f t="shared" si="2"/>
        <v>513.56711118124997</v>
      </c>
      <c r="K4" s="9">
        <f t="shared" si="3"/>
        <v>122.51992260449001</v>
      </c>
      <c r="L4" s="10">
        <f t="shared" si="0"/>
        <v>0.23856652799024319</v>
      </c>
      <c r="M4" s="10">
        <f t="shared" si="4"/>
        <v>0.23879505354653033</v>
      </c>
      <c r="N4" s="1" t="s">
        <v>7</v>
      </c>
      <c r="P4" s="8">
        <f t="shared" si="5"/>
        <v>4.6711545902225611</v>
      </c>
    </row>
    <row r="5" spans="1:16" x14ac:dyDescent="0.2">
      <c r="A5" s="8">
        <v>1.5</v>
      </c>
      <c r="B5" s="8">
        <v>3</v>
      </c>
      <c r="D5">
        <v>662.20871143375996</v>
      </c>
      <c r="E5">
        <v>240.04537205081999</v>
      </c>
      <c r="F5">
        <v>130.60869565217001</v>
      </c>
      <c r="G5">
        <v>113.11141304348</v>
      </c>
      <c r="I5" s="9">
        <f t="shared" si="1"/>
        <v>126.93395900733999</v>
      </c>
      <c r="J5" s="9">
        <f t="shared" si="2"/>
        <v>531.60001578158995</v>
      </c>
      <c r="K5" s="9">
        <f t="shared" si="3"/>
        <v>126.93395900733999</v>
      </c>
      <c r="L5" s="10">
        <f t="shared" si="0"/>
        <v>0.23877719194705843</v>
      </c>
      <c r="M5" s="10">
        <f t="shared" si="4"/>
        <v>0.23911998028148912</v>
      </c>
      <c r="N5" s="8">
        <f>RSQ(V64:V83,U64:U83)</f>
        <v>0.73694412993949099</v>
      </c>
      <c r="P5" s="8">
        <f t="shared" si="5"/>
        <v>4.8135798875654174</v>
      </c>
    </row>
    <row r="6" spans="1:16" x14ac:dyDescent="0.2">
      <c r="A6" s="8">
        <v>2</v>
      </c>
      <c r="B6" s="8">
        <v>4</v>
      </c>
      <c r="D6">
        <v>678.22232304900001</v>
      </c>
      <c r="E6">
        <v>242.83212341198001</v>
      </c>
      <c r="F6">
        <v>130.95471014493</v>
      </c>
      <c r="G6">
        <v>112.76630434783</v>
      </c>
      <c r="I6" s="9">
        <f t="shared" si="1"/>
        <v>130.06581906414999</v>
      </c>
      <c r="J6" s="9">
        <f t="shared" si="2"/>
        <v>547.26761290407001</v>
      </c>
      <c r="K6" s="9">
        <f t="shared" si="3"/>
        <v>130.06581906414999</v>
      </c>
      <c r="L6" s="10">
        <f t="shared" si="0"/>
        <v>0.23766401664801073</v>
      </c>
      <c r="M6" s="10">
        <f t="shared" si="4"/>
        <v>0.238121067760585</v>
      </c>
      <c r="P6" s="8">
        <f t="shared" si="5"/>
        <v>4.3757260654497507</v>
      </c>
    </row>
    <row r="7" spans="1:16" x14ac:dyDescent="0.2">
      <c r="A7" s="8">
        <v>2.5</v>
      </c>
      <c r="B7" s="8">
        <v>5</v>
      </c>
      <c r="D7">
        <v>687.64428312159998</v>
      </c>
      <c r="E7">
        <v>245.10980036298</v>
      </c>
      <c r="F7">
        <v>131.0652173913</v>
      </c>
      <c r="G7">
        <v>113.09329710145001</v>
      </c>
      <c r="I7" s="9">
        <f t="shared" si="1"/>
        <v>132.01650326152998</v>
      </c>
      <c r="J7" s="9">
        <f t="shared" si="2"/>
        <v>556.57906573030004</v>
      </c>
      <c r="K7" s="9">
        <f t="shared" si="3"/>
        <v>132.01650326152998</v>
      </c>
      <c r="L7" s="10">
        <f t="shared" si="0"/>
        <v>0.23719272137608718</v>
      </c>
      <c r="M7" s="10">
        <f t="shared" si="4"/>
        <v>0.23776403526680501</v>
      </c>
      <c r="P7" s="8">
        <f t="shared" si="5"/>
        <v>4.2192278348743981</v>
      </c>
    </row>
    <row r="8" spans="1:16" x14ac:dyDescent="0.2">
      <c r="A8" s="8">
        <v>3</v>
      </c>
      <c r="B8" s="8">
        <v>6</v>
      </c>
      <c r="D8">
        <v>799.25499092559005</v>
      </c>
      <c r="E8">
        <v>264.06987295826002</v>
      </c>
      <c r="F8">
        <v>131.48007246377</v>
      </c>
      <c r="G8">
        <v>112.66394927536</v>
      </c>
      <c r="I8" s="9">
        <f t="shared" si="1"/>
        <v>151.40592368290004</v>
      </c>
      <c r="J8" s="9">
        <f t="shared" si="2"/>
        <v>667.77491846182011</v>
      </c>
      <c r="K8" s="9">
        <f t="shared" si="3"/>
        <v>151.40592368290004</v>
      </c>
      <c r="L8" s="10">
        <f t="shared" si="0"/>
        <v>0.22673197135294418</v>
      </c>
      <c r="M8" s="10">
        <f t="shared" si="4"/>
        <v>0.22741754802180558</v>
      </c>
      <c r="P8" s="8">
        <f t="shared" si="5"/>
        <v>-0.31595306524452921</v>
      </c>
    </row>
    <row r="9" spans="1:16" x14ac:dyDescent="0.2">
      <c r="A9" s="8">
        <v>3.5</v>
      </c>
      <c r="B9" s="8">
        <v>7</v>
      </c>
      <c r="D9">
        <v>844.77626811593996</v>
      </c>
      <c r="E9">
        <v>269.42028985507</v>
      </c>
      <c r="F9">
        <v>130.80072463767999</v>
      </c>
      <c r="G9">
        <v>113.24003623188</v>
      </c>
      <c r="I9" s="9">
        <f t="shared" si="1"/>
        <v>156.18025362319</v>
      </c>
      <c r="J9" s="9">
        <f t="shared" si="2"/>
        <v>713.97554347825997</v>
      </c>
      <c r="K9" s="9">
        <f t="shared" si="3"/>
        <v>156.18025362319</v>
      </c>
      <c r="L9" s="10">
        <f t="shared" si="0"/>
        <v>0.21874734372879198</v>
      </c>
      <c r="M9" s="10">
        <f t="shared" si="4"/>
        <v>0.21954718317579694</v>
      </c>
      <c r="P9" s="8">
        <f t="shared" si="5"/>
        <v>-3.7657740026681874</v>
      </c>
    </row>
    <row r="10" spans="1:16" x14ac:dyDescent="0.2">
      <c r="A10" s="8">
        <v>4</v>
      </c>
      <c r="B10" s="8">
        <v>8</v>
      </c>
      <c r="D10">
        <v>913.45561594203002</v>
      </c>
      <c r="E10">
        <v>282.88043478261</v>
      </c>
      <c r="F10">
        <v>130.75815217390999</v>
      </c>
      <c r="G10">
        <v>112.62137681159</v>
      </c>
      <c r="I10" s="9">
        <f t="shared" si="1"/>
        <v>170.25905797102001</v>
      </c>
      <c r="J10" s="9">
        <f t="shared" si="2"/>
        <v>782.69746376812009</v>
      </c>
      <c r="K10" s="9">
        <f t="shared" si="3"/>
        <v>170.25905797102001</v>
      </c>
      <c r="L10" s="10">
        <f t="shared" si="0"/>
        <v>0.21752856736157833</v>
      </c>
      <c r="M10" s="10">
        <f t="shared" si="4"/>
        <v>0.21844266958672684</v>
      </c>
      <c r="P10" s="8">
        <f t="shared" si="5"/>
        <v>-4.2499159935157103</v>
      </c>
    </row>
    <row r="11" spans="1:16" x14ac:dyDescent="0.2">
      <c r="A11" s="8">
        <v>4.5</v>
      </c>
      <c r="B11" s="8">
        <v>9</v>
      </c>
      <c r="D11">
        <v>886.32545454546005</v>
      </c>
      <c r="E11">
        <v>279.65090909090998</v>
      </c>
      <c r="F11">
        <v>130.94474637681</v>
      </c>
      <c r="G11">
        <v>112.90307971015</v>
      </c>
      <c r="I11" s="9">
        <f t="shared" si="1"/>
        <v>166.74782938075998</v>
      </c>
      <c r="J11" s="9">
        <f t="shared" si="2"/>
        <v>755.38070816865002</v>
      </c>
      <c r="K11" s="9">
        <f t="shared" si="3"/>
        <v>166.74782938075998</v>
      </c>
      <c r="L11" s="10">
        <f t="shared" si="0"/>
        <v>0.22074674078588069</v>
      </c>
      <c r="M11" s="10">
        <f t="shared" si="4"/>
        <v>0.22177510578917278</v>
      </c>
      <c r="P11" s="8">
        <f t="shared" si="5"/>
        <v>-2.7892075754483052</v>
      </c>
    </row>
    <row r="12" spans="1:16" x14ac:dyDescent="0.2">
      <c r="A12" s="8">
        <v>5</v>
      </c>
      <c r="B12" s="8">
        <v>10</v>
      </c>
      <c r="D12">
        <v>881.99818181818</v>
      </c>
      <c r="E12">
        <v>279.73818181818001</v>
      </c>
      <c r="F12">
        <v>131.51902173913001</v>
      </c>
      <c r="G12">
        <v>113.03170289854999</v>
      </c>
      <c r="I12" s="9">
        <f t="shared" si="1"/>
        <v>166.70647891963</v>
      </c>
      <c r="J12" s="9">
        <f t="shared" si="2"/>
        <v>750.47916007904996</v>
      </c>
      <c r="K12" s="9">
        <f t="shared" si="3"/>
        <v>166.70647891963</v>
      </c>
      <c r="L12" s="10">
        <f t="shared" si="0"/>
        <v>0.22213338862343673</v>
      </c>
      <c r="M12" s="10">
        <f t="shared" si="4"/>
        <v>0.22327601640487238</v>
      </c>
      <c r="P12" s="8">
        <f t="shared" si="5"/>
        <v>-2.1313126787628236</v>
      </c>
    </row>
    <row r="13" spans="1:16" x14ac:dyDescent="0.2">
      <c r="A13" s="8">
        <v>5.5</v>
      </c>
      <c r="B13" s="8">
        <v>11</v>
      </c>
      <c r="D13">
        <v>911.22454545455003</v>
      </c>
      <c r="E13">
        <v>288.37454545455</v>
      </c>
      <c r="F13">
        <v>130.66123188405999</v>
      </c>
      <c r="G13">
        <v>113.15489130435</v>
      </c>
      <c r="I13" s="9">
        <f t="shared" si="1"/>
        <v>175.2196541502</v>
      </c>
      <c r="J13" s="9">
        <f t="shared" si="2"/>
        <v>780.56331357048998</v>
      </c>
      <c r="K13" s="9">
        <f t="shared" si="3"/>
        <v>175.2196541502</v>
      </c>
      <c r="L13" s="10">
        <f t="shared" si="0"/>
        <v>0.22447846459591073</v>
      </c>
      <c r="M13" s="10">
        <f t="shared" si="4"/>
        <v>0.22573535515548995</v>
      </c>
      <c r="P13" s="8">
        <f t="shared" si="5"/>
        <v>-1.0533095010066436</v>
      </c>
    </row>
    <row r="14" spans="1:16" x14ac:dyDescent="0.2">
      <c r="A14" s="8">
        <v>6</v>
      </c>
      <c r="B14" s="8">
        <v>12</v>
      </c>
      <c r="D14">
        <v>942.89708561019995</v>
      </c>
      <c r="E14">
        <v>294.73588342441002</v>
      </c>
      <c r="F14">
        <v>131.64855072463999</v>
      </c>
      <c r="G14">
        <v>113.04891304348</v>
      </c>
      <c r="I14" s="9">
        <f t="shared" si="1"/>
        <v>181.68697038093001</v>
      </c>
      <c r="J14" s="9">
        <f t="shared" si="2"/>
        <v>811.24853488555993</v>
      </c>
      <c r="K14" s="9">
        <f t="shared" si="3"/>
        <v>181.68697038093001</v>
      </c>
      <c r="L14" s="10">
        <f t="shared" si="0"/>
        <v>0.22395968999384383</v>
      </c>
      <c r="M14" s="10">
        <f t="shared" si="4"/>
        <v>0.22533084333156661</v>
      </c>
      <c r="P14" s="8">
        <f t="shared" si="5"/>
        <v>-1.2306193699784596</v>
      </c>
    </row>
    <row r="15" spans="1:16" x14ac:dyDescent="0.2">
      <c r="A15" s="8">
        <v>6.5</v>
      </c>
      <c r="B15" s="8">
        <v>13</v>
      </c>
      <c r="D15">
        <v>961.18214936248</v>
      </c>
      <c r="E15">
        <v>300.94535519125998</v>
      </c>
      <c r="F15">
        <v>130.94293478261</v>
      </c>
      <c r="G15">
        <v>112.65760869565</v>
      </c>
      <c r="I15" s="9">
        <f t="shared" si="1"/>
        <v>188.28774649560998</v>
      </c>
      <c r="J15" s="9">
        <f t="shared" si="2"/>
        <v>830.23921457987001</v>
      </c>
      <c r="K15" s="9">
        <f t="shared" si="3"/>
        <v>188.28774649560998</v>
      </c>
      <c r="L15" s="10">
        <f t="shared" si="0"/>
        <v>0.2267873441642842</v>
      </c>
      <c r="M15" s="10">
        <f t="shared" si="4"/>
        <v>0.22827276028015053</v>
      </c>
      <c r="P15" s="8">
        <f t="shared" si="5"/>
        <v>5.8912549311574067E-2</v>
      </c>
    </row>
    <row r="16" spans="1:16" x14ac:dyDescent="0.2">
      <c r="A16" s="8">
        <v>7</v>
      </c>
      <c r="B16" s="8">
        <v>14</v>
      </c>
      <c r="D16">
        <v>948.45487364620999</v>
      </c>
      <c r="E16">
        <v>298.03429602888002</v>
      </c>
      <c r="F16">
        <v>131.08967391304</v>
      </c>
      <c r="G16">
        <v>113.09148550725</v>
      </c>
      <c r="I16" s="9">
        <f t="shared" si="1"/>
        <v>184.94281052163001</v>
      </c>
      <c r="J16" s="9">
        <f t="shared" si="2"/>
        <v>817.36519973317002</v>
      </c>
      <c r="K16" s="9">
        <f t="shared" si="3"/>
        <v>184.94281052163001</v>
      </c>
      <c r="L16" s="10">
        <f t="shared" si="0"/>
        <v>0.22626704755965246</v>
      </c>
      <c r="M16" s="10">
        <f t="shared" si="4"/>
        <v>0.22786672645366238</v>
      </c>
      <c r="P16" s="8">
        <f t="shared" si="5"/>
        <v>-0.11906445980147287</v>
      </c>
    </row>
    <row r="17" spans="1:16" x14ac:dyDescent="0.2">
      <c r="A17" s="8">
        <v>7.5</v>
      </c>
      <c r="B17" s="8">
        <v>15</v>
      </c>
      <c r="D17">
        <v>949.08876811593996</v>
      </c>
      <c r="E17">
        <v>299.72735507246</v>
      </c>
      <c r="F17">
        <v>131.5</v>
      </c>
      <c r="G17">
        <v>112.94655797100999</v>
      </c>
      <c r="I17" s="9">
        <f t="shared" si="1"/>
        <v>186.78079710144999</v>
      </c>
      <c r="J17" s="9">
        <f t="shared" si="2"/>
        <v>817.58876811593996</v>
      </c>
      <c r="K17" s="9">
        <f t="shared" si="3"/>
        <v>186.78079710144999</v>
      </c>
      <c r="L17" s="10">
        <f t="shared" si="0"/>
        <v>0.22845323270752557</v>
      </c>
      <c r="M17" s="10">
        <f t="shared" si="4"/>
        <v>0.23016717437967904</v>
      </c>
      <c r="P17" s="8">
        <f t="shared" si="5"/>
        <v>0.88929202378007621</v>
      </c>
    </row>
    <row r="18" spans="1:16" x14ac:dyDescent="0.2">
      <c r="A18" s="8">
        <v>8</v>
      </c>
      <c r="B18" s="8">
        <v>16</v>
      </c>
      <c r="D18">
        <v>956.89039855072997</v>
      </c>
      <c r="E18">
        <v>303.39764492754</v>
      </c>
      <c r="F18">
        <v>131.02083333332999</v>
      </c>
      <c r="G18">
        <v>112.54166666667</v>
      </c>
      <c r="I18" s="9">
        <f t="shared" si="1"/>
        <v>190.85597826087002</v>
      </c>
      <c r="J18" s="9">
        <f t="shared" si="2"/>
        <v>825.86956521740001</v>
      </c>
      <c r="K18" s="9">
        <f t="shared" si="3"/>
        <v>190.85597826087002</v>
      </c>
      <c r="L18" s="10">
        <f t="shared" si="0"/>
        <v>0.23109699921031662</v>
      </c>
      <c r="M18" s="10">
        <f t="shared" si="4"/>
        <v>0.23292520366061367</v>
      </c>
      <c r="P18" s="8">
        <f t="shared" si="5"/>
        <v>2.0982203702494364</v>
      </c>
    </row>
    <row r="19" spans="1:16" x14ac:dyDescent="0.2">
      <c r="A19" s="8">
        <v>8.5</v>
      </c>
      <c r="B19" s="8">
        <v>17</v>
      </c>
      <c r="D19">
        <v>955.02260397830003</v>
      </c>
      <c r="E19">
        <v>302.43218806509998</v>
      </c>
      <c r="F19">
        <v>131.65851449274999</v>
      </c>
      <c r="G19">
        <v>112.90760869565</v>
      </c>
      <c r="I19" s="9">
        <f t="shared" si="1"/>
        <v>189.52457936944998</v>
      </c>
      <c r="J19" s="9">
        <f t="shared" si="2"/>
        <v>823.36408948555004</v>
      </c>
      <c r="K19" s="9">
        <f t="shared" si="3"/>
        <v>189.52457936944998</v>
      </c>
      <c r="L19" s="10">
        <f t="shared" si="0"/>
        <v>0.23018319816190638</v>
      </c>
      <c r="M19" s="10">
        <f t="shared" si="4"/>
        <v>0.23212566539034699</v>
      </c>
      <c r="P19" s="8">
        <f t="shared" si="5"/>
        <v>1.7477583625781743</v>
      </c>
    </row>
    <row r="20" spans="1:16" x14ac:dyDescent="0.2">
      <c r="A20" s="8">
        <v>9</v>
      </c>
      <c r="B20" s="8">
        <v>18</v>
      </c>
      <c r="D20">
        <v>948.86708860759995</v>
      </c>
      <c r="E20">
        <v>303.24231464738</v>
      </c>
      <c r="F20">
        <v>131.30163043478001</v>
      </c>
      <c r="G20">
        <v>113.10778985507</v>
      </c>
      <c r="I20" s="9">
        <f t="shared" si="1"/>
        <v>190.13452479231</v>
      </c>
      <c r="J20" s="9">
        <f t="shared" si="2"/>
        <v>817.56545817281994</v>
      </c>
      <c r="K20" s="9">
        <f t="shared" si="3"/>
        <v>190.13452479231</v>
      </c>
      <c r="L20" s="10">
        <f t="shared" si="0"/>
        <v>0.2325618369656203</v>
      </c>
      <c r="M20" s="10">
        <f t="shared" si="4"/>
        <v>0.23461856697220448</v>
      </c>
      <c r="P20" s="8">
        <f t="shared" si="5"/>
        <v>2.8404731528448508</v>
      </c>
    </row>
    <row r="21" spans="1:16" x14ac:dyDescent="0.2">
      <c r="A21" s="8">
        <v>9.5</v>
      </c>
      <c r="B21" s="8">
        <v>19</v>
      </c>
      <c r="D21">
        <v>963.11678832117002</v>
      </c>
      <c r="E21">
        <v>305.14689781022003</v>
      </c>
      <c r="F21">
        <v>131.25452898551001</v>
      </c>
      <c r="G21">
        <v>113.10869565217</v>
      </c>
      <c r="I21" s="9">
        <f t="shared" si="1"/>
        <v>192.03820215805001</v>
      </c>
      <c r="J21" s="9">
        <f t="shared" si="2"/>
        <v>831.86225933566004</v>
      </c>
      <c r="K21" s="9">
        <f t="shared" si="3"/>
        <v>192.03820215805001</v>
      </c>
      <c r="L21" s="10">
        <f t="shared" si="0"/>
        <v>0.23085336544948573</v>
      </c>
      <c r="M21" s="10">
        <f t="shared" si="4"/>
        <v>0.23302435823421347</v>
      </c>
      <c r="P21" s="8">
        <f t="shared" si="5"/>
        <v>2.141682843811811</v>
      </c>
    </row>
    <row r="22" spans="1:16" x14ac:dyDescent="0.2">
      <c r="A22" s="8">
        <v>10</v>
      </c>
      <c r="B22" s="8">
        <v>20</v>
      </c>
      <c r="D22">
        <v>973.24361313868997</v>
      </c>
      <c r="E22">
        <v>307.65328467153</v>
      </c>
      <c r="F22">
        <v>131.32427536232001</v>
      </c>
      <c r="G22">
        <v>113.04528985507</v>
      </c>
      <c r="I22" s="9">
        <f t="shared" si="1"/>
        <v>194.60799481646001</v>
      </c>
      <c r="J22" s="9">
        <f t="shared" si="2"/>
        <v>841.91933777636996</v>
      </c>
      <c r="K22" s="9">
        <f t="shared" si="3"/>
        <v>194.60799481646001</v>
      </c>
      <c r="L22" s="10">
        <f t="shared" si="0"/>
        <v>0.23114802818337407</v>
      </c>
      <c r="M22" s="10">
        <f t="shared" si="4"/>
        <v>0.23343328374624536</v>
      </c>
      <c r="P22" s="8">
        <f t="shared" si="5"/>
        <v>2.3209273668874779</v>
      </c>
    </row>
    <row r="23" spans="1:16" x14ac:dyDescent="0.2">
      <c r="A23" s="8">
        <v>10.5</v>
      </c>
      <c r="B23" s="8">
        <v>21</v>
      </c>
      <c r="D23">
        <v>956.46223839853997</v>
      </c>
      <c r="E23">
        <v>303.11919927206998</v>
      </c>
      <c r="F23">
        <v>131.25815217390999</v>
      </c>
      <c r="G23">
        <v>113.10778985507</v>
      </c>
      <c r="I23" s="9">
        <f t="shared" si="1"/>
        <v>190.01140941699998</v>
      </c>
      <c r="J23" s="9">
        <f t="shared" si="2"/>
        <v>825.20408622462992</v>
      </c>
      <c r="K23" s="9">
        <f t="shared" si="3"/>
        <v>190.01140941699998</v>
      </c>
      <c r="L23" s="10">
        <f t="shared" si="0"/>
        <v>0.23025989884068113</v>
      </c>
      <c r="M23" s="10">
        <f t="shared" si="4"/>
        <v>0.232659417181696</v>
      </c>
      <c r="P23" s="8">
        <f t="shared" si="5"/>
        <v>1.9817180507515919</v>
      </c>
    </row>
    <row r="24" spans="1:16" x14ac:dyDescent="0.2">
      <c r="A24" s="8">
        <v>11</v>
      </c>
      <c r="B24" s="8">
        <v>22</v>
      </c>
      <c r="D24">
        <v>950.80758807587995</v>
      </c>
      <c r="E24">
        <v>301.93134598013</v>
      </c>
      <c r="F24">
        <v>131.6222826087</v>
      </c>
      <c r="G24">
        <v>112.92119565217</v>
      </c>
      <c r="I24" s="9">
        <f t="shared" si="1"/>
        <v>189.01015032795999</v>
      </c>
      <c r="J24" s="9">
        <f t="shared" si="2"/>
        <v>819.18530546717989</v>
      </c>
      <c r="K24" s="9">
        <f t="shared" si="3"/>
        <v>189.01015032795999</v>
      </c>
      <c r="L24" s="10">
        <f t="shared" si="0"/>
        <v>0.2307294199084392</v>
      </c>
      <c r="M24" s="10">
        <f t="shared" si="4"/>
        <v>0.23324320102759763</v>
      </c>
      <c r="P24" s="8">
        <f t="shared" si="5"/>
        <v>2.2376083142814336</v>
      </c>
    </row>
    <row r="25" spans="1:16" x14ac:dyDescent="0.2">
      <c r="A25" s="8">
        <v>11.5</v>
      </c>
      <c r="B25" s="8">
        <v>23</v>
      </c>
      <c r="D25">
        <v>946.43541102077995</v>
      </c>
      <c r="E25">
        <v>303.15356820235002</v>
      </c>
      <c r="F25">
        <v>131.68025362319</v>
      </c>
      <c r="G25">
        <v>113.05615942029</v>
      </c>
      <c r="I25" s="9">
        <f t="shared" si="1"/>
        <v>190.09740878206003</v>
      </c>
      <c r="J25" s="9">
        <f t="shared" si="2"/>
        <v>814.75515739758998</v>
      </c>
      <c r="K25" s="9">
        <f t="shared" si="3"/>
        <v>190.09740878206003</v>
      </c>
      <c r="L25" s="10">
        <f t="shared" si="0"/>
        <v>0.23331844794852272</v>
      </c>
      <c r="M25" s="10">
        <f t="shared" si="4"/>
        <v>0.23594649184582472</v>
      </c>
      <c r="P25" s="8">
        <f t="shared" si="5"/>
        <v>3.4225431231670038</v>
      </c>
    </row>
    <row r="26" spans="1:16" x14ac:dyDescent="0.2">
      <c r="A26" s="8">
        <v>12</v>
      </c>
      <c r="B26" s="8">
        <v>24</v>
      </c>
      <c r="D26">
        <v>953.46070460705005</v>
      </c>
      <c r="E26">
        <v>303.33604336042998</v>
      </c>
      <c r="F26">
        <v>131.24365942028999</v>
      </c>
      <c r="G26">
        <v>113.27717391304</v>
      </c>
      <c r="I26" s="9">
        <f t="shared" si="1"/>
        <v>190.05886944738998</v>
      </c>
      <c r="J26" s="9">
        <f t="shared" si="2"/>
        <v>822.21704518676006</v>
      </c>
      <c r="K26" s="9">
        <f t="shared" si="3"/>
        <v>190.05886944738998</v>
      </c>
      <c r="L26" s="10">
        <f t="shared" si="0"/>
        <v>0.23115413449525316</v>
      </c>
      <c r="M26" s="10">
        <f t="shared" si="4"/>
        <v>0.23389644117069872</v>
      </c>
      <c r="P26" s="8">
        <f t="shared" si="5"/>
        <v>2.5239433911080966</v>
      </c>
    </row>
    <row r="27" spans="1:16" x14ac:dyDescent="0.2">
      <c r="A27" s="8">
        <v>12.5</v>
      </c>
      <c r="B27" s="8">
        <v>25</v>
      </c>
      <c r="D27">
        <v>937.48057813911998</v>
      </c>
      <c r="E27">
        <v>301.85365853658999</v>
      </c>
      <c r="F27">
        <v>131.51902173913001</v>
      </c>
      <c r="G27">
        <v>113.06702898551001</v>
      </c>
      <c r="I27" s="9">
        <f t="shared" si="1"/>
        <v>188.78662955107998</v>
      </c>
      <c r="J27" s="9">
        <f t="shared" si="2"/>
        <v>805.96155639998995</v>
      </c>
      <c r="K27" s="9">
        <f t="shared" si="3"/>
        <v>188.78662955107998</v>
      </c>
      <c r="L27" s="10">
        <f t="shared" si="0"/>
        <v>0.23423775991790263</v>
      </c>
      <c r="M27" s="10">
        <f t="shared" si="4"/>
        <v>0.23709432937149177</v>
      </c>
      <c r="P27" s="8">
        <f t="shared" si="5"/>
        <v>3.9256753166910352</v>
      </c>
    </row>
    <row r="28" spans="1:16" x14ac:dyDescent="0.2">
      <c r="A28" s="8">
        <v>13</v>
      </c>
      <c r="B28" s="8">
        <v>26</v>
      </c>
      <c r="D28">
        <v>929.57452574525996</v>
      </c>
      <c r="E28">
        <v>297.43089430894003</v>
      </c>
      <c r="F28">
        <v>131.51902173913001</v>
      </c>
      <c r="G28">
        <v>113.21467391304</v>
      </c>
      <c r="I28" s="9">
        <f t="shared" si="1"/>
        <v>184.21622039590002</v>
      </c>
      <c r="J28" s="9">
        <f t="shared" si="2"/>
        <v>798.05550400612992</v>
      </c>
      <c r="K28" s="9">
        <f t="shared" si="3"/>
        <v>184.21622039590002</v>
      </c>
      <c r="L28" s="10">
        <f t="shared" si="0"/>
        <v>0.23083133876172734</v>
      </c>
      <c r="M28" s="10">
        <f t="shared" si="4"/>
        <v>0.23380217099346004</v>
      </c>
      <c r="P28" s="8">
        <f t="shared" si="5"/>
        <v>2.482621897432038</v>
      </c>
    </row>
    <row r="29" spans="1:16" x14ac:dyDescent="0.2">
      <c r="A29" s="8">
        <v>13.5</v>
      </c>
      <c r="B29" s="8">
        <v>27</v>
      </c>
      <c r="D29">
        <v>919.04607046070998</v>
      </c>
      <c r="E29">
        <v>296.53477868111997</v>
      </c>
      <c r="F29">
        <v>131.68568840579999</v>
      </c>
      <c r="G29">
        <v>113.08514492754</v>
      </c>
      <c r="I29" s="9">
        <f t="shared" si="1"/>
        <v>183.44963375357997</v>
      </c>
      <c r="J29" s="9">
        <f t="shared" si="2"/>
        <v>787.36038205491002</v>
      </c>
      <c r="K29" s="9">
        <f t="shared" si="3"/>
        <v>183.44963375357997</v>
      </c>
      <c r="L29" s="10">
        <f t="shared" si="0"/>
        <v>0.23299322385868573</v>
      </c>
      <c r="M29" s="10">
        <f t="shared" si="4"/>
        <v>0.23607831886856198</v>
      </c>
      <c r="P29" s="8">
        <f t="shared" si="5"/>
        <v>3.4803269276100535</v>
      </c>
    </row>
    <row r="30" spans="1:16" x14ac:dyDescent="0.2">
      <c r="A30" s="8">
        <v>14</v>
      </c>
      <c r="B30" s="8">
        <v>28</v>
      </c>
      <c r="D30">
        <v>923.26829268293</v>
      </c>
      <c r="E30">
        <v>297.26648599818998</v>
      </c>
      <c r="F30">
        <v>131.49456521739</v>
      </c>
      <c r="G30">
        <v>113.14492753623</v>
      </c>
      <c r="I30" s="9">
        <f t="shared" si="1"/>
        <v>184.12155846195998</v>
      </c>
      <c r="J30" s="9">
        <f t="shared" si="2"/>
        <v>791.77372746553999</v>
      </c>
      <c r="K30" s="9">
        <f t="shared" si="3"/>
        <v>184.12155846195998</v>
      </c>
      <c r="L30" s="10">
        <f t="shared" si="0"/>
        <v>0.2325431522605976</v>
      </c>
      <c r="M30" s="10">
        <f t="shared" si="4"/>
        <v>0.23574251004861743</v>
      </c>
      <c r="P30" s="8">
        <f t="shared" si="5"/>
        <v>3.3331316805429814</v>
      </c>
    </row>
    <row r="31" spans="1:16" x14ac:dyDescent="0.2">
      <c r="A31" s="8">
        <v>14.5</v>
      </c>
      <c r="B31" s="8">
        <v>29</v>
      </c>
      <c r="D31">
        <v>913.76513098464</v>
      </c>
      <c r="E31">
        <v>294.57633242998998</v>
      </c>
      <c r="F31">
        <v>131.54710144928001</v>
      </c>
      <c r="G31">
        <v>113.21105072464</v>
      </c>
      <c r="I31" s="9">
        <f t="shared" si="1"/>
        <v>181.36528170534996</v>
      </c>
      <c r="J31" s="9">
        <f t="shared" si="2"/>
        <v>782.21802953535996</v>
      </c>
      <c r="K31" s="9">
        <f t="shared" si="3"/>
        <v>181.36528170534996</v>
      </c>
      <c r="L31" s="10">
        <f t="shared" si="0"/>
        <v>0.23186026767125467</v>
      </c>
      <c r="M31" s="10">
        <f t="shared" si="4"/>
        <v>0.23517388823741806</v>
      </c>
      <c r="P31" s="8">
        <f t="shared" si="5"/>
        <v>3.0838873992252998</v>
      </c>
    </row>
    <row r="32" spans="1:16" x14ac:dyDescent="0.2">
      <c r="A32" s="8">
        <v>15</v>
      </c>
      <c r="B32" s="8">
        <v>30</v>
      </c>
      <c r="D32">
        <v>937.83378500452</v>
      </c>
      <c r="E32">
        <v>300.75880758808</v>
      </c>
      <c r="F32">
        <v>132.09329710144999</v>
      </c>
      <c r="G32">
        <v>113.27536231884</v>
      </c>
      <c r="I32" s="9">
        <f t="shared" si="1"/>
        <v>187.48344526924001</v>
      </c>
      <c r="J32" s="9">
        <f t="shared" si="2"/>
        <v>805.74048790307006</v>
      </c>
      <c r="K32" s="9">
        <f t="shared" si="3"/>
        <v>187.48344526924001</v>
      </c>
      <c r="L32" s="10">
        <f t="shared" si="0"/>
        <v>0.23268465229687466</v>
      </c>
      <c r="M32" s="10">
        <f t="shared" si="4"/>
        <v>0.23611253564118162</v>
      </c>
      <c r="P32" s="8">
        <f t="shared" si="5"/>
        <v>3.4953251825707694</v>
      </c>
    </row>
    <row r="33" spans="1:16" x14ac:dyDescent="0.2">
      <c r="A33" s="8">
        <v>15.5</v>
      </c>
      <c r="B33" s="8">
        <v>31</v>
      </c>
      <c r="D33">
        <v>941.24410163338996</v>
      </c>
      <c r="E33">
        <v>301.76769509982</v>
      </c>
      <c r="F33">
        <v>132.04619565217001</v>
      </c>
      <c r="G33">
        <v>113.15579710145001</v>
      </c>
      <c r="I33" s="9">
        <f t="shared" si="1"/>
        <v>188.61189799837001</v>
      </c>
      <c r="J33" s="9">
        <f t="shared" si="2"/>
        <v>809.19790598121995</v>
      </c>
      <c r="K33" s="9">
        <f t="shared" si="3"/>
        <v>188.61189799837001</v>
      </c>
      <c r="L33" s="10">
        <f t="shared" si="0"/>
        <v>0.23308500504541266</v>
      </c>
      <c r="M33" s="10">
        <f t="shared" si="4"/>
        <v>0.23662715116786318</v>
      </c>
      <c r="P33" s="8">
        <f t="shared" si="5"/>
        <v>3.7208968623347225</v>
      </c>
    </row>
    <row r="34" spans="1:16" x14ac:dyDescent="0.2">
      <c r="A34" s="8">
        <v>16</v>
      </c>
      <c r="B34" s="8">
        <v>32</v>
      </c>
      <c r="D34">
        <v>948.50272232304997</v>
      </c>
      <c r="E34">
        <v>300.80943738656998</v>
      </c>
      <c r="F34">
        <v>131.74456521739</v>
      </c>
      <c r="G34">
        <v>113.09420289854999</v>
      </c>
      <c r="I34" s="9">
        <f t="shared" si="1"/>
        <v>187.71523448801997</v>
      </c>
      <c r="J34" s="9">
        <f t="shared" si="2"/>
        <v>816.75815710565996</v>
      </c>
      <c r="K34" s="9">
        <f t="shared" si="3"/>
        <v>187.71523448801997</v>
      </c>
      <c r="L34" s="10">
        <f t="shared" si="0"/>
        <v>0.22982964155904498</v>
      </c>
      <c r="M34" s="10">
        <f t="shared" si="4"/>
        <v>0.23348605045963905</v>
      </c>
      <c r="P34" s="8">
        <f t="shared" si="5"/>
        <v>2.3440566266138418</v>
      </c>
    </row>
    <row r="35" spans="1:16" x14ac:dyDescent="0.2">
      <c r="A35" s="8">
        <v>16.5</v>
      </c>
      <c r="B35" s="8">
        <v>33</v>
      </c>
      <c r="D35">
        <v>949.49637023594005</v>
      </c>
      <c r="E35">
        <v>302.17422867514</v>
      </c>
      <c r="F35">
        <v>131.98822463767999</v>
      </c>
      <c r="G35">
        <v>113.19112318841</v>
      </c>
      <c r="I35" s="9">
        <f t="shared" si="1"/>
        <v>188.98310548672998</v>
      </c>
      <c r="J35" s="9">
        <f t="shared" si="2"/>
        <v>817.50814559826006</v>
      </c>
      <c r="K35" s="9">
        <f t="shared" si="3"/>
        <v>188.98310548672998</v>
      </c>
      <c r="L35" s="10">
        <f t="shared" si="0"/>
        <v>0.23116969109638705</v>
      </c>
      <c r="M35" s="10">
        <f t="shared" si="4"/>
        <v>0.2349403627751247</v>
      </c>
      <c r="P35" s="8">
        <f t="shared" si="5"/>
        <v>2.981526067190011</v>
      </c>
    </row>
    <row r="36" spans="1:16" x14ac:dyDescent="0.2">
      <c r="A36" s="8">
        <v>17</v>
      </c>
      <c r="B36" s="8">
        <v>34</v>
      </c>
      <c r="D36">
        <v>941.29690346083999</v>
      </c>
      <c r="E36">
        <v>298.87249544627002</v>
      </c>
      <c r="F36">
        <v>131.34420289855001</v>
      </c>
      <c r="G36">
        <v>113.09420289854999</v>
      </c>
      <c r="I36" s="9">
        <f t="shared" si="1"/>
        <v>185.77829254772001</v>
      </c>
      <c r="J36" s="9">
        <f t="shared" si="2"/>
        <v>809.95270056228992</v>
      </c>
      <c r="K36" s="9">
        <f t="shared" si="3"/>
        <v>185.77829254772001</v>
      </c>
      <c r="L36" s="10">
        <f t="shared" si="0"/>
        <v>0.22936931060140667</v>
      </c>
      <c r="M36" s="10">
        <f t="shared" si="4"/>
        <v>0.23325424505828787</v>
      </c>
      <c r="P36" s="8">
        <f t="shared" si="5"/>
        <v>2.2424492497468425</v>
      </c>
    </row>
    <row r="37" spans="1:16" x14ac:dyDescent="0.2">
      <c r="A37" s="8">
        <v>17.5</v>
      </c>
      <c r="B37" s="8">
        <v>35</v>
      </c>
      <c r="D37">
        <v>951.90072859744998</v>
      </c>
      <c r="E37">
        <v>300.43169398907003</v>
      </c>
      <c r="F37">
        <v>132.00543478261</v>
      </c>
      <c r="G37">
        <v>113.37047101448999</v>
      </c>
      <c r="I37" s="9">
        <f t="shared" si="1"/>
        <v>187.06122297458003</v>
      </c>
      <c r="J37" s="9">
        <f t="shared" si="2"/>
        <v>819.89529381483999</v>
      </c>
      <c r="K37" s="9">
        <f t="shared" si="3"/>
        <v>187.06122297458003</v>
      </c>
      <c r="L37" s="10">
        <f t="shared" si="0"/>
        <v>0.22815257556146526</v>
      </c>
      <c r="M37" s="10">
        <f t="shared" si="4"/>
        <v>0.23215177279649005</v>
      </c>
      <c r="P37" s="8">
        <f t="shared" si="5"/>
        <v>1.7592020348978676</v>
      </c>
    </row>
    <row r="38" spans="1:16" x14ac:dyDescent="0.2">
      <c r="A38" s="8">
        <v>18</v>
      </c>
      <c r="B38" s="8">
        <v>36</v>
      </c>
      <c r="D38">
        <v>935.39708561019995</v>
      </c>
      <c r="E38">
        <v>298.64754098360999</v>
      </c>
      <c r="F38">
        <v>131.9972826087</v>
      </c>
      <c r="G38">
        <v>113.53713768116</v>
      </c>
      <c r="I38" s="9">
        <f t="shared" si="1"/>
        <v>185.11040330244998</v>
      </c>
      <c r="J38" s="9">
        <f t="shared" si="2"/>
        <v>803.3998030015</v>
      </c>
      <c r="K38" s="9">
        <f t="shared" si="3"/>
        <v>185.11040330244998</v>
      </c>
      <c r="L38" s="10">
        <f t="shared" si="0"/>
        <v>0.2304088233664956</v>
      </c>
      <c r="M38" s="10">
        <f t="shared" si="4"/>
        <v>0.23452228337966394</v>
      </c>
      <c r="P38" s="8">
        <f t="shared" si="5"/>
        <v>2.7982691178381129</v>
      </c>
    </row>
    <row r="39" spans="1:16" x14ac:dyDescent="0.2">
      <c r="A39" s="8">
        <v>18.5</v>
      </c>
      <c r="B39" s="8">
        <v>37</v>
      </c>
      <c r="D39">
        <v>940.90255009108</v>
      </c>
      <c r="E39">
        <v>299.56830601092997</v>
      </c>
      <c r="F39">
        <v>132.00634057971001</v>
      </c>
      <c r="G39">
        <v>113.22735507246</v>
      </c>
      <c r="I39" s="9">
        <f t="shared" si="1"/>
        <v>186.34095093846997</v>
      </c>
      <c r="J39" s="9">
        <f t="shared" si="2"/>
        <v>808.89620951136999</v>
      </c>
      <c r="K39" s="9">
        <f t="shared" si="3"/>
        <v>186.34095093846997</v>
      </c>
      <c r="L39" s="10">
        <f t="shared" si="0"/>
        <v>0.23036447537692503</v>
      </c>
      <c r="M39" s="10">
        <f t="shared" si="4"/>
        <v>0.23459219816823695</v>
      </c>
      <c r="P39" s="8">
        <f t="shared" si="5"/>
        <v>2.8289149018867468</v>
      </c>
    </row>
    <row r="40" spans="1:16" x14ac:dyDescent="0.2">
      <c r="A40" s="8">
        <v>19</v>
      </c>
      <c r="B40" s="8">
        <v>38</v>
      </c>
      <c r="D40">
        <v>946.17213114753997</v>
      </c>
      <c r="E40">
        <v>300.57377049180002</v>
      </c>
      <c r="F40">
        <v>131.48913043478001</v>
      </c>
      <c r="G40">
        <v>113.12681159420001</v>
      </c>
      <c r="I40" s="9">
        <f t="shared" si="1"/>
        <v>187.44695889760001</v>
      </c>
      <c r="J40" s="9">
        <f t="shared" si="2"/>
        <v>814.68300071275996</v>
      </c>
      <c r="K40" s="9">
        <f t="shared" si="3"/>
        <v>187.44695889760001</v>
      </c>
      <c r="L40" s="10">
        <f t="shared" si="0"/>
        <v>0.23008576186517221</v>
      </c>
      <c r="M40" s="10">
        <f t="shared" si="4"/>
        <v>0.23442774743462769</v>
      </c>
      <c r="P40" s="8">
        <f t="shared" si="5"/>
        <v>2.7568311300311583</v>
      </c>
    </row>
    <row r="41" spans="1:16" x14ac:dyDescent="0.2">
      <c r="A41" s="8">
        <v>19.5</v>
      </c>
      <c r="B41" s="8">
        <v>39</v>
      </c>
      <c r="D41">
        <v>946.20673952641005</v>
      </c>
      <c r="E41">
        <v>301.65300546447997</v>
      </c>
      <c r="F41">
        <v>132.35869565217001</v>
      </c>
      <c r="G41">
        <v>113.28079710145001</v>
      </c>
      <c r="I41" s="9">
        <f t="shared" si="1"/>
        <v>188.37220836302998</v>
      </c>
      <c r="J41" s="9">
        <f t="shared" si="2"/>
        <v>813.84804387424003</v>
      </c>
      <c r="K41" s="9">
        <f t="shared" si="3"/>
        <v>188.37220836302998</v>
      </c>
      <c r="L41" s="10">
        <f t="shared" si="0"/>
        <v>0.23145869770271049</v>
      </c>
      <c r="M41" s="10">
        <f t="shared" si="4"/>
        <v>0.23591494605030952</v>
      </c>
      <c r="P41" s="8">
        <f t="shared" si="5"/>
        <v>3.408715638928935</v>
      </c>
    </row>
    <row r="42" spans="1:16" x14ac:dyDescent="0.2">
      <c r="A42" s="8">
        <v>20</v>
      </c>
      <c r="B42" s="8">
        <v>40</v>
      </c>
      <c r="D42">
        <v>932.17668488159995</v>
      </c>
      <c r="E42">
        <v>297.12112932604998</v>
      </c>
      <c r="F42">
        <v>131.92300724638</v>
      </c>
      <c r="G42">
        <v>113.1847826087</v>
      </c>
      <c r="I42" s="9">
        <f t="shared" si="1"/>
        <v>183.93634671734998</v>
      </c>
      <c r="J42" s="9">
        <f t="shared" si="2"/>
        <v>800.2536776352199</v>
      </c>
      <c r="K42" s="9">
        <f t="shared" si="3"/>
        <v>183.93634671734998</v>
      </c>
      <c r="L42" s="10">
        <f t="shared" si="0"/>
        <v>0.22984754941819061</v>
      </c>
      <c r="M42" s="10">
        <f t="shared" si="4"/>
        <v>0.23441806054393322</v>
      </c>
      <c r="P42" s="8">
        <f t="shared" si="5"/>
        <v>2.7525850704150949</v>
      </c>
    </row>
    <row r="43" spans="1:16" x14ac:dyDescent="0.2">
      <c r="A43" s="8">
        <v>20.5</v>
      </c>
      <c r="B43" s="8">
        <v>41</v>
      </c>
      <c r="D43">
        <v>937.87431693989004</v>
      </c>
      <c r="E43">
        <v>296.74954462659002</v>
      </c>
      <c r="F43">
        <v>131.94293478261</v>
      </c>
      <c r="G43">
        <v>113.07518115942</v>
      </c>
      <c r="I43" s="9">
        <f t="shared" si="1"/>
        <v>183.67436346717002</v>
      </c>
      <c r="J43" s="9">
        <f t="shared" si="2"/>
        <v>805.93138215728004</v>
      </c>
      <c r="K43" s="9">
        <f t="shared" si="3"/>
        <v>183.67436346717002</v>
      </c>
      <c r="L43" s="10">
        <f t="shared" si="0"/>
        <v>0.22790322790945172</v>
      </c>
      <c r="M43" s="10">
        <f t="shared" si="4"/>
        <v>0.23258800181333789</v>
      </c>
      <c r="P43" s="8">
        <f t="shared" si="5"/>
        <v>1.9504145168194154</v>
      </c>
    </row>
    <row r="44" spans="1:16" x14ac:dyDescent="0.2">
      <c r="A44" s="8">
        <v>21</v>
      </c>
      <c r="B44" s="8">
        <v>42</v>
      </c>
      <c r="D44">
        <v>924.45347786810999</v>
      </c>
      <c r="E44">
        <v>293.75338753388002</v>
      </c>
      <c r="F44">
        <v>131.57971014493</v>
      </c>
      <c r="G44">
        <v>113.15489130435</v>
      </c>
      <c r="I44" s="9">
        <f t="shared" si="1"/>
        <v>180.59849622953001</v>
      </c>
      <c r="J44" s="9">
        <f t="shared" si="2"/>
        <v>792.87376772317998</v>
      </c>
      <c r="K44" s="9">
        <f t="shared" si="3"/>
        <v>180.59849622953001</v>
      </c>
      <c r="L44" s="10">
        <f t="shared" si="0"/>
        <v>0.22777711103765924</v>
      </c>
      <c r="M44" s="10">
        <f t="shared" si="4"/>
        <v>0.23257614771968899</v>
      </c>
      <c r="P44" s="8">
        <f t="shared" si="5"/>
        <v>1.9452185060544385</v>
      </c>
    </row>
    <row r="45" spans="1:16" x14ac:dyDescent="0.2">
      <c r="A45" s="8">
        <v>21.5</v>
      </c>
      <c r="B45" s="8">
        <v>43</v>
      </c>
      <c r="D45">
        <v>914.9476534296</v>
      </c>
      <c r="E45">
        <v>291.39259927798003</v>
      </c>
      <c r="F45">
        <v>132.27898550725001</v>
      </c>
      <c r="G45">
        <v>113.19565217391001</v>
      </c>
      <c r="I45" s="9">
        <f t="shared" si="1"/>
        <v>178.19694710407003</v>
      </c>
      <c r="J45" s="9">
        <f t="shared" si="2"/>
        <v>782.66866792234998</v>
      </c>
      <c r="K45" s="9">
        <f t="shared" si="3"/>
        <v>178.19694710407003</v>
      </c>
      <c r="L45" s="10">
        <f t="shared" si="0"/>
        <v>0.22767865178135543</v>
      </c>
      <c r="M45" s="10">
        <f t="shared" si="4"/>
        <v>0.23259195124152873</v>
      </c>
      <c r="P45" s="8">
        <f t="shared" si="5"/>
        <v>1.9521456716426311</v>
      </c>
    </row>
    <row r="46" spans="1:16" x14ac:dyDescent="0.2">
      <c r="A46" s="8">
        <v>22</v>
      </c>
      <c r="B46" s="8">
        <v>44</v>
      </c>
      <c r="D46">
        <v>912.83303249098003</v>
      </c>
      <c r="E46">
        <v>290.68772563176998</v>
      </c>
      <c r="F46">
        <v>132.03260869565</v>
      </c>
      <c r="G46">
        <v>113.10416666667</v>
      </c>
      <c r="I46" s="9">
        <f t="shared" si="1"/>
        <v>177.5835589651</v>
      </c>
      <c r="J46" s="9">
        <f t="shared" si="2"/>
        <v>780.80042379533006</v>
      </c>
      <c r="K46" s="9">
        <f t="shared" si="3"/>
        <v>177.5835589651</v>
      </c>
      <c r="L46" s="10">
        <f t="shared" si="0"/>
        <v>0.22743783629355416</v>
      </c>
      <c r="M46" s="10">
        <f t="shared" si="4"/>
        <v>0.23246539853187101</v>
      </c>
      <c r="P46" s="8">
        <f t="shared" si="5"/>
        <v>1.8966737594750114</v>
      </c>
    </row>
    <row r="47" spans="1:16" x14ac:dyDescent="0.2">
      <c r="A47" s="8">
        <v>22.5</v>
      </c>
      <c r="B47" s="8">
        <v>45</v>
      </c>
      <c r="D47">
        <v>910.51263537906004</v>
      </c>
      <c r="E47">
        <v>289.47202166065</v>
      </c>
      <c r="F47">
        <v>131.78713768116</v>
      </c>
      <c r="G47">
        <v>113.32427536231999</v>
      </c>
      <c r="I47" s="9">
        <f t="shared" si="1"/>
        <v>176.14774629832999</v>
      </c>
      <c r="J47" s="9">
        <f t="shared" si="2"/>
        <v>778.72549769789998</v>
      </c>
      <c r="K47" s="9">
        <f t="shared" si="3"/>
        <v>176.14774629832999</v>
      </c>
      <c r="L47" s="10">
        <f t="shared" si="0"/>
        <v>0.22620004972107005</v>
      </c>
      <c r="M47" s="10">
        <f t="shared" si="4"/>
        <v>0.23134187473753048</v>
      </c>
      <c r="P47" s="8">
        <f t="shared" si="5"/>
        <v>1.4041990158962232</v>
      </c>
    </row>
    <row r="48" spans="1:16" x14ac:dyDescent="0.2">
      <c r="A48" s="8">
        <v>23</v>
      </c>
      <c r="B48" s="8">
        <v>46</v>
      </c>
      <c r="D48">
        <v>937.13718411551997</v>
      </c>
      <c r="E48">
        <v>299.3583032491</v>
      </c>
      <c r="F48">
        <v>132.08242753623</v>
      </c>
      <c r="G48">
        <v>113.47735507246</v>
      </c>
      <c r="I48" s="9">
        <f t="shared" si="1"/>
        <v>185.88094817664</v>
      </c>
      <c r="J48" s="9">
        <f t="shared" si="2"/>
        <v>805.05475657928991</v>
      </c>
      <c r="K48" s="9">
        <f t="shared" si="3"/>
        <v>185.88094817664</v>
      </c>
      <c r="L48" s="10">
        <f t="shared" si="0"/>
        <v>0.23089230472527811</v>
      </c>
      <c r="M48" s="10">
        <f t="shared" si="4"/>
        <v>0.23614839251988209</v>
      </c>
      <c r="P48" s="8">
        <f t="shared" si="5"/>
        <v>3.5110423460456355</v>
      </c>
    </row>
    <row r="49" spans="1:25" x14ac:dyDescent="0.2">
      <c r="A49" s="8">
        <v>23.5</v>
      </c>
      <c r="B49" s="8">
        <v>47</v>
      </c>
      <c r="D49">
        <v>931.84489051094999</v>
      </c>
      <c r="E49">
        <v>294.81113138685998</v>
      </c>
      <c r="F49">
        <v>131.87318840579999</v>
      </c>
      <c r="G49">
        <v>113.04800724638</v>
      </c>
      <c r="I49" s="9">
        <f t="shared" si="1"/>
        <v>181.76312414047999</v>
      </c>
      <c r="J49" s="9">
        <f t="shared" si="2"/>
        <v>799.97170210515003</v>
      </c>
      <c r="K49" s="9">
        <f t="shared" si="3"/>
        <v>181.76312414047999</v>
      </c>
      <c r="L49" s="10">
        <f t="shared" si="0"/>
        <v>0.22721194220016128</v>
      </c>
      <c r="M49" s="10">
        <f t="shared" si="4"/>
        <v>0.23258229277290884</v>
      </c>
      <c r="P49" s="8">
        <f t="shared" si="5"/>
        <v>1.9479120702886557</v>
      </c>
    </row>
    <row r="50" spans="1:25" x14ac:dyDescent="0.2">
      <c r="A50" s="8">
        <v>24</v>
      </c>
      <c r="B50" s="8">
        <v>48</v>
      </c>
      <c r="D50">
        <v>916.10127737226003</v>
      </c>
      <c r="E50">
        <v>293.24543795620002</v>
      </c>
      <c r="F50">
        <v>131.61322463767999</v>
      </c>
      <c r="G50">
        <v>113.51630434783</v>
      </c>
      <c r="I50" s="9">
        <f t="shared" si="1"/>
        <v>179.72913360837003</v>
      </c>
      <c r="J50" s="9">
        <f t="shared" si="2"/>
        <v>784.48805273458004</v>
      </c>
      <c r="K50" s="9">
        <f t="shared" si="3"/>
        <v>179.72913360837003</v>
      </c>
      <c r="L50" s="10">
        <f t="shared" si="0"/>
        <v>0.22910372309924615</v>
      </c>
      <c r="M50" s="10">
        <f t="shared" si="4"/>
        <v>0.23458833645013727</v>
      </c>
      <c r="P50" s="8">
        <f t="shared" si="5"/>
        <v>2.8272221930714143</v>
      </c>
    </row>
    <row r="51" spans="1:25" x14ac:dyDescent="0.2">
      <c r="A51" s="8">
        <v>24.5</v>
      </c>
      <c r="B51" s="8">
        <v>49</v>
      </c>
      <c r="D51">
        <v>910.61131386860995</v>
      </c>
      <c r="E51">
        <v>293.23175182481998</v>
      </c>
      <c r="F51">
        <v>131.93840579709999</v>
      </c>
      <c r="G51">
        <v>113.38043478261</v>
      </c>
      <c r="I51" s="9">
        <f t="shared" si="1"/>
        <v>179.85131704220998</v>
      </c>
      <c r="J51" s="9">
        <f t="shared" si="2"/>
        <v>778.67290807150994</v>
      </c>
      <c r="K51" s="9">
        <f t="shared" si="3"/>
        <v>179.85131704220998</v>
      </c>
      <c r="L51" s="10">
        <f t="shared" si="0"/>
        <v>0.23097158662889197</v>
      </c>
      <c r="M51" s="10">
        <f t="shared" si="4"/>
        <v>0.23657046275792668</v>
      </c>
      <c r="P51" s="8">
        <f t="shared" si="5"/>
        <v>3.6960486034122186</v>
      </c>
    </row>
    <row r="52" spans="1:25" x14ac:dyDescent="0.2">
      <c r="A52" s="8">
        <v>25</v>
      </c>
      <c r="B52" s="8">
        <v>50</v>
      </c>
      <c r="D52">
        <v>872.87956204379998</v>
      </c>
      <c r="E52">
        <v>284.88777372263002</v>
      </c>
      <c r="F52">
        <v>132.45833333332999</v>
      </c>
      <c r="G52">
        <v>113.73007246377</v>
      </c>
      <c r="I52" s="9">
        <f t="shared" si="1"/>
        <v>171.15770125886002</v>
      </c>
      <c r="J52" s="9">
        <f t="shared" si="2"/>
        <v>740.42122871047002</v>
      </c>
      <c r="K52" s="9">
        <f t="shared" si="3"/>
        <v>171.15770125886002</v>
      </c>
      <c r="L52" s="10">
        <f t="shared" si="0"/>
        <v>0.23116260666506164</v>
      </c>
      <c r="M52" s="10">
        <f t="shared" si="4"/>
        <v>0.23687574557223989</v>
      </c>
      <c r="P52" s="8">
        <f t="shared" si="5"/>
        <v>3.82986337124823</v>
      </c>
    </row>
    <row r="53" spans="1:25" x14ac:dyDescent="0.2">
      <c r="A53" s="8">
        <v>25.5</v>
      </c>
      <c r="B53" s="8">
        <v>51</v>
      </c>
      <c r="D53">
        <v>917.64434389140001</v>
      </c>
      <c r="E53">
        <v>296.00633484163001</v>
      </c>
      <c r="F53">
        <v>131.65670289855001</v>
      </c>
      <c r="G53">
        <v>113.5</v>
      </c>
      <c r="I53" s="9">
        <f t="shared" si="1"/>
        <v>182.50633484163001</v>
      </c>
      <c r="J53" s="9">
        <f t="shared" si="2"/>
        <v>785.98764099284995</v>
      </c>
      <c r="K53" s="9">
        <f t="shared" si="3"/>
        <v>182.50633484163001</v>
      </c>
      <c r="L53" s="10">
        <f t="shared" si="0"/>
        <v>0.23220000585644102</v>
      </c>
      <c r="M53" s="10">
        <f t="shared" si="4"/>
        <v>0.23802740754176283</v>
      </c>
      <c r="P53" s="8">
        <f t="shared" si="5"/>
        <v>4.3346719351497693</v>
      </c>
      <c r="S53" s="11"/>
      <c r="U53" s="12"/>
    </row>
    <row r="54" spans="1:25" x14ac:dyDescent="0.2">
      <c r="A54" s="8">
        <v>26</v>
      </c>
      <c r="B54" s="8">
        <v>52</v>
      </c>
      <c r="D54">
        <v>933.59004524886996</v>
      </c>
      <c r="E54">
        <v>298.27692307692001</v>
      </c>
      <c r="F54">
        <v>132.00724637681</v>
      </c>
      <c r="G54">
        <v>113.32518115942</v>
      </c>
      <c r="I54" s="9">
        <f t="shared" si="1"/>
        <v>184.95174191750002</v>
      </c>
      <c r="J54" s="9">
        <f t="shared" si="2"/>
        <v>801.58279887205993</v>
      </c>
      <c r="K54" s="9">
        <f t="shared" si="3"/>
        <v>184.95174191750002</v>
      </c>
      <c r="L54" s="10">
        <f t="shared" si="0"/>
        <v>0.23073317214111033</v>
      </c>
      <c r="M54" s="10">
        <f t="shared" si="4"/>
        <v>0.23667483660457572</v>
      </c>
      <c r="P54" s="8">
        <f t="shared" si="5"/>
        <v>3.7417988435261735</v>
      </c>
      <c r="S54" s="11"/>
    </row>
    <row r="55" spans="1:25" x14ac:dyDescent="0.2">
      <c r="A55" s="8">
        <v>26.5</v>
      </c>
      <c r="B55" s="8">
        <v>53</v>
      </c>
      <c r="D55">
        <v>947.92948717949002</v>
      </c>
      <c r="E55">
        <v>297.7032967033</v>
      </c>
      <c r="F55">
        <v>132.00634057971001</v>
      </c>
      <c r="G55">
        <v>113.65307971015</v>
      </c>
      <c r="I55" s="9">
        <f t="shared" si="1"/>
        <v>184.05021699315</v>
      </c>
      <c r="J55" s="9">
        <f t="shared" si="2"/>
        <v>815.92314659978001</v>
      </c>
      <c r="K55" s="9">
        <f t="shared" si="3"/>
        <v>184.05021699315</v>
      </c>
      <c r="L55" s="10">
        <f t="shared" si="0"/>
        <v>0.22557298167131029</v>
      </c>
      <c r="M55" s="10">
        <f t="shared" si="4"/>
        <v>0.23162890891291923</v>
      </c>
      <c r="P55" s="8">
        <f t="shared" si="5"/>
        <v>1.5300148487561729</v>
      </c>
      <c r="S55" s="11"/>
    </row>
    <row r="56" spans="1:25" x14ac:dyDescent="0.2">
      <c r="A56" s="8">
        <v>27</v>
      </c>
      <c r="B56" s="8">
        <v>54</v>
      </c>
      <c r="D56">
        <v>946.32727272727004</v>
      </c>
      <c r="E56">
        <v>297.92727272727001</v>
      </c>
      <c r="F56">
        <v>132.02173913044001</v>
      </c>
      <c r="G56">
        <v>113.5625</v>
      </c>
      <c r="I56" s="9">
        <f t="shared" si="1"/>
        <v>184.36477272727001</v>
      </c>
      <c r="J56" s="9">
        <f t="shared" si="2"/>
        <v>814.30553359683006</v>
      </c>
      <c r="K56" s="9">
        <f t="shared" si="3"/>
        <v>184.36477272727001</v>
      </c>
      <c r="L56" s="10">
        <f t="shared" si="0"/>
        <v>0.22640736814463386</v>
      </c>
      <c r="M56" s="10">
        <f t="shared" si="4"/>
        <v>0.23257755816438638</v>
      </c>
      <c r="P56" s="8">
        <f t="shared" si="5"/>
        <v>1.9458367469801598</v>
      </c>
      <c r="S56" s="11"/>
    </row>
    <row r="57" spans="1:25" x14ac:dyDescent="0.2">
      <c r="A57" s="8">
        <v>27.5</v>
      </c>
      <c r="B57" s="8">
        <v>55</v>
      </c>
      <c r="D57">
        <v>951.76615104640996</v>
      </c>
      <c r="E57">
        <v>297.30027297543</v>
      </c>
      <c r="F57">
        <v>131.90760869565</v>
      </c>
      <c r="G57">
        <v>113.70561594202999</v>
      </c>
      <c r="I57" s="9">
        <f t="shared" si="1"/>
        <v>183.59465703340001</v>
      </c>
      <c r="J57" s="9">
        <f t="shared" si="2"/>
        <v>819.85854235075999</v>
      </c>
      <c r="K57" s="9">
        <f t="shared" si="3"/>
        <v>183.59465703340001</v>
      </c>
      <c r="L57" s="10">
        <f t="shared" si="0"/>
        <v>0.22393455401096832</v>
      </c>
      <c r="M57" s="10">
        <f t="shared" si="4"/>
        <v>0.2302190068088644</v>
      </c>
      <c r="P57" s="8">
        <f t="shared" si="5"/>
        <v>0.91201175824471814</v>
      </c>
      <c r="S57" s="11"/>
    </row>
    <row r="58" spans="1:25" x14ac:dyDescent="0.2">
      <c r="A58" s="8">
        <v>28</v>
      </c>
      <c r="B58" s="8">
        <v>56</v>
      </c>
      <c r="D58">
        <v>952.08098271155995</v>
      </c>
      <c r="E58">
        <v>298.20473157416001</v>
      </c>
      <c r="F58">
        <v>132.10597826086999</v>
      </c>
      <c r="G58">
        <v>113.63586956522001</v>
      </c>
      <c r="I58" s="9">
        <f t="shared" si="1"/>
        <v>184.56886200894002</v>
      </c>
      <c r="J58" s="9">
        <f t="shared" si="2"/>
        <v>819.97500445068999</v>
      </c>
      <c r="K58" s="9">
        <f t="shared" si="3"/>
        <v>184.56886200894002</v>
      </c>
      <c r="L58" s="10">
        <f t="shared" si="0"/>
        <v>0.22509083936355434</v>
      </c>
      <c r="M58" s="10">
        <f t="shared" si="4"/>
        <v>0.231489554939594</v>
      </c>
      <c r="P58" s="8">
        <f t="shared" si="5"/>
        <v>1.4689317523182259</v>
      </c>
      <c r="S58" s="11"/>
    </row>
    <row r="59" spans="1:25" x14ac:dyDescent="0.2">
      <c r="A59" s="8">
        <v>28.5</v>
      </c>
      <c r="B59" s="8">
        <v>57</v>
      </c>
      <c r="D59">
        <v>952.28571428571001</v>
      </c>
      <c r="E59">
        <v>299.25204731574001</v>
      </c>
      <c r="F59">
        <v>132.27807971015</v>
      </c>
      <c r="G59">
        <v>113.03623188406</v>
      </c>
      <c r="I59" s="9">
        <f t="shared" si="1"/>
        <v>186.21581543168003</v>
      </c>
      <c r="J59" s="9">
        <f t="shared" si="2"/>
        <v>820.00763457556002</v>
      </c>
      <c r="K59" s="9">
        <f t="shared" si="3"/>
        <v>186.21581543168003</v>
      </c>
      <c r="L59" s="10">
        <f t="shared" si="0"/>
        <v>0.2270903435284066</v>
      </c>
      <c r="M59" s="10">
        <f t="shared" si="4"/>
        <v>0.23360332188258981</v>
      </c>
      <c r="P59" s="8">
        <f t="shared" si="5"/>
        <v>2.395460267762977</v>
      </c>
      <c r="R59" s="1"/>
      <c r="S59" s="11"/>
    </row>
    <row r="60" spans="1:25" x14ac:dyDescent="0.2">
      <c r="A60" s="8">
        <v>29</v>
      </c>
      <c r="B60" s="8">
        <v>58</v>
      </c>
      <c r="D60">
        <v>959.43312101910999</v>
      </c>
      <c r="E60">
        <v>302.61328480436998</v>
      </c>
      <c r="F60">
        <v>132.14130434782999</v>
      </c>
      <c r="G60">
        <v>113.52355072464</v>
      </c>
      <c r="I60" s="9">
        <f t="shared" si="1"/>
        <v>189.08973407972996</v>
      </c>
      <c r="J60" s="9">
        <f t="shared" si="2"/>
        <v>827.29181667128</v>
      </c>
      <c r="K60" s="9">
        <f t="shared" si="3"/>
        <v>189.08973407972996</v>
      </c>
      <c r="L60" s="10">
        <f t="shared" si="0"/>
        <v>0.2285647340748008</v>
      </c>
      <c r="M60" s="10">
        <f t="shared" si="4"/>
        <v>0.23519197520712756</v>
      </c>
      <c r="P60" s="8">
        <f t="shared" si="5"/>
        <v>3.0918154696539597</v>
      </c>
      <c r="S60" s="11"/>
    </row>
    <row r="61" spans="1:25" x14ac:dyDescent="0.2">
      <c r="A61" s="8">
        <v>29.5</v>
      </c>
      <c r="B61" s="8">
        <v>59</v>
      </c>
      <c r="C61" s="2"/>
      <c r="D61">
        <v>920.73430391265003</v>
      </c>
      <c r="E61">
        <v>294.01546860782997</v>
      </c>
      <c r="F61">
        <v>131.83242753623</v>
      </c>
      <c r="G61">
        <v>113.83695652174001</v>
      </c>
      <c r="I61" s="9">
        <f t="shared" si="1"/>
        <v>180.17851208608997</v>
      </c>
      <c r="J61" s="9">
        <f t="shared" si="2"/>
        <v>788.90187637641998</v>
      </c>
      <c r="K61" s="9">
        <f t="shared" si="3"/>
        <v>180.17851208608997</v>
      </c>
      <c r="L61" s="10">
        <f t="shared" si="0"/>
        <v>0.22839153699783929</v>
      </c>
      <c r="M61" s="10">
        <f t="shared" si="4"/>
        <v>0.23513304090830964</v>
      </c>
      <c r="P61" s="8">
        <f t="shared" si="5"/>
        <v>3.0659827691410264</v>
      </c>
      <c r="S61" s="11"/>
    </row>
    <row r="62" spans="1:25" x14ac:dyDescent="0.2">
      <c r="A62" s="8">
        <v>30</v>
      </c>
      <c r="B62" s="8">
        <v>60</v>
      </c>
      <c r="D62">
        <v>930.24112829845001</v>
      </c>
      <c r="E62">
        <v>295.74431301183</v>
      </c>
      <c r="F62">
        <v>132.49365942028999</v>
      </c>
      <c r="G62">
        <v>113.91213768116</v>
      </c>
      <c r="I62" s="9">
        <f t="shared" si="1"/>
        <v>181.83217533067</v>
      </c>
      <c r="J62" s="9">
        <f t="shared" si="2"/>
        <v>797.74746887816002</v>
      </c>
      <c r="K62" s="9">
        <f t="shared" si="3"/>
        <v>181.83217533067</v>
      </c>
      <c r="L62" s="10">
        <f t="shared" si="0"/>
        <v>0.22793199906528469</v>
      </c>
      <c r="M62" s="10">
        <f t="shared" si="4"/>
        <v>0.23478776575389859</v>
      </c>
      <c r="P62" s="8">
        <f t="shared" si="5"/>
        <v>2.9146381389789973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919.76342129208001</v>
      </c>
      <c r="E63">
        <v>294.02092811646997</v>
      </c>
      <c r="F63">
        <v>132.71195652174001</v>
      </c>
      <c r="G63">
        <v>113.67753623188</v>
      </c>
      <c r="I63" s="9">
        <f t="shared" si="1"/>
        <v>180.34339188458998</v>
      </c>
      <c r="J63" s="9">
        <f t="shared" si="2"/>
        <v>787.05146477033998</v>
      </c>
      <c r="K63" s="9">
        <f t="shared" si="3"/>
        <v>180.34339188458998</v>
      </c>
      <c r="L63" s="10">
        <f t="shared" si="0"/>
        <v>0.22913799155079881</v>
      </c>
      <c r="M63" s="10">
        <f t="shared" si="4"/>
        <v>0.23610802101755629</v>
      </c>
      <c r="P63" s="8">
        <f t="shared" si="5"/>
        <v>3.4933462853516466</v>
      </c>
    </row>
    <row r="64" spans="1:25" x14ac:dyDescent="0.2">
      <c r="A64" s="8">
        <v>31</v>
      </c>
      <c r="B64" s="8">
        <v>62</v>
      </c>
      <c r="D64">
        <v>918.30573248407995</v>
      </c>
      <c r="E64">
        <v>294.48953594176999</v>
      </c>
      <c r="F64">
        <v>132.66123188405999</v>
      </c>
      <c r="G64">
        <v>113.28079710145001</v>
      </c>
      <c r="I64" s="9">
        <f t="shared" si="1"/>
        <v>181.20873884032</v>
      </c>
      <c r="J64" s="9">
        <f t="shared" si="2"/>
        <v>785.64450060001991</v>
      </c>
      <c r="K64" s="9">
        <f t="shared" si="3"/>
        <v>181.20873884032</v>
      </c>
      <c r="L64" s="10">
        <f t="shared" si="0"/>
        <v>0.23064978969740835</v>
      </c>
      <c r="M64" s="10">
        <f t="shared" si="4"/>
        <v>0.23773408194230938</v>
      </c>
      <c r="P64" s="8">
        <f t="shared" si="5"/>
        <v>4.2060983792503865</v>
      </c>
      <c r="U64" s="8">
        <v>30.5</v>
      </c>
      <c r="V64" s="10">
        <f>L62</f>
        <v>0.22793199906528469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945.24590163933999</v>
      </c>
      <c r="E65">
        <v>297.17213114753997</v>
      </c>
      <c r="F65">
        <v>132.83695652174001</v>
      </c>
      <c r="G65">
        <v>113.79891304348</v>
      </c>
      <c r="I65" s="9">
        <f t="shared" si="1"/>
        <v>183.37321810405996</v>
      </c>
      <c r="J65" s="9">
        <f t="shared" si="2"/>
        <v>812.40894511759996</v>
      </c>
      <c r="K65" s="9">
        <f t="shared" si="3"/>
        <v>183.37321810405996</v>
      </c>
      <c r="L65" s="10">
        <f t="shared" si="0"/>
        <v>0.2257154099620553</v>
      </c>
      <c r="M65" s="10">
        <f t="shared" si="4"/>
        <v>0.23291396498509989</v>
      </c>
      <c r="P65" s="8">
        <f t="shared" si="5"/>
        <v>2.093294116021716</v>
      </c>
      <c r="U65" s="8">
        <v>31</v>
      </c>
      <c r="V65" s="10">
        <f t="shared" ref="V65:V83" si="6">L63</f>
        <v>0.22913799155079881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952.49817850637999</v>
      </c>
      <c r="E66">
        <v>295.07012750454999</v>
      </c>
      <c r="F66">
        <v>132.38677536232001</v>
      </c>
      <c r="G66">
        <v>113.59148550725</v>
      </c>
      <c r="I66" s="9">
        <f t="shared" si="1"/>
        <v>181.47864199729997</v>
      </c>
      <c r="J66" s="9">
        <f t="shared" si="2"/>
        <v>820.11140314405998</v>
      </c>
      <c r="K66" s="9">
        <f t="shared" si="3"/>
        <v>181.47864199729997</v>
      </c>
      <c r="L66" s="10">
        <f t="shared" ref="L66:L129" si="7">K66/J66</f>
        <v>0.22128535379652758</v>
      </c>
      <c r="M66" s="10">
        <f t="shared" si="4"/>
        <v>0.22859817159771575</v>
      </c>
      <c r="P66" s="8">
        <f t="shared" si="5"/>
        <v>0.20155025398932341</v>
      </c>
      <c r="U66" s="8">
        <v>31.5</v>
      </c>
      <c r="V66" s="10">
        <f t="shared" si="6"/>
        <v>0.23064978969740835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953.58561020035995</v>
      </c>
      <c r="E67">
        <v>297.31785063752</v>
      </c>
      <c r="F67">
        <v>132.85144927536001</v>
      </c>
      <c r="G67">
        <v>113.60054347825999</v>
      </c>
      <c r="I67" s="9">
        <f t="shared" ref="I67:I130" si="8">E67-G67</f>
        <v>183.71730715926</v>
      </c>
      <c r="J67" s="9">
        <f t="shared" ref="J67:J130" si="9">D67-F67</f>
        <v>820.73416092499997</v>
      </c>
      <c r="K67" s="9">
        <f t="shared" ref="K67:K130" si="10">I67*1</f>
        <v>183.71730715926</v>
      </c>
      <c r="L67" s="10">
        <f t="shared" si="7"/>
        <v>0.22384508395776204</v>
      </c>
      <c r="M67" s="10">
        <f t="shared" ref="M67:M130" si="11">L67+ABS($N$2)*A67</f>
        <v>0.23127216453709376</v>
      </c>
      <c r="P67" s="8">
        <f t="shared" ref="P67:P130" si="12">(M67-$O$2)/$O$2*100</f>
        <v>1.3736429090671265</v>
      </c>
      <c r="U67" s="8">
        <v>32</v>
      </c>
      <c r="V67" s="10">
        <f t="shared" si="6"/>
        <v>0.2257154099620553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925.55282331512001</v>
      </c>
      <c r="E68">
        <v>286.62477231330001</v>
      </c>
      <c r="F68">
        <v>132.88586956521999</v>
      </c>
      <c r="G68">
        <v>113.65942028985999</v>
      </c>
      <c r="I68" s="9">
        <f t="shared" si="8"/>
        <v>172.96535202344</v>
      </c>
      <c r="J68" s="9">
        <f t="shared" si="9"/>
        <v>792.66695374990002</v>
      </c>
      <c r="K68" s="9">
        <f t="shared" si="10"/>
        <v>172.96535202344</v>
      </c>
      <c r="L68" s="10">
        <f t="shared" si="7"/>
        <v>0.21820684110165836</v>
      </c>
      <c r="M68" s="10">
        <f t="shared" si="11"/>
        <v>0.22574818445913367</v>
      </c>
      <c r="P68" s="8">
        <f t="shared" si="12"/>
        <v>-1.0476860259596015</v>
      </c>
      <c r="U68" s="8">
        <v>32.5</v>
      </c>
      <c r="V68" s="10">
        <f t="shared" si="6"/>
        <v>0.22128535379652758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928.87613843352005</v>
      </c>
      <c r="E69">
        <v>287.81420765027002</v>
      </c>
      <c r="F69">
        <v>132.58876811594001</v>
      </c>
      <c r="G69">
        <v>113.78532608696</v>
      </c>
      <c r="I69" s="9">
        <f t="shared" si="8"/>
        <v>174.02888156331002</v>
      </c>
      <c r="J69" s="9">
        <f t="shared" si="9"/>
        <v>796.2873703175801</v>
      </c>
      <c r="K69" s="9">
        <f t="shared" si="10"/>
        <v>174.02888156331002</v>
      </c>
      <c r="L69" s="10">
        <f t="shared" si="7"/>
        <v>0.21855034758858824</v>
      </c>
      <c r="M69" s="10">
        <f t="shared" si="11"/>
        <v>0.2262059537242071</v>
      </c>
      <c r="P69" s="8">
        <f t="shared" si="12"/>
        <v>-0.84703179631988523</v>
      </c>
      <c r="U69" s="8">
        <v>33</v>
      </c>
      <c r="V69" s="10">
        <f t="shared" si="6"/>
        <v>0.22384508395776204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945.79417122040002</v>
      </c>
      <c r="E70">
        <v>295.48633879780999</v>
      </c>
      <c r="F70">
        <v>132.70018115942</v>
      </c>
      <c r="G70">
        <v>113.86865942029</v>
      </c>
      <c r="I70" s="9">
        <f t="shared" si="8"/>
        <v>181.61767937752001</v>
      </c>
      <c r="J70" s="9">
        <f t="shared" si="9"/>
        <v>813.09399006097999</v>
      </c>
      <c r="K70" s="9">
        <f t="shared" si="10"/>
        <v>181.61767937752001</v>
      </c>
      <c r="L70" s="10">
        <f t="shared" si="7"/>
        <v>0.22336615643155736</v>
      </c>
      <c r="M70" s="10">
        <f t="shared" si="11"/>
        <v>0.2311360253453198</v>
      </c>
      <c r="P70" s="8">
        <f t="shared" si="12"/>
        <v>1.3139689494254791</v>
      </c>
      <c r="U70" s="8">
        <v>33.5</v>
      </c>
      <c r="V70" s="10">
        <f t="shared" si="6"/>
        <v>0.21820684110165836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946.01183970856005</v>
      </c>
      <c r="E71">
        <v>294.49544626594002</v>
      </c>
      <c r="F71">
        <v>133.26630434782999</v>
      </c>
      <c r="G71">
        <v>113.86231884058</v>
      </c>
      <c r="I71" s="9">
        <f t="shared" si="8"/>
        <v>180.63312742536002</v>
      </c>
      <c r="J71" s="9">
        <f t="shared" si="9"/>
        <v>812.74553536073006</v>
      </c>
      <c r="K71" s="9">
        <f t="shared" si="10"/>
        <v>180.63312742536002</v>
      </c>
      <c r="L71" s="10">
        <f t="shared" si="7"/>
        <v>0.22225053176722473</v>
      </c>
      <c r="M71" s="10">
        <f t="shared" si="11"/>
        <v>0.23013466345913072</v>
      </c>
      <c r="P71" s="8">
        <f t="shared" si="12"/>
        <v>0.8750414958062197</v>
      </c>
      <c r="U71" s="8">
        <v>34</v>
      </c>
      <c r="V71" s="10">
        <f t="shared" si="6"/>
        <v>0.21855034758858824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938.97267759562999</v>
      </c>
      <c r="E72">
        <v>297.71766848815997</v>
      </c>
      <c r="F72">
        <v>133.13043478261</v>
      </c>
      <c r="G72">
        <v>113.91485507246</v>
      </c>
      <c r="I72" s="9">
        <f t="shared" si="8"/>
        <v>183.80281341569997</v>
      </c>
      <c r="J72" s="9">
        <f t="shared" si="9"/>
        <v>805.84224281301999</v>
      </c>
      <c r="K72" s="9">
        <f t="shared" si="10"/>
        <v>183.80281341569997</v>
      </c>
      <c r="L72" s="10">
        <f t="shared" si="7"/>
        <v>0.22808783611800287</v>
      </c>
      <c r="M72" s="10">
        <f t="shared" si="11"/>
        <v>0.23608623058805242</v>
      </c>
      <c r="P72" s="8">
        <f t="shared" si="12"/>
        <v>3.4837948755493384</v>
      </c>
      <c r="U72" s="8">
        <v>34.5</v>
      </c>
      <c r="V72" s="10">
        <f t="shared" si="6"/>
        <v>0.22336615643155736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926.07846715329003</v>
      </c>
      <c r="E73">
        <v>288.74452554745</v>
      </c>
      <c r="F73">
        <v>133.23369565217001</v>
      </c>
      <c r="G73">
        <v>114.11050724638</v>
      </c>
      <c r="I73" s="9">
        <f t="shared" si="8"/>
        <v>174.63401830107</v>
      </c>
      <c r="J73" s="9">
        <f t="shared" si="9"/>
        <v>792.84477150112002</v>
      </c>
      <c r="K73" s="9">
        <f t="shared" si="10"/>
        <v>174.63401830107</v>
      </c>
      <c r="L73" s="10">
        <f t="shared" si="7"/>
        <v>0.22026255905103526</v>
      </c>
      <c r="M73" s="10">
        <f t="shared" si="11"/>
        <v>0.22837521629922838</v>
      </c>
      <c r="P73" s="8">
        <f t="shared" si="12"/>
        <v>0.10382214711237982</v>
      </c>
      <c r="U73" s="8">
        <v>35</v>
      </c>
      <c r="V73" s="10">
        <f t="shared" si="6"/>
        <v>0.22225053176722473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932.07937956204</v>
      </c>
      <c r="E74">
        <v>291.37408759124003</v>
      </c>
      <c r="F74">
        <v>133.71195652174001</v>
      </c>
      <c r="G74">
        <v>113.90489130435</v>
      </c>
      <c r="I74" s="9">
        <f t="shared" si="8"/>
        <v>177.46919628689002</v>
      </c>
      <c r="J74" s="9">
        <f t="shared" si="9"/>
        <v>798.36742304029997</v>
      </c>
      <c r="K74" s="9">
        <f t="shared" si="10"/>
        <v>177.46919628689002</v>
      </c>
      <c r="L74" s="10">
        <f t="shared" si="7"/>
        <v>0.22229012753433922</v>
      </c>
      <c r="M74" s="10">
        <f t="shared" si="11"/>
        <v>0.2305170475606759</v>
      </c>
      <c r="P74" s="8">
        <f t="shared" si="12"/>
        <v>1.0426521092223779</v>
      </c>
      <c r="U74" s="8">
        <v>35.5</v>
      </c>
      <c r="V74" s="10">
        <f t="shared" si="6"/>
        <v>0.22808783611800287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936.31478102189999</v>
      </c>
      <c r="E75">
        <v>291.55565693430998</v>
      </c>
      <c r="F75">
        <v>133.16576086956999</v>
      </c>
      <c r="G75">
        <v>113.77536231884</v>
      </c>
      <c r="I75" s="9">
        <f t="shared" si="8"/>
        <v>177.78029461546998</v>
      </c>
      <c r="J75" s="9">
        <f t="shared" si="9"/>
        <v>803.14902015232997</v>
      </c>
      <c r="K75" s="9">
        <f t="shared" si="10"/>
        <v>177.78029461546998</v>
      </c>
      <c r="L75" s="10">
        <f t="shared" si="7"/>
        <v>0.2213540577833876</v>
      </c>
      <c r="M75" s="10">
        <f t="shared" si="11"/>
        <v>0.22969524058786786</v>
      </c>
      <c r="P75" s="8">
        <f t="shared" si="12"/>
        <v>0.68242905009041166</v>
      </c>
      <c r="U75" s="8">
        <v>36</v>
      </c>
      <c r="V75" s="10">
        <f t="shared" si="6"/>
        <v>0.22026255905103526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951.25135623870005</v>
      </c>
      <c r="E76">
        <v>290.31193490054</v>
      </c>
      <c r="F76">
        <v>133.41032608696</v>
      </c>
      <c r="G76">
        <v>113.89764492754</v>
      </c>
      <c r="I76" s="9">
        <f t="shared" si="8"/>
        <v>176.414289973</v>
      </c>
      <c r="J76" s="9">
        <f t="shared" si="9"/>
        <v>817.84103015174003</v>
      </c>
      <c r="K76" s="9">
        <f t="shared" si="10"/>
        <v>176.414289973</v>
      </c>
      <c r="L76" s="10">
        <f t="shared" si="7"/>
        <v>0.2157073116523251</v>
      </c>
      <c r="M76" s="10">
        <f t="shared" si="11"/>
        <v>0.22416275723494891</v>
      </c>
      <c r="P76" s="8">
        <f t="shared" si="12"/>
        <v>-1.7426271296782931</v>
      </c>
      <c r="U76" s="8">
        <v>36.5</v>
      </c>
      <c r="V76" s="10">
        <f t="shared" si="6"/>
        <v>0.22229012753433922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952.64918625678001</v>
      </c>
      <c r="E77">
        <v>290.64285714286001</v>
      </c>
      <c r="F77">
        <v>133.14039855073</v>
      </c>
      <c r="G77">
        <v>113.9365942029</v>
      </c>
      <c r="I77" s="9">
        <f t="shared" si="8"/>
        <v>176.70626293996003</v>
      </c>
      <c r="J77" s="9">
        <f t="shared" si="9"/>
        <v>819.50878770605004</v>
      </c>
      <c r="K77" s="9">
        <f t="shared" si="10"/>
        <v>176.70626293996003</v>
      </c>
      <c r="L77" s="10">
        <f t="shared" si="7"/>
        <v>0.2156246102431581</v>
      </c>
      <c r="M77" s="10">
        <f t="shared" si="11"/>
        <v>0.22419431860392547</v>
      </c>
      <c r="P77" s="8">
        <f t="shared" si="12"/>
        <v>-1.7287928191171635</v>
      </c>
      <c r="U77" s="8">
        <v>37</v>
      </c>
      <c r="V77" s="10">
        <f t="shared" si="6"/>
        <v>0.2213540577833876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923.85352622061998</v>
      </c>
      <c r="E78">
        <v>280.39059674503</v>
      </c>
      <c r="F78">
        <v>133.20018115942</v>
      </c>
      <c r="G78">
        <v>113.90579710145001</v>
      </c>
      <c r="I78" s="9">
        <f t="shared" si="8"/>
        <v>166.48479964358</v>
      </c>
      <c r="J78" s="9">
        <f t="shared" si="9"/>
        <v>790.65334506119996</v>
      </c>
      <c r="K78" s="9">
        <f t="shared" si="10"/>
        <v>166.48479964358</v>
      </c>
      <c r="L78" s="10">
        <f t="shared" si="7"/>
        <v>0.21056611052558485</v>
      </c>
      <c r="M78" s="10">
        <f t="shared" si="11"/>
        <v>0.21925008166449581</v>
      </c>
      <c r="P78" s="8">
        <f t="shared" si="12"/>
        <v>-3.8960026558857894</v>
      </c>
      <c r="U78" s="8">
        <v>37.5</v>
      </c>
      <c r="V78" s="10">
        <f t="shared" si="6"/>
        <v>0.2157073116523251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945.08280254777003</v>
      </c>
      <c r="E79">
        <v>285.18016378525999</v>
      </c>
      <c r="F79">
        <v>133.20199275362</v>
      </c>
      <c r="G79">
        <v>113.78079710145001</v>
      </c>
      <c r="I79" s="9">
        <f t="shared" si="8"/>
        <v>171.39936668381</v>
      </c>
      <c r="J79" s="9">
        <f t="shared" si="9"/>
        <v>811.88080979415008</v>
      </c>
      <c r="K79" s="9">
        <f t="shared" si="10"/>
        <v>171.39936668381</v>
      </c>
      <c r="L79" s="10">
        <f t="shared" si="7"/>
        <v>0.21111395246214501</v>
      </c>
      <c r="M79" s="10">
        <f t="shared" si="11"/>
        <v>0.21991218637919951</v>
      </c>
      <c r="P79" s="8">
        <f t="shared" si="12"/>
        <v>-3.6057819669795883</v>
      </c>
      <c r="U79" s="8">
        <v>38</v>
      </c>
      <c r="V79" s="10">
        <f t="shared" si="6"/>
        <v>0.2156246102431581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961.63702359346996</v>
      </c>
      <c r="E80">
        <v>287.94373865698998</v>
      </c>
      <c r="F80">
        <v>133.58152173913001</v>
      </c>
      <c r="G80">
        <v>114.07789855073</v>
      </c>
      <c r="I80" s="9">
        <f t="shared" si="8"/>
        <v>173.86584010625998</v>
      </c>
      <c r="J80" s="9">
        <f t="shared" si="9"/>
        <v>828.05550185433992</v>
      </c>
      <c r="K80" s="9">
        <f t="shared" si="10"/>
        <v>173.86584010625998</v>
      </c>
      <c r="L80" s="10">
        <f t="shared" si="7"/>
        <v>0.20996882421154911</v>
      </c>
      <c r="M80" s="10">
        <f t="shared" si="11"/>
        <v>0.2188813209067472</v>
      </c>
      <c r="P80" s="8">
        <f t="shared" si="12"/>
        <v>-4.0576417422397748</v>
      </c>
      <c r="U80" s="8">
        <v>38.5</v>
      </c>
      <c r="V80" s="10">
        <f t="shared" si="6"/>
        <v>0.21056611052558485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962.94736842104999</v>
      </c>
      <c r="E81">
        <v>286.75226860254003</v>
      </c>
      <c r="F81">
        <v>133.10326086956999</v>
      </c>
      <c r="G81">
        <v>114.1222826087</v>
      </c>
      <c r="I81" s="9">
        <f t="shared" si="8"/>
        <v>172.62998599384002</v>
      </c>
      <c r="J81" s="9">
        <f t="shared" si="9"/>
        <v>829.84410755147996</v>
      </c>
      <c r="K81" s="9">
        <f t="shared" si="10"/>
        <v>172.62998599384002</v>
      </c>
      <c r="L81" s="10">
        <f t="shared" si="7"/>
        <v>0.20802700702810112</v>
      </c>
      <c r="M81" s="10">
        <f t="shared" si="11"/>
        <v>0.21705376650144276</v>
      </c>
      <c r="P81" s="8">
        <f t="shared" si="12"/>
        <v>-4.8587145736851252</v>
      </c>
      <c r="U81" s="8">
        <v>39</v>
      </c>
      <c r="V81" s="10">
        <f t="shared" si="6"/>
        <v>0.21111395246214501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945.52268602541005</v>
      </c>
      <c r="E82">
        <v>285.40290381124998</v>
      </c>
      <c r="F82">
        <v>133.36684782609001</v>
      </c>
      <c r="G82">
        <v>114.17753623188</v>
      </c>
      <c r="H82" s="13"/>
      <c r="I82" s="14">
        <f t="shared" si="8"/>
        <v>171.22536757936999</v>
      </c>
      <c r="J82" s="14">
        <f t="shared" si="9"/>
        <v>812.15583819931999</v>
      </c>
      <c r="K82" s="9">
        <f t="shared" si="10"/>
        <v>171.22536757936999</v>
      </c>
      <c r="L82" s="15">
        <f t="shared" si="7"/>
        <v>0.21082821735173898</v>
      </c>
      <c r="M82" s="15">
        <f t="shared" si="11"/>
        <v>0.2199692396032242</v>
      </c>
      <c r="N82" s="13"/>
      <c r="O82" s="13"/>
      <c r="P82" s="13">
        <f t="shared" si="12"/>
        <v>-3.5807737989163613</v>
      </c>
      <c r="U82" s="8">
        <v>39.5</v>
      </c>
      <c r="V82" s="10">
        <f t="shared" si="6"/>
        <v>0.20996882421154911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927.00635208711003</v>
      </c>
      <c r="E83">
        <v>283.87840290381001</v>
      </c>
      <c r="F83">
        <v>133.28079710144999</v>
      </c>
      <c r="G83">
        <v>114.07699275362</v>
      </c>
      <c r="I83" s="9">
        <f t="shared" si="8"/>
        <v>169.80141015019001</v>
      </c>
      <c r="J83" s="9">
        <f t="shared" si="9"/>
        <v>793.72555498565998</v>
      </c>
      <c r="K83" s="9">
        <f t="shared" si="10"/>
        <v>169.80141015019001</v>
      </c>
      <c r="L83" s="10">
        <f t="shared" si="7"/>
        <v>0.21392962477220198</v>
      </c>
      <c r="M83" s="10">
        <f t="shared" si="11"/>
        <v>0.22318490980183076</v>
      </c>
      <c r="P83" s="8">
        <f t="shared" si="12"/>
        <v>-2.1712474813876259</v>
      </c>
      <c r="U83" s="8">
        <v>40</v>
      </c>
      <c r="V83" s="10">
        <f t="shared" si="6"/>
        <v>0.20802700702810112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942.70871143375996</v>
      </c>
      <c r="E84">
        <v>289.61615245009</v>
      </c>
      <c r="F84">
        <v>133.56884057971001</v>
      </c>
      <c r="G84">
        <v>114.07155797100999</v>
      </c>
      <c r="I84" s="9">
        <f t="shared" si="8"/>
        <v>175.54459447907999</v>
      </c>
      <c r="J84" s="9">
        <f t="shared" si="9"/>
        <v>809.13987085404995</v>
      </c>
      <c r="K84" s="9">
        <f t="shared" si="10"/>
        <v>175.54459447907999</v>
      </c>
      <c r="L84" s="10">
        <f t="shared" si="7"/>
        <v>0.21695210037517007</v>
      </c>
      <c r="M84" s="10">
        <f t="shared" si="11"/>
        <v>0.2263216481829424</v>
      </c>
      <c r="P84" s="8">
        <f t="shared" si="12"/>
        <v>-0.79631938667964541</v>
      </c>
      <c r="U84" s="8">
        <v>150.5</v>
      </c>
      <c r="V84" s="10">
        <f>L302</f>
        <v>0.19149832153083232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960.9555353902</v>
      </c>
      <c r="E85">
        <v>293.39745916515</v>
      </c>
      <c r="F85">
        <v>133.93115942028999</v>
      </c>
      <c r="G85">
        <v>114.26449275362</v>
      </c>
      <c r="I85" s="9">
        <f t="shared" si="8"/>
        <v>179.13296641152999</v>
      </c>
      <c r="J85" s="9">
        <f t="shared" si="9"/>
        <v>827.02437596991001</v>
      </c>
      <c r="K85" s="9">
        <f t="shared" si="10"/>
        <v>179.13296641152999</v>
      </c>
      <c r="L85" s="10">
        <f t="shared" si="7"/>
        <v>0.21659937919175368</v>
      </c>
      <c r="M85" s="10">
        <f t="shared" si="11"/>
        <v>0.22608318977766959</v>
      </c>
      <c r="P85" s="8">
        <f t="shared" si="12"/>
        <v>-0.90084297806461089</v>
      </c>
      <c r="U85" s="8">
        <v>151</v>
      </c>
      <c r="V85" s="10">
        <f t="shared" ref="V85:V103" si="13">L303</f>
        <v>0.19723432218402581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959.56289592760004</v>
      </c>
      <c r="E86">
        <v>292.45882352940998</v>
      </c>
      <c r="F86">
        <v>133.6277173913</v>
      </c>
      <c r="G86">
        <v>114.67119565217</v>
      </c>
      <c r="I86" s="9">
        <f t="shared" si="8"/>
        <v>177.78762787723997</v>
      </c>
      <c r="J86" s="9">
        <f t="shared" si="9"/>
        <v>825.9351785363001</v>
      </c>
      <c r="K86" s="9">
        <f t="shared" si="10"/>
        <v>177.78762787723997</v>
      </c>
      <c r="L86" s="10">
        <f t="shared" si="7"/>
        <v>0.21525615144799909</v>
      </c>
      <c r="M86" s="10">
        <f t="shared" si="11"/>
        <v>0.22485422481205855</v>
      </c>
      <c r="P86" s="8">
        <f t="shared" si="12"/>
        <v>-1.439535802689534</v>
      </c>
      <c r="U86" s="8">
        <v>151.5</v>
      </c>
      <c r="V86" s="10">
        <f t="shared" si="13"/>
        <v>0.19344984646495247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954.22212148685003</v>
      </c>
      <c r="E87">
        <v>294.25838621939999</v>
      </c>
      <c r="F87">
        <v>133.51902173913001</v>
      </c>
      <c r="G87">
        <v>114.63224637681</v>
      </c>
      <c r="I87" s="9">
        <f t="shared" si="8"/>
        <v>179.62613984258999</v>
      </c>
      <c r="J87" s="9">
        <f t="shared" si="9"/>
        <v>820.70309974771999</v>
      </c>
      <c r="K87" s="9">
        <f t="shared" si="10"/>
        <v>179.62613984258999</v>
      </c>
      <c r="L87" s="10">
        <f t="shared" si="7"/>
        <v>0.21886860168775549</v>
      </c>
      <c r="M87" s="10">
        <f t="shared" si="11"/>
        <v>0.22858093782995853</v>
      </c>
      <c r="P87" s="8">
        <f t="shared" si="12"/>
        <v>0.19399616799676359</v>
      </c>
      <c r="U87" s="8">
        <v>152</v>
      </c>
      <c r="V87" s="10">
        <f t="shared" si="13"/>
        <v>0.19630438422350008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961.10244786944997</v>
      </c>
      <c r="E88">
        <v>299.29011786038001</v>
      </c>
      <c r="F88">
        <v>133.99094202898999</v>
      </c>
      <c r="G88">
        <v>113.99094202899001</v>
      </c>
      <c r="I88" s="9">
        <f t="shared" si="8"/>
        <v>185.29917583139002</v>
      </c>
      <c r="J88" s="9">
        <f t="shared" si="9"/>
        <v>827.11150584046004</v>
      </c>
      <c r="K88" s="9">
        <f t="shared" si="10"/>
        <v>185.29917583139002</v>
      </c>
      <c r="L88" s="10">
        <f t="shared" si="7"/>
        <v>0.2240316747173047</v>
      </c>
      <c r="M88" s="10">
        <f t="shared" si="11"/>
        <v>0.2338582736376513</v>
      </c>
      <c r="P88" s="8">
        <f t="shared" si="12"/>
        <v>2.507213397364088</v>
      </c>
      <c r="U88" s="8">
        <v>152.5</v>
      </c>
      <c r="V88" s="10">
        <f t="shared" si="13"/>
        <v>0.19489952091225271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943.14233907524999</v>
      </c>
      <c r="E89">
        <v>296.35267452403002</v>
      </c>
      <c r="F89">
        <v>134.06974637681</v>
      </c>
      <c r="G89">
        <v>114.53985507246</v>
      </c>
      <c r="I89" s="9">
        <f t="shared" si="8"/>
        <v>181.81281945157002</v>
      </c>
      <c r="J89" s="9">
        <f t="shared" si="9"/>
        <v>809.07259269843996</v>
      </c>
      <c r="K89" s="9">
        <f t="shared" si="10"/>
        <v>181.81281945157002</v>
      </c>
      <c r="L89" s="10">
        <f t="shared" si="7"/>
        <v>0.22471756068906398</v>
      </c>
      <c r="M89" s="10">
        <f t="shared" si="11"/>
        <v>0.23465842238755416</v>
      </c>
      <c r="P89" s="8">
        <f t="shared" si="12"/>
        <v>2.8579429968779082</v>
      </c>
      <c r="U89" s="8">
        <v>153</v>
      </c>
      <c r="V89" s="10">
        <f t="shared" si="13"/>
        <v>0.19544178481965219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951.28184281843005</v>
      </c>
      <c r="E90">
        <v>296.32971996386999</v>
      </c>
      <c r="F90">
        <v>134.11775362319</v>
      </c>
      <c r="G90">
        <v>114.14311594202999</v>
      </c>
      <c r="I90" s="9">
        <f t="shared" si="8"/>
        <v>182.18660402184</v>
      </c>
      <c r="J90" s="9">
        <f t="shared" si="9"/>
        <v>817.16408919524008</v>
      </c>
      <c r="K90" s="9">
        <f t="shared" si="10"/>
        <v>182.18660402184</v>
      </c>
      <c r="L90" s="10">
        <f t="shared" si="7"/>
        <v>0.22294984132411044</v>
      </c>
      <c r="M90" s="10">
        <f t="shared" si="11"/>
        <v>0.23300496580074417</v>
      </c>
      <c r="P90" s="8">
        <f t="shared" si="12"/>
        <v>2.1331825488040268</v>
      </c>
      <c r="U90" s="8">
        <v>153.5</v>
      </c>
      <c r="V90" s="10">
        <f t="shared" si="13"/>
        <v>0.19712651654043287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937.69258589512003</v>
      </c>
      <c r="E91">
        <v>293.33001808317999</v>
      </c>
      <c r="F91">
        <v>134.19836956521999</v>
      </c>
      <c r="G91">
        <v>114.80615942029</v>
      </c>
      <c r="I91" s="9">
        <f t="shared" si="8"/>
        <v>178.52385866289001</v>
      </c>
      <c r="J91" s="9">
        <f t="shared" si="9"/>
        <v>803.49421632990004</v>
      </c>
      <c r="K91" s="9">
        <f t="shared" si="10"/>
        <v>178.52385866289001</v>
      </c>
      <c r="L91" s="10">
        <f t="shared" si="7"/>
        <v>0.22218437299813915</v>
      </c>
      <c r="M91" s="10">
        <f t="shared" si="11"/>
        <v>0.23235376025291643</v>
      </c>
      <c r="P91" s="8">
        <f t="shared" si="12"/>
        <v>1.8477392971354714</v>
      </c>
      <c r="U91" s="8">
        <v>154</v>
      </c>
      <c r="V91" s="10">
        <f t="shared" si="13"/>
        <v>0.19613817940194911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914.65641952984004</v>
      </c>
      <c r="E92">
        <v>291.08408679927999</v>
      </c>
      <c r="F92">
        <v>134.06702898551001</v>
      </c>
      <c r="G92">
        <v>114.63315217391001</v>
      </c>
      <c r="I92" s="9">
        <f t="shared" si="8"/>
        <v>176.45093462537</v>
      </c>
      <c r="J92" s="9">
        <f t="shared" si="9"/>
        <v>780.58939054433006</v>
      </c>
      <c r="K92" s="9">
        <f t="shared" si="10"/>
        <v>176.45093462537</v>
      </c>
      <c r="L92" s="10">
        <f t="shared" si="7"/>
        <v>0.22604833829771256</v>
      </c>
      <c r="M92" s="10">
        <f t="shared" si="11"/>
        <v>0.23633198833063343</v>
      </c>
      <c r="P92" s="8">
        <f t="shared" si="12"/>
        <v>3.5915179890870674</v>
      </c>
      <c r="U92" s="8">
        <v>154.5</v>
      </c>
      <c r="V92" s="10">
        <f t="shared" si="13"/>
        <v>0.19508718160925259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917.71286231884005</v>
      </c>
      <c r="E93">
        <v>295.23278985507</v>
      </c>
      <c r="F93">
        <v>134.21557971015</v>
      </c>
      <c r="G93">
        <v>114.97282608696</v>
      </c>
      <c r="I93" s="9">
        <f t="shared" si="8"/>
        <v>180.25996376811</v>
      </c>
      <c r="J93" s="9">
        <f t="shared" si="9"/>
        <v>783.49728260869006</v>
      </c>
      <c r="K93" s="9">
        <f t="shared" si="10"/>
        <v>180.25996376811</v>
      </c>
      <c r="L93" s="10">
        <f t="shared" si="7"/>
        <v>0.23007094953530177</v>
      </c>
      <c r="M93" s="10">
        <f t="shared" si="11"/>
        <v>0.24046886234636619</v>
      </c>
      <c r="P93" s="8">
        <f t="shared" si="12"/>
        <v>5.404836033954628</v>
      </c>
      <c r="U93" s="8">
        <v>155</v>
      </c>
      <c r="V93" s="10">
        <f t="shared" si="13"/>
        <v>0.19419967468264052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911.37137681159004</v>
      </c>
      <c r="E94">
        <v>294.24818840580002</v>
      </c>
      <c r="F94">
        <v>134.32608695651999</v>
      </c>
      <c r="G94">
        <v>114.41938405797001</v>
      </c>
      <c r="I94" s="9">
        <f t="shared" si="8"/>
        <v>179.82880434783002</v>
      </c>
      <c r="J94" s="9">
        <f t="shared" si="9"/>
        <v>777.04528985507</v>
      </c>
      <c r="K94" s="9">
        <f t="shared" si="10"/>
        <v>179.82880434783002</v>
      </c>
      <c r="L94" s="10">
        <f t="shared" si="7"/>
        <v>0.23142641322923488</v>
      </c>
      <c r="M94" s="10">
        <f t="shared" si="11"/>
        <v>0.24193858881844288</v>
      </c>
      <c r="P94" s="8">
        <f t="shared" si="12"/>
        <v>6.0490619694558641</v>
      </c>
      <c r="U94" s="8">
        <v>155.5</v>
      </c>
      <c r="V94" s="10">
        <f t="shared" si="13"/>
        <v>0.18869634314264427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912.04257246377006</v>
      </c>
      <c r="E95">
        <v>295.62590579710002</v>
      </c>
      <c r="F95">
        <v>134.94474637681</v>
      </c>
      <c r="G95">
        <v>114.65579710145001</v>
      </c>
      <c r="I95" s="9">
        <f t="shared" si="8"/>
        <v>180.97010869565003</v>
      </c>
      <c r="J95" s="9">
        <f t="shared" si="9"/>
        <v>777.09782608696003</v>
      </c>
      <c r="K95" s="9">
        <f t="shared" si="10"/>
        <v>180.97010869565003</v>
      </c>
      <c r="L95" s="10">
        <f t="shared" si="7"/>
        <v>0.23287944274264233</v>
      </c>
      <c r="M95" s="10">
        <f t="shared" si="11"/>
        <v>0.24350588110999388</v>
      </c>
      <c r="P95" s="8">
        <f t="shared" si="12"/>
        <v>6.7360539791334562</v>
      </c>
      <c r="U95" s="8">
        <v>156</v>
      </c>
      <c r="V95" s="10">
        <f t="shared" si="13"/>
        <v>0.18899892679829478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922.02083333332996</v>
      </c>
      <c r="E96">
        <v>295.40851449274999</v>
      </c>
      <c r="F96">
        <v>135.02717391304</v>
      </c>
      <c r="G96">
        <v>114.90942028985999</v>
      </c>
      <c r="I96" s="9">
        <f t="shared" si="8"/>
        <v>180.49909420288998</v>
      </c>
      <c r="J96" s="9">
        <f t="shared" si="9"/>
        <v>786.99365942028999</v>
      </c>
      <c r="K96" s="9">
        <f t="shared" si="10"/>
        <v>180.49909420288998</v>
      </c>
      <c r="L96" s="10">
        <f t="shared" si="7"/>
        <v>0.22935266636817381</v>
      </c>
      <c r="M96" s="10">
        <f t="shared" si="11"/>
        <v>0.24009336751366894</v>
      </c>
      <c r="P96" s="8">
        <f t="shared" si="12"/>
        <v>5.2402451971790871</v>
      </c>
      <c r="U96" s="8">
        <v>156.5</v>
      </c>
      <c r="V96" s="10">
        <f t="shared" si="13"/>
        <v>0.18866774651067961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918.33152173913004</v>
      </c>
      <c r="E97">
        <v>294.61775362319003</v>
      </c>
      <c r="F97">
        <v>134.50452898551001</v>
      </c>
      <c r="G97">
        <v>115.08967391304</v>
      </c>
      <c r="I97" s="9">
        <f t="shared" si="8"/>
        <v>179.52807971015002</v>
      </c>
      <c r="J97" s="9">
        <f t="shared" si="9"/>
        <v>783.82699275362006</v>
      </c>
      <c r="K97" s="9">
        <f t="shared" si="10"/>
        <v>179.52807971015002</v>
      </c>
      <c r="L97" s="10">
        <f t="shared" si="7"/>
        <v>0.22904044051795114</v>
      </c>
      <c r="M97" s="10">
        <f t="shared" si="11"/>
        <v>0.23989540444158983</v>
      </c>
      <c r="P97" s="8">
        <f t="shared" si="12"/>
        <v>5.1534719453340232</v>
      </c>
      <c r="U97" s="8">
        <v>157</v>
      </c>
      <c r="V97" s="10">
        <f t="shared" si="13"/>
        <v>0.19109211625061903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912.97916666667004</v>
      </c>
      <c r="E98">
        <v>295.48913043478001</v>
      </c>
      <c r="F98">
        <v>134.51902173913001</v>
      </c>
      <c r="G98">
        <v>114.77173913044</v>
      </c>
      <c r="I98" s="9">
        <f t="shared" si="8"/>
        <v>180.71739130434003</v>
      </c>
      <c r="J98" s="9">
        <f t="shared" si="9"/>
        <v>778.46014492754</v>
      </c>
      <c r="K98" s="9">
        <f t="shared" si="10"/>
        <v>180.71739130434003</v>
      </c>
      <c r="L98" s="10">
        <f t="shared" si="7"/>
        <v>0.23214726210699124</v>
      </c>
      <c r="M98" s="10">
        <f t="shared" si="11"/>
        <v>0.24311648880877348</v>
      </c>
      <c r="P98" s="8">
        <f t="shared" si="12"/>
        <v>6.5653714580679994</v>
      </c>
      <c r="U98" s="8">
        <v>157.5</v>
      </c>
      <c r="V98" s="10">
        <f t="shared" si="13"/>
        <v>0.18991977399144863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917.90398550725001</v>
      </c>
      <c r="E99">
        <v>295.44655797101001</v>
      </c>
      <c r="F99">
        <v>134.92391304348001</v>
      </c>
      <c r="G99">
        <v>114.85235507246</v>
      </c>
      <c r="I99" s="9">
        <f t="shared" si="8"/>
        <v>180.59420289855001</v>
      </c>
      <c r="J99" s="9">
        <f t="shared" si="9"/>
        <v>782.98007246377006</v>
      </c>
      <c r="K99" s="9">
        <f t="shared" si="10"/>
        <v>180.59420289855001</v>
      </c>
      <c r="L99" s="10">
        <f t="shared" si="7"/>
        <v>0.23064980738306906</v>
      </c>
      <c r="M99" s="10">
        <f t="shared" si="11"/>
        <v>0.24173329686299488</v>
      </c>
      <c r="P99" s="8">
        <f t="shared" si="12"/>
        <v>5.9590762445185632</v>
      </c>
      <c r="U99" s="8">
        <v>158</v>
      </c>
      <c r="V99" s="10">
        <f t="shared" si="13"/>
        <v>0.19132854357871837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914.41213768115995</v>
      </c>
      <c r="E100">
        <v>296.84510869565003</v>
      </c>
      <c r="F100">
        <v>135.3125</v>
      </c>
      <c r="G100">
        <v>115.02173913044</v>
      </c>
      <c r="I100" s="9">
        <f t="shared" si="8"/>
        <v>181.82336956521004</v>
      </c>
      <c r="J100" s="9">
        <f t="shared" si="9"/>
        <v>779.09963768115995</v>
      </c>
      <c r="K100" s="9">
        <f t="shared" si="10"/>
        <v>181.82336956521004</v>
      </c>
      <c r="L100" s="10">
        <f t="shared" si="7"/>
        <v>0.23337627277862982</v>
      </c>
      <c r="M100" s="10">
        <f t="shared" si="11"/>
        <v>0.2445740250366992</v>
      </c>
      <c r="P100" s="8">
        <f t="shared" si="12"/>
        <v>7.2042540377874955</v>
      </c>
      <c r="U100" s="8">
        <v>158.5</v>
      </c>
      <c r="V100" s="10">
        <f t="shared" si="13"/>
        <v>0.19145715702761154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911.80706521739</v>
      </c>
      <c r="E101">
        <v>294.78713768116</v>
      </c>
      <c r="F101">
        <v>134.95471014493</v>
      </c>
      <c r="G101">
        <v>114.91304347825999</v>
      </c>
      <c r="I101" s="9">
        <f t="shared" si="8"/>
        <v>179.87409420290001</v>
      </c>
      <c r="J101" s="9">
        <f t="shared" si="9"/>
        <v>776.85235507246</v>
      </c>
      <c r="K101" s="9">
        <f t="shared" si="10"/>
        <v>179.87409420290001</v>
      </c>
      <c r="L101" s="10">
        <f t="shared" si="7"/>
        <v>0.23154218820141501</v>
      </c>
      <c r="M101" s="10">
        <f t="shared" si="11"/>
        <v>0.24285420323762796</v>
      </c>
      <c r="P101" s="8">
        <f t="shared" si="12"/>
        <v>6.4504036932151649</v>
      </c>
      <c r="U101" s="8">
        <v>159</v>
      </c>
      <c r="V101" s="10">
        <f t="shared" si="13"/>
        <v>0.19408712064109226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913.48278985507</v>
      </c>
      <c r="E102">
        <v>294.77807971015</v>
      </c>
      <c r="F102">
        <v>134.43568840579999</v>
      </c>
      <c r="G102">
        <v>114.96014492754</v>
      </c>
      <c r="I102" s="9">
        <f t="shared" si="8"/>
        <v>179.81793478261</v>
      </c>
      <c r="J102" s="9">
        <f t="shared" si="9"/>
        <v>779.04710144927003</v>
      </c>
      <c r="K102" s="9">
        <f t="shared" si="10"/>
        <v>179.81793478261</v>
      </c>
      <c r="L102" s="10">
        <f t="shared" si="7"/>
        <v>0.23081779580219564</v>
      </c>
      <c r="M102" s="10">
        <f t="shared" si="11"/>
        <v>0.24224407361655215</v>
      </c>
      <c r="P102" s="8">
        <f t="shared" si="12"/>
        <v>6.1829652729496596</v>
      </c>
      <c r="U102" s="8">
        <v>159.5</v>
      </c>
      <c r="V102" s="10">
        <f t="shared" si="13"/>
        <v>0.19270447226472823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912.52355072464002</v>
      </c>
      <c r="E103">
        <v>295.54347826087002</v>
      </c>
      <c r="F103">
        <v>135.39492753623</v>
      </c>
      <c r="G103">
        <v>115.25996376812</v>
      </c>
      <c r="I103" s="9">
        <f t="shared" si="8"/>
        <v>180.28351449275002</v>
      </c>
      <c r="J103" s="9">
        <f t="shared" si="9"/>
        <v>777.12862318841007</v>
      </c>
      <c r="K103" s="9">
        <f t="shared" si="10"/>
        <v>180.28351449275002</v>
      </c>
      <c r="L103" s="10">
        <f t="shared" si="7"/>
        <v>0.23198671251237826</v>
      </c>
      <c r="M103" s="10">
        <f t="shared" si="11"/>
        <v>0.24352725310487833</v>
      </c>
      <c r="P103" s="8">
        <f t="shared" si="12"/>
        <v>6.745421976280916</v>
      </c>
      <c r="U103" s="8">
        <v>160</v>
      </c>
      <c r="V103" s="10">
        <f t="shared" si="13"/>
        <v>0.19253013433402569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902.82155797100995</v>
      </c>
      <c r="E104">
        <v>293.01721014493</v>
      </c>
      <c r="F104">
        <v>135.34510869565</v>
      </c>
      <c r="G104">
        <v>115.01811594202999</v>
      </c>
      <c r="I104" s="9">
        <f t="shared" si="8"/>
        <v>177.99909420290001</v>
      </c>
      <c r="J104" s="9">
        <f t="shared" si="9"/>
        <v>767.47644927535998</v>
      </c>
      <c r="K104" s="9">
        <f t="shared" si="10"/>
        <v>177.99909420290001</v>
      </c>
      <c r="L104" s="10">
        <f t="shared" si="7"/>
        <v>0.23192776061202158</v>
      </c>
      <c r="M104" s="10">
        <f t="shared" si="11"/>
        <v>0.24358256398266523</v>
      </c>
      <c r="P104" s="8">
        <f t="shared" si="12"/>
        <v>6.769666420851145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903.17844202899005</v>
      </c>
      <c r="E105">
        <v>294.19474637680997</v>
      </c>
      <c r="F105">
        <v>135.25543478261</v>
      </c>
      <c r="G105">
        <v>114.97916666667</v>
      </c>
      <c r="I105" s="9">
        <f t="shared" si="8"/>
        <v>179.21557971013999</v>
      </c>
      <c r="J105" s="9">
        <f t="shared" si="9"/>
        <v>767.92300724638005</v>
      </c>
      <c r="K105" s="9">
        <f t="shared" si="10"/>
        <v>179.21557971013999</v>
      </c>
      <c r="L105" s="10">
        <f t="shared" si="7"/>
        <v>0.23337701568907487</v>
      </c>
      <c r="M105" s="10">
        <f t="shared" si="11"/>
        <v>0.24514608183786207</v>
      </c>
      <c r="P105" s="8">
        <f t="shared" si="12"/>
        <v>7.4550039799643324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906.04891304347996</v>
      </c>
      <c r="E106">
        <v>292.00181159419998</v>
      </c>
      <c r="F106">
        <v>135.42572463767999</v>
      </c>
      <c r="G106">
        <v>115.56068840579999</v>
      </c>
      <c r="I106" s="9">
        <f t="shared" si="8"/>
        <v>176.44112318839998</v>
      </c>
      <c r="J106" s="9">
        <f t="shared" si="9"/>
        <v>770.62318840579997</v>
      </c>
      <c r="K106" s="9">
        <f t="shared" si="10"/>
        <v>176.44112318839998</v>
      </c>
      <c r="L106" s="10">
        <f t="shared" si="7"/>
        <v>0.22895901115226813</v>
      </c>
      <c r="M106" s="10">
        <f t="shared" si="11"/>
        <v>0.24084234007919891</v>
      </c>
      <c r="P106" s="8">
        <f t="shared" si="12"/>
        <v>5.5685427143433079</v>
      </c>
      <c r="X106" s="8">
        <v>-13</v>
      </c>
    </row>
    <row r="107" spans="1:25" x14ac:dyDescent="0.2">
      <c r="A107" s="8">
        <v>52.5</v>
      </c>
      <c r="B107" s="8">
        <v>105</v>
      </c>
      <c r="D107">
        <v>891.94384057971001</v>
      </c>
      <c r="E107">
        <v>290.57608695651999</v>
      </c>
      <c r="F107">
        <v>135.43840579709999</v>
      </c>
      <c r="G107">
        <v>115.13586956522001</v>
      </c>
      <c r="I107" s="9">
        <f t="shared" si="8"/>
        <v>175.4402173913</v>
      </c>
      <c r="J107" s="9">
        <f t="shared" si="9"/>
        <v>756.50543478261</v>
      </c>
      <c r="K107" s="9">
        <f t="shared" si="10"/>
        <v>175.4402173913</v>
      </c>
      <c r="L107" s="10">
        <f t="shared" si="7"/>
        <v>0.23190873366523088</v>
      </c>
      <c r="M107" s="10">
        <f t="shared" si="11"/>
        <v>0.24390632537030521</v>
      </c>
      <c r="P107" s="8">
        <f t="shared" si="12"/>
        <v>6.9115809109241395</v>
      </c>
      <c r="X107" s="8">
        <v>-13</v>
      </c>
    </row>
    <row r="108" spans="1:25" x14ac:dyDescent="0.2">
      <c r="A108" s="8">
        <v>53</v>
      </c>
      <c r="B108" s="8">
        <v>106</v>
      </c>
      <c r="D108">
        <v>908.29592760181004</v>
      </c>
      <c r="E108">
        <v>293.20542986424999</v>
      </c>
      <c r="F108">
        <v>135.74456521739</v>
      </c>
      <c r="G108">
        <v>115.07518115942</v>
      </c>
      <c r="I108" s="9">
        <f t="shared" si="8"/>
        <v>178.13024870483</v>
      </c>
      <c r="J108" s="9">
        <f t="shared" si="9"/>
        <v>772.55136238442003</v>
      </c>
      <c r="K108" s="9">
        <f t="shared" si="10"/>
        <v>178.13024870483</v>
      </c>
      <c r="L108" s="10">
        <f t="shared" si="7"/>
        <v>0.23057398818771707</v>
      </c>
      <c r="M108" s="10">
        <f t="shared" si="11"/>
        <v>0.24268584267093496</v>
      </c>
      <c r="P108" s="8">
        <f t="shared" si="12"/>
        <v>6.3766061222793535</v>
      </c>
      <c r="X108" s="8">
        <v>-13</v>
      </c>
    </row>
    <row r="109" spans="1:25" x14ac:dyDescent="0.2">
      <c r="A109" s="8">
        <v>53.5</v>
      </c>
      <c r="B109" s="8">
        <v>107</v>
      </c>
      <c r="D109">
        <v>916.85339366515996</v>
      </c>
      <c r="E109">
        <v>298.69321266968001</v>
      </c>
      <c r="F109">
        <v>135.68931159420001</v>
      </c>
      <c r="G109">
        <v>114.91757246377</v>
      </c>
      <c r="I109" s="9">
        <f t="shared" si="8"/>
        <v>183.77564020591001</v>
      </c>
      <c r="J109" s="9">
        <f t="shared" si="9"/>
        <v>781.16408207095992</v>
      </c>
      <c r="K109" s="9">
        <f t="shared" si="10"/>
        <v>183.77564020591001</v>
      </c>
      <c r="L109" s="10">
        <f t="shared" si="7"/>
        <v>0.23525869202626251</v>
      </c>
      <c r="M109" s="10">
        <f t="shared" si="11"/>
        <v>0.24748480928762398</v>
      </c>
      <c r="P109" s="8">
        <f t="shared" si="12"/>
        <v>8.4801395462281679</v>
      </c>
      <c r="X109" s="8">
        <v>-13</v>
      </c>
    </row>
    <row r="110" spans="1:25" x14ac:dyDescent="0.2">
      <c r="A110" s="8">
        <v>54</v>
      </c>
      <c r="B110" s="8">
        <v>108</v>
      </c>
      <c r="D110">
        <v>917.35203619909998</v>
      </c>
      <c r="E110">
        <v>301.96470588235002</v>
      </c>
      <c r="F110">
        <v>135.58152173913001</v>
      </c>
      <c r="G110">
        <v>115.27355072464</v>
      </c>
      <c r="I110" s="9">
        <f t="shared" si="8"/>
        <v>186.69115515771</v>
      </c>
      <c r="J110" s="9">
        <f t="shared" si="9"/>
        <v>781.77051445996995</v>
      </c>
      <c r="K110" s="9">
        <f t="shared" si="10"/>
        <v>186.69115515771</v>
      </c>
      <c r="L110" s="10">
        <f t="shared" si="7"/>
        <v>0.23880557235734606</v>
      </c>
      <c r="M110" s="10">
        <f t="shared" si="11"/>
        <v>0.25114595239685111</v>
      </c>
      <c r="P110" s="8">
        <f t="shared" si="12"/>
        <v>10.084930226233482</v>
      </c>
      <c r="X110" s="8">
        <v>-13</v>
      </c>
    </row>
    <row r="111" spans="1:25" x14ac:dyDescent="0.2">
      <c r="A111" s="8">
        <v>54.5</v>
      </c>
      <c r="B111" s="8">
        <v>109</v>
      </c>
      <c r="D111">
        <v>917.78914027149006</v>
      </c>
      <c r="E111">
        <v>301.22805429864002</v>
      </c>
      <c r="F111">
        <v>136.14583333332999</v>
      </c>
      <c r="G111">
        <v>115.19293478261</v>
      </c>
      <c r="I111" s="9">
        <f t="shared" si="8"/>
        <v>186.03511951603002</v>
      </c>
      <c r="J111" s="9">
        <f t="shared" si="9"/>
        <v>781.64330693816009</v>
      </c>
      <c r="K111" s="9">
        <f t="shared" si="10"/>
        <v>186.03511951603002</v>
      </c>
      <c r="L111" s="10">
        <f t="shared" si="7"/>
        <v>0.2380051333705698</v>
      </c>
      <c r="M111" s="10">
        <f t="shared" si="11"/>
        <v>0.25045977618821841</v>
      </c>
      <c r="P111" s="8">
        <f t="shared" si="12"/>
        <v>9.7841582674209775</v>
      </c>
      <c r="X111" s="8">
        <v>-13</v>
      </c>
    </row>
    <row r="112" spans="1:25" x14ac:dyDescent="0.2">
      <c r="A112" s="8">
        <v>55</v>
      </c>
      <c r="B112" s="8">
        <v>110</v>
      </c>
      <c r="D112">
        <v>911.98733031673999</v>
      </c>
      <c r="E112">
        <v>300.62081447963999</v>
      </c>
      <c r="F112">
        <v>134.88586956521999</v>
      </c>
      <c r="G112">
        <v>115.13315217391001</v>
      </c>
      <c r="I112" s="9">
        <f t="shared" si="8"/>
        <v>185.48766230573</v>
      </c>
      <c r="J112" s="9">
        <f t="shared" si="9"/>
        <v>777.10146075151999</v>
      </c>
      <c r="K112" s="9">
        <f t="shared" si="10"/>
        <v>185.48766230573</v>
      </c>
      <c r="L112" s="10">
        <f t="shared" si="7"/>
        <v>0.23869169172111504</v>
      </c>
      <c r="M112" s="10">
        <f t="shared" si="11"/>
        <v>0.2512605973169072</v>
      </c>
      <c r="P112" s="8">
        <f t="shared" si="12"/>
        <v>10.135182591062453</v>
      </c>
      <c r="X112" s="8">
        <v>-13</v>
      </c>
    </row>
    <row r="113" spans="1:24" x14ac:dyDescent="0.2">
      <c r="A113" s="8">
        <v>55.5</v>
      </c>
      <c r="B113" s="8">
        <v>111</v>
      </c>
      <c r="D113">
        <v>915.27692307691996</v>
      </c>
      <c r="E113">
        <v>301.17013574661001</v>
      </c>
      <c r="F113">
        <v>135.91847826086999</v>
      </c>
      <c r="G113">
        <v>115.22735507246</v>
      </c>
      <c r="I113" s="9">
        <f t="shared" si="8"/>
        <v>185.94278067415001</v>
      </c>
      <c r="J113" s="9">
        <f t="shared" si="9"/>
        <v>779.35844481605</v>
      </c>
      <c r="K113" s="9">
        <f t="shared" si="10"/>
        <v>185.94278067415001</v>
      </c>
      <c r="L113" s="10">
        <f t="shared" si="7"/>
        <v>0.2385844176206208</v>
      </c>
      <c r="M113" s="10">
        <f t="shared" si="11"/>
        <v>0.25126758599455651</v>
      </c>
      <c r="P113" s="8">
        <f t="shared" si="12"/>
        <v>10.138245941612425</v>
      </c>
      <c r="X113" s="8">
        <v>-13</v>
      </c>
    </row>
    <row r="114" spans="1:24" x14ac:dyDescent="0.2">
      <c r="A114" s="8">
        <v>56</v>
      </c>
      <c r="B114" s="8">
        <v>112</v>
      </c>
      <c r="D114">
        <v>898.86425339366997</v>
      </c>
      <c r="E114">
        <v>297.46696832578999</v>
      </c>
      <c r="F114">
        <v>135.82155797101001</v>
      </c>
      <c r="G114">
        <v>115.27445652174001</v>
      </c>
      <c r="I114" s="9">
        <f t="shared" si="8"/>
        <v>182.19251180404999</v>
      </c>
      <c r="J114" s="9">
        <f t="shared" si="9"/>
        <v>763.04269542266002</v>
      </c>
      <c r="K114" s="9">
        <f t="shared" si="10"/>
        <v>182.19251180404999</v>
      </c>
      <c r="L114" s="10">
        <f t="shared" si="7"/>
        <v>0.23877105815570518</v>
      </c>
      <c r="M114" s="10">
        <f t="shared" si="11"/>
        <v>0.25156848930778447</v>
      </c>
      <c r="P114" s="8">
        <f t="shared" si="12"/>
        <v>10.27014104055951</v>
      </c>
      <c r="X114" s="8">
        <v>-13</v>
      </c>
    </row>
    <row r="115" spans="1:24" x14ac:dyDescent="0.2">
      <c r="A115" s="8">
        <v>56.5</v>
      </c>
      <c r="B115" s="8">
        <v>113</v>
      </c>
      <c r="D115">
        <v>904.95927601810001</v>
      </c>
      <c r="E115">
        <v>299.78733031674</v>
      </c>
      <c r="F115">
        <v>135.57608695651999</v>
      </c>
      <c r="G115">
        <v>115.04981884058</v>
      </c>
      <c r="I115" s="9">
        <f t="shared" si="8"/>
        <v>184.73751147615999</v>
      </c>
      <c r="J115" s="9">
        <f t="shared" si="9"/>
        <v>769.38318906157997</v>
      </c>
      <c r="K115" s="9">
        <f t="shared" si="10"/>
        <v>184.73751147615999</v>
      </c>
      <c r="L115" s="10">
        <f t="shared" si="7"/>
        <v>0.2401111879003818</v>
      </c>
      <c r="M115" s="10">
        <f t="shared" si="11"/>
        <v>0.25302288183060467</v>
      </c>
      <c r="P115" s="8">
        <f t="shared" si="12"/>
        <v>10.907645638456525</v>
      </c>
      <c r="X115" s="8">
        <v>-13</v>
      </c>
    </row>
    <row r="116" spans="1:24" x14ac:dyDescent="0.2">
      <c r="A116" s="8">
        <v>57</v>
      </c>
      <c r="B116" s="8">
        <v>114</v>
      </c>
      <c r="D116">
        <v>913.44705882353003</v>
      </c>
      <c r="E116">
        <v>303.80180995475001</v>
      </c>
      <c r="F116">
        <v>135.79800724638</v>
      </c>
      <c r="G116">
        <v>115.4972826087</v>
      </c>
      <c r="I116" s="9">
        <f t="shared" si="8"/>
        <v>188.30452734605001</v>
      </c>
      <c r="J116" s="9">
        <f t="shared" si="9"/>
        <v>777.64905157714998</v>
      </c>
      <c r="K116" s="9">
        <f t="shared" si="10"/>
        <v>188.30452734605001</v>
      </c>
      <c r="L116" s="10">
        <f t="shared" si="7"/>
        <v>0.24214589725808783</v>
      </c>
      <c r="M116" s="10">
        <f t="shared" si="11"/>
        <v>0.25517185396645425</v>
      </c>
      <c r="P116" s="8">
        <f t="shared" si="12"/>
        <v>11.849605663594829</v>
      </c>
      <c r="X116" s="8">
        <v>-13</v>
      </c>
    </row>
    <row r="117" spans="1:24" x14ac:dyDescent="0.2">
      <c r="A117" s="8">
        <v>57.5</v>
      </c>
      <c r="B117" s="8">
        <v>115</v>
      </c>
      <c r="D117">
        <v>912.92760180996004</v>
      </c>
      <c r="E117">
        <v>303.97375565610997</v>
      </c>
      <c r="F117">
        <v>135.76902173913001</v>
      </c>
      <c r="G117">
        <v>115.46557971015</v>
      </c>
      <c r="I117" s="9">
        <f t="shared" si="8"/>
        <v>188.50817594595998</v>
      </c>
      <c r="J117" s="9">
        <f t="shared" si="9"/>
        <v>777.15858007083</v>
      </c>
      <c r="K117" s="9">
        <f t="shared" si="10"/>
        <v>188.50817594595998</v>
      </c>
      <c r="L117" s="10">
        <f t="shared" si="7"/>
        <v>0.24256076015885894</v>
      </c>
      <c r="M117" s="10">
        <f t="shared" si="11"/>
        <v>0.25570097964536892</v>
      </c>
      <c r="P117" s="8">
        <f t="shared" si="12"/>
        <v>12.081537585604016</v>
      </c>
      <c r="X117" s="8">
        <v>-13</v>
      </c>
    </row>
    <row r="118" spans="1:24" x14ac:dyDescent="0.2">
      <c r="A118" s="8">
        <v>58</v>
      </c>
      <c r="B118" s="8">
        <v>116</v>
      </c>
      <c r="D118">
        <v>909.90588235294001</v>
      </c>
      <c r="E118">
        <v>304.32126696833001</v>
      </c>
      <c r="F118">
        <v>135.81884057971001</v>
      </c>
      <c r="G118">
        <v>115.48278985507</v>
      </c>
      <c r="I118" s="9">
        <f t="shared" si="8"/>
        <v>188.83847711326001</v>
      </c>
      <c r="J118" s="9">
        <f t="shared" si="9"/>
        <v>774.08704177323</v>
      </c>
      <c r="K118" s="9">
        <f t="shared" si="10"/>
        <v>188.83847711326001</v>
      </c>
      <c r="L118" s="10">
        <f t="shared" si="7"/>
        <v>0.24394992671713078</v>
      </c>
      <c r="M118" s="10">
        <f t="shared" si="11"/>
        <v>0.25720440898178432</v>
      </c>
      <c r="P118" s="8">
        <f t="shared" si="12"/>
        <v>12.740536514393588</v>
      </c>
      <c r="X118" s="8">
        <v>-13</v>
      </c>
    </row>
    <row r="119" spans="1:24" x14ac:dyDescent="0.2">
      <c r="A119" s="8">
        <v>58.5</v>
      </c>
      <c r="B119" s="8">
        <v>117</v>
      </c>
      <c r="D119">
        <v>888.96923076922997</v>
      </c>
      <c r="E119">
        <v>299.41990950226</v>
      </c>
      <c r="F119">
        <v>136.11141304348001</v>
      </c>
      <c r="G119">
        <v>115.51268115942</v>
      </c>
      <c r="I119" s="9">
        <f t="shared" si="8"/>
        <v>183.90722834284</v>
      </c>
      <c r="J119" s="9">
        <f t="shared" si="9"/>
        <v>752.85781772575001</v>
      </c>
      <c r="K119" s="9">
        <f t="shared" si="10"/>
        <v>183.90722834284</v>
      </c>
      <c r="L119" s="10">
        <f t="shared" si="7"/>
        <v>0.24427883195580161</v>
      </c>
      <c r="M119" s="10">
        <f t="shared" si="11"/>
        <v>0.25764757699859875</v>
      </c>
      <c r="P119" s="8">
        <f t="shared" si="12"/>
        <v>12.934790571621733</v>
      </c>
      <c r="X119" s="8">
        <v>-13</v>
      </c>
    </row>
    <row r="120" spans="1:24" x14ac:dyDescent="0.2">
      <c r="A120" s="8">
        <v>59</v>
      </c>
      <c r="B120" s="8">
        <v>118</v>
      </c>
      <c r="D120">
        <v>890.98733031673999</v>
      </c>
      <c r="E120">
        <v>297.52850678733</v>
      </c>
      <c r="F120">
        <v>136.56974637681</v>
      </c>
      <c r="G120">
        <v>115.70561594202999</v>
      </c>
      <c r="I120" s="9">
        <f t="shared" si="8"/>
        <v>181.82289084530001</v>
      </c>
      <c r="J120" s="9">
        <f t="shared" si="9"/>
        <v>754.41758393992995</v>
      </c>
      <c r="K120" s="9">
        <f t="shared" si="10"/>
        <v>181.82289084530001</v>
      </c>
      <c r="L120" s="10">
        <f t="shared" si="7"/>
        <v>0.24101093971820459</v>
      </c>
      <c r="M120" s="10">
        <f t="shared" si="11"/>
        <v>0.25449394753914528</v>
      </c>
      <c r="P120" s="8">
        <f t="shared" si="12"/>
        <v>11.552458602143087</v>
      </c>
      <c r="X120" s="8">
        <v>-13</v>
      </c>
    </row>
    <row r="121" spans="1:24" x14ac:dyDescent="0.2">
      <c r="A121" s="8">
        <v>59.5</v>
      </c>
      <c r="B121" s="8">
        <v>119</v>
      </c>
      <c r="D121">
        <v>905.68325791855</v>
      </c>
      <c r="E121">
        <v>301.29502262442998</v>
      </c>
      <c r="F121">
        <v>136.01177536232001</v>
      </c>
      <c r="G121">
        <v>115.4365942029</v>
      </c>
      <c r="I121" s="9">
        <f t="shared" si="8"/>
        <v>185.85842842152999</v>
      </c>
      <c r="J121" s="9">
        <f t="shared" si="9"/>
        <v>769.67148255622999</v>
      </c>
      <c r="K121" s="9">
        <f t="shared" si="10"/>
        <v>185.85842842152999</v>
      </c>
      <c r="L121" s="10">
        <f t="shared" si="7"/>
        <v>0.24147760782854744</v>
      </c>
      <c r="M121" s="10">
        <f t="shared" si="11"/>
        <v>0.25507487842763166</v>
      </c>
      <c r="P121" s="8">
        <f t="shared" si="12"/>
        <v>11.807098327430127</v>
      </c>
      <c r="X121" s="8">
        <v>-13</v>
      </c>
    </row>
    <row r="122" spans="1:24" x14ac:dyDescent="0.2">
      <c r="A122" s="8">
        <v>60</v>
      </c>
      <c r="B122" s="8">
        <v>120</v>
      </c>
      <c r="D122">
        <v>906.63619909501995</v>
      </c>
      <c r="E122">
        <v>302.76018099548003</v>
      </c>
      <c r="F122">
        <v>136.11684782609001</v>
      </c>
      <c r="G122">
        <v>115.39492753623</v>
      </c>
      <c r="I122" s="9">
        <f t="shared" si="8"/>
        <v>187.36525345925003</v>
      </c>
      <c r="J122" s="9">
        <f t="shared" si="9"/>
        <v>770.51935126893</v>
      </c>
      <c r="K122" s="9">
        <f t="shared" si="10"/>
        <v>187.36525345925003</v>
      </c>
      <c r="L122" s="10">
        <f t="shared" si="7"/>
        <v>0.24316748586610773</v>
      </c>
      <c r="M122" s="10">
        <f t="shared" si="11"/>
        <v>0.25687901924333556</v>
      </c>
      <c r="P122" s="8">
        <f t="shared" si="12"/>
        <v>12.59790826850069</v>
      </c>
      <c r="X122" s="8">
        <v>-13</v>
      </c>
    </row>
    <row r="123" spans="1:24" x14ac:dyDescent="0.2">
      <c r="A123" s="8">
        <v>60.5</v>
      </c>
      <c r="B123" s="8">
        <v>121</v>
      </c>
      <c r="D123">
        <v>903.27601809955001</v>
      </c>
      <c r="E123">
        <v>300.77104072397998</v>
      </c>
      <c r="F123">
        <v>135.99637681159001</v>
      </c>
      <c r="G123">
        <v>115.32789855073</v>
      </c>
      <c r="I123" s="9">
        <f t="shared" si="8"/>
        <v>185.44314217324998</v>
      </c>
      <c r="J123" s="9">
        <f t="shared" si="9"/>
        <v>767.27964128795998</v>
      </c>
      <c r="K123" s="9">
        <f t="shared" si="10"/>
        <v>185.44314217324998</v>
      </c>
      <c r="L123" s="10">
        <f t="shared" si="7"/>
        <v>0.24168912114227881</v>
      </c>
      <c r="M123" s="10">
        <f t="shared" si="11"/>
        <v>0.25551491729765019</v>
      </c>
      <c r="P123" s="8">
        <f t="shared" si="12"/>
        <v>11.999980784186889</v>
      </c>
      <c r="X123" s="8">
        <v>-13</v>
      </c>
    </row>
    <row r="124" spans="1:24" x14ac:dyDescent="0.2">
      <c r="A124" s="8">
        <v>61</v>
      </c>
      <c r="B124" s="8">
        <v>122</v>
      </c>
      <c r="D124">
        <v>900.72126696833004</v>
      </c>
      <c r="E124">
        <v>299.98823529411999</v>
      </c>
      <c r="F124">
        <v>136.39673913044001</v>
      </c>
      <c r="G124">
        <v>115.59782608696</v>
      </c>
      <c r="I124" s="9">
        <f t="shared" si="8"/>
        <v>184.39040920715999</v>
      </c>
      <c r="J124" s="9">
        <f t="shared" si="9"/>
        <v>764.32452783789006</v>
      </c>
      <c r="K124" s="9">
        <f t="shared" si="10"/>
        <v>184.39040920715999</v>
      </c>
      <c r="L124" s="10">
        <f t="shared" si="7"/>
        <v>0.24124622786705649</v>
      </c>
      <c r="M124" s="10">
        <f t="shared" si="11"/>
        <v>0.25518628680057143</v>
      </c>
      <c r="P124" s="8">
        <f t="shared" si="12"/>
        <v>11.855932014951849</v>
      </c>
      <c r="X124" s="8">
        <v>-13</v>
      </c>
    </row>
    <row r="125" spans="1:24" x14ac:dyDescent="0.2">
      <c r="A125" s="8">
        <v>61.5</v>
      </c>
      <c r="B125" s="8">
        <v>123</v>
      </c>
      <c r="D125">
        <v>908.21266968325995</v>
      </c>
      <c r="E125">
        <v>302.97737556560998</v>
      </c>
      <c r="F125">
        <v>136.34420289855001</v>
      </c>
      <c r="G125">
        <v>115.67391304348</v>
      </c>
      <c r="I125" s="9">
        <f t="shared" si="8"/>
        <v>187.30346252212996</v>
      </c>
      <c r="J125" s="9">
        <f t="shared" si="9"/>
        <v>771.86846678470988</v>
      </c>
      <c r="K125" s="9">
        <f t="shared" si="10"/>
        <v>187.30346252212996</v>
      </c>
      <c r="L125" s="10">
        <f t="shared" si="7"/>
        <v>0.24266241021914006</v>
      </c>
      <c r="M125" s="10">
        <f t="shared" si="11"/>
        <v>0.25671673193079858</v>
      </c>
      <c r="P125" s="8">
        <f t="shared" si="12"/>
        <v>12.526772790079734</v>
      </c>
      <c r="X125" s="8">
        <v>-13</v>
      </c>
    </row>
    <row r="126" spans="1:24" x14ac:dyDescent="0.2">
      <c r="A126" s="8">
        <v>62</v>
      </c>
      <c r="B126" s="8">
        <v>124</v>
      </c>
      <c r="D126">
        <v>913.58914027149001</v>
      </c>
      <c r="E126">
        <v>306.44524886878003</v>
      </c>
      <c r="F126">
        <v>136.29076086956999</v>
      </c>
      <c r="G126">
        <v>115.55163043477999</v>
      </c>
      <c r="I126" s="9">
        <f t="shared" si="8"/>
        <v>190.89361843400002</v>
      </c>
      <c r="J126" s="9">
        <f t="shared" si="9"/>
        <v>777.29837940191999</v>
      </c>
      <c r="K126" s="9">
        <f t="shared" si="10"/>
        <v>190.89361843400002</v>
      </c>
      <c r="L126" s="10">
        <f t="shared" si="7"/>
        <v>0.24558602396788748</v>
      </c>
      <c r="M126" s="10">
        <f t="shared" si="11"/>
        <v>0.25975460845768955</v>
      </c>
      <c r="P126" s="8">
        <f t="shared" si="12"/>
        <v>13.858366719056384</v>
      </c>
      <c r="X126" s="8">
        <v>-13</v>
      </c>
    </row>
    <row r="127" spans="1:24" x14ac:dyDescent="0.2">
      <c r="A127" s="8">
        <v>62.5</v>
      </c>
      <c r="B127" s="8">
        <v>125</v>
      </c>
      <c r="D127">
        <v>909.89321266968</v>
      </c>
      <c r="E127">
        <v>307.63076923077</v>
      </c>
      <c r="F127">
        <v>136.22826086956999</v>
      </c>
      <c r="G127">
        <v>115.36050724638</v>
      </c>
      <c r="I127" s="9">
        <f t="shared" si="8"/>
        <v>192.27026198439</v>
      </c>
      <c r="J127" s="9">
        <f t="shared" si="9"/>
        <v>773.66495180010998</v>
      </c>
      <c r="K127" s="9">
        <f t="shared" si="10"/>
        <v>192.27026198439</v>
      </c>
      <c r="L127" s="10">
        <f t="shared" si="7"/>
        <v>0.24851876970389947</v>
      </c>
      <c r="M127" s="10">
        <f t="shared" si="11"/>
        <v>0.26280161697184512</v>
      </c>
      <c r="P127" s="8">
        <f t="shared" si="12"/>
        <v>15.193963476552685</v>
      </c>
      <c r="X127" s="8">
        <v>-13</v>
      </c>
    </row>
    <row r="128" spans="1:24" x14ac:dyDescent="0.2">
      <c r="A128" s="8">
        <v>63</v>
      </c>
      <c r="B128" s="8">
        <v>126</v>
      </c>
      <c r="D128">
        <v>900.59547511311996</v>
      </c>
      <c r="E128">
        <v>302.81990950225997</v>
      </c>
      <c r="F128">
        <v>136.34873188405999</v>
      </c>
      <c r="G128">
        <v>115.29800724638</v>
      </c>
      <c r="I128" s="9">
        <f t="shared" si="8"/>
        <v>187.52190225587998</v>
      </c>
      <c r="J128" s="9">
        <f t="shared" si="9"/>
        <v>764.24674322906003</v>
      </c>
      <c r="K128" s="9">
        <f t="shared" si="10"/>
        <v>187.52190225587998</v>
      </c>
      <c r="L128" s="10">
        <f t="shared" si="7"/>
        <v>0.24536827133023964</v>
      </c>
      <c r="M128" s="10">
        <f t="shared" si="11"/>
        <v>0.25976538137632882</v>
      </c>
      <c r="P128" s="8">
        <f t="shared" si="12"/>
        <v>13.863088817841646</v>
      </c>
      <c r="X128" s="8">
        <v>-13</v>
      </c>
    </row>
    <row r="129" spans="1:24" x14ac:dyDescent="0.2">
      <c r="A129" s="8">
        <v>63.5</v>
      </c>
      <c r="B129" s="8">
        <v>127</v>
      </c>
      <c r="D129">
        <v>883.04072398189999</v>
      </c>
      <c r="E129">
        <v>296.98461538461999</v>
      </c>
      <c r="F129">
        <v>136.21648550725001</v>
      </c>
      <c r="G129">
        <v>115.09420289854999</v>
      </c>
      <c r="I129" s="9">
        <f t="shared" si="8"/>
        <v>181.89041248606998</v>
      </c>
      <c r="J129" s="9">
        <f t="shared" si="9"/>
        <v>746.82423847464997</v>
      </c>
      <c r="K129" s="9">
        <f t="shared" si="10"/>
        <v>181.89041248606998</v>
      </c>
      <c r="L129" s="10">
        <f t="shared" si="7"/>
        <v>0.24355183337055553</v>
      </c>
      <c r="M129" s="10">
        <f t="shared" si="11"/>
        <v>0.25806320619478829</v>
      </c>
      <c r="P129" s="8">
        <f t="shared" si="12"/>
        <v>13.116973523908424</v>
      </c>
      <c r="X129" s="8">
        <v>-13</v>
      </c>
    </row>
    <row r="130" spans="1:24" x14ac:dyDescent="0.2">
      <c r="A130" s="8">
        <v>64</v>
      </c>
      <c r="B130" s="8">
        <v>128</v>
      </c>
      <c r="D130">
        <v>899.30316742081004</v>
      </c>
      <c r="E130">
        <v>302.14027149320998</v>
      </c>
      <c r="F130">
        <v>136.6222826087</v>
      </c>
      <c r="G130">
        <v>115.56974637681</v>
      </c>
      <c r="I130" s="9">
        <f t="shared" si="8"/>
        <v>186.57052511639998</v>
      </c>
      <c r="J130" s="9">
        <f t="shared" si="9"/>
        <v>762.68088481210998</v>
      </c>
      <c r="K130" s="9">
        <f t="shared" si="10"/>
        <v>186.57052511639998</v>
      </c>
      <c r="L130" s="10">
        <f t="shared" ref="L130:L193" si="14">K130/J130</f>
        <v>0.24462462457330697</v>
      </c>
      <c r="M130" s="10">
        <f t="shared" si="11"/>
        <v>0.25925026017568331</v>
      </c>
      <c r="P130" s="8">
        <f t="shared" si="12"/>
        <v>13.637295485757567</v>
      </c>
      <c r="X130" s="8">
        <v>-13</v>
      </c>
    </row>
    <row r="131" spans="1:24" x14ac:dyDescent="0.2">
      <c r="A131" s="8">
        <v>64.5</v>
      </c>
      <c r="B131" s="8">
        <v>129</v>
      </c>
      <c r="D131">
        <v>909.07692307692002</v>
      </c>
      <c r="E131">
        <v>307.26696832579</v>
      </c>
      <c r="F131">
        <v>136.2527173913</v>
      </c>
      <c r="G131">
        <v>115.54619565217</v>
      </c>
      <c r="I131" s="9">
        <f t="shared" ref="I131:I194" si="15">E131-G131</f>
        <v>191.72077267361999</v>
      </c>
      <c r="J131" s="9">
        <f t="shared" ref="J131:J194" si="16">D131-F131</f>
        <v>772.82420568561997</v>
      </c>
      <c r="K131" s="9">
        <f t="shared" ref="K131:K194" si="17">I131*1</f>
        <v>191.72077267361999</v>
      </c>
      <c r="L131" s="10">
        <f t="shared" si="14"/>
        <v>0.24807811564795992</v>
      </c>
      <c r="M131" s="10">
        <f t="shared" ref="M131:M181" si="18">L131+ABS($N$2)*A131</f>
        <v>0.26281801402847982</v>
      </c>
      <c r="P131" s="8">
        <f t="shared" ref="P131:P194" si="19">(M131-$O$2)/$O$2*100</f>
        <v>15.201150806542755</v>
      </c>
      <c r="X131" s="8">
        <v>-13</v>
      </c>
    </row>
    <row r="132" spans="1:24" x14ac:dyDescent="0.2">
      <c r="A132" s="8">
        <v>65</v>
      </c>
      <c r="B132" s="8">
        <v>130</v>
      </c>
      <c r="D132">
        <v>897.25564588979</v>
      </c>
      <c r="E132">
        <v>303.73893405601001</v>
      </c>
      <c r="F132">
        <v>136.37952898551001</v>
      </c>
      <c r="G132">
        <v>115.77536231884</v>
      </c>
      <c r="I132" s="9">
        <f t="shared" si="15"/>
        <v>187.96357173717001</v>
      </c>
      <c r="J132" s="9">
        <f t="shared" si="16"/>
        <v>760.87611690428002</v>
      </c>
      <c r="K132" s="9">
        <f t="shared" si="17"/>
        <v>187.96357173717001</v>
      </c>
      <c r="L132" s="10">
        <f t="shared" si="14"/>
        <v>0.24703570996803448</v>
      </c>
      <c r="M132" s="10">
        <f t="shared" si="18"/>
        <v>0.26188987112669793</v>
      </c>
      <c r="P132" s="8">
        <f t="shared" si="19"/>
        <v>14.794317466775523</v>
      </c>
      <c r="X132" s="8">
        <v>-13</v>
      </c>
    </row>
    <row r="133" spans="1:24" x14ac:dyDescent="0.2">
      <c r="A133" s="8">
        <v>65.5</v>
      </c>
      <c r="B133" s="8">
        <v>131</v>
      </c>
      <c r="D133">
        <v>894.34869015357003</v>
      </c>
      <c r="E133">
        <v>304.72809394760998</v>
      </c>
      <c r="F133">
        <v>136.73188405797001</v>
      </c>
      <c r="G133">
        <v>115.77536231884</v>
      </c>
      <c r="I133" s="9">
        <f t="shared" si="15"/>
        <v>188.95273162876998</v>
      </c>
      <c r="J133" s="9">
        <f t="shared" si="16"/>
        <v>757.61680609560005</v>
      </c>
      <c r="K133" s="9">
        <f t="shared" si="17"/>
        <v>188.95273162876998</v>
      </c>
      <c r="L133" s="10">
        <f t="shared" si="14"/>
        <v>0.24940409202713348</v>
      </c>
      <c r="M133" s="10">
        <f t="shared" si="18"/>
        <v>0.26437251596394051</v>
      </c>
      <c r="P133" s="8">
        <f t="shared" si="19"/>
        <v>15.882536413073762</v>
      </c>
      <c r="X133" s="8">
        <v>-13</v>
      </c>
    </row>
    <row r="134" spans="1:24" x14ac:dyDescent="0.2">
      <c r="A134" s="8">
        <v>66</v>
      </c>
      <c r="B134" s="8">
        <v>132</v>
      </c>
      <c r="D134">
        <v>897.18157181571996</v>
      </c>
      <c r="E134">
        <v>306.21860885275998</v>
      </c>
      <c r="F134">
        <v>136.36594202898999</v>
      </c>
      <c r="G134">
        <v>115.85960144928001</v>
      </c>
      <c r="I134" s="9">
        <f t="shared" si="15"/>
        <v>190.35900740347998</v>
      </c>
      <c r="J134" s="9">
        <f t="shared" si="16"/>
        <v>760.81562978672991</v>
      </c>
      <c r="K134" s="9">
        <f t="shared" si="17"/>
        <v>190.35900740347998</v>
      </c>
      <c r="L134" s="10">
        <f t="shared" si="14"/>
        <v>0.25020386010844831</v>
      </c>
      <c r="M134" s="10">
        <f t="shared" si="18"/>
        <v>0.26528654682339892</v>
      </c>
      <c r="P134" s="8">
        <f t="shared" si="19"/>
        <v>16.283184014310454</v>
      </c>
      <c r="X134" s="8">
        <v>-13</v>
      </c>
    </row>
    <row r="135" spans="1:24" x14ac:dyDescent="0.2">
      <c r="A135" s="8">
        <v>66.5</v>
      </c>
      <c r="B135" s="8">
        <v>133</v>
      </c>
      <c r="D135">
        <v>909.30442637759995</v>
      </c>
      <c r="E135">
        <v>309.64588979222998</v>
      </c>
      <c r="F135">
        <v>136.97644927536001</v>
      </c>
      <c r="G135">
        <v>115.34057971015</v>
      </c>
      <c r="I135" s="9">
        <f t="shared" si="15"/>
        <v>194.30531008207998</v>
      </c>
      <c r="J135" s="9">
        <f t="shared" si="16"/>
        <v>772.32797710223997</v>
      </c>
      <c r="K135" s="9">
        <f t="shared" si="17"/>
        <v>194.30531008207998</v>
      </c>
      <c r="L135" s="10">
        <f t="shared" si="14"/>
        <v>0.25158393304760218</v>
      </c>
      <c r="M135" s="10">
        <f t="shared" si="18"/>
        <v>0.26678088254069632</v>
      </c>
      <c r="P135" s="8">
        <f t="shared" si="19"/>
        <v>16.93819693250915</v>
      </c>
      <c r="X135" s="8">
        <v>-13</v>
      </c>
    </row>
    <row r="136" spans="1:24" x14ac:dyDescent="0.2">
      <c r="A136" s="8">
        <v>67</v>
      </c>
      <c r="B136" s="8">
        <v>134</v>
      </c>
      <c r="D136">
        <v>882.23215898826004</v>
      </c>
      <c r="E136">
        <v>300.92050587172997</v>
      </c>
      <c r="F136">
        <v>136.76177536232001</v>
      </c>
      <c r="G136">
        <v>116.02626811594</v>
      </c>
      <c r="I136" s="9">
        <f t="shared" si="15"/>
        <v>184.89423775578996</v>
      </c>
      <c r="J136" s="9">
        <f t="shared" si="16"/>
        <v>745.47038362594003</v>
      </c>
      <c r="K136" s="9">
        <f t="shared" si="17"/>
        <v>184.89423775578996</v>
      </c>
      <c r="L136" s="10">
        <f t="shared" si="14"/>
        <v>0.24802358593573001</v>
      </c>
      <c r="M136" s="10">
        <f t="shared" si="18"/>
        <v>0.26333479820696776</v>
      </c>
      <c r="P136" s="8">
        <f t="shared" si="19"/>
        <v>15.42767307253162</v>
      </c>
      <c r="X136" s="8">
        <v>-13</v>
      </c>
    </row>
    <row r="137" spans="1:24" x14ac:dyDescent="0.2">
      <c r="A137" s="8">
        <v>67.5</v>
      </c>
      <c r="B137" s="8">
        <v>135</v>
      </c>
      <c r="D137">
        <v>879.49774164407995</v>
      </c>
      <c r="E137">
        <v>298.92321589882999</v>
      </c>
      <c r="F137">
        <v>136.13949275362</v>
      </c>
      <c r="G137">
        <v>115.88586956522001</v>
      </c>
      <c r="I137" s="9">
        <f t="shared" si="15"/>
        <v>183.03734633361</v>
      </c>
      <c r="J137" s="9">
        <f t="shared" si="16"/>
        <v>743.35824889045989</v>
      </c>
      <c r="K137" s="9">
        <f t="shared" si="17"/>
        <v>183.03734633361</v>
      </c>
      <c r="L137" s="10">
        <f t="shared" si="14"/>
        <v>0.24623032919431839</v>
      </c>
      <c r="M137" s="10">
        <f t="shared" si="18"/>
        <v>0.26165580424369966</v>
      </c>
      <c r="P137" s="8">
        <f t="shared" si="19"/>
        <v>14.691718813533367</v>
      </c>
      <c r="X137" s="8">
        <v>-13</v>
      </c>
    </row>
    <row r="138" spans="1:24" x14ac:dyDescent="0.2">
      <c r="A138" s="8">
        <v>68</v>
      </c>
      <c r="B138" s="8">
        <v>136</v>
      </c>
      <c r="D138">
        <v>891.95483288165997</v>
      </c>
      <c r="E138">
        <v>302.71544715446998</v>
      </c>
      <c r="F138">
        <v>136.30797101448999</v>
      </c>
      <c r="G138">
        <v>115.5652173913</v>
      </c>
      <c r="I138" s="9">
        <f t="shared" si="15"/>
        <v>187.15022976316999</v>
      </c>
      <c r="J138" s="9">
        <f t="shared" si="16"/>
        <v>755.64686186716995</v>
      </c>
      <c r="K138" s="9">
        <f t="shared" si="17"/>
        <v>187.15022976316999</v>
      </c>
      <c r="L138" s="10">
        <f t="shared" si="14"/>
        <v>0.2476689035679048</v>
      </c>
      <c r="M138" s="10">
        <f t="shared" si="18"/>
        <v>0.26320864139542965</v>
      </c>
      <c r="P138" s="8">
        <f t="shared" si="19"/>
        <v>15.372374694583682</v>
      </c>
      <c r="X138" s="8">
        <v>-13</v>
      </c>
    </row>
    <row r="139" spans="1:24" x14ac:dyDescent="0.2">
      <c r="A139" s="8">
        <v>68.5</v>
      </c>
      <c r="B139" s="8">
        <v>137</v>
      </c>
      <c r="D139">
        <v>901.11653116530999</v>
      </c>
      <c r="E139">
        <v>306.3450767841</v>
      </c>
      <c r="F139">
        <v>136.36413043478001</v>
      </c>
      <c r="G139">
        <v>115.84963768116</v>
      </c>
      <c r="I139" s="9">
        <f t="shared" si="15"/>
        <v>190.49543910294</v>
      </c>
      <c r="J139" s="9">
        <f t="shared" si="16"/>
        <v>764.75240073052998</v>
      </c>
      <c r="K139" s="9">
        <f t="shared" si="17"/>
        <v>190.49543910294</v>
      </c>
      <c r="L139" s="10">
        <f t="shared" si="14"/>
        <v>0.24909426753151631</v>
      </c>
      <c r="M139" s="10">
        <f t="shared" si="18"/>
        <v>0.26474826813718472</v>
      </c>
      <c r="P139" s="8">
        <f t="shared" si="19"/>
        <v>16.047240050059241</v>
      </c>
      <c r="X139" s="8">
        <v>-13</v>
      </c>
    </row>
    <row r="140" spans="1:24" x14ac:dyDescent="0.2">
      <c r="A140" s="8">
        <v>69</v>
      </c>
      <c r="B140" s="8">
        <v>138</v>
      </c>
      <c r="D140">
        <v>907.36946702800003</v>
      </c>
      <c r="E140">
        <v>309.05239385726998</v>
      </c>
      <c r="F140">
        <v>136.35597826086999</v>
      </c>
      <c r="G140">
        <v>115.42572463768001</v>
      </c>
      <c r="I140" s="9">
        <f t="shared" si="15"/>
        <v>193.62666921958999</v>
      </c>
      <c r="J140" s="9">
        <f t="shared" si="16"/>
        <v>771.01348876713007</v>
      </c>
      <c r="K140" s="9">
        <f t="shared" si="17"/>
        <v>193.62666921958999</v>
      </c>
      <c r="L140" s="10">
        <f t="shared" si="14"/>
        <v>0.25113266115383259</v>
      </c>
      <c r="M140" s="10">
        <f t="shared" si="18"/>
        <v>0.26690092453764458</v>
      </c>
      <c r="P140" s="8">
        <f t="shared" si="19"/>
        <v>16.99081500073661</v>
      </c>
      <c r="X140" s="8">
        <v>-13</v>
      </c>
    </row>
    <row r="141" spans="1:24" x14ac:dyDescent="0.2">
      <c r="A141" s="8">
        <v>69.5</v>
      </c>
      <c r="B141" s="8">
        <v>139</v>
      </c>
      <c r="D141">
        <v>874.19873532069005</v>
      </c>
      <c r="E141">
        <v>300.14724480578002</v>
      </c>
      <c r="F141">
        <v>136.61413043478001</v>
      </c>
      <c r="G141">
        <v>115.92572463768001</v>
      </c>
      <c r="I141" s="9">
        <f t="shared" si="15"/>
        <v>184.22152016810003</v>
      </c>
      <c r="J141" s="9">
        <f t="shared" si="16"/>
        <v>737.58460488591004</v>
      </c>
      <c r="K141" s="9">
        <f t="shared" si="17"/>
        <v>184.22152016810003</v>
      </c>
      <c r="L141" s="10">
        <f t="shared" si="14"/>
        <v>0.24976323929184435</v>
      </c>
      <c r="M141" s="10">
        <f t="shared" si="18"/>
        <v>0.26564576545379992</v>
      </c>
      <c r="P141" s="8">
        <f t="shared" si="19"/>
        <v>16.440640495238206</v>
      </c>
      <c r="X141" s="8">
        <v>-13</v>
      </c>
    </row>
    <row r="142" spans="1:24" x14ac:dyDescent="0.2">
      <c r="A142" s="8">
        <v>70</v>
      </c>
      <c r="B142" s="8">
        <v>140</v>
      </c>
      <c r="D142">
        <v>883.58897922312997</v>
      </c>
      <c r="E142">
        <v>302.94128274616003</v>
      </c>
      <c r="F142">
        <v>136.29891304348001</v>
      </c>
      <c r="G142">
        <v>115.58876811594</v>
      </c>
      <c r="I142" s="9">
        <f t="shared" si="15"/>
        <v>187.35251463022001</v>
      </c>
      <c r="J142" s="9">
        <f t="shared" si="16"/>
        <v>747.29006617965001</v>
      </c>
      <c r="K142" s="9">
        <f t="shared" si="17"/>
        <v>187.35251463022001</v>
      </c>
      <c r="L142" s="10">
        <f t="shared" si="14"/>
        <v>0.25070922672372326</v>
      </c>
      <c r="M142" s="10">
        <f t="shared" si="18"/>
        <v>0.26670601566382235</v>
      </c>
      <c r="P142" s="8">
        <f t="shared" si="19"/>
        <v>16.905380497132548</v>
      </c>
      <c r="X142" s="8">
        <v>-13</v>
      </c>
    </row>
    <row r="143" spans="1:24" x14ac:dyDescent="0.2">
      <c r="A143" s="8">
        <v>70.5</v>
      </c>
      <c r="B143" s="8">
        <v>141</v>
      </c>
      <c r="D143">
        <v>906.51942186089002</v>
      </c>
      <c r="E143">
        <v>308.03794037940003</v>
      </c>
      <c r="F143">
        <v>136.74909420290001</v>
      </c>
      <c r="G143">
        <v>115.58242753623</v>
      </c>
      <c r="I143" s="9">
        <f t="shared" si="15"/>
        <v>192.45551284317003</v>
      </c>
      <c r="J143" s="9">
        <f t="shared" si="16"/>
        <v>769.77032765799004</v>
      </c>
      <c r="K143" s="9">
        <f t="shared" si="17"/>
        <v>192.45551284317003</v>
      </c>
      <c r="L143" s="10">
        <f t="shared" si="14"/>
        <v>0.25001679842442337</v>
      </c>
      <c r="M143" s="10">
        <f t="shared" si="18"/>
        <v>0.26612785014266604</v>
      </c>
      <c r="P143" s="8">
        <f t="shared" si="19"/>
        <v>16.651952916682703</v>
      </c>
      <c r="X143" s="8">
        <v>-13</v>
      </c>
    </row>
    <row r="144" spans="1:24" x14ac:dyDescent="0.2">
      <c r="A144" s="8">
        <v>71</v>
      </c>
      <c r="B144" s="8">
        <v>142</v>
      </c>
      <c r="D144">
        <v>898.63685636855996</v>
      </c>
      <c r="E144">
        <v>310.25203252032998</v>
      </c>
      <c r="F144">
        <v>136.06793478261</v>
      </c>
      <c r="G144">
        <v>115.81068840579999</v>
      </c>
      <c r="I144" s="9">
        <f t="shared" si="15"/>
        <v>194.44134411452998</v>
      </c>
      <c r="J144" s="9">
        <f t="shared" si="16"/>
        <v>762.56892158594997</v>
      </c>
      <c r="K144" s="9">
        <f t="shared" si="17"/>
        <v>194.44134411452998</v>
      </c>
      <c r="L144" s="10">
        <f t="shared" si="14"/>
        <v>0.25498199390311016</v>
      </c>
      <c r="M144" s="10">
        <f t="shared" si="18"/>
        <v>0.27120730839949642</v>
      </c>
      <c r="P144" s="8">
        <f t="shared" si="19"/>
        <v>18.878434380762425</v>
      </c>
    </row>
    <row r="145" spans="1:16" x14ac:dyDescent="0.2">
      <c r="A145" s="8">
        <v>71.5</v>
      </c>
      <c r="B145" s="8">
        <v>143</v>
      </c>
      <c r="D145">
        <v>899.84010840107999</v>
      </c>
      <c r="E145">
        <v>310.46431797651002</v>
      </c>
      <c r="F145">
        <v>136.34329710144999</v>
      </c>
      <c r="G145">
        <v>115.99637681159</v>
      </c>
      <c r="I145" s="9">
        <f t="shared" si="15"/>
        <v>194.46794116492003</v>
      </c>
      <c r="J145" s="9">
        <f t="shared" si="16"/>
        <v>763.49681129963005</v>
      </c>
      <c r="K145" s="9">
        <f t="shared" si="17"/>
        <v>194.46794116492003</v>
      </c>
      <c r="L145" s="10">
        <f t="shared" si="14"/>
        <v>0.25470694610223094</v>
      </c>
      <c r="M145" s="10">
        <f t="shared" si="18"/>
        <v>0.27104652337676072</v>
      </c>
      <c r="P145" s="8">
        <f t="shared" si="19"/>
        <v>18.807957401777255</v>
      </c>
    </row>
    <row r="146" spans="1:16" x14ac:dyDescent="0.2">
      <c r="A146" s="8">
        <v>72</v>
      </c>
      <c r="B146" s="8">
        <v>144</v>
      </c>
      <c r="D146">
        <v>900.00813008130001</v>
      </c>
      <c r="E146">
        <v>308.15537488707997</v>
      </c>
      <c r="F146">
        <v>136.12047101448999</v>
      </c>
      <c r="G146">
        <v>115.83514492754</v>
      </c>
      <c r="I146" s="9">
        <f t="shared" si="15"/>
        <v>192.32022995953997</v>
      </c>
      <c r="J146" s="9">
        <f t="shared" si="16"/>
        <v>763.88765906680999</v>
      </c>
      <c r="K146" s="9">
        <f t="shared" si="17"/>
        <v>192.32022995953997</v>
      </c>
      <c r="L146" s="10">
        <f t="shared" si="14"/>
        <v>0.25176507000320519</v>
      </c>
      <c r="M146" s="10">
        <f t="shared" si="18"/>
        <v>0.26821891005587856</v>
      </c>
      <c r="P146" s="8">
        <f t="shared" si="19"/>
        <v>17.568528248468777</v>
      </c>
    </row>
    <row r="147" spans="1:16" x14ac:dyDescent="0.2">
      <c r="A147" s="8">
        <v>72.5</v>
      </c>
      <c r="B147" s="8">
        <v>145</v>
      </c>
      <c r="D147">
        <v>872.20867208671996</v>
      </c>
      <c r="E147">
        <v>301.67841011744002</v>
      </c>
      <c r="F147">
        <v>135.99547101448999</v>
      </c>
      <c r="G147">
        <v>115.59057971015</v>
      </c>
      <c r="I147" s="9">
        <f t="shared" si="15"/>
        <v>186.08783040729003</v>
      </c>
      <c r="J147" s="9">
        <f t="shared" si="16"/>
        <v>736.21320107222994</v>
      </c>
      <c r="K147" s="9">
        <f t="shared" si="17"/>
        <v>186.08783040729003</v>
      </c>
      <c r="L147" s="10">
        <f t="shared" si="14"/>
        <v>0.25276350673455655</v>
      </c>
      <c r="M147" s="10">
        <f t="shared" si="18"/>
        <v>0.2693316095653735</v>
      </c>
      <c r="P147" s="8">
        <f t="shared" si="19"/>
        <v>18.056258377887541</v>
      </c>
    </row>
    <row r="148" spans="1:16" x14ac:dyDescent="0.2">
      <c r="A148" s="8">
        <v>73</v>
      </c>
      <c r="B148" s="8">
        <v>146</v>
      </c>
      <c r="D148">
        <v>879.32068654019997</v>
      </c>
      <c r="E148">
        <v>302.92682926829002</v>
      </c>
      <c r="F148">
        <v>136.50090579709999</v>
      </c>
      <c r="G148">
        <v>115.83152173913</v>
      </c>
      <c r="I148" s="9">
        <f t="shared" si="15"/>
        <v>187.09530752916004</v>
      </c>
      <c r="J148" s="9">
        <f t="shared" si="16"/>
        <v>742.81978074309995</v>
      </c>
      <c r="K148" s="9">
        <f t="shared" si="17"/>
        <v>187.09530752916004</v>
      </c>
      <c r="L148" s="10">
        <f t="shared" si="14"/>
        <v>0.25187173575533245</v>
      </c>
      <c r="M148" s="10">
        <f t="shared" si="18"/>
        <v>0.26855410136429297</v>
      </c>
      <c r="P148" s="8">
        <f t="shared" si="19"/>
        <v>17.715452821399715</v>
      </c>
    </row>
    <row r="149" spans="1:16" x14ac:dyDescent="0.2">
      <c r="A149" s="8">
        <v>73.5</v>
      </c>
      <c r="B149" s="8">
        <v>147</v>
      </c>
      <c r="D149">
        <v>895.44986449864996</v>
      </c>
      <c r="E149">
        <v>306.67208672087003</v>
      </c>
      <c r="F149">
        <v>136.83695652174001</v>
      </c>
      <c r="G149">
        <v>115.86141304348</v>
      </c>
      <c r="I149" s="9">
        <f t="shared" si="15"/>
        <v>190.81067367739001</v>
      </c>
      <c r="J149" s="9">
        <f t="shared" si="16"/>
        <v>758.61290797690992</v>
      </c>
      <c r="K149" s="9">
        <f t="shared" si="17"/>
        <v>190.81067367739001</v>
      </c>
      <c r="L149" s="10">
        <f t="shared" si="14"/>
        <v>0.25152574082380069</v>
      </c>
      <c r="M149" s="10">
        <f t="shared" si="18"/>
        <v>0.26832236921090474</v>
      </c>
      <c r="P149" s="8">
        <f t="shared" si="19"/>
        <v>17.613877551348743</v>
      </c>
    </row>
    <row r="150" spans="1:16" x14ac:dyDescent="0.2">
      <c r="A150" s="8">
        <v>74</v>
      </c>
      <c r="B150" s="8">
        <v>148</v>
      </c>
      <c r="D150">
        <v>899.97289972900001</v>
      </c>
      <c r="E150">
        <v>309.86088527551999</v>
      </c>
      <c r="F150">
        <v>136.31431159420001</v>
      </c>
      <c r="G150">
        <v>115.57608695652</v>
      </c>
      <c r="I150" s="9">
        <f t="shared" si="15"/>
        <v>194.284798319</v>
      </c>
      <c r="J150" s="9">
        <f t="shared" si="16"/>
        <v>763.65858813479997</v>
      </c>
      <c r="K150" s="9">
        <f t="shared" si="17"/>
        <v>194.284798319</v>
      </c>
      <c r="L150" s="10">
        <f t="shared" si="14"/>
        <v>0.25441316491120913</v>
      </c>
      <c r="M150" s="10">
        <f t="shared" si="18"/>
        <v>0.27132405607645677</v>
      </c>
      <c r="P150" s="8">
        <f t="shared" si="19"/>
        <v>18.92960844807109</v>
      </c>
    </row>
    <row r="151" spans="1:16" x14ac:dyDescent="0.2">
      <c r="A151" s="8">
        <v>74.5</v>
      </c>
      <c r="B151" s="8">
        <v>149</v>
      </c>
      <c r="D151">
        <v>898.97560975609997</v>
      </c>
      <c r="E151">
        <v>309.27100271003002</v>
      </c>
      <c r="F151">
        <v>136.19293478261</v>
      </c>
      <c r="G151">
        <v>115.56974637681</v>
      </c>
      <c r="I151" s="9">
        <f t="shared" si="15"/>
        <v>193.70125633322002</v>
      </c>
      <c r="J151" s="9">
        <f t="shared" si="16"/>
        <v>762.78267497348997</v>
      </c>
      <c r="K151" s="9">
        <f t="shared" si="17"/>
        <v>193.70125633322002</v>
      </c>
      <c r="L151" s="10">
        <f t="shared" si="14"/>
        <v>0.25394029346556929</v>
      </c>
      <c r="M151" s="10">
        <f t="shared" si="18"/>
        <v>0.2709654474089605</v>
      </c>
      <c r="P151" s="8">
        <f t="shared" si="19"/>
        <v>18.772419332486745</v>
      </c>
    </row>
    <row r="152" spans="1:16" x14ac:dyDescent="0.2">
      <c r="A152" s="8">
        <v>75</v>
      </c>
      <c r="B152" s="8">
        <v>150</v>
      </c>
      <c r="D152">
        <v>889.42547425474004</v>
      </c>
      <c r="E152">
        <v>301.70551038844002</v>
      </c>
      <c r="F152">
        <v>136.71739130435</v>
      </c>
      <c r="G152">
        <v>115.79438405797001</v>
      </c>
      <c r="I152" s="9">
        <f t="shared" si="15"/>
        <v>185.91112633047001</v>
      </c>
      <c r="J152" s="9">
        <f t="shared" si="16"/>
        <v>752.70808295039001</v>
      </c>
      <c r="K152" s="9">
        <f t="shared" si="17"/>
        <v>185.91112633047001</v>
      </c>
      <c r="L152" s="10">
        <f t="shared" si="14"/>
        <v>0.2469896770627919</v>
      </c>
      <c r="M152" s="10">
        <f t="shared" si="18"/>
        <v>0.2641290937843267</v>
      </c>
      <c r="P152" s="8">
        <f t="shared" si="19"/>
        <v>15.775837048013077</v>
      </c>
    </row>
    <row r="153" spans="1:16" x14ac:dyDescent="0.2">
      <c r="A153" s="8">
        <v>75.5</v>
      </c>
      <c r="B153" s="8">
        <v>151</v>
      </c>
      <c r="D153">
        <v>901.30081300813004</v>
      </c>
      <c r="E153">
        <v>303.99457994580001</v>
      </c>
      <c r="F153">
        <v>137.24184782609001</v>
      </c>
      <c r="G153">
        <v>115.84148550725</v>
      </c>
      <c r="I153" s="9">
        <f t="shared" si="15"/>
        <v>188.15309443855</v>
      </c>
      <c r="J153" s="9">
        <f t="shared" si="16"/>
        <v>764.05896518204008</v>
      </c>
      <c r="K153" s="9">
        <f t="shared" si="17"/>
        <v>188.15309443855</v>
      </c>
      <c r="L153" s="10">
        <f t="shared" si="14"/>
        <v>0.24625467799297635</v>
      </c>
      <c r="M153" s="10">
        <f t="shared" si="18"/>
        <v>0.26350835749265467</v>
      </c>
      <c r="P153" s="8">
        <f t="shared" si="19"/>
        <v>15.50374940054971</v>
      </c>
    </row>
    <row r="154" spans="1:16" x14ac:dyDescent="0.2">
      <c r="A154" s="8">
        <v>76</v>
      </c>
      <c r="B154" s="8">
        <v>152</v>
      </c>
      <c r="D154">
        <v>882.20867208671996</v>
      </c>
      <c r="E154">
        <v>294.72177055103998</v>
      </c>
      <c r="F154">
        <v>136.70380434782999</v>
      </c>
      <c r="G154">
        <v>115.54528985507</v>
      </c>
      <c r="I154" s="9">
        <f t="shared" si="15"/>
        <v>179.17648069596999</v>
      </c>
      <c r="J154" s="9">
        <f t="shared" si="16"/>
        <v>745.50486773888997</v>
      </c>
      <c r="K154" s="9">
        <f t="shared" si="17"/>
        <v>179.17648069596999</v>
      </c>
      <c r="L154" s="10">
        <f t="shared" si="14"/>
        <v>0.24034246917717755</v>
      </c>
      <c r="M154" s="10">
        <f t="shared" si="18"/>
        <v>0.25771041145499946</v>
      </c>
      <c r="P154" s="8">
        <f t="shared" si="19"/>
        <v>12.962332830147744</v>
      </c>
    </row>
    <row r="155" spans="1:16" x14ac:dyDescent="0.2">
      <c r="A155" s="8">
        <v>76.5</v>
      </c>
      <c r="B155" s="8">
        <v>153</v>
      </c>
      <c r="D155">
        <v>863.39476061427001</v>
      </c>
      <c r="E155">
        <v>290.17976513099001</v>
      </c>
      <c r="F155">
        <v>136.53623188405999</v>
      </c>
      <c r="G155">
        <v>115.07427536231999</v>
      </c>
      <c r="I155" s="9">
        <f t="shared" si="15"/>
        <v>175.10548976867</v>
      </c>
      <c r="J155" s="9">
        <f t="shared" si="16"/>
        <v>726.85852873021008</v>
      </c>
      <c r="K155" s="9">
        <f t="shared" si="17"/>
        <v>175.10548976867</v>
      </c>
      <c r="L155" s="10">
        <f t="shared" si="14"/>
        <v>0.24090725065106081</v>
      </c>
      <c r="M155" s="10">
        <f t="shared" si="18"/>
        <v>0.25838945570702626</v>
      </c>
      <c r="P155" s="8">
        <f t="shared" si="19"/>
        <v>13.259978634873971</v>
      </c>
    </row>
    <row r="156" spans="1:16" x14ac:dyDescent="0.2">
      <c r="A156" s="8">
        <v>77</v>
      </c>
      <c r="B156" s="8">
        <v>154</v>
      </c>
      <c r="D156">
        <v>885.68744354110004</v>
      </c>
      <c r="E156">
        <v>293.19241192411999</v>
      </c>
      <c r="F156">
        <v>136.88586956521999</v>
      </c>
      <c r="G156">
        <v>115.78351449275</v>
      </c>
      <c r="I156" s="9">
        <f t="shared" si="15"/>
        <v>177.40889743137001</v>
      </c>
      <c r="J156" s="9">
        <f t="shared" si="16"/>
        <v>748.80157397588005</v>
      </c>
      <c r="K156" s="9">
        <f t="shared" si="17"/>
        <v>177.40889743137001</v>
      </c>
      <c r="L156" s="10">
        <f t="shared" si="14"/>
        <v>0.23692377740258944</v>
      </c>
      <c r="M156" s="10">
        <f t="shared" si="18"/>
        <v>0.25452024523669847</v>
      </c>
      <c r="P156" s="8">
        <f t="shared" si="19"/>
        <v>11.563985684991227</v>
      </c>
    </row>
    <row r="157" spans="1:16" x14ac:dyDescent="0.2">
      <c r="A157" s="8">
        <v>77.5</v>
      </c>
      <c r="B157" s="8">
        <v>155</v>
      </c>
      <c r="D157">
        <v>892.71725383921</v>
      </c>
      <c r="E157">
        <v>294.38753387534001</v>
      </c>
      <c r="F157">
        <v>136.90307971015</v>
      </c>
      <c r="G157">
        <v>115.79528985507</v>
      </c>
      <c r="I157" s="9">
        <f t="shared" si="15"/>
        <v>178.59224402027002</v>
      </c>
      <c r="J157" s="9">
        <f t="shared" si="16"/>
        <v>755.81417412906001</v>
      </c>
      <c r="K157" s="9">
        <f t="shared" si="17"/>
        <v>178.59224402027002</v>
      </c>
      <c r="L157" s="10">
        <f t="shared" si="14"/>
        <v>0.236291207724525</v>
      </c>
      <c r="M157" s="10">
        <f t="shared" si="18"/>
        <v>0.25400193833677759</v>
      </c>
      <c r="P157" s="8">
        <f t="shared" si="19"/>
        <v>11.336795963759307</v>
      </c>
    </row>
    <row r="158" spans="1:16" x14ac:dyDescent="0.2">
      <c r="A158" s="8">
        <v>78</v>
      </c>
      <c r="B158" s="8">
        <v>156</v>
      </c>
      <c r="D158">
        <v>894.64137308039994</v>
      </c>
      <c r="E158">
        <v>295.37037037036998</v>
      </c>
      <c r="F158">
        <v>136.44565217390999</v>
      </c>
      <c r="G158">
        <v>115.87318840579999</v>
      </c>
      <c r="I158" s="9">
        <f t="shared" si="15"/>
        <v>179.49718196456999</v>
      </c>
      <c r="J158" s="9">
        <f t="shared" si="16"/>
        <v>758.1957209064899</v>
      </c>
      <c r="K158" s="9">
        <f t="shared" si="17"/>
        <v>179.49718196456999</v>
      </c>
      <c r="L158" s="10">
        <f t="shared" si="14"/>
        <v>0.23674254155637448</v>
      </c>
      <c r="M158" s="10">
        <f t="shared" si="18"/>
        <v>0.25456753494677065</v>
      </c>
      <c r="P158" s="8">
        <f t="shared" si="19"/>
        <v>11.584714207127583</v>
      </c>
    </row>
    <row r="159" spans="1:16" x14ac:dyDescent="0.2">
      <c r="A159" s="8">
        <v>78.5</v>
      </c>
      <c r="B159" s="8">
        <v>157</v>
      </c>
      <c r="D159">
        <v>885.69376693767003</v>
      </c>
      <c r="E159">
        <v>292.38572719061</v>
      </c>
      <c r="F159">
        <v>136.26086956521999</v>
      </c>
      <c r="G159">
        <v>115.94927536231999</v>
      </c>
      <c r="I159" s="9">
        <f t="shared" si="15"/>
        <v>176.43645182828999</v>
      </c>
      <c r="J159" s="9">
        <f t="shared" si="16"/>
        <v>749.43289737245004</v>
      </c>
      <c r="K159" s="9">
        <f t="shared" si="17"/>
        <v>176.43645182828999</v>
      </c>
      <c r="L159" s="10">
        <f t="shared" si="14"/>
        <v>0.23542661717531374</v>
      </c>
      <c r="M159" s="10">
        <f t="shared" si="18"/>
        <v>0.25336587334385346</v>
      </c>
      <c r="P159" s="8">
        <f t="shared" si="19"/>
        <v>11.057989279052093</v>
      </c>
    </row>
    <row r="160" spans="1:16" x14ac:dyDescent="0.2">
      <c r="A160" s="8">
        <v>79</v>
      </c>
      <c r="B160" s="8">
        <v>158</v>
      </c>
      <c r="D160">
        <v>868.45347786810999</v>
      </c>
      <c r="E160">
        <v>287.96657633243001</v>
      </c>
      <c r="F160">
        <v>136.66394927536001</v>
      </c>
      <c r="G160">
        <v>115.81612318841</v>
      </c>
      <c r="I160" s="9">
        <f t="shared" si="15"/>
        <v>172.15045314401999</v>
      </c>
      <c r="J160" s="9">
        <f t="shared" si="16"/>
        <v>731.78952859275</v>
      </c>
      <c r="K160" s="9">
        <f t="shared" si="17"/>
        <v>172.15045314401999</v>
      </c>
      <c r="L160" s="10">
        <f t="shared" si="14"/>
        <v>0.23524585474059695</v>
      </c>
      <c r="M160" s="10">
        <f t="shared" si="18"/>
        <v>0.25329937368728023</v>
      </c>
      <c r="P160" s="8">
        <f t="shared" si="19"/>
        <v>11.028840451511501</v>
      </c>
    </row>
    <row r="161" spans="1:16" x14ac:dyDescent="0.2">
      <c r="A161" s="8">
        <v>79.5</v>
      </c>
      <c r="B161" s="8">
        <v>159</v>
      </c>
      <c r="D161">
        <v>891.68925022584006</v>
      </c>
      <c r="E161">
        <v>291.30803974705998</v>
      </c>
      <c r="F161">
        <v>136.60235507246</v>
      </c>
      <c r="G161">
        <v>116.14855072464</v>
      </c>
      <c r="I161" s="9">
        <f t="shared" si="15"/>
        <v>175.15948902241996</v>
      </c>
      <c r="J161" s="9">
        <f t="shared" si="16"/>
        <v>755.08689515338006</v>
      </c>
      <c r="K161" s="9">
        <f t="shared" si="17"/>
        <v>175.15948902241996</v>
      </c>
      <c r="L161" s="10">
        <f t="shared" si="14"/>
        <v>0.23197262480212955</v>
      </c>
      <c r="M161" s="10">
        <f t="shared" si="18"/>
        <v>0.2501404065269564</v>
      </c>
      <c r="P161" s="8">
        <f t="shared" si="19"/>
        <v>9.6441688049555481</v>
      </c>
    </row>
    <row r="162" spans="1:16" x14ac:dyDescent="0.2">
      <c r="A162" s="8">
        <v>80</v>
      </c>
      <c r="B162" s="4">
        <v>160</v>
      </c>
      <c r="C162" s="4" t="s">
        <v>6</v>
      </c>
      <c r="D162">
        <v>871.39024390244003</v>
      </c>
      <c r="E162">
        <v>285.32249322492999</v>
      </c>
      <c r="F162">
        <v>136.48641304348001</v>
      </c>
      <c r="G162">
        <v>115.8152173913</v>
      </c>
      <c r="H162" s="4"/>
      <c r="I162" s="5">
        <f t="shared" si="15"/>
        <v>169.50727583362999</v>
      </c>
      <c r="J162" s="5">
        <f t="shared" si="16"/>
        <v>734.90383085895996</v>
      </c>
      <c r="K162" s="9">
        <f t="shared" si="17"/>
        <v>169.50727583362999</v>
      </c>
      <c r="L162" s="6">
        <f t="shared" si="14"/>
        <v>0.23065232308764655</v>
      </c>
      <c r="M162" s="6">
        <f t="shared" si="18"/>
        <v>0.24893436759061696</v>
      </c>
      <c r="N162" s="4"/>
      <c r="O162" s="4"/>
      <c r="P162" s="4">
        <f t="shared" si="19"/>
        <v>9.1155251581439298</v>
      </c>
    </row>
    <row r="163" spans="1:16" x14ac:dyDescent="0.2">
      <c r="A163" s="8">
        <v>80.5</v>
      </c>
      <c r="B163" s="8">
        <v>161</v>
      </c>
      <c r="D163">
        <v>869.48328816621995</v>
      </c>
      <c r="E163">
        <v>286.91418247515998</v>
      </c>
      <c r="F163">
        <v>136.94565217390999</v>
      </c>
      <c r="G163">
        <v>115.78442028985999</v>
      </c>
      <c r="I163" s="9">
        <f t="shared" si="15"/>
        <v>171.12976218529997</v>
      </c>
      <c r="J163" s="9">
        <f t="shared" si="16"/>
        <v>732.53763599231002</v>
      </c>
      <c r="K163" s="9">
        <f t="shared" si="17"/>
        <v>171.12976218529997</v>
      </c>
      <c r="L163" s="10">
        <f t="shared" si="14"/>
        <v>0.23361224567456415</v>
      </c>
      <c r="M163" s="10">
        <f t="shared" si="18"/>
        <v>0.25200855295567814</v>
      </c>
      <c r="P163" s="8">
        <f t="shared" si="19"/>
        <v>10.463034358214603</v>
      </c>
    </row>
    <row r="164" spans="1:16" x14ac:dyDescent="0.2">
      <c r="A164" s="8">
        <v>81</v>
      </c>
      <c r="B164" s="8">
        <v>162</v>
      </c>
      <c r="D164">
        <v>855.98735320687001</v>
      </c>
      <c r="E164">
        <v>282.78861788618002</v>
      </c>
      <c r="F164">
        <v>136.20199275362</v>
      </c>
      <c r="G164">
        <v>116.18387681159</v>
      </c>
      <c r="I164" s="9">
        <f t="shared" si="15"/>
        <v>166.60474107459004</v>
      </c>
      <c r="J164" s="9">
        <f t="shared" si="16"/>
        <v>719.78536045324995</v>
      </c>
      <c r="K164" s="9">
        <f t="shared" si="17"/>
        <v>166.60474107459004</v>
      </c>
      <c r="L164" s="10">
        <f t="shared" si="14"/>
        <v>0.23146447570103229</v>
      </c>
      <c r="M164" s="10">
        <f t="shared" si="18"/>
        <v>0.24997504576028984</v>
      </c>
      <c r="P164" s="8">
        <f t="shared" si="19"/>
        <v>9.5716861378573306</v>
      </c>
    </row>
    <row r="165" spans="1:16" x14ac:dyDescent="0.2">
      <c r="A165" s="8">
        <v>81.5</v>
      </c>
      <c r="B165" s="8">
        <v>163</v>
      </c>
      <c r="D165">
        <v>873.28906955735999</v>
      </c>
      <c r="E165">
        <v>282.66124661246999</v>
      </c>
      <c r="F165">
        <v>136.38315217390999</v>
      </c>
      <c r="G165">
        <v>115.33061594202999</v>
      </c>
      <c r="I165" s="9">
        <f t="shared" si="15"/>
        <v>167.33063067044</v>
      </c>
      <c r="J165" s="9">
        <f t="shared" si="16"/>
        <v>736.90591738345006</v>
      </c>
      <c r="K165" s="9">
        <f t="shared" si="17"/>
        <v>167.33063067044</v>
      </c>
      <c r="L165" s="10">
        <f t="shared" si="14"/>
        <v>0.22707190527738599</v>
      </c>
      <c r="M165" s="10">
        <f t="shared" si="18"/>
        <v>0.24569673811478709</v>
      </c>
      <c r="P165" s="8">
        <f t="shared" si="19"/>
        <v>7.6963734197080429</v>
      </c>
    </row>
    <row r="166" spans="1:16" x14ac:dyDescent="0.2">
      <c r="A166" s="8">
        <v>82</v>
      </c>
      <c r="B166" s="8">
        <v>164</v>
      </c>
      <c r="D166">
        <v>878.84643179764998</v>
      </c>
      <c r="E166">
        <v>285.98012646793001</v>
      </c>
      <c r="F166">
        <v>136.02355072463999</v>
      </c>
      <c r="G166">
        <v>115.60597826087</v>
      </c>
      <c r="I166" s="9">
        <f t="shared" si="15"/>
        <v>170.37414820705999</v>
      </c>
      <c r="J166" s="9">
        <f t="shared" si="16"/>
        <v>742.82288107300997</v>
      </c>
      <c r="K166" s="9">
        <f t="shared" si="17"/>
        <v>170.37414820705999</v>
      </c>
      <c r="L166" s="10">
        <f t="shared" si="14"/>
        <v>0.2293603933698892</v>
      </c>
      <c r="M166" s="10">
        <f t="shared" si="18"/>
        <v>0.24809948898543388</v>
      </c>
      <c r="P166" s="8">
        <f t="shared" si="19"/>
        <v>8.749572403891591</v>
      </c>
    </row>
    <row r="167" spans="1:16" x14ac:dyDescent="0.2">
      <c r="A167" s="8">
        <v>82.5</v>
      </c>
      <c r="B167" s="8">
        <v>165</v>
      </c>
      <c r="D167">
        <v>861.61788617885998</v>
      </c>
      <c r="E167">
        <v>279.82384823848002</v>
      </c>
      <c r="F167">
        <v>136.6277173913</v>
      </c>
      <c r="G167">
        <v>115.72826086956999</v>
      </c>
      <c r="I167" s="9">
        <f t="shared" si="15"/>
        <v>164.09558736891003</v>
      </c>
      <c r="J167" s="9">
        <f t="shared" si="16"/>
        <v>724.99016878755992</v>
      </c>
      <c r="K167" s="9">
        <f t="shared" si="17"/>
        <v>164.09558736891003</v>
      </c>
      <c r="L167" s="10">
        <f t="shared" si="14"/>
        <v>0.22634181045976928</v>
      </c>
      <c r="M167" s="10">
        <f t="shared" si="18"/>
        <v>0.24519516885345752</v>
      </c>
      <c r="P167" s="8">
        <f t="shared" si="19"/>
        <v>7.4765203159246258</v>
      </c>
    </row>
    <row r="168" spans="1:16" x14ac:dyDescent="0.2">
      <c r="A168" s="8">
        <v>83</v>
      </c>
      <c r="B168" s="8">
        <v>166</v>
      </c>
      <c r="D168">
        <v>872.66937669377</v>
      </c>
      <c r="E168">
        <v>283.59981933153</v>
      </c>
      <c r="F168">
        <v>136.49818840579999</v>
      </c>
      <c r="G168">
        <v>115.4365942029</v>
      </c>
      <c r="I168" s="9">
        <f t="shared" si="15"/>
        <v>168.16322512863002</v>
      </c>
      <c r="J168" s="9">
        <f t="shared" si="16"/>
        <v>736.17118828797004</v>
      </c>
      <c r="K168" s="9">
        <f t="shared" si="17"/>
        <v>168.16322512863002</v>
      </c>
      <c r="L168" s="10">
        <f t="shared" si="14"/>
        <v>0.22842951178204648</v>
      </c>
      <c r="M168" s="10">
        <f t="shared" si="18"/>
        <v>0.2473971329538783</v>
      </c>
      <c r="P168" s="8">
        <f t="shared" si="19"/>
        <v>8.4417083352499667</v>
      </c>
    </row>
    <row r="169" spans="1:16" x14ac:dyDescent="0.2">
      <c r="A169" s="8">
        <v>83.5</v>
      </c>
      <c r="B169" s="8">
        <v>167</v>
      </c>
      <c r="D169">
        <v>869.82565492321999</v>
      </c>
      <c r="E169">
        <v>284.04245709124001</v>
      </c>
      <c r="F169">
        <v>136.30706521739</v>
      </c>
      <c r="G169">
        <v>116.01902173913</v>
      </c>
      <c r="I169" s="9">
        <f t="shared" si="15"/>
        <v>168.02343535211003</v>
      </c>
      <c r="J169" s="9">
        <f t="shared" si="16"/>
        <v>733.51858970582998</v>
      </c>
      <c r="K169" s="9">
        <f t="shared" si="17"/>
        <v>168.02343535211003</v>
      </c>
      <c r="L169" s="10">
        <f t="shared" si="14"/>
        <v>0.22906499945624292</v>
      </c>
      <c r="M169" s="10">
        <f t="shared" si="18"/>
        <v>0.24814688340621829</v>
      </c>
      <c r="P169" s="8">
        <f t="shared" si="19"/>
        <v>8.7703468239265217</v>
      </c>
    </row>
    <row r="170" spans="1:16" x14ac:dyDescent="0.2">
      <c r="A170" s="8">
        <v>84</v>
      </c>
      <c r="B170" s="8">
        <v>168</v>
      </c>
      <c r="D170">
        <v>842.54290876241998</v>
      </c>
      <c r="E170">
        <v>275.62601626015999</v>
      </c>
      <c r="F170">
        <v>137.41213768116</v>
      </c>
      <c r="G170">
        <v>115.64583333333</v>
      </c>
      <c r="I170" s="9">
        <f t="shared" si="15"/>
        <v>159.98018292682997</v>
      </c>
      <c r="J170" s="9">
        <f t="shared" si="16"/>
        <v>705.13077108126004</v>
      </c>
      <c r="K170" s="9">
        <f t="shared" si="17"/>
        <v>159.98018292682997</v>
      </c>
      <c r="L170" s="10">
        <f t="shared" si="14"/>
        <v>0.22688016108205505</v>
      </c>
      <c r="M170" s="10">
        <f t="shared" si="18"/>
        <v>0.24607630781017398</v>
      </c>
      <c r="P170" s="8">
        <f t="shared" si="19"/>
        <v>7.86275039307304</v>
      </c>
    </row>
    <row r="171" spans="1:16" x14ac:dyDescent="0.2">
      <c r="A171" s="8">
        <v>84.5</v>
      </c>
      <c r="B171" s="8">
        <v>169</v>
      </c>
      <c r="D171">
        <v>840.08401084010995</v>
      </c>
      <c r="E171">
        <v>275.54742547426002</v>
      </c>
      <c r="F171">
        <v>136.75905797101001</v>
      </c>
      <c r="G171">
        <v>116.10869565217</v>
      </c>
      <c r="I171" s="9">
        <f t="shared" si="15"/>
        <v>159.43872982209001</v>
      </c>
      <c r="J171" s="9">
        <f t="shared" si="16"/>
        <v>703.32495286909989</v>
      </c>
      <c r="K171" s="9">
        <f t="shared" si="17"/>
        <v>159.43872982209001</v>
      </c>
      <c r="L171" s="10">
        <f t="shared" si="14"/>
        <v>0.22669283831276796</v>
      </c>
      <c r="M171" s="10">
        <f t="shared" si="18"/>
        <v>0.24600324781903046</v>
      </c>
      <c r="P171" s="8">
        <f t="shared" si="19"/>
        <v>7.8307259708173538</v>
      </c>
    </row>
    <row r="172" spans="1:16" x14ac:dyDescent="0.2">
      <c r="A172" s="8">
        <v>85</v>
      </c>
      <c r="B172" s="8">
        <v>170</v>
      </c>
      <c r="D172">
        <v>847.12104787714998</v>
      </c>
      <c r="E172">
        <v>277.71364046974003</v>
      </c>
      <c r="F172">
        <v>137.09239130435</v>
      </c>
      <c r="G172">
        <v>115.85597826087</v>
      </c>
      <c r="I172" s="9">
        <f t="shared" si="15"/>
        <v>161.85766220887001</v>
      </c>
      <c r="J172" s="9">
        <f t="shared" si="16"/>
        <v>710.02865657279995</v>
      </c>
      <c r="K172" s="9">
        <f t="shared" si="17"/>
        <v>161.85766220887001</v>
      </c>
      <c r="L172" s="10">
        <f t="shared" si="14"/>
        <v>0.22795933757115136</v>
      </c>
      <c r="M172" s="10">
        <f t="shared" si="18"/>
        <v>0.24738400985555742</v>
      </c>
      <c r="P172" s="8">
        <f t="shared" si="19"/>
        <v>8.4359560810359557</v>
      </c>
    </row>
    <row r="173" spans="1:16" x14ac:dyDescent="0.2">
      <c r="A173" s="8">
        <v>85.5</v>
      </c>
      <c r="B173" s="8">
        <v>171</v>
      </c>
      <c r="D173">
        <v>865.13730803975</v>
      </c>
      <c r="E173">
        <v>281.31707317073</v>
      </c>
      <c r="F173">
        <v>136.05344202898999</v>
      </c>
      <c r="G173">
        <v>115.7490942029</v>
      </c>
      <c r="I173" s="9">
        <f t="shared" si="15"/>
        <v>165.56797896783002</v>
      </c>
      <c r="J173" s="9">
        <f t="shared" si="16"/>
        <v>729.08386601075995</v>
      </c>
      <c r="K173" s="9">
        <f t="shared" si="17"/>
        <v>165.56797896783002</v>
      </c>
      <c r="L173" s="10">
        <f t="shared" si="14"/>
        <v>0.22709044416762136</v>
      </c>
      <c r="M173" s="10">
        <f t="shared" si="18"/>
        <v>0.246629379230171</v>
      </c>
      <c r="P173" s="8">
        <f t="shared" si="19"/>
        <v>8.1051784636807174</v>
      </c>
    </row>
    <row r="174" spans="1:16" x14ac:dyDescent="0.2">
      <c r="A174" s="8">
        <v>86</v>
      </c>
      <c r="B174" s="8">
        <v>172</v>
      </c>
      <c r="D174">
        <v>882.10569105691002</v>
      </c>
      <c r="E174">
        <v>286.35140018067</v>
      </c>
      <c r="F174">
        <v>136.57699275362</v>
      </c>
      <c r="G174">
        <v>116.20652173913</v>
      </c>
      <c r="I174" s="9">
        <f t="shared" si="15"/>
        <v>170.14487844154002</v>
      </c>
      <c r="J174" s="9">
        <f t="shared" si="16"/>
        <v>745.52869830328996</v>
      </c>
      <c r="K174" s="9">
        <f t="shared" si="17"/>
        <v>170.14487844154002</v>
      </c>
      <c r="L174" s="10">
        <f t="shared" si="14"/>
        <v>0.22822042776993548</v>
      </c>
      <c r="M174" s="10">
        <f t="shared" si="18"/>
        <v>0.24787362561062867</v>
      </c>
      <c r="P174" s="8">
        <f t="shared" si="19"/>
        <v>8.6505695984758635</v>
      </c>
    </row>
    <row r="175" spans="1:16" x14ac:dyDescent="0.2">
      <c r="A175" s="8">
        <v>86.5</v>
      </c>
      <c r="B175" s="8">
        <v>173</v>
      </c>
      <c r="D175">
        <v>893.42276422763996</v>
      </c>
      <c r="E175">
        <v>291.08491418248002</v>
      </c>
      <c r="F175">
        <v>136.53170289855001</v>
      </c>
      <c r="G175">
        <v>115.54257246377</v>
      </c>
      <c r="I175" s="9">
        <f t="shared" si="15"/>
        <v>175.54234171871002</v>
      </c>
      <c r="J175" s="9">
        <f t="shared" si="16"/>
        <v>756.89106132909001</v>
      </c>
      <c r="K175" s="9">
        <f t="shared" si="17"/>
        <v>175.54234171871002</v>
      </c>
      <c r="L175" s="10">
        <f t="shared" si="14"/>
        <v>0.23192550511887425</v>
      </c>
      <c r="M175" s="10">
        <f t="shared" si="18"/>
        <v>0.25169296573771099</v>
      </c>
      <c r="P175" s="8">
        <f t="shared" si="19"/>
        <v>10.324702855999876</v>
      </c>
    </row>
    <row r="176" spans="1:16" x14ac:dyDescent="0.2">
      <c r="A176" s="8">
        <v>87</v>
      </c>
      <c r="B176" s="8">
        <v>174</v>
      </c>
      <c r="D176">
        <v>892.51671183379005</v>
      </c>
      <c r="E176">
        <v>292.02710027099999</v>
      </c>
      <c r="F176">
        <v>137.17119565217001</v>
      </c>
      <c r="G176">
        <v>115.89130434783</v>
      </c>
      <c r="I176" s="9">
        <f t="shared" si="15"/>
        <v>176.13579592317001</v>
      </c>
      <c r="J176" s="9">
        <f t="shared" si="16"/>
        <v>755.34551618162004</v>
      </c>
      <c r="K176" s="9">
        <f t="shared" si="17"/>
        <v>176.13579592317001</v>
      </c>
      <c r="L176" s="10">
        <f t="shared" si="14"/>
        <v>0.23318573043706109</v>
      </c>
      <c r="M176" s="10">
        <f t="shared" si="18"/>
        <v>0.25306745383404144</v>
      </c>
      <c r="P176" s="8">
        <f t="shared" si="19"/>
        <v>10.927182906891684</v>
      </c>
    </row>
    <row r="177" spans="1:16" x14ac:dyDescent="0.2">
      <c r="A177" s="8">
        <v>87.5</v>
      </c>
      <c r="B177" s="8">
        <v>175</v>
      </c>
      <c r="D177">
        <v>894.33242999097001</v>
      </c>
      <c r="E177">
        <v>290.13640469737999</v>
      </c>
      <c r="F177">
        <v>136.68115942028999</v>
      </c>
      <c r="G177">
        <v>116.23550724638</v>
      </c>
      <c r="I177" s="9">
        <f t="shared" si="15"/>
        <v>173.90089745099999</v>
      </c>
      <c r="J177" s="9">
        <f t="shared" si="16"/>
        <v>757.65127057068003</v>
      </c>
      <c r="K177" s="9">
        <f t="shared" si="17"/>
        <v>173.90089745099999</v>
      </c>
      <c r="L177" s="10">
        <f t="shared" si="14"/>
        <v>0.22952630610652036</v>
      </c>
      <c r="M177" s="10">
        <f t="shared" si="18"/>
        <v>0.24952229228164424</v>
      </c>
      <c r="P177" s="8">
        <f t="shared" si="19"/>
        <v>9.3732304803772237</v>
      </c>
    </row>
    <row r="178" spans="1:16" x14ac:dyDescent="0.2">
      <c r="A178" s="8">
        <v>88</v>
      </c>
      <c r="B178" s="8">
        <v>176</v>
      </c>
      <c r="D178">
        <v>888.42457091237998</v>
      </c>
      <c r="E178">
        <v>289.66666666666998</v>
      </c>
      <c r="F178">
        <v>137.08514492754</v>
      </c>
      <c r="G178">
        <v>115.91666666667</v>
      </c>
      <c r="I178" s="9">
        <f t="shared" si="15"/>
        <v>173.75</v>
      </c>
      <c r="J178" s="9">
        <f t="shared" si="16"/>
        <v>751.33942598483998</v>
      </c>
      <c r="K178" s="9">
        <f t="shared" si="17"/>
        <v>173.75</v>
      </c>
      <c r="L178" s="10">
        <f t="shared" si="14"/>
        <v>0.23125367043297659</v>
      </c>
      <c r="M178" s="10">
        <f t="shared" si="18"/>
        <v>0.25136391938624403</v>
      </c>
      <c r="P178" s="8">
        <f t="shared" si="19"/>
        <v>10.180471805104023</v>
      </c>
    </row>
    <row r="179" spans="1:16" x14ac:dyDescent="0.2">
      <c r="A179" s="8">
        <v>88.5</v>
      </c>
      <c r="B179" s="8">
        <v>177</v>
      </c>
      <c r="D179">
        <v>896.05058717253996</v>
      </c>
      <c r="E179">
        <v>292.54471544715</v>
      </c>
      <c r="F179">
        <v>136.68025362319</v>
      </c>
      <c r="G179">
        <v>116.22010869565</v>
      </c>
      <c r="I179" s="9">
        <f t="shared" si="15"/>
        <v>176.3246067515</v>
      </c>
      <c r="J179" s="9">
        <f t="shared" si="16"/>
        <v>759.37033354934999</v>
      </c>
      <c r="K179" s="9">
        <f t="shared" si="17"/>
        <v>176.3246067515</v>
      </c>
      <c r="L179" s="10">
        <f t="shared" si="14"/>
        <v>0.23219843989341335</v>
      </c>
      <c r="M179" s="10">
        <f t="shared" si="18"/>
        <v>0.25242295162482437</v>
      </c>
      <c r="P179" s="8">
        <f t="shared" si="19"/>
        <v>10.644677932970371</v>
      </c>
    </row>
    <row r="180" spans="1:16" x14ac:dyDescent="0.2">
      <c r="A180" s="8">
        <v>89</v>
      </c>
      <c r="B180" s="8">
        <v>178</v>
      </c>
      <c r="D180">
        <v>887</v>
      </c>
      <c r="E180">
        <v>290.08491418248002</v>
      </c>
      <c r="F180">
        <v>136.80344202898999</v>
      </c>
      <c r="G180">
        <v>115.86141304348</v>
      </c>
      <c r="I180" s="9">
        <f t="shared" si="15"/>
        <v>174.22350113900001</v>
      </c>
      <c r="J180" s="9">
        <f t="shared" si="16"/>
        <v>750.19655797100995</v>
      </c>
      <c r="K180" s="9">
        <f t="shared" si="17"/>
        <v>174.22350113900001</v>
      </c>
      <c r="L180" s="10">
        <f t="shared" si="14"/>
        <v>0.23223713743796273</v>
      </c>
      <c r="M180" s="10">
        <f t="shared" si="18"/>
        <v>0.25257591194751733</v>
      </c>
      <c r="P180" s="8">
        <f t="shared" si="19"/>
        <v>10.711725107294045</v>
      </c>
    </row>
    <row r="181" spans="1:16" x14ac:dyDescent="0.2">
      <c r="A181" s="8">
        <v>89.5</v>
      </c>
      <c r="B181" s="8">
        <v>179</v>
      </c>
      <c r="D181">
        <v>880.10027100270997</v>
      </c>
      <c r="E181">
        <v>286.05239385726998</v>
      </c>
      <c r="F181">
        <v>136.78170289855001</v>
      </c>
      <c r="G181">
        <v>115.5625</v>
      </c>
      <c r="I181" s="9">
        <f t="shared" si="15"/>
        <v>170.48989385726998</v>
      </c>
      <c r="J181" s="9">
        <f t="shared" si="16"/>
        <v>743.31856810416002</v>
      </c>
      <c r="K181" s="9">
        <f t="shared" si="17"/>
        <v>170.48989385726998</v>
      </c>
      <c r="L181" s="10">
        <f t="shared" si="14"/>
        <v>0.22936315756527625</v>
      </c>
      <c r="M181" s="10">
        <f t="shared" si="18"/>
        <v>0.2498161948529744</v>
      </c>
      <c r="P181" s="8">
        <f t="shared" si="19"/>
        <v>9.5020569406462982</v>
      </c>
    </row>
    <row r="182" spans="1:16" x14ac:dyDescent="0.2">
      <c r="A182" s="8">
        <v>90</v>
      </c>
      <c r="B182" s="8">
        <v>180</v>
      </c>
      <c r="D182">
        <v>888.41553748871002</v>
      </c>
      <c r="E182">
        <v>287.81300813007999</v>
      </c>
      <c r="F182">
        <v>136.69927536232001</v>
      </c>
      <c r="G182">
        <v>115.90126811594</v>
      </c>
      <c r="I182" s="9">
        <f t="shared" si="15"/>
        <v>171.91174001413998</v>
      </c>
      <c r="J182" s="9">
        <f t="shared" si="16"/>
        <v>751.71626212639001</v>
      </c>
      <c r="K182" s="9">
        <f t="shared" si="17"/>
        <v>171.91174001413998</v>
      </c>
      <c r="L182" s="10">
        <f t="shared" si="14"/>
        <v>0.22869232538331805</v>
      </c>
      <c r="M182" s="10">
        <f>L182+ABS($N$2)*A182</f>
        <v>0.24925962544915978</v>
      </c>
      <c r="P182" s="8">
        <f t="shared" si="19"/>
        <v>9.258095597052062</v>
      </c>
    </row>
    <row r="183" spans="1:16" x14ac:dyDescent="0.2">
      <c r="A183" s="8">
        <v>90.5</v>
      </c>
      <c r="B183" s="8">
        <v>181</v>
      </c>
      <c r="D183">
        <v>851.15537488708003</v>
      </c>
      <c r="E183">
        <v>278.59710930442998</v>
      </c>
      <c r="F183">
        <v>136.96920289855001</v>
      </c>
      <c r="G183">
        <v>115.97373188406</v>
      </c>
      <c r="I183" s="9">
        <f t="shared" si="15"/>
        <v>162.62337742036999</v>
      </c>
      <c r="J183" s="9">
        <f t="shared" si="16"/>
        <v>714.18617198853008</v>
      </c>
      <c r="K183" s="9">
        <f t="shared" si="17"/>
        <v>162.62337742036999</v>
      </c>
      <c r="L183" s="10">
        <f t="shared" si="14"/>
        <v>0.22770446110371029</v>
      </c>
      <c r="M183" s="10">
        <f t="shared" ref="M183:M241" si="20">L183+ABS($N$2)*A183</f>
        <v>0.24838602394769557</v>
      </c>
      <c r="P183" s="8">
        <f t="shared" si="19"/>
        <v>8.8751694164132626</v>
      </c>
    </row>
    <row r="184" spans="1:16" x14ac:dyDescent="0.2">
      <c r="A184" s="8">
        <v>91</v>
      </c>
      <c r="B184" s="8">
        <v>182</v>
      </c>
      <c r="D184">
        <v>852.74345076784005</v>
      </c>
      <c r="E184">
        <v>277.92502258356001</v>
      </c>
      <c r="F184">
        <v>136.78079710144999</v>
      </c>
      <c r="G184">
        <v>116.05887681159</v>
      </c>
      <c r="I184" s="9">
        <f t="shared" si="15"/>
        <v>161.86614577197003</v>
      </c>
      <c r="J184" s="9">
        <f t="shared" si="16"/>
        <v>715.96265366639</v>
      </c>
      <c r="K184" s="9">
        <f t="shared" si="17"/>
        <v>161.86614577197003</v>
      </c>
      <c r="L184" s="10">
        <f t="shared" si="14"/>
        <v>0.22608182835105417</v>
      </c>
      <c r="M184" s="10">
        <f t="shared" si="20"/>
        <v>0.24687765397318301</v>
      </c>
      <c r="P184" s="8">
        <f t="shared" si="19"/>
        <v>8.2140048552692431</v>
      </c>
    </row>
    <row r="185" spans="1:16" x14ac:dyDescent="0.2">
      <c r="A185" s="8">
        <v>91.5</v>
      </c>
      <c r="B185" s="8">
        <v>183</v>
      </c>
      <c r="D185">
        <v>873.15447154471997</v>
      </c>
      <c r="E185">
        <v>279.27461607948999</v>
      </c>
      <c r="F185">
        <v>136.70199275362</v>
      </c>
      <c r="G185">
        <v>115.77989130435</v>
      </c>
      <c r="I185" s="9">
        <f t="shared" si="15"/>
        <v>163.49472477513999</v>
      </c>
      <c r="J185" s="9">
        <f t="shared" si="16"/>
        <v>736.45247879110002</v>
      </c>
      <c r="K185" s="9">
        <f t="shared" si="17"/>
        <v>163.49472477513999</v>
      </c>
      <c r="L185" s="10">
        <f t="shared" si="14"/>
        <v>0.22200308843215452</v>
      </c>
      <c r="M185" s="10">
        <f t="shared" si="20"/>
        <v>0.24291317683242694</v>
      </c>
      <c r="P185" s="8">
        <f t="shared" si="19"/>
        <v>6.4762536183550168</v>
      </c>
    </row>
    <row r="186" spans="1:16" x14ac:dyDescent="0.2">
      <c r="A186" s="8">
        <v>92</v>
      </c>
      <c r="B186" s="8">
        <v>184</v>
      </c>
      <c r="D186">
        <v>872.84191508582001</v>
      </c>
      <c r="E186">
        <v>280.12195121950998</v>
      </c>
      <c r="F186">
        <v>137.11956521739</v>
      </c>
      <c r="G186">
        <v>116.05253623188</v>
      </c>
      <c r="I186" s="9">
        <f t="shared" si="15"/>
        <v>164.06941498762998</v>
      </c>
      <c r="J186" s="9">
        <f t="shared" si="16"/>
        <v>735.72234986843</v>
      </c>
      <c r="K186" s="9">
        <f t="shared" si="17"/>
        <v>164.06941498762998</v>
      </c>
      <c r="L186" s="10">
        <f t="shared" si="14"/>
        <v>0.22300452747829488</v>
      </c>
      <c r="M186" s="10">
        <f t="shared" si="20"/>
        <v>0.24402887865671086</v>
      </c>
      <c r="P186" s="8">
        <f t="shared" si="19"/>
        <v>6.9652997539084893</v>
      </c>
    </row>
    <row r="187" spans="1:16" x14ac:dyDescent="0.2">
      <c r="A187" s="8">
        <v>92.5</v>
      </c>
      <c r="B187" s="8">
        <v>185</v>
      </c>
      <c r="D187">
        <v>889.53929539294995</v>
      </c>
      <c r="E187">
        <v>284.03794037940003</v>
      </c>
      <c r="F187">
        <v>137.08242753623</v>
      </c>
      <c r="G187">
        <v>115.90760869565</v>
      </c>
      <c r="I187" s="9">
        <f t="shared" si="15"/>
        <v>168.13033168375003</v>
      </c>
      <c r="J187" s="9">
        <f t="shared" si="16"/>
        <v>752.45686785672001</v>
      </c>
      <c r="K187" s="9">
        <f t="shared" si="17"/>
        <v>168.13033168375003</v>
      </c>
      <c r="L187" s="10">
        <f t="shared" si="14"/>
        <v>0.22344181954594741</v>
      </c>
      <c r="M187" s="10">
        <f t="shared" si="20"/>
        <v>0.24458043350250697</v>
      </c>
      <c r="P187" s="8">
        <f t="shared" si="19"/>
        <v>7.2070630637923836</v>
      </c>
    </row>
    <row r="188" spans="1:16" x14ac:dyDescent="0.2">
      <c r="A188" s="8">
        <v>93</v>
      </c>
      <c r="B188" s="8">
        <v>186</v>
      </c>
      <c r="D188">
        <v>883.60162601625996</v>
      </c>
      <c r="E188">
        <v>280.94308943088998</v>
      </c>
      <c r="F188">
        <v>136.39855072463999</v>
      </c>
      <c r="G188">
        <v>115.80434782608999</v>
      </c>
      <c r="I188" s="9">
        <f t="shared" si="15"/>
        <v>165.13874160479997</v>
      </c>
      <c r="J188" s="9">
        <f t="shared" si="16"/>
        <v>747.20307529161994</v>
      </c>
      <c r="K188" s="9">
        <f t="shared" si="17"/>
        <v>165.13874160479997</v>
      </c>
      <c r="L188" s="10">
        <f t="shared" si="14"/>
        <v>0.22100918353467602</v>
      </c>
      <c r="M188" s="10">
        <f t="shared" si="20"/>
        <v>0.24226206026937913</v>
      </c>
      <c r="P188" s="8">
        <f t="shared" si="19"/>
        <v>6.1908493714293087</v>
      </c>
    </row>
    <row r="189" spans="1:16" x14ac:dyDescent="0.2">
      <c r="A189" s="8">
        <v>93.5</v>
      </c>
      <c r="B189" s="8">
        <v>187</v>
      </c>
      <c r="D189">
        <v>849.18066847335001</v>
      </c>
      <c r="E189">
        <v>272.18789521229002</v>
      </c>
      <c r="F189">
        <v>136.44836956521999</v>
      </c>
      <c r="G189">
        <v>115.84963768116</v>
      </c>
      <c r="I189" s="9">
        <f t="shared" si="15"/>
        <v>156.33825753113001</v>
      </c>
      <c r="J189" s="9">
        <f t="shared" si="16"/>
        <v>712.73229890813002</v>
      </c>
      <c r="K189" s="9">
        <f t="shared" si="17"/>
        <v>156.33825753113001</v>
      </c>
      <c r="L189" s="10">
        <f t="shared" si="14"/>
        <v>0.21935060017713853</v>
      </c>
      <c r="M189" s="10">
        <f t="shared" si="20"/>
        <v>0.24071773968998522</v>
      </c>
      <c r="P189" s="8">
        <f t="shared" si="19"/>
        <v>5.5139265637669439</v>
      </c>
    </row>
    <row r="190" spans="1:16" x14ac:dyDescent="0.2">
      <c r="A190" s="8">
        <v>94</v>
      </c>
      <c r="B190" s="8">
        <v>188</v>
      </c>
      <c r="D190">
        <v>856.02168021679995</v>
      </c>
      <c r="E190">
        <v>271.33604336042998</v>
      </c>
      <c r="F190">
        <v>137.35235507246</v>
      </c>
      <c r="G190">
        <v>115.81612318841</v>
      </c>
      <c r="I190" s="9">
        <f t="shared" si="15"/>
        <v>155.51992017201997</v>
      </c>
      <c r="J190" s="9">
        <f t="shared" si="16"/>
        <v>718.66932514433995</v>
      </c>
      <c r="K190" s="9">
        <f t="shared" si="17"/>
        <v>155.51992017201997</v>
      </c>
      <c r="L190" s="10">
        <f t="shared" si="14"/>
        <v>0.21639983053511408</v>
      </c>
      <c r="M190" s="10">
        <f t="shared" si="20"/>
        <v>0.23788123282610432</v>
      </c>
      <c r="P190" s="8">
        <f t="shared" si="19"/>
        <v>4.2705990993324576</v>
      </c>
    </row>
    <row r="191" spans="1:16" x14ac:dyDescent="0.2">
      <c r="A191" s="8">
        <v>94.5</v>
      </c>
      <c r="B191" s="8">
        <v>189</v>
      </c>
      <c r="D191">
        <v>865.24390243901996</v>
      </c>
      <c r="E191">
        <v>274.45980126467998</v>
      </c>
      <c r="F191">
        <v>136.82699275362</v>
      </c>
      <c r="G191">
        <v>115.94293478261</v>
      </c>
      <c r="I191" s="9">
        <f t="shared" si="15"/>
        <v>158.51686648206999</v>
      </c>
      <c r="J191" s="9">
        <f t="shared" si="16"/>
        <v>728.41690968540001</v>
      </c>
      <c r="K191" s="9">
        <f t="shared" si="17"/>
        <v>158.51686648206999</v>
      </c>
      <c r="L191" s="10">
        <f t="shared" si="14"/>
        <v>0.21761832320797261</v>
      </c>
      <c r="M191" s="10">
        <f t="shared" si="20"/>
        <v>0.23921398827710641</v>
      </c>
      <c r="P191" s="8">
        <f t="shared" si="19"/>
        <v>4.8547864590409739</v>
      </c>
    </row>
    <row r="192" spans="1:16" x14ac:dyDescent="0.2">
      <c r="A192" s="8">
        <v>95</v>
      </c>
      <c r="B192" s="8">
        <v>190</v>
      </c>
      <c r="D192">
        <v>884.39656729901003</v>
      </c>
      <c r="E192">
        <v>277.67660343270001</v>
      </c>
      <c r="F192">
        <v>137.14492753623</v>
      </c>
      <c r="G192">
        <v>115.4347826087</v>
      </c>
      <c r="I192" s="9">
        <f t="shared" si="15"/>
        <v>162.241820824</v>
      </c>
      <c r="J192" s="9">
        <f t="shared" si="16"/>
        <v>747.25163976278009</v>
      </c>
      <c r="K192" s="9">
        <f t="shared" si="17"/>
        <v>162.241820824</v>
      </c>
      <c r="L192" s="10">
        <f t="shared" si="14"/>
        <v>0.21711805259538103</v>
      </c>
      <c r="M192" s="10">
        <f t="shared" si="20"/>
        <v>0.23882798044265841</v>
      </c>
      <c r="P192" s="8">
        <f t="shared" si="19"/>
        <v>4.6855874529791866</v>
      </c>
    </row>
    <row r="193" spans="1:16" x14ac:dyDescent="0.2">
      <c r="A193" s="8">
        <v>95.5</v>
      </c>
      <c r="B193" s="8">
        <v>191</v>
      </c>
      <c r="D193">
        <v>883.04607046070998</v>
      </c>
      <c r="E193">
        <v>279.45980126467998</v>
      </c>
      <c r="F193">
        <v>136.80344202898999</v>
      </c>
      <c r="G193">
        <v>115.98007246377</v>
      </c>
      <c r="I193" s="9">
        <f t="shared" si="15"/>
        <v>163.47972880090998</v>
      </c>
      <c r="J193" s="9">
        <f t="shared" si="16"/>
        <v>746.24262843172005</v>
      </c>
      <c r="K193" s="9">
        <f t="shared" si="17"/>
        <v>163.47972880090998</v>
      </c>
      <c r="L193" s="10">
        <f t="shared" si="14"/>
        <v>0.21907047731174756</v>
      </c>
      <c r="M193" s="10">
        <f t="shared" si="20"/>
        <v>0.24089466793716849</v>
      </c>
      <c r="P193" s="8">
        <f t="shared" si="19"/>
        <v>5.591479610353348</v>
      </c>
    </row>
    <row r="194" spans="1:16" x14ac:dyDescent="0.2">
      <c r="A194" s="8">
        <v>96</v>
      </c>
      <c r="B194" s="8">
        <v>192</v>
      </c>
      <c r="D194">
        <v>881.84914182474995</v>
      </c>
      <c r="E194">
        <v>276.3586269196</v>
      </c>
      <c r="F194">
        <v>136.71739130435</v>
      </c>
      <c r="G194">
        <v>115.82971014493</v>
      </c>
      <c r="I194" s="9">
        <f t="shared" si="15"/>
        <v>160.52891677466999</v>
      </c>
      <c r="J194" s="9">
        <f t="shared" si="16"/>
        <v>745.13175052039992</v>
      </c>
      <c r="K194" s="9">
        <f t="shared" si="17"/>
        <v>160.52891677466999</v>
      </c>
      <c r="L194" s="10">
        <f t="shared" ref="L194:L257" si="21">K194/J194</f>
        <v>0.21543695683690384</v>
      </c>
      <c r="M194" s="10">
        <f t="shared" si="20"/>
        <v>0.23737541024046835</v>
      </c>
      <c r="P194" s="8">
        <f t="shared" si="19"/>
        <v>4.0488816337903479</v>
      </c>
    </row>
    <row r="195" spans="1:16" x14ac:dyDescent="0.2">
      <c r="A195" s="8">
        <v>96.5</v>
      </c>
      <c r="B195" s="8">
        <v>193</v>
      </c>
      <c r="D195">
        <v>885.75158084914005</v>
      </c>
      <c r="E195">
        <v>275.73983739837001</v>
      </c>
      <c r="F195">
        <v>136.94655797101001</v>
      </c>
      <c r="G195">
        <v>115.85597826087</v>
      </c>
      <c r="I195" s="9">
        <f t="shared" ref="I195:I241" si="22">E195-G195</f>
        <v>159.8838591375</v>
      </c>
      <c r="J195" s="9">
        <f t="shared" ref="J195:J241" si="23">D195-F195</f>
        <v>748.8050228781301</v>
      </c>
      <c r="K195" s="9">
        <f t="shared" ref="K195:K258" si="24">I195*1</f>
        <v>159.8838591375</v>
      </c>
      <c r="L195" s="10">
        <f t="shared" si="21"/>
        <v>0.21351867876495467</v>
      </c>
      <c r="M195" s="10">
        <f t="shared" si="20"/>
        <v>0.23557139494666274</v>
      </c>
      <c r="P195" s="8">
        <f t="shared" ref="P195:P241" si="25">(M195-$O$2)/$O$2*100</f>
        <v>3.2581267127958946</v>
      </c>
    </row>
    <row r="196" spans="1:16" x14ac:dyDescent="0.2">
      <c r="A196" s="8">
        <v>97</v>
      </c>
      <c r="B196" s="8">
        <v>194</v>
      </c>
      <c r="D196">
        <v>888.46251129177995</v>
      </c>
      <c r="E196">
        <v>277.10569105691002</v>
      </c>
      <c r="F196">
        <v>137.2472826087</v>
      </c>
      <c r="G196">
        <v>116.09692028985999</v>
      </c>
      <c r="I196" s="9">
        <f t="shared" si="22"/>
        <v>161.00877076705001</v>
      </c>
      <c r="J196" s="9">
        <f t="shared" si="23"/>
        <v>751.21522868307989</v>
      </c>
      <c r="K196" s="9">
        <f t="shared" si="24"/>
        <v>161.00877076705001</v>
      </c>
      <c r="L196" s="10">
        <f t="shared" si="21"/>
        <v>0.21433107932237599</v>
      </c>
      <c r="M196" s="10">
        <f t="shared" si="20"/>
        <v>0.23649805828222764</v>
      </c>
      <c r="P196" s="8">
        <f t="shared" si="25"/>
        <v>3.6643115135673447</v>
      </c>
    </row>
    <row r="197" spans="1:16" x14ac:dyDescent="0.2">
      <c r="A197" s="8">
        <v>97.5</v>
      </c>
      <c r="B197" s="8">
        <v>195</v>
      </c>
      <c r="D197">
        <v>884.70280036134</v>
      </c>
      <c r="E197">
        <v>275.69647696477</v>
      </c>
      <c r="F197">
        <v>137.27536231884</v>
      </c>
      <c r="G197">
        <v>116.25724637681</v>
      </c>
      <c r="I197" s="9">
        <f t="shared" si="22"/>
        <v>159.43923058796</v>
      </c>
      <c r="J197" s="9">
        <f t="shared" si="23"/>
        <v>747.42743804249994</v>
      </c>
      <c r="K197" s="9">
        <f t="shared" si="24"/>
        <v>159.43923058796</v>
      </c>
      <c r="L197" s="10">
        <f t="shared" si="21"/>
        <v>0.21331733687156135</v>
      </c>
      <c r="M197" s="10">
        <f t="shared" si="20"/>
        <v>0.23559857860955655</v>
      </c>
      <c r="P197" s="8">
        <f t="shared" si="25"/>
        <v>3.2700421412724392</v>
      </c>
    </row>
    <row r="198" spans="1:16" x14ac:dyDescent="0.2">
      <c r="A198" s="8">
        <v>98</v>
      </c>
      <c r="B198" s="8">
        <v>196</v>
      </c>
      <c r="D198">
        <v>891.72357723576999</v>
      </c>
      <c r="E198">
        <v>276.0135501355</v>
      </c>
      <c r="F198">
        <v>136.91394927536001</v>
      </c>
      <c r="G198">
        <v>115.58876811594</v>
      </c>
      <c r="I198" s="9">
        <f t="shared" si="22"/>
        <v>160.42478201955998</v>
      </c>
      <c r="J198" s="9">
        <f t="shared" si="23"/>
        <v>754.80962796041001</v>
      </c>
      <c r="K198" s="9">
        <f t="shared" si="24"/>
        <v>160.42478201955998</v>
      </c>
      <c r="L198" s="10">
        <f t="shared" si="21"/>
        <v>0.21253674579250903</v>
      </c>
      <c r="M198" s="10">
        <f t="shared" si="20"/>
        <v>0.23493225030864778</v>
      </c>
      <c r="P198" s="8">
        <f t="shared" si="25"/>
        <v>2.9779701257242976</v>
      </c>
    </row>
    <row r="199" spans="1:16" x14ac:dyDescent="0.2">
      <c r="A199" s="8">
        <v>98.5</v>
      </c>
      <c r="B199" s="8">
        <v>197</v>
      </c>
      <c r="D199">
        <v>893.66124661246999</v>
      </c>
      <c r="E199">
        <v>274.84010840107999</v>
      </c>
      <c r="F199">
        <v>137.07699275362</v>
      </c>
      <c r="G199">
        <v>115.53894927536</v>
      </c>
      <c r="I199" s="9">
        <f t="shared" si="22"/>
        <v>159.30115912572001</v>
      </c>
      <c r="J199" s="9">
        <f t="shared" si="23"/>
        <v>756.58425385884993</v>
      </c>
      <c r="K199" s="9">
        <f t="shared" si="24"/>
        <v>159.30115912572001</v>
      </c>
      <c r="L199" s="10">
        <f t="shared" si="21"/>
        <v>0.21055309876359068</v>
      </c>
      <c r="M199" s="10">
        <f t="shared" si="20"/>
        <v>0.23306286605787302</v>
      </c>
      <c r="P199" s="8">
        <f t="shared" si="25"/>
        <v>2.1585619973090857</v>
      </c>
    </row>
    <row r="200" spans="1:16" x14ac:dyDescent="0.2">
      <c r="A200" s="8">
        <v>99</v>
      </c>
      <c r="B200" s="8">
        <v>198</v>
      </c>
      <c r="D200">
        <v>863.57542908762002</v>
      </c>
      <c r="E200">
        <v>270.65763324300002</v>
      </c>
      <c r="F200">
        <v>136.87318840579999</v>
      </c>
      <c r="G200">
        <v>115.83695652174001</v>
      </c>
      <c r="I200" s="9">
        <f t="shared" si="22"/>
        <v>154.82067672126001</v>
      </c>
      <c r="J200" s="9">
        <f t="shared" si="23"/>
        <v>726.70224068182006</v>
      </c>
      <c r="K200" s="9">
        <f t="shared" si="24"/>
        <v>154.82067672126001</v>
      </c>
      <c r="L200" s="10">
        <f t="shared" si="21"/>
        <v>0.21304554748035631</v>
      </c>
      <c r="M200" s="10">
        <f t="shared" si="20"/>
        <v>0.2356695775527822</v>
      </c>
      <c r="P200" s="8">
        <f t="shared" si="25"/>
        <v>3.3011631433691879</v>
      </c>
    </row>
    <row r="201" spans="1:16" x14ac:dyDescent="0.2">
      <c r="A201" s="8">
        <v>99.5</v>
      </c>
      <c r="B201" s="8">
        <v>199</v>
      </c>
      <c r="D201">
        <v>878.01174345077004</v>
      </c>
      <c r="E201">
        <v>272.91779584463001</v>
      </c>
      <c r="F201">
        <v>137.29347826086999</v>
      </c>
      <c r="G201">
        <v>115.57518115942</v>
      </c>
      <c r="I201" s="9">
        <f t="shared" si="22"/>
        <v>157.34261468521001</v>
      </c>
      <c r="J201" s="9">
        <f t="shared" si="23"/>
        <v>740.71826518990008</v>
      </c>
      <c r="K201" s="9">
        <f t="shared" si="24"/>
        <v>157.34261468521001</v>
      </c>
      <c r="L201" s="10">
        <f t="shared" si="21"/>
        <v>0.21241897504022211</v>
      </c>
      <c r="M201" s="10">
        <f t="shared" si="20"/>
        <v>0.23515726789079158</v>
      </c>
      <c r="P201" s="8">
        <f t="shared" si="25"/>
        <v>3.0766021944220787</v>
      </c>
    </row>
    <row r="202" spans="1:16" x14ac:dyDescent="0.2">
      <c r="A202" s="8">
        <v>100</v>
      </c>
      <c r="B202" s="8">
        <v>200</v>
      </c>
      <c r="D202">
        <v>882.17434507678001</v>
      </c>
      <c r="E202">
        <v>272.30171635049999</v>
      </c>
      <c r="F202">
        <v>137.29619565217001</v>
      </c>
      <c r="G202">
        <v>115.84420289854999</v>
      </c>
      <c r="I202" s="9">
        <f t="shared" si="22"/>
        <v>156.45751345194998</v>
      </c>
      <c r="J202" s="9">
        <f t="shared" si="23"/>
        <v>744.87814942461</v>
      </c>
      <c r="K202" s="9">
        <f t="shared" si="24"/>
        <v>156.45751345194998</v>
      </c>
      <c r="L202" s="10">
        <f t="shared" si="21"/>
        <v>0.21004443958089983</v>
      </c>
      <c r="M202" s="10">
        <f t="shared" si="20"/>
        <v>0.23289699520961285</v>
      </c>
      <c r="P202" s="8">
        <f t="shared" si="25"/>
        <v>2.0858557458922471</v>
      </c>
    </row>
    <row r="203" spans="1:16" x14ac:dyDescent="0.2">
      <c r="A203" s="8">
        <v>100.5</v>
      </c>
      <c r="B203" s="8">
        <v>201</v>
      </c>
      <c r="D203">
        <v>883.28003613370004</v>
      </c>
      <c r="E203">
        <v>272.11382113821003</v>
      </c>
      <c r="F203">
        <v>137.01449275362</v>
      </c>
      <c r="G203">
        <v>116.05615942029</v>
      </c>
      <c r="I203" s="9">
        <f t="shared" si="22"/>
        <v>156.05766171792004</v>
      </c>
      <c r="J203" s="9">
        <f t="shared" si="23"/>
        <v>746.26554338008009</v>
      </c>
      <c r="K203" s="9">
        <f t="shared" si="24"/>
        <v>156.05766171792004</v>
      </c>
      <c r="L203" s="10">
        <f t="shared" si="21"/>
        <v>0.20911813911584873</v>
      </c>
      <c r="M203" s="10">
        <f t="shared" si="20"/>
        <v>0.2320849575227053</v>
      </c>
      <c r="P203" s="8">
        <f t="shared" si="25"/>
        <v>1.7299148627079792</v>
      </c>
    </row>
    <row r="204" spans="1:16" x14ac:dyDescent="0.2">
      <c r="A204" s="8">
        <v>101</v>
      </c>
      <c r="B204" s="8">
        <v>202</v>
      </c>
      <c r="D204">
        <v>851.53387533875002</v>
      </c>
      <c r="E204">
        <v>264.04607046070998</v>
      </c>
      <c r="F204">
        <v>136.59510869565</v>
      </c>
      <c r="G204">
        <v>115.84601449275</v>
      </c>
      <c r="I204" s="9">
        <f t="shared" si="22"/>
        <v>148.20005596796</v>
      </c>
      <c r="J204" s="9">
        <f t="shared" si="23"/>
        <v>714.93876664310005</v>
      </c>
      <c r="K204" s="9">
        <f t="shared" si="24"/>
        <v>148.20005596796</v>
      </c>
      <c r="L204" s="10">
        <f t="shared" si="21"/>
        <v>0.20729055813243091</v>
      </c>
      <c r="M204" s="10">
        <f t="shared" si="20"/>
        <v>0.23037163931743107</v>
      </c>
      <c r="P204" s="8">
        <f t="shared" si="25"/>
        <v>0.97891524163937238</v>
      </c>
    </row>
    <row r="205" spans="1:16" x14ac:dyDescent="0.2">
      <c r="A205" s="8">
        <v>101.5</v>
      </c>
      <c r="B205" s="8">
        <v>203</v>
      </c>
      <c r="D205">
        <v>852.88708220416004</v>
      </c>
      <c r="E205">
        <v>263.76964769647998</v>
      </c>
      <c r="F205">
        <v>137.32699275362</v>
      </c>
      <c r="G205">
        <v>115.82971014493</v>
      </c>
      <c r="I205" s="9">
        <f t="shared" si="22"/>
        <v>147.93993755154997</v>
      </c>
      <c r="J205" s="9">
        <f t="shared" si="23"/>
        <v>715.56008945054009</v>
      </c>
      <c r="K205" s="9">
        <f t="shared" si="24"/>
        <v>147.93993755154997</v>
      </c>
      <c r="L205" s="10">
        <f t="shared" si="21"/>
        <v>0.20674704994398052</v>
      </c>
      <c r="M205" s="10">
        <f t="shared" si="20"/>
        <v>0.22994239390712423</v>
      </c>
      <c r="P205" s="8">
        <f t="shared" si="25"/>
        <v>0.79076388744636816</v>
      </c>
    </row>
    <row r="206" spans="1:16" x14ac:dyDescent="0.2">
      <c r="A206" s="8">
        <v>102</v>
      </c>
      <c r="B206" s="8">
        <v>204</v>
      </c>
      <c r="D206">
        <v>827.77687443541004</v>
      </c>
      <c r="E206">
        <v>258.74977416440998</v>
      </c>
      <c r="F206">
        <v>137.12681159420001</v>
      </c>
      <c r="G206">
        <v>115.76177536231999</v>
      </c>
      <c r="I206" s="9">
        <f t="shared" si="22"/>
        <v>142.98799880208998</v>
      </c>
      <c r="J206" s="9">
        <f t="shared" si="23"/>
        <v>690.65006284121</v>
      </c>
      <c r="K206" s="9">
        <f t="shared" si="24"/>
        <v>142.98799880208998</v>
      </c>
      <c r="L206" s="10">
        <f t="shared" si="21"/>
        <v>0.20703393294986913</v>
      </c>
      <c r="M206" s="10">
        <f t="shared" si="20"/>
        <v>0.23034353969115642</v>
      </c>
      <c r="P206" s="8">
        <f t="shared" si="25"/>
        <v>0.96659831847853339</v>
      </c>
    </row>
    <row r="207" spans="1:16" x14ac:dyDescent="0.2">
      <c r="A207" s="8">
        <v>102.5</v>
      </c>
      <c r="B207" s="8">
        <v>205</v>
      </c>
      <c r="D207">
        <v>835.83739837398002</v>
      </c>
      <c r="E207">
        <v>258.68383017164001</v>
      </c>
      <c r="F207">
        <v>137.15398550725001</v>
      </c>
      <c r="G207">
        <v>115.79166666667</v>
      </c>
      <c r="I207" s="9">
        <f t="shared" si="22"/>
        <v>142.89216350497003</v>
      </c>
      <c r="J207" s="9">
        <f t="shared" si="23"/>
        <v>698.68341286673001</v>
      </c>
      <c r="K207" s="9">
        <f t="shared" si="24"/>
        <v>142.89216350497003</v>
      </c>
      <c r="L207" s="10">
        <f t="shared" si="21"/>
        <v>0.20451632438027539</v>
      </c>
      <c r="M207" s="10">
        <f t="shared" si="20"/>
        <v>0.22794019389970624</v>
      </c>
      <c r="P207" s="8">
        <f t="shared" si="25"/>
        <v>-8.6861437636662736E-2</v>
      </c>
    </row>
    <row r="208" spans="1:16" x14ac:dyDescent="0.2">
      <c r="A208" s="8">
        <v>103</v>
      </c>
      <c r="B208" s="8">
        <v>206</v>
      </c>
      <c r="D208">
        <v>855.44173441733994</v>
      </c>
      <c r="E208">
        <v>260.52935862691999</v>
      </c>
      <c r="F208">
        <v>137.21195652174001</v>
      </c>
      <c r="G208">
        <v>115.78351449275</v>
      </c>
      <c r="I208" s="9">
        <f t="shared" si="22"/>
        <v>144.74584413417</v>
      </c>
      <c r="J208" s="9">
        <f t="shared" si="23"/>
        <v>718.22977789559991</v>
      </c>
      <c r="K208" s="9">
        <f t="shared" si="24"/>
        <v>144.74584413417</v>
      </c>
      <c r="L208" s="10">
        <f t="shared" si="21"/>
        <v>0.20153138812800644</v>
      </c>
      <c r="M208" s="10">
        <f t="shared" si="20"/>
        <v>0.22506952042558087</v>
      </c>
      <c r="P208" s="8">
        <f t="shared" si="25"/>
        <v>-1.345165169333008</v>
      </c>
    </row>
    <row r="209" spans="1:16" x14ac:dyDescent="0.2">
      <c r="A209" s="8">
        <v>103.5</v>
      </c>
      <c r="B209" s="8">
        <v>207</v>
      </c>
      <c r="D209">
        <v>857.62059620596006</v>
      </c>
      <c r="E209">
        <v>260.12375790425</v>
      </c>
      <c r="F209">
        <v>137.02083333332999</v>
      </c>
      <c r="G209">
        <v>115.8152173913</v>
      </c>
      <c r="I209" s="9">
        <f t="shared" si="22"/>
        <v>144.30854051295</v>
      </c>
      <c r="J209" s="9">
        <f t="shared" si="23"/>
        <v>720.59976287263009</v>
      </c>
      <c r="K209" s="9">
        <f t="shared" si="24"/>
        <v>144.30854051295</v>
      </c>
      <c r="L209" s="10">
        <f t="shared" si="21"/>
        <v>0.20026170968704207</v>
      </c>
      <c r="M209" s="10">
        <f t="shared" si="20"/>
        <v>0.22391410476276005</v>
      </c>
      <c r="P209" s="8">
        <f t="shared" si="25"/>
        <v>-1.8516190914847785</v>
      </c>
    </row>
    <row r="210" spans="1:16" x14ac:dyDescent="0.2">
      <c r="A210" s="8">
        <v>104</v>
      </c>
      <c r="B210" s="8">
        <v>208</v>
      </c>
      <c r="D210">
        <v>858.54923215898998</v>
      </c>
      <c r="E210">
        <v>260.73803071364</v>
      </c>
      <c r="F210">
        <v>136.76177536232001</v>
      </c>
      <c r="G210">
        <v>116.21014492754</v>
      </c>
      <c r="I210" s="9">
        <f t="shared" si="22"/>
        <v>144.5278857861</v>
      </c>
      <c r="J210" s="9">
        <f t="shared" si="23"/>
        <v>721.78745679666997</v>
      </c>
      <c r="K210" s="9">
        <f t="shared" si="24"/>
        <v>144.5278857861</v>
      </c>
      <c r="L210" s="10">
        <f t="shared" si="21"/>
        <v>0.20023607285657502</v>
      </c>
      <c r="M210" s="10">
        <f t="shared" si="20"/>
        <v>0.22400273071043655</v>
      </c>
      <c r="P210" s="8">
        <f t="shared" si="25"/>
        <v>-1.8127716357599701</v>
      </c>
    </row>
    <row r="211" spans="1:16" x14ac:dyDescent="0.2">
      <c r="A211" s="8">
        <v>104.5</v>
      </c>
      <c r="B211" s="8">
        <v>209</v>
      </c>
      <c r="D211">
        <v>865.06233062331</v>
      </c>
      <c r="E211">
        <v>260.85636856369001</v>
      </c>
      <c r="F211">
        <v>136.84057971015</v>
      </c>
      <c r="G211">
        <v>115.95742753623</v>
      </c>
      <c r="I211" s="9">
        <f t="shared" si="22"/>
        <v>144.89894102746001</v>
      </c>
      <c r="J211" s="9">
        <f t="shared" si="23"/>
        <v>728.22175091316001</v>
      </c>
      <c r="K211" s="9">
        <f t="shared" si="24"/>
        <v>144.89894102746001</v>
      </c>
      <c r="L211" s="10">
        <f t="shared" si="21"/>
        <v>0.19897639811741782</v>
      </c>
      <c r="M211" s="10">
        <f t="shared" si="20"/>
        <v>0.22285731874942294</v>
      </c>
      <c r="P211" s="8">
        <f t="shared" si="25"/>
        <v>-2.3148406303230615</v>
      </c>
    </row>
    <row r="212" spans="1:16" x14ac:dyDescent="0.2">
      <c r="A212" s="8">
        <v>105</v>
      </c>
      <c r="B212" s="8">
        <v>210</v>
      </c>
      <c r="D212">
        <v>875.70460704607001</v>
      </c>
      <c r="E212">
        <v>263.25835591689003</v>
      </c>
      <c r="F212">
        <v>136.84329710144999</v>
      </c>
      <c r="G212">
        <v>115.90307971015</v>
      </c>
      <c r="I212" s="9">
        <f t="shared" si="22"/>
        <v>147.35527620674003</v>
      </c>
      <c r="J212" s="9">
        <f t="shared" si="23"/>
        <v>738.86130994461996</v>
      </c>
      <c r="K212" s="9">
        <f t="shared" si="24"/>
        <v>147.35527620674003</v>
      </c>
      <c r="L212" s="10">
        <f t="shared" si="21"/>
        <v>0.19943563727512648</v>
      </c>
      <c r="M212" s="10">
        <f t="shared" si="20"/>
        <v>0.22343082068527514</v>
      </c>
      <c r="P212" s="8">
        <f t="shared" si="25"/>
        <v>-2.0634572415390844</v>
      </c>
    </row>
    <row r="213" spans="1:16" x14ac:dyDescent="0.2">
      <c r="A213" s="8">
        <v>105.5</v>
      </c>
      <c r="B213" s="8">
        <v>211</v>
      </c>
      <c r="D213">
        <v>865.87714543812001</v>
      </c>
      <c r="E213">
        <v>263.38663053297</v>
      </c>
      <c r="F213">
        <v>136.68297101448999</v>
      </c>
      <c r="G213">
        <v>115.77355072464</v>
      </c>
      <c r="I213" s="9">
        <f t="shared" si="22"/>
        <v>147.61307980832999</v>
      </c>
      <c r="J213" s="9">
        <f t="shared" si="23"/>
        <v>729.19417442362999</v>
      </c>
      <c r="K213" s="9">
        <f t="shared" si="24"/>
        <v>147.61307980832999</v>
      </c>
      <c r="L213" s="10">
        <f t="shared" si="21"/>
        <v>0.20243315839022766</v>
      </c>
      <c r="M213" s="10">
        <f t="shared" si="20"/>
        <v>0.22654260457851991</v>
      </c>
      <c r="P213" s="8">
        <f t="shared" si="25"/>
        <v>-0.69946745990937298</v>
      </c>
    </row>
    <row r="214" spans="1:16" x14ac:dyDescent="0.2">
      <c r="A214" s="8">
        <v>106</v>
      </c>
      <c r="B214" s="8">
        <v>212</v>
      </c>
      <c r="D214">
        <v>871.14272809395004</v>
      </c>
      <c r="E214">
        <v>264.35682023486999</v>
      </c>
      <c r="F214">
        <v>137.11322463767999</v>
      </c>
      <c r="G214">
        <v>115.82155797100999</v>
      </c>
      <c r="I214" s="9">
        <f t="shared" si="22"/>
        <v>148.53526226385998</v>
      </c>
      <c r="J214" s="9">
        <f t="shared" si="23"/>
        <v>734.02950345627005</v>
      </c>
      <c r="K214" s="9">
        <f t="shared" si="24"/>
        <v>148.53526226385998</v>
      </c>
      <c r="L214" s="10">
        <f t="shared" si="21"/>
        <v>0.2023559837369793</v>
      </c>
      <c r="M214" s="10">
        <f t="shared" si="20"/>
        <v>0.2265796927034151</v>
      </c>
      <c r="P214" s="8">
        <f t="shared" si="25"/>
        <v>-0.68321060367759134</v>
      </c>
    </row>
    <row r="215" spans="1:16" x14ac:dyDescent="0.2">
      <c r="A215" s="8">
        <v>106.5</v>
      </c>
      <c r="B215" s="8">
        <v>213</v>
      </c>
      <c r="D215">
        <v>870.96928635952997</v>
      </c>
      <c r="E215">
        <v>262.78952122854997</v>
      </c>
      <c r="F215">
        <v>137.32427536232001</v>
      </c>
      <c r="G215">
        <v>115.52083333333</v>
      </c>
      <c r="I215" s="9">
        <f t="shared" si="22"/>
        <v>147.26868789521995</v>
      </c>
      <c r="J215" s="9">
        <f t="shared" si="23"/>
        <v>733.64501099720997</v>
      </c>
      <c r="K215" s="9">
        <f t="shared" si="24"/>
        <v>147.26868789521995</v>
      </c>
      <c r="L215" s="10">
        <f t="shared" si="21"/>
        <v>0.2007356223891503</v>
      </c>
      <c r="M215" s="10">
        <f t="shared" si="20"/>
        <v>0.22507359413372968</v>
      </c>
      <c r="P215" s="8">
        <f t="shared" si="25"/>
        <v>-1.3433795388140051</v>
      </c>
    </row>
    <row r="216" spans="1:16" x14ac:dyDescent="0.2">
      <c r="A216" s="8">
        <v>107</v>
      </c>
      <c r="B216" s="8">
        <v>214</v>
      </c>
      <c r="D216">
        <v>877.54652213189001</v>
      </c>
      <c r="E216">
        <v>262.85094850949002</v>
      </c>
      <c r="F216">
        <v>136.96557971015</v>
      </c>
      <c r="G216">
        <v>115.46286231884</v>
      </c>
      <c r="I216" s="9">
        <f t="shared" si="22"/>
        <v>147.38808619065003</v>
      </c>
      <c r="J216" s="9">
        <f t="shared" si="23"/>
        <v>740.58094242174002</v>
      </c>
      <c r="K216" s="9">
        <f t="shared" si="24"/>
        <v>147.38808619065003</v>
      </c>
      <c r="L216" s="10">
        <f t="shared" si="21"/>
        <v>0.19901684981074852</v>
      </c>
      <c r="M216" s="10">
        <f t="shared" si="20"/>
        <v>0.22346908433347146</v>
      </c>
      <c r="P216" s="8">
        <f t="shared" si="25"/>
        <v>-2.0466851175940559</v>
      </c>
    </row>
    <row r="217" spans="1:16" x14ac:dyDescent="0.2">
      <c r="A217" s="8">
        <v>107.5</v>
      </c>
      <c r="B217" s="8">
        <v>215</v>
      </c>
      <c r="D217">
        <v>866.07768744353996</v>
      </c>
      <c r="E217">
        <v>260.25022583559002</v>
      </c>
      <c r="F217">
        <v>136.75181159420001</v>
      </c>
      <c r="G217">
        <v>116.01358695652</v>
      </c>
      <c r="I217" s="9">
        <f t="shared" si="22"/>
        <v>144.23663887907003</v>
      </c>
      <c r="J217" s="9">
        <f t="shared" si="23"/>
        <v>729.32587584933992</v>
      </c>
      <c r="K217" s="9">
        <f t="shared" si="24"/>
        <v>144.23663887907003</v>
      </c>
      <c r="L217" s="10">
        <f t="shared" si="21"/>
        <v>0.19776706634890551</v>
      </c>
      <c r="M217" s="10">
        <f t="shared" si="20"/>
        <v>0.222333563649772</v>
      </c>
      <c r="P217" s="8">
        <f t="shared" si="25"/>
        <v>-2.5444184636524225</v>
      </c>
    </row>
    <row r="218" spans="1:16" x14ac:dyDescent="0.2">
      <c r="A218" s="8">
        <v>108</v>
      </c>
      <c r="B218" s="8">
        <v>216</v>
      </c>
      <c r="D218">
        <v>836.09394760613998</v>
      </c>
      <c r="E218">
        <v>253.9864498645</v>
      </c>
      <c r="F218">
        <v>137.41485507246</v>
      </c>
      <c r="G218">
        <v>115.43025362319</v>
      </c>
      <c r="I218" s="9">
        <f t="shared" si="22"/>
        <v>138.55619624131</v>
      </c>
      <c r="J218" s="9">
        <f t="shared" si="23"/>
        <v>698.67909253367998</v>
      </c>
      <c r="K218" s="9">
        <f t="shared" si="24"/>
        <v>138.55619624131</v>
      </c>
      <c r="L218" s="10">
        <f t="shared" si="21"/>
        <v>0.19831163938060858</v>
      </c>
      <c r="M218" s="10">
        <f t="shared" si="20"/>
        <v>0.22299239945961866</v>
      </c>
      <c r="P218" s="8">
        <f t="shared" si="25"/>
        <v>-2.2556306354380635</v>
      </c>
    </row>
    <row r="219" spans="1:16" x14ac:dyDescent="0.2">
      <c r="A219" s="8">
        <v>108.5</v>
      </c>
      <c r="B219" s="8">
        <v>217</v>
      </c>
      <c r="D219">
        <v>825.68112014454005</v>
      </c>
      <c r="E219">
        <v>252.74435411021</v>
      </c>
      <c r="F219">
        <v>137.08152173913001</v>
      </c>
      <c r="G219">
        <v>115.72916666667</v>
      </c>
      <c r="I219" s="9">
        <f t="shared" si="22"/>
        <v>137.01518744354001</v>
      </c>
      <c r="J219" s="9">
        <f t="shared" si="23"/>
        <v>688.59959840541001</v>
      </c>
      <c r="K219" s="9">
        <f t="shared" si="24"/>
        <v>137.01518744354001</v>
      </c>
      <c r="L219" s="10">
        <f t="shared" si="21"/>
        <v>0.19897657181448561</v>
      </c>
      <c r="M219" s="10">
        <f t="shared" si="20"/>
        <v>0.22377159467163923</v>
      </c>
      <c r="P219" s="8">
        <f t="shared" si="25"/>
        <v>-1.9140856106058175</v>
      </c>
    </row>
    <row r="220" spans="1:16" x14ac:dyDescent="0.2">
      <c r="A220" s="8">
        <v>109</v>
      </c>
      <c r="B220" s="8">
        <v>218</v>
      </c>
      <c r="D220">
        <v>846.74706413730996</v>
      </c>
      <c r="E220">
        <v>254.99277326107</v>
      </c>
      <c r="F220">
        <v>137.05887681159001</v>
      </c>
      <c r="G220">
        <v>115.30887681159</v>
      </c>
      <c r="I220" s="9">
        <f t="shared" si="22"/>
        <v>139.68389644948002</v>
      </c>
      <c r="J220" s="9">
        <f t="shared" si="23"/>
        <v>709.68818732571992</v>
      </c>
      <c r="K220" s="9">
        <f t="shared" si="24"/>
        <v>139.68389644948002</v>
      </c>
      <c r="L220" s="10">
        <f t="shared" si="21"/>
        <v>0.19682432220810012</v>
      </c>
      <c r="M220" s="10">
        <f t="shared" si="20"/>
        <v>0.2217336078433973</v>
      </c>
      <c r="P220" s="8">
        <f t="shared" si="25"/>
        <v>-2.8073973906598515</v>
      </c>
    </row>
    <row r="221" spans="1:16" x14ac:dyDescent="0.2">
      <c r="A221" s="8">
        <v>109.5</v>
      </c>
      <c r="B221" s="8">
        <v>219</v>
      </c>
      <c r="D221">
        <v>870.99186991869999</v>
      </c>
      <c r="E221">
        <v>259.81571815718002</v>
      </c>
      <c r="F221">
        <v>137.26358695651999</v>
      </c>
      <c r="G221">
        <v>115.86141304348</v>
      </c>
      <c r="I221" s="9">
        <f t="shared" si="22"/>
        <v>143.9543051137</v>
      </c>
      <c r="J221" s="9">
        <f t="shared" si="23"/>
        <v>733.72828296217995</v>
      </c>
      <c r="K221" s="9">
        <f t="shared" si="24"/>
        <v>143.9543051137</v>
      </c>
      <c r="L221" s="10">
        <f t="shared" si="21"/>
        <v>0.19619566051417991</v>
      </c>
      <c r="M221" s="10">
        <f t="shared" si="20"/>
        <v>0.22121920892762068</v>
      </c>
      <c r="P221" s="8">
        <f t="shared" si="25"/>
        <v>-3.0328741232581087</v>
      </c>
    </row>
    <row r="222" spans="1:16" x14ac:dyDescent="0.2">
      <c r="A222" s="8">
        <v>110</v>
      </c>
      <c r="B222" s="8">
        <v>220</v>
      </c>
      <c r="D222">
        <v>826.16350496838004</v>
      </c>
      <c r="E222">
        <v>252.53297199638999</v>
      </c>
      <c r="F222">
        <v>136.54438405797001</v>
      </c>
      <c r="G222">
        <v>115.5634057971</v>
      </c>
      <c r="I222" s="9">
        <f t="shared" si="22"/>
        <v>136.96956619929</v>
      </c>
      <c r="J222" s="9">
        <f t="shared" si="23"/>
        <v>689.61912091041006</v>
      </c>
      <c r="K222" s="9">
        <f t="shared" si="24"/>
        <v>136.96956619929</v>
      </c>
      <c r="L222" s="10">
        <f t="shared" si="21"/>
        <v>0.19861625359005095</v>
      </c>
      <c r="M222" s="10">
        <f t="shared" si="20"/>
        <v>0.22375406478163526</v>
      </c>
      <c r="P222" s="8">
        <f t="shared" si="25"/>
        <v>-1.9217694960100777</v>
      </c>
    </row>
    <row r="223" spans="1:16" x14ac:dyDescent="0.2">
      <c r="A223" s="8">
        <v>110.5</v>
      </c>
      <c r="B223" s="8">
        <v>221</v>
      </c>
      <c r="D223">
        <v>853.55555555555998</v>
      </c>
      <c r="E223">
        <v>256.72719060524003</v>
      </c>
      <c r="F223">
        <v>137.29710144928001</v>
      </c>
      <c r="G223">
        <v>116.13949275362</v>
      </c>
      <c r="I223" s="9">
        <f t="shared" si="22"/>
        <v>140.58769785162002</v>
      </c>
      <c r="J223" s="9">
        <f t="shared" si="23"/>
        <v>716.25845410627994</v>
      </c>
      <c r="K223" s="9">
        <f t="shared" si="24"/>
        <v>140.58769785162002</v>
      </c>
      <c r="L223" s="10">
        <f t="shared" si="21"/>
        <v>0.19628068198795642</v>
      </c>
      <c r="M223" s="10">
        <f t="shared" si="20"/>
        <v>0.22153275595768432</v>
      </c>
      <c r="P223" s="8">
        <f t="shared" si="25"/>
        <v>-2.8954368976218507</v>
      </c>
    </row>
    <row r="224" spans="1:16" x14ac:dyDescent="0.2">
      <c r="A224" s="8">
        <v>111</v>
      </c>
      <c r="B224" s="8">
        <v>222</v>
      </c>
      <c r="D224">
        <v>869.76242095754003</v>
      </c>
      <c r="E224">
        <v>259.17615176151998</v>
      </c>
      <c r="F224">
        <v>136.98460144928001</v>
      </c>
      <c r="G224">
        <v>115.69384057971</v>
      </c>
      <c r="I224" s="9">
        <f t="shared" si="22"/>
        <v>143.48231118180996</v>
      </c>
      <c r="J224" s="9">
        <f t="shared" si="23"/>
        <v>732.77781950826</v>
      </c>
      <c r="K224" s="9">
        <f t="shared" si="24"/>
        <v>143.48231118180996</v>
      </c>
      <c r="L224" s="10">
        <f t="shared" si="21"/>
        <v>0.1958060238205567</v>
      </c>
      <c r="M224" s="10">
        <f t="shared" si="20"/>
        <v>0.22117236056842815</v>
      </c>
      <c r="P224" s="8">
        <f t="shared" si="25"/>
        <v>-3.0534091878438727</v>
      </c>
    </row>
    <row r="225" spans="1:16" x14ac:dyDescent="0.2">
      <c r="A225" s="8">
        <v>111.5</v>
      </c>
      <c r="B225" s="8">
        <v>223</v>
      </c>
      <c r="D225">
        <v>873.51851851851995</v>
      </c>
      <c r="E225">
        <v>261.36495031617</v>
      </c>
      <c r="F225">
        <v>136.60507246377</v>
      </c>
      <c r="G225">
        <v>115.65579710145001</v>
      </c>
      <c r="I225" s="9">
        <f t="shared" si="22"/>
        <v>145.70915321472</v>
      </c>
      <c r="J225" s="9">
        <f t="shared" si="23"/>
        <v>736.91344605475001</v>
      </c>
      <c r="K225" s="9">
        <f t="shared" si="24"/>
        <v>145.70915321472</v>
      </c>
      <c r="L225" s="10">
        <f t="shared" si="21"/>
        <v>0.197728992454691</v>
      </c>
      <c r="M225" s="10">
        <f t="shared" si="20"/>
        <v>0.22320959198070603</v>
      </c>
      <c r="P225" s="8">
        <f t="shared" si="25"/>
        <v>-2.1604285296450856</v>
      </c>
    </row>
    <row r="226" spans="1:16" x14ac:dyDescent="0.2">
      <c r="A226" s="8">
        <v>112</v>
      </c>
      <c r="B226" s="8">
        <v>224</v>
      </c>
      <c r="D226">
        <v>880.85817524842003</v>
      </c>
      <c r="E226">
        <v>262.72538392051001</v>
      </c>
      <c r="F226">
        <v>136.77717391304</v>
      </c>
      <c r="G226">
        <v>115.82789855073</v>
      </c>
      <c r="I226" s="9">
        <f t="shared" si="22"/>
        <v>146.89748536978001</v>
      </c>
      <c r="J226" s="9">
        <f t="shared" si="23"/>
        <v>744.08100133538005</v>
      </c>
      <c r="K226" s="9">
        <f t="shared" si="24"/>
        <v>146.89748536978001</v>
      </c>
      <c r="L226" s="10">
        <f t="shared" si="21"/>
        <v>0.19742136287063836</v>
      </c>
      <c r="M226" s="10">
        <f t="shared" si="20"/>
        <v>0.22301622517479694</v>
      </c>
      <c r="P226" s="8">
        <f t="shared" si="25"/>
        <v>-2.2451870978538029</v>
      </c>
    </row>
    <row r="227" spans="1:16" x14ac:dyDescent="0.2">
      <c r="A227" s="8">
        <v>112.5</v>
      </c>
      <c r="B227" s="8">
        <v>225</v>
      </c>
      <c r="D227">
        <v>878.04607046070998</v>
      </c>
      <c r="E227">
        <v>260.51309846432002</v>
      </c>
      <c r="F227">
        <v>136.83333333332999</v>
      </c>
      <c r="G227">
        <v>115.47282608696</v>
      </c>
      <c r="I227" s="9">
        <f t="shared" si="22"/>
        <v>145.04027237736003</v>
      </c>
      <c r="J227" s="9">
        <f t="shared" si="23"/>
        <v>741.21273712738002</v>
      </c>
      <c r="K227" s="9">
        <f t="shared" si="24"/>
        <v>145.04027237736003</v>
      </c>
      <c r="L227" s="10">
        <f t="shared" si="21"/>
        <v>0.19567968157087179</v>
      </c>
      <c r="M227" s="10">
        <f t="shared" si="20"/>
        <v>0.22138880665317395</v>
      </c>
      <c r="P227" s="8">
        <f t="shared" si="25"/>
        <v>-2.9585342678637492</v>
      </c>
    </row>
    <row r="228" spans="1:16" x14ac:dyDescent="0.2">
      <c r="A228" s="8">
        <v>113</v>
      </c>
      <c r="B228" s="8">
        <v>226</v>
      </c>
      <c r="D228">
        <v>875.57091237579004</v>
      </c>
      <c r="E228">
        <v>260.22764227642</v>
      </c>
      <c r="F228">
        <v>136.90851449274999</v>
      </c>
      <c r="G228">
        <v>115.70380434783</v>
      </c>
      <c r="I228" s="9">
        <f t="shared" si="22"/>
        <v>144.52383792859001</v>
      </c>
      <c r="J228" s="9">
        <f t="shared" si="23"/>
        <v>738.66239788304006</v>
      </c>
      <c r="K228" s="9">
        <f t="shared" si="24"/>
        <v>144.52383792859001</v>
      </c>
      <c r="L228" s="10">
        <f t="shared" si="21"/>
        <v>0.19565614595082439</v>
      </c>
      <c r="M228" s="10">
        <f t="shared" si="20"/>
        <v>0.22147953381127011</v>
      </c>
      <c r="P228" s="8">
        <f t="shared" si="25"/>
        <v>-2.9187657875306159</v>
      </c>
    </row>
    <row r="229" spans="1:16" x14ac:dyDescent="0.2">
      <c r="A229" s="8">
        <v>113.5</v>
      </c>
      <c r="B229" s="8">
        <v>227</v>
      </c>
      <c r="D229">
        <v>855.68383017164001</v>
      </c>
      <c r="E229">
        <v>255.44986449864999</v>
      </c>
      <c r="F229">
        <v>137.24547101448999</v>
      </c>
      <c r="G229">
        <v>115.53623188406</v>
      </c>
      <c r="I229" s="9">
        <f t="shared" si="22"/>
        <v>139.91363261458997</v>
      </c>
      <c r="J229" s="9">
        <f t="shared" si="23"/>
        <v>718.43835915714999</v>
      </c>
      <c r="K229" s="9">
        <f t="shared" si="24"/>
        <v>139.91363261458997</v>
      </c>
      <c r="L229" s="10">
        <f t="shared" si="21"/>
        <v>0.19474688514506991</v>
      </c>
      <c r="M229" s="10">
        <f t="shared" si="20"/>
        <v>0.22068453578365918</v>
      </c>
      <c r="P229" s="8">
        <f t="shared" si="25"/>
        <v>-3.2672376683804072</v>
      </c>
    </row>
    <row r="230" spans="1:16" x14ac:dyDescent="0.2">
      <c r="A230" s="8">
        <v>114</v>
      </c>
      <c r="B230" s="8">
        <v>228</v>
      </c>
      <c r="D230">
        <v>849.92321589882999</v>
      </c>
      <c r="E230">
        <v>253.12104787715</v>
      </c>
      <c r="F230">
        <v>136.875</v>
      </c>
      <c r="G230">
        <v>115.70742753623</v>
      </c>
      <c r="I230" s="9">
        <f t="shared" si="22"/>
        <v>137.41362034092</v>
      </c>
      <c r="J230" s="9">
        <f t="shared" si="23"/>
        <v>713.04821589882999</v>
      </c>
      <c r="K230" s="9">
        <f t="shared" si="24"/>
        <v>137.41362034092</v>
      </c>
      <c r="L230" s="10">
        <f t="shared" si="21"/>
        <v>0.19271294321619448</v>
      </c>
      <c r="M230" s="10">
        <f t="shared" si="20"/>
        <v>0.21876485663292733</v>
      </c>
      <c r="P230" s="8">
        <f t="shared" si="25"/>
        <v>-4.1086915853089145</v>
      </c>
    </row>
    <row r="231" spans="1:16" x14ac:dyDescent="0.2">
      <c r="A231" s="8">
        <v>114.5</v>
      </c>
      <c r="B231" s="8">
        <v>229</v>
      </c>
      <c r="D231">
        <v>870.18608852755006</v>
      </c>
      <c r="E231">
        <v>257.84643179764998</v>
      </c>
      <c r="F231">
        <v>137.01177536232001</v>
      </c>
      <c r="G231">
        <v>115.79347826087</v>
      </c>
      <c r="I231" s="9">
        <f t="shared" si="22"/>
        <v>142.05295353677997</v>
      </c>
      <c r="J231" s="9">
        <f t="shared" si="23"/>
        <v>733.17431316523005</v>
      </c>
      <c r="K231" s="9">
        <f t="shared" si="24"/>
        <v>142.05295353677997</v>
      </c>
      <c r="L231" s="10">
        <f t="shared" si="21"/>
        <v>0.19375058698321657</v>
      </c>
      <c r="M231" s="10">
        <f t="shared" si="20"/>
        <v>0.21991676317809297</v>
      </c>
      <c r="P231" s="8">
        <f t="shared" si="25"/>
        <v>-3.6037758164442621</v>
      </c>
    </row>
    <row r="232" spans="1:16" x14ac:dyDescent="0.2">
      <c r="A232" s="8">
        <v>115</v>
      </c>
      <c r="B232" s="8">
        <v>230</v>
      </c>
      <c r="D232">
        <v>871.56639566395995</v>
      </c>
      <c r="E232">
        <v>259.08130081300999</v>
      </c>
      <c r="F232">
        <v>136.87862318840999</v>
      </c>
      <c r="G232">
        <v>115.90942028985999</v>
      </c>
      <c r="I232" s="9">
        <f t="shared" si="22"/>
        <v>143.17188052314998</v>
      </c>
      <c r="J232" s="9">
        <f t="shared" si="23"/>
        <v>734.68777247554999</v>
      </c>
      <c r="K232" s="9">
        <f t="shared" si="24"/>
        <v>143.17188052314998</v>
      </c>
      <c r="L232" s="10">
        <f t="shared" si="21"/>
        <v>0.19487445672428783</v>
      </c>
      <c r="M232" s="10">
        <f t="shared" si="20"/>
        <v>0.22115489569730781</v>
      </c>
      <c r="P232" s="8">
        <f t="shared" si="25"/>
        <v>-3.0610645734885296</v>
      </c>
    </row>
    <row r="233" spans="1:16" x14ac:dyDescent="0.2">
      <c r="A233" s="8">
        <v>115.5</v>
      </c>
      <c r="B233" s="8">
        <v>231</v>
      </c>
      <c r="D233">
        <v>861.34778681119997</v>
      </c>
      <c r="E233">
        <v>254.53568202349001</v>
      </c>
      <c r="F233">
        <v>136.89039855073</v>
      </c>
      <c r="G233">
        <v>116.04438405797001</v>
      </c>
      <c r="I233" s="9">
        <f t="shared" si="22"/>
        <v>138.49129796552</v>
      </c>
      <c r="J233" s="9">
        <f t="shared" si="23"/>
        <v>724.45738826047</v>
      </c>
      <c r="K233" s="9">
        <f t="shared" si="24"/>
        <v>138.49129796552</v>
      </c>
      <c r="L233" s="10">
        <f t="shared" si="21"/>
        <v>0.19116555398524987</v>
      </c>
      <c r="M233" s="10">
        <f t="shared" si="20"/>
        <v>0.21756025573641341</v>
      </c>
      <c r="P233" s="8">
        <f t="shared" si="25"/>
        <v>-4.6367048954085748</v>
      </c>
    </row>
    <row r="234" spans="1:16" x14ac:dyDescent="0.2">
      <c r="A234" s="8">
        <v>116</v>
      </c>
      <c r="B234" s="8">
        <v>232</v>
      </c>
      <c r="D234">
        <v>867.40650406504005</v>
      </c>
      <c r="E234">
        <v>256.57994579946001</v>
      </c>
      <c r="F234">
        <v>137.05706521739</v>
      </c>
      <c r="G234">
        <v>115.8722826087</v>
      </c>
      <c r="I234" s="9">
        <f t="shared" si="22"/>
        <v>140.70766319076</v>
      </c>
      <c r="J234" s="9">
        <f t="shared" si="23"/>
        <v>730.34943884765005</v>
      </c>
      <c r="K234" s="9">
        <f t="shared" si="24"/>
        <v>140.70766319076</v>
      </c>
      <c r="L234" s="10">
        <f t="shared" si="21"/>
        <v>0.19265800137091835</v>
      </c>
      <c r="M234" s="10">
        <f t="shared" si="20"/>
        <v>0.21916696590022544</v>
      </c>
      <c r="P234" s="8">
        <f t="shared" si="25"/>
        <v>-3.9324348301775927</v>
      </c>
    </row>
    <row r="235" spans="1:16" x14ac:dyDescent="0.2">
      <c r="A235" s="8">
        <v>116.5</v>
      </c>
      <c r="B235" s="8">
        <v>233</v>
      </c>
      <c r="D235">
        <v>853.55103884371999</v>
      </c>
      <c r="E235">
        <v>254.54200542005</v>
      </c>
      <c r="F235">
        <v>136.34782608696</v>
      </c>
      <c r="G235">
        <v>115.47463768116</v>
      </c>
      <c r="I235" s="9">
        <f t="shared" si="22"/>
        <v>139.06736773889</v>
      </c>
      <c r="J235" s="9">
        <f t="shared" si="23"/>
        <v>717.20321275675997</v>
      </c>
      <c r="K235" s="9">
        <f t="shared" si="24"/>
        <v>139.06736773889</v>
      </c>
      <c r="L235" s="10">
        <f t="shared" si="21"/>
        <v>0.193902321218484</v>
      </c>
      <c r="M235" s="10">
        <f t="shared" si="20"/>
        <v>0.22052554852593467</v>
      </c>
      <c r="P235" s="8">
        <f t="shared" si="25"/>
        <v>-3.3369266321340669</v>
      </c>
    </row>
    <row r="236" spans="1:16" x14ac:dyDescent="0.2">
      <c r="A236" s="8">
        <v>117</v>
      </c>
      <c r="B236" s="8">
        <v>234</v>
      </c>
      <c r="D236">
        <v>829.59981933152994</v>
      </c>
      <c r="E236">
        <v>250.25022583558999</v>
      </c>
      <c r="F236">
        <v>136.94202898551001</v>
      </c>
      <c r="G236">
        <v>115.45199275362</v>
      </c>
      <c r="I236" s="9">
        <f t="shared" si="22"/>
        <v>134.79823308196998</v>
      </c>
      <c r="J236" s="9">
        <f t="shared" si="23"/>
        <v>692.65779034601996</v>
      </c>
      <c r="K236" s="9">
        <f t="shared" si="24"/>
        <v>134.79823308196998</v>
      </c>
      <c r="L236" s="10">
        <f t="shared" si="21"/>
        <v>0.19461014509723623</v>
      </c>
      <c r="M236" s="10">
        <f t="shared" si="20"/>
        <v>0.22134763518283046</v>
      </c>
      <c r="P236" s="8">
        <f t="shared" si="25"/>
        <v>-2.976580978936811</v>
      </c>
    </row>
    <row r="237" spans="1:16" x14ac:dyDescent="0.2">
      <c r="A237" s="8">
        <v>117.5</v>
      </c>
      <c r="B237" s="8">
        <v>235</v>
      </c>
      <c r="D237">
        <v>843.28635953026003</v>
      </c>
      <c r="E237">
        <v>252.87443541101999</v>
      </c>
      <c r="F237">
        <v>136.79347826086999</v>
      </c>
      <c r="G237">
        <v>115.6240942029</v>
      </c>
      <c r="I237" s="9">
        <f t="shared" si="22"/>
        <v>137.25034120812001</v>
      </c>
      <c r="J237" s="9">
        <f t="shared" si="23"/>
        <v>706.49288126939007</v>
      </c>
      <c r="K237" s="9">
        <f t="shared" si="24"/>
        <v>137.25034120812001</v>
      </c>
      <c r="L237" s="10">
        <f t="shared" si="21"/>
        <v>0.1942699563532978</v>
      </c>
      <c r="M237" s="10">
        <f t="shared" si="20"/>
        <v>0.22112170921703561</v>
      </c>
      <c r="P237" s="8">
        <f t="shared" si="25"/>
        <v>-3.0756112198921581</v>
      </c>
    </row>
    <row r="238" spans="1:16" x14ac:dyDescent="0.2">
      <c r="A238" s="8">
        <v>118</v>
      </c>
      <c r="B238" s="8">
        <v>236</v>
      </c>
      <c r="D238">
        <v>861.02890695574001</v>
      </c>
      <c r="E238">
        <v>259.80578139114999</v>
      </c>
      <c r="F238">
        <v>136.38768115942</v>
      </c>
      <c r="G238">
        <v>115.56431159420001</v>
      </c>
      <c r="I238" s="9">
        <f t="shared" si="22"/>
        <v>144.24146979694999</v>
      </c>
      <c r="J238" s="9">
        <f t="shared" si="23"/>
        <v>724.64122579631999</v>
      </c>
      <c r="K238" s="9">
        <f t="shared" si="24"/>
        <v>144.24146979694999</v>
      </c>
      <c r="L238" s="10">
        <f t="shared" si="21"/>
        <v>0.19905225463599688</v>
      </c>
      <c r="M238" s="10">
        <f t="shared" si="20"/>
        <v>0.22601827027787824</v>
      </c>
      <c r="P238" s="8">
        <f t="shared" si="25"/>
        <v>-0.92929917469707424</v>
      </c>
    </row>
    <row r="239" spans="1:16" x14ac:dyDescent="0.2">
      <c r="A239" s="8">
        <v>118.5</v>
      </c>
      <c r="B239" s="8">
        <v>237</v>
      </c>
      <c r="D239">
        <v>865.81571815717996</v>
      </c>
      <c r="E239">
        <v>264.10207768743999</v>
      </c>
      <c r="F239">
        <v>137.04076086956999</v>
      </c>
      <c r="G239">
        <v>115.81884057971</v>
      </c>
      <c r="I239" s="9">
        <f t="shared" si="22"/>
        <v>148.28323710772997</v>
      </c>
      <c r="J239" s="9">
        <f t="shared" si="23"/>
        <v>728.77495728760994</v>
      </c>
      <c r="K239" s="9">
        <f t="shared" si="24"/>
        <v>148.28323710772997</v>
      </c>
      <c r="L239" s="10">
        <f t="shared" si="21"/>
        <v>0.20346917196443981</v>
      </c>
      <c r="M239" s="10">
        <f t="shared" si="20"/>
        <v>0.23054945038446473</v>
      </c>
      <c r="P239" s="8">
        <f t="shared" si="25"/>
        <v>1.0568552550898842</v>
      </c>
    </row>
    <row r="240" spans="1:16" x14ac:dyDescent="0.2">
      <c r="A240" s="8">
        <v>119</v>
      </c>
      <c r="B240" s="8">
        <v>238</v>
      </c>
      <c r="D240">
        <v>839.71906052394002</v>
      </c>
      <c r="E240">
        <v>258.80758807588001</v>
      </c>
      <c r="F240">
        <v>136.90489130435</v>
      </c>
      <c r="G240">
        <v>115.53804347825999</v>
      </c>
      <c r="I240" s="9">
        <f t="shared" si="22"/>
        <v>143.26954459762001</v>
      </c>
      <c r="J240" s="9">
        <f t="shared" si="23"/>
        <v>702.81416921958999</v>
      </c>
      <c r="K240" s="9">
        <f t="shared" si="24"/>
        <v>143.26954459762001</v>
      </c>
      <c r="L240" s="10">
        <f t="shared" si="21"/>
        <v>0.20385124670538099</v>
      </c>
      <c r="M240" s="10">
        <f t="shared" si="20"/>
        <v>0.23104578790354949</v>
      </c>
      <c r="P240" s="8">
        <f t="shared" si="25"/>
        <v>1.2744151266930261</v>
      </c>
    </row>
    <row r="241" spans="1:16" x14ac:dyDescent="0.2">
      <c r="A241" s="8">
        <v>119.5</v>
      </c>
      <c r="B241" s="8">
        <v>239</v>
      </c>
      <c r="D241">
        <v>837.73441734416997</v>
      </c>
      <c r="E241">
        <v>258.95573622402998</v>
      </c>
      <c r="F241">
        <v>137.10235507246</v>
      </c>
      <c r="G241">
        <v>115.54981884058</v>
      </c>
      <c r="I241" s="9">
        <f t="shared" si="22"/>
        <v>143.40591738344997</v>
      </c>
      <c r="J241" s="9">
        <f t="shared" si="23"/>
        <v>700.63206227170997</v>
      </c>
      <c r="K241" s="9">
        <f t="shared" si="24"/>
        <v>143.40591738344997</v>
      </c>
      <c r="L241" s="10">
        <f t="shared" si="21"/>
        <v>0.20468078054902969</v>
      </c>
      <c r="M241" s="10">
        <f t="shared" si="20"/>
        <v>0.23198958452534174</v>
      </c>
      <c r="P241" s="8">
        <f t="shared" si="25"/>
        <v>1.6881099693380703</v>
      </c>
    </row>
    <row r="242" spans="1:16" x14ac:dyDescent="0.2">
      <c r="A242" s="8">
        <v>120</v>
      </c>
      <c r="B242" s="8">
        <v>240</v>
      </c>
      <c r="D242">
        <v>842.48780487805004</v>
      </c>
      <c r="E242">
        <v>261.51580849141999</v>
      </c>
      <c r="F242">
        <v>136.3777173913</v>
      </c>
      <c r="G242">
        <v>115.6847826087</v>
      </c>
      <c r="I242" s="9">
        <f>E242-G242</f>
        <v>145.83102588271998</v>
      </c>
      <c r="J242" s="9">
        <f>D242-F242</f>
        <v>706.11008748674999</v>
      </c>
      <c r="K242" s="9">
        <f t="shared" si="24"/>
        <v>145.83102588271998</v>
      </c>
      <c r="L242" s="10">
        <f t="shared" si="21"/>
        <v>0.20652732267538448</v>
      </c>
      <c r="M242" s="10">
        <f>L242+ABS($N$2)*A242</f>
        <v>0.23395038942984012</v>
      </c>
      <c r="O242" s="11"/>
      <c r="P242" s="8">
        <f>(M242-$O$2)/$O$2*100</f>
        <v>2.5475905583697189</v>
      </c>
    </row>
    <row r="243" spans="1:16" x14ac:dyDescent="0.2">
      <c r="A243" s="8">
        <v>120.5</v>
      </c>
      <c r="B243" s="8">
        <v>241</v>
      </c>
      <c r="D243">
        <v>863.88256549232005</v>
      </c>
      <c r="E243">
        <v>269.22673893405999</v>
      </c>
      <c r="F243">
        <v>136.72010869565</v>
      </c>
      <c r="G243">
        <v>115.58876811594</v>
      </c>
      <c r="I243" s="9">
        <f t="shared" ref="I243:I274" si="26">E243-G243</f>
        <v>153.63797081811998</v>
      </c>
      <c r="J243" s="9">
        <f t="shared" ref="J243:J274" si="27">D243-F243</f>
        <v>727.16245679667009</v>
      </c>
      <c r="K243" s="9">
        <f t="shared" si="24"/>
        <v>153.63797081811998</v>
      </c>
      <c r="L243" s="10">
        <f t="shared" si="21"/>
        <v>0.21128424519457883</v>
      </c>
      <c r="M243" s="10">
        <f t="shared" ref="M243:M274" si="28">L243+ABS($N$2)*A243</f>
        <v>0.23882157472717802</v>
      </c>
      <c r="P243" s="8">
        <f t="shared" ref="P243:P274" si="29">(M243-$O$2)/$O$2*100</f>
        <v>4.6827796325266675</v>
      </c>
    </row>
    <row r="244" spans="1:16" x14ac:dyDescent="0.2">
      <c r="A244" s="8">
        <v>121</v>
      </c>
      <c r="B244" s="8">
        <v>242</v>
      </c>
      <c r="D244">
        <v>872.95302619692995</v>
      </c>
      <c r="E244">
        <v>274.23667570009002</v>
      </c>
      <c r="F244">
        <v>136.39855072463999</v>
      </c>
      <c r="G244">
        <v>115.19474637681</v>
      </c>
      <c r="I244" s="9">
        <f t="shared" si="26"/>
        <v>159.04192932328002</v>
      </c>
      <c r="J244" s="9">
        <f t="shared" si="27"/>
        <v>736.55447547228994</v>
      </c>
      <c r="K244" s="9">
        <f t="shared" si="24"/>
        <v>159.04192932328002</v>
      </c>
      <c r="L244" s="10">
        <f t="shared" si="21"/>
        <v>0.21592690645359247</v>
      </c>
      <c r="M244" s="10">
        <f t="shared" si="28"/>
        <v>0.24357849876433524</v>
      </c>
      <c r="N244" s="1"/>
      <c r="P244" s="8">
        <f t="shared" si="29"/>
        <v>6.7678845116786484</v>
      </c>
    </row>
    <row r="245" spans="1:16" x14ac:dyDescent="0.2">
      <c r="A245" s="8">
        <v>121.5</v>
      </c>
      <c r="B245" s="8">
        <v>243</v>
      </c>
      <c r="D245">
        <v>877.03974706413999</v>
      </c>
      <c r="E245">
        <v>277.85185185184997</v>
      </c>
      <c r="F245">
        <v>136.39855072463999</v>
      </c>
      <c r="G245">
        <v>115.52717391304</v>
      </c>
      <c r="I245" s="9">
        <f t="shared" si="26"/>
        <v>162.32467793880997</v>
      </c>
      <c r="J245" s="9">
        <f t="shared" si="27"/>
        <v>740.64119633949997</v>
      </c>
      <c r="K245" s="9">
        <f t="shared" si="24"/>
        <v>162.32467793880997</v>
      </c>
      <c r="L245" s="10">
        <f t="shared" si="21"/>
        <v>0.21916776806512195</v>
      </c>
      <c r="M245" s="10">
        <f t="shared" si="28"/>
        <v>0.24693362315400827</v>
      </c>
      <c r="P245" s="8">
        <f t="shared" si="29"/>
        <v>8.2385378541376948</v>
      </c>
    </row>
    <row r="246" spans="1:16" x14ac:dyDescent="0.2">
      <c r="A246" s="8">
        <v>122</v>
      </c>
      <c r="B246" s="8">
        <v>244</v>
      </c>
      <c r="D246">
        <v>877.98644986449995</v>
      </c>
      <c r="E246">
        <v>277.23938572718998</v>
      </c>
      <c r="F246">
        <v>136.87137681159001</v>
      </c>
      <c r="G246">
        <v>115.50815217391001</v>
      </c>
      <c r="I246" s="9">
        <f t="shared" si="26"/>
        <v>161.73123355327999</v>
      </c>
      <c r="J246" s="9">
        <f t="shared" si="27"/>
        <v>741.11507305290991</v>
      </c>
      <c r="K246" s="9">
        <f t="shared" si="24"/>
        <v>161.73123355327999</v>
      </c>
      <c r="L246" s="10">
        <f t="shared" si="21"/>
        <v>0.21822688464161574</v>
      </c>
      <c r="M246" s="10">
        <f t="shared" si="28"/>
        <v>0.24610700250864564</v>
      </c>
      <c r="P246" s="8">
        <f t="shared" si="29"/>
        <v>7.8762048155207056</v>
      </c>
    </row>
    <row r="247" spans="1:16" x14ac:dyDescent="0.2">
      <c r="A247" s="8">
        <v>122.5</v>
      </c>
      <c r="B247" s="8">
        <v>245</v>
      </c>
      <c r="D247">
        <v>857.41915085818005</v>
      </c>
      <c r="E247">
        <v>271.87624209575</v>
      </c>
      <c r="F247">
        <v>136.48913043478001</v>
      </c>
      <c r="G247">
        <v>115.10416666667</v>
      </c>
      <c r="I247" s="9">
        <f t="shared" si="26"/>
        <v>156.77207542908002</v>
      </c>
      <c r="J247" s="9">
        <f t="shared" si="27"/>
        <v>720.93002042340004</v>
      </c>
      <c r="K247" s="9">
        <f t="shared" si="24"/>
        <v>156.77207542908002</v>
      </c>
      <c r="L247" s="10">
        <f t="shared" si="21"/>
        <v>0.2174581040986589</v>
      </c>
      <c r="M247" s="10">
        <f t="shared" si="28"/>
        <v>0.24545248474383236</v>
      </c>
      <c r="P247" s="8">
        <f t="shared" si="29"/>
        <v>7.5893097181334843</v>
      </c>
    </row>
    <row r="248" spans="1:16" x14ac:dyDescent="0.2">
      <c r="A248" s="8">
        <v>123</v>
      </c>
      <c r="B248" s="8">
        <v>246</v>
      </c>
      <c r="D248">
        <v>853.06865401987</v>
      </c>
      <c r="E248">
        <v>271.38663053297</v>
      </c>
      <c r="F248">
        <v>136.75</v>
      </c>
      <c r="G248">
        <v>115.79981884058</v>
      </c>
      <c r="I248" s="9">
        <f t="shared" si="26"/>
        <v>155.58681169239</v>
      </c>
      <c r="J248" s="9">
        <f t="shared" si="27"/>
        <v>716.31865401987</v>
      </c>
      <c r="K248" s="9">
        <f t="shared" si="24"/>
        <v>155.58681169239</v>
      </c>
      <c r="L248" s="10">
        <f t="shared" si="21"/>
        <v>0.2172033505190194</v>
      </c>
      <c r="M248" s="10">
        <f t="shared" si="28"/>
        <v>0.24531199394233641</v>
      </c>
      <c r="P248" s="8">
        <f t="shared" si="29"/>
        <v>7.527728315238047</v>
      </c>
    </row>
    <row r="249" spans="1:16" x14ac:dyDescent="0.2">
      <c r="A249" s="8">
        <v>123.5</v>
      </c>
      <c r="B249" s="8">
        <v>247</v>
      </c>
      <c r="D249">
        <v>876.03161698283998</v>
      </c>
      <c r="E249">
        <v>279.44354110208002</v>
      </c>
      <c r="F249">
        <v>136.59329710144999</v>
      </c>
      <c r="G249">
        <v>115.4402173913</v>
      </c>
      <c r="I249" s="9">
        <f t="shared" si="26"/>
        <v>164.00332371078002</v>
      </c>
      <c r="J249" s="9">
        <f t="shared" si="27"/>
        <v>739.43831988139004</v>
      </c>
      <c r="K249" s="9">
        <f t="shared" si="24"/>
        <v>164.00332371078002</v>
      </c>
      <c r="L249" s="10">
        <f t="shared" si="21"/>
        <v>0.22179446114868251</v>
      </c>
      <c r="M249" s="10">
        <f t="shared" si="28"/>
        <v>0.25001736735014307</v>
      </c>
      <c r="P249" s="8">
        <f t="shared" si="29"/>
        <v>9.5902369813871324</v>
      </c>
    </row>
    <row r="250" spans="1:16" x14ac:dyDescent="0.2">
      <c r="A250" s="8">
        <v>124</v>
      </c>
      <c r="B250" s="8">
        <v>248</v>
      </c>
      <c r="D250">
        <v>875.18337850044998</v>
      </c>
      <c r="E250">
        <v>281.88527551942002</v>
      </c>
      <c r="F250">
        <v>136.91666666667001</v>
      </c>
      <c r="G250">
        <v>115.72373188406</v>
      </c>
      <c r="I250" s="9">
        <f t="shared" si="26"/>
        <v>166.16154363536003</v>
      </c>
      <c r="J250" s="9">
        <f t="shared" si="27"/>
        <v>738.26671183377994</v>
      </c>
      <c r="K250" s="9">
        <f t="shared" si="24"/>
        <v>166.16154363536003</v>
      </c>
      <c r="L250" s="10">
        <f t="shared" si="21"/>
        <v>0.22506980332708154</v>
      </c>
      <c r="M250" s="10">
        <f t="shared" si="28"/>
        <v>0.25340697230668568</v>
      </c>
      <c r="P250" s="8">
        <f t="shared" si="29"/>
        <v>11.076004207871676</v>
      </c>
    </row>
    <row r="251" spans="1:16" x14ac:dyDescent="0.2">
      <c r="A251" s="8">
        <v>124.5</v>
      </c>
      <c r="B251" s="8">
        <v>249</v>
      </c>
      <c r="D251">
        <v>874.55284552846001</v>
      </c>
      <c r="E251">
        <v>282.90876242095999</v>
      </c>
      <c r="F251">
        <v>136.35960144928001</v>
      </c>
      <c r="G251">
        <v>115.62137681159</v>
      </c>
      <c r="I251" s="9">
        <f t="shared" si="26"/>
        <v>167.28738560937001</v>
      </c>
      <c r="J251" s="9">
        <f t="shared" si="27"/>
        <v>738.19324407917998</v>
      </c>
      <c r="K251" s="9">
        <f t="shared" si="24"/>
        <v>167.28738560937001</v>
      </c>
      <c r="L251" s="10">
        <f t="shared" si="21"/>
        <v>0.22661733489317393</v>
      </c>
      <c r="M251" s="10">
        <f t="shared" si="28"/>
        <v>0.25506876665092165</v>
      </c>
      <c r="P251" s="8">
        <f t="shared" si="29"/>
        <v>11.804419349305025</v>
      </c>
    </row>
    <row r="252" spans="1:16" x14ac:dyDescent="0.2">
      <c r="A252" s="8">
        <v>125</v>
      </c>
      <c r="B252" s="8">
        <v>250</v>
      </c>
      <c r="D252">
        <v>865.11382113821003</v>
      </c>
      <c r="E252">
        <v>278.99728997289998</v>
      </c>
      <c r="F252">
        <v>137.03170289855001</v>
      </c>
      <c r="G252">
        <v>115.19565217391001</v>
      </c>
      <c r="I252" s="9">
        <f t="shared" si="26"/>
        <v>163.80163779898999</v>
      </c>
      <c r="J252" s="9">
        <f t="shared" si="27"/>
        <v>728.08211823966008</v>
      </c>
      <c r="K252" s="9">
        <f t="shared" si="24"/>
        <v>163.80163779898999</v>
      </c>
      <c r="L252" s="10">
        <f t="shared" si="21"/>
        <v>0.22497687238223316</v>
      </c>
      <c r="M252" s="10">
        <f t="shared" si="28"/>
        <v>0.25354256691812443</v>
      </c>
      <c r="P252" s="8">
        <f t="shared" si="29"/>
        <v>11.135439461344131</v>
      </c>
    </row>
    <row r="253" spans="1:16" x14ac:dyDescent="0.2">
      <c r="A253" s="8">
        <v>125.5</v>
      </c>
      <c r="B253" s="8">
        <v>251</v>
      </c>
      <c r="D253">
        <v>864.02710027099999</v>
      </c>
      <c r="E253">
        <v>278.76603432701</v>
      </c>
      <c r="F253">
        <v>136.875</v>
      </c>
      <c r="G253">
        <v>115.58333333333</v>
      </c>
      <c r="I253" s="9">
        <f t="shared" si="26"/>
        <v>163.18270099367999</v>
      </c>
      <c r="J253" s="9">
        <f t="shared" si="27"/>
        <v>727.15210027099999</v>
      </c>
      <c r="K253" s="9">
        <f t="shared" si="24"/>
        <v>163.18270099367999</v>
      </c>
      <c r="L253" s="10">
        <f t="shared" si="21"/>
        <v>0.22441343555614285</v>
      </c>
      <c r="M253" s="10">
        <f t="shared" si="28"/>
        <v>0.25309339287017768</v>
      </c>
      <c r="P253" s="8">
        <f t="shared" si="29"/>
        <v>10.938552777502544</v>
      </c>
    </row>
    <row r="254" spans="1:16" x14ac:dyDescent="0.2">
      <c r="A254" s="8">
        <v>126</v>
      </c>
      <c r="B254" s="8">
        <v>252</v>
      </c>
      <c r="D254">
        <v>841.80758807587995</v>
      </c>
      <c r="E254">
        <v>272.36404697379999</v>
      </c>
      <c r="F254">
        <v>136.74094202898999</v>
      </c>
      <c r="G254">
        <v>115.21557971015</v>
      </c>
      <c r="I254" s="9">
        <f t="shared" si="26"/>
        <v>157.14846726364999</v>
      </c>
      <c r="J254" s="9">
        <f t="shared" si="27"/>
        <v>705.0666460468899</v>
      </c>
      <c r="K254" s="9">
        <f t="shared" si="24"/>
        <v>157.14846726364999</v>
      </c>
      <c r="L254" s="10">
        <f t="shared" si="21"/>
        <v>0.22288455728935297</v>
      </c>
      <c r="M254" s="10">
        <f t="shared" si="28"/>
        <v>0.25167877738153138</v>
      </c>
      <c r="P254" s="8">
        <f t="shared" si="29"/>
        <v>10.318483666778823</v>
      </c>
    </row>
    <row r="255" spans="1:16" x14ac:dyDescent="0.2">
      <c r="A255" s="8">
        <v>126.5</v>
      </c>
      <c r="B255" s="8">
        <v>253</v>
      </c>
      <c r="D255">
        <v>827.30713640470003</v>
      </c>
      <c r="E255">
        <v>269.07949412827998</v>
      </c>
      <c r="F255">
        <v>136.70652173913001</v>
      </c>
      <c r="G255">
        <v>115.78532608696</v>
      </c>
      <c r="I255" s="9">
        <f t="shared" si="26"/>
        <v>153.29416804131998</v>
      </c>
      <c r="J255" s="9">
        <f t="shared" si="27"/>
        <v>690.60061466556999</v>
      </c>
      <c r="K255" s="9">
        <f t="shared" si="24"/>
        <v>153.29416804131998</v>
      </c>
      <c r="L255" s="10">
        <f t="shared" si="21"/>
        <v>0.22197224384973094</v>
      </c>
      <c r="M255" s="10">
        <f t="shared" si="28"/>
        <v>0.2508807267200529</v>
      </c>
      <c r="P255" s="8">
        <f t="shared" si="29"/>
        <v>9.9686737234075871</v>
      </c>
    </row>
    <row r="256" spans="1:16" x14ac:dyDescent="0.2">
      <c r="A256" s="8">
        <v>127</v>
      </c>
      <c r="B256" s="8">
        <v>254</v>
      </c>
      <c r="D256">
        <v>827.39927732611</v>
      </c>
      <c r="E256">
        <v>267.48780487804999</v>
      </c>
      <c r="F256">
        <v>136.72282608696</v>
      </c>
      <c r="G256">
        <v>115.21920289854999</v>
      </c>
      <c r="I256" s="9">
        <f t="shared" si="26"/>
        <v>152.26860197949998</v>
      </c>
      <c r="J256" s="9">
        <f t="shared" si="27"/>
        <v>690.67645123914997</v>
      </c>
      <c r="K256" s="9">
        <f t="shared" si="24"/>
        <v>152.26860197949998</v>
      </c>
      <c r="L256" s="10">
        <f t="shared" si="21"/>
        <v>0.2204629992904974</v>
      </c>
      <c r="M256" s="10">
        <f t="shared" si="28"/>
        <v>0.24948574493896294</v>
      </c>
      <c r="P256" s="8">
        <f t="shared" si="29"/>
        <v>9.3572106654822278</v>
      </c>
    </row>
    <row r="257" spans="1:16" x14ac:dyDescent="0.2">
      <c r="A257" s="8">
        <v>127.5</v>
      </c>
      <c r="B257" s="8">
        <v>255</v>
      </c>
      <c r="D257">
        <v>829.99548328817002</v>
      </c>
      <c r="E257">
        <v>266.80216802168002</v>
      </c>
      <c r="F257">
        <v>137.125</v>
      </c>
      <c r="G257">
        <v>115.46467391304</v>
      </c>
      <c r="I257" s="9">
        <f t="shared" si="26"/>
        <v>151.33749410864002</v>
      </c>
      <c r="J257" s="9">
        <f t="shared" si="27"/>
        <v>692.87048328817002</v>
      </c>
      <c r="K257" s="9">
        <f t="shared" si="24"/>
        <v>151.33749410864002</v>
      </c>
      <c r="L257" s="10">
        <f t="shared" si="21"/>
        <v>0.21842104369987661</v>
      </c>
      <c r="M257" s="10">
        <f t="shared" si="28"/>
        <v>0.24755805212648571</v>
      </c>
      <c r="P257" s="8">
        <f t="shared" si="29"/>
        <v>8.5122441162151237</v>
      </c>
    </row>
    <row r="258" spans="1:16" x14ac:dyDescent="0.2">
      <c r="A258" s="8">
        <v>128</v>
      </c>
      <c r="B258" s="8">
        <v>256</v>
      </c>
      <c r="D258">
        <v>825.75700090333999</v>
      </c>
      <c r="E258">
        <v>264.88256549232</v>
      </c>
      <c r="F258">
        <v>137.05072463767999</v>
      </c>
      <c r="G258">
        <v>115.12137681159</v>
      </c>
      <c r="I258" s="9">
        <f t="shared" si="26"/>
        <v>149.76118868073002</v>
      </c>
      <c r="J258" s="9">
        <f t="shared" si="27"/>
        <v>688.70627626565999</v>
      </c>
      <c r="K258" s="9">
        <f t="shared" si="24"/>
        <v>149.76118868073002</v>
      </c>
      <c r="L258" s="10">
        <f t="shared" ref="L258:L313" si="30">K258/J258</f>
        <v>0.21745291692820506</v>
      </c>
      <c r="M258" s="10">
        <f t="shared" si="28"/>
        <v>0.24670418813295775</v>
      </c>
      <c r="P258" s="8">
        <f t="shared" si="29"/>
        <v>8.1379694872468331</v>
      </c>
    </row>
    <row r="259" spans="1:16" x14ac:dyDescent="0.2">
      <c r="A259" s="8">
        <v>128.5</v>
      </c>
      <c r="B259" s="8">
        <v>257</v>
      </c>
      <c r="D259">
        <v>822.58536585366005</v>
      </c>
      <c r="E259">
        <v>263.64046973802999</v>
      </c>
      <c r="F259">
        <v>136.28804347825999</v>
      </c>
      <c r="G259">
        <v>115.83786231884</v>
      </c>
      <c r="I259" s="9">
        <f t="shared" si="26"/>
        <v>147.80260741919</v>
      </c>
      <c r="J259" s="9">
        <f t="shared" si="27"/>
        <v>686.29732237540009</v>
      </c>
      <c r="K259" s="9">
        <f t="shared" ref="K259:K313" si="31">I259*1</f>
        <v>147.80260741919</v>
      </c>
      <c r="L259" s="10">
        <f t="shared" si="30"/>
        <v>0.2153623547701137</v>
      </c>
      <c r="M259" s="10">
        <f t="shared" si="28"/>
        <v>0.24472788875300994</v>
      </c>
      <c r="P259" s="8">
        <f t="shared" si="29"/>
        <v>7.2716971970849684</v>
      </c>
    </row>
    <row r="260" spans="1:16" x14ac:dyDescent="0.2">
      <c r="A260" s="8">
        <v>129</v>
      </c>
      <c r="B260" s="8">
        <v>258</v>
      </c>
      <c r="D260">
        <v>839.62601626015999</v>
      </c>
      <c r="E260">
        <v>268.92050587172997</v>
      </c>
      <c r="F260">
        <v>136.58967391304</v>
      </c>
      <c r="G260">
        <v>114.88405797100999</v>
      </c>
      <c r="I260" s="9">
        <f t="shared" si="26"/>
        <v>154.03644790071996</v>
      </c>
      <c r="J260" s="9">
        <f t="shared" si="27"/>
        <v>703.03634234712001</v>
      </c>
      <c r="K260" s="9">
        <f t="shared" si="31"/>
        <v>154.03644790071996</v>
      </c>
      <c r="L260" s="10">
        <f t="shared" si="30"/>
        <v>0.21910168596186935</v>
      </c>
      <c r="M260" s="10">
        <f t="shared" si="28"/>
        <v>0.24858148272290914</v>
      </c>
      <c r="P260" s="8">
        <f t="shared" si="29"/>
        <v>8.9608449585676926</v>
      </c>
    </row>
    <row r="261" spans="1:16" x14ac:dyDescent="0.2">
      <c r="A261" s="8">
        <v>129.5</v>
      </c>
      <c r="B261" s="8">
        <v>259</v>
      </c>
      <c r="D261">
        <v>837.80397470641003</v>
      </c>
      <c r="E261">
        <v>267.73983739837001</v>
      </c>
      <c r="F261">
        <v>136.07971014493</v>
      </c>
      <c r="G261">
        <v>115.70289855073</v>
      </c>
      <c r="I261" s="9">
        <f t="shared" si="26"/>
        <v>152.03693884764002</v>
      </c>
      <c r="J261" s="9">
        <f t="shared" si="27"/>
        <v>701.72426456148003</v>
      </c>
      <c r="K261" s="9">
        <f t="shared" si="31"/>
        <v>152.03693884764002</v>
      </c>
      <c r="L261" s="10">
        <f t="shared" si="30"/>
        <v>0.21666193763821265</v>
      </c>
      <c r="M261" s="10">
        <f t="shared" si="28"/>
        <v>0.24625599717739602</v>
      </c>
      <c r="P261" s="8">
        <f t="shared" si="29"/>
        <v>7.9415137227793338</v>
      </c>
    </row>
    <row r="262" spans="1:16" x14ac:dyDescent="0.2">
      <c r="A262" s="8">
        <v>130</v>
      </c>
      <c r="B262" s="8">
        <v>260</v>
      </c>
      <c r="D262">
        <v>825.67841011743997</v>
      </c>
      <c r="E262">
        <v>262.66034327009999</v>
      </c>
      <c r="F262">
        <v>136.65126811594001</v>
      </c>
      <c r="G262">
        <v>115.31068840579999</v>
      </c>
      <c r="I262" s="9">
        <f t="shared" si="26"/>
        <v>147.34965486429999</v>
      </c>
      <c r="J262" s="9">
        <f t="shared" si="27"/>
        <v>689.0271420014999</v>
      </c>
      <c r="K262" s="9">
        <f t="shared" si="31"/>
        <v>147.34965486429999</v>
      </c>
      <c r="L262" s="10">
        <f t="shared" si="30"/>
        <v>0.21385174238024318</v>
      </c>
      <c r="M262" s="10">
        <f t="shared" si="28"/>
        <v>0.24356006469757011</v>
      </c>
      <c r="P262" s="8">
        <f t="shared" si="29"/>
        <v>6.7598042980249602</v>
      </c>
    </row>
    <row r="263" spans="1:16" x14ac:dyDescent="0.2">
      <c r="A263" s="8">
        <v>130.5</v>
      </c>
      <c r="B263" s="8">
        <v>261</v>
      </c>
      <c r="D263">
        <v>835.17344173441995</v>
      </c>
      <c r="E263">
        <v>265.50677506775003</v>
      </c>
      <c r="F263">
        <v>136.88677536232001</v>
      </c>
      <c r="G263">
        <v>115.66576086956999</v>
      </c>
      <c r="I263" s="9">
        <f t="shared" si="26"/>
        <v>149.84101419818003</v>
      </c>
      <c r="J263" s="9">
        <f t="shared" si="27"/>
        <v>698.28666637209994</v>
      </c>
      <c r="K263" s="9">
        <f t="shared" si="31"/>
        <v>149.84101419818003</v>
      </c>
      <c r="L263" s="10">
        <f t="shared" si="30"/>
        <v>0.21458381122565129</v>
      </c>
      <c r="M263" s="10">
        <f t="shared" si="28"/>
        <v>0.24440639632112179</v>
      </c>
      <c r="P263" s="8">
        <f t="shared" si="29"/>
        <v>7.1307772595151837</v>
      </c>
    </row>
    <row r="264" spans="1:16" x14ac:dyDescent="0.2">
      <c r="A264" s="8">
        <v>131</v>
      </c>
      <c r="B264" s="8">
        <v>262</v>
      </c>
      <c r="D264">
        <v>842.44986449864996</v>
      </c>
      <c r="E264">
        <v>265.86720867208999</v>
      </c>
      <c r="F264">
        <v>136.25996376812</v>
      </c>
      <c r="G264">
        <v>115.6240942029</v>
      </c>
      <c r="I264" s="9">
        <f t="shared" si="26"/>
        <v>150.24311446919</v>
      </c>
      <c r="J264" s="9">
        <f t="shared" si="27"/>
        <v>706.18990073052998</v>
      </c>
      <c r="K264" s="9">
        <f t="shared" si="31"/>
        <v>150.24311446919</v>
      </c>
      <c r="L264" s="10">
        <f t="shared" si="30"/>
        <v>0.21275171779399352</v>
      </c>
      <c r="M264" s="10">
        <f t="shared" si="28"/>
        <v>0.24268856566760758</v>
      </c>
      <c r="P264" s="8">
        <f t="shared" si="29"/>
        <v>6.3777996947651934</v>
      </c>
    </row>
    <row r="265" spans="1:16" x14ac:dyDescent="0.2">
      <c r="A265" s="8">
        <v>131.5</v>
      </c>
      <c r="B265" s="8">
        <v>263</v>
      </c>
      <c r="D265">
        <v>854.21770551039003</v>
      </c>
      <c r="E265">
        <v>268.46793134597999</v>
      </c>
      <c r="F265">
        <v>136.28985507246</v>
      </c>
      <c r="G265">
        <v>115.67663043477999</v>
      </c>
      <c r="I265" s="9">
        <f t="shared" si="26"/>
        <v>152.79130091119998</v>
      </c>
      <c r="J265" s="9">
        <f t="shared" si="27"/>
        <v>717.92785043793003</v>
      </c>
      <c r="K265" s="9">
        <f t="shared" si="31"/>
        <v>152.79130091119998</v>
      </c>
      <c r="L265" s="10">
        <f t="shared" si="30"/>
        <v>0.21282264062885783</v>
      </c>
      <c r="M265" s="10">
        <f t="shared" si="28"/>
        <v>0.24287375128061545</v>
      </c>
      <c r="P265" s="8">
        <f t="shared" si="29"/>
        <v>6.4589721966204507</v>
      </c>
    </row>
    <row r="266" spans="1:16" x14ac:dyDescent="0.2">
      <c r="A266" s="8">
        <v>132</v>
      </c>
      <c r="B266" s="8">
        <v>264</v>
      </c>
      <c r="D266">
        <v>851.68744354110004</v>
      </c>
      <c r="E266">
        <v>268.53297199639002</v>
      </c>
      <c r="F266">
        <v>136.45199275362</v>
      </c>
      <c r="G266">
        <v>115.45289855073</v>
      </c>
      <c r="I266" s="9">
        <f t="shared" si="26"/>
        <v>153.08007344566002</v>
      </c>
      <c r="J266" s="9">
        <f t="shared" si="27"/>
        <v>715.23545078747998</v>
      </c>
      <c r="K266" s="9">
        <f t="shared" si="31"/>
        <v>153.08007344566002</v>
      </c>
      <c r="L266" s="10">
        <f t="shared" si="30"/>
        <v>0.21402752516967333</v>
      </c>
      <c r="M266" s="10">
        <f t="shared" si="28"/>
        <v>0.24419289859957452</v>
      </c>
      <c r="P266" s="8">
        <f t="shared" si="29"/>
        <v>7.0371946970422954</v>
      </c>
    </row>
    <row r="267" spans="1:16" x14ac:dyDescent="0.2">
      <c r="A267" s="8">
        <v>132.5</v>
      </c>
      <c r="B267" s="8">
        <v>265</v>
      </c>
      <c r="D267">
        <v>817.74525745256994</v>
      </c>
      <c r="E267">
        <v>261.74435411021</v>
      </c>
      <c r="F267">
        <v>136.37318840579999</v>
      </c>
      <c r="G267">
        <v>115.54528985507</v>
      </c>
      <c r="I267" s="9">
        <f t="shared" si="26"/>
        <v>146.19906425514</v>
      </c>
      <c r="J267" s="9">
        <f t="shared" si="27"/>
        <v>681.37206904676998</v>
      </c>
      <c r="K267" s="9">
        <f t="shared" si="31"/>
        <v>146.19906425514</v>
      </c>
      <c r="L267" s="10">
        <f t="shared" si="30"/>
        <v>0.21456568429590966</v>
      </c>
      <c r="M267" s="10">
        <f t="shared" si="28"/>
        <v>0.24484532050395441</v>
      </c>
      <c r="P267" s="8">
        <f t="shared" si="29"/>
        <v>7.3231711148833298</v>
      </c>
    </row>
    <row r="268" spans="1:16" x14ac:dyDescent="0.2">
      <c r="A268" s="8">
        <v>133</v>
      </c>
      <c r="B268" s="8">
        <v>266</v>
      </c>
      <c r="D268">
        <v>827.79223125564999</v>
      </c>
      <c r="E268">
        <v>264.56729900632001</v>
      </c>
      <c r="F268">
        <v>136.04438405797001</v>
      </c>
      <c r="G268">
        <v>115.35326086956999</v>
      </c>
      <c r="I268" s="9">
        <f t="shared" si="26"/>
        <v>149.21403813675002</v>
      </c>
      <c r="J268" s="9">
        <f t="shared" si="27"/>
        <v>691.74784719768002</v>
      </c>
      <c r="K268" s="9">
        <f t="shared" si="31"/>
        <v>149.21403813675002</v>
      </c>
      <c r="L268" s="10">
        <f t="shared" si="30"/>
        <v>0.21570582220273871</v>
      </c>
      <c r="M268" s="10">
        <f t="shared" si="28"/>
        <v>0.24609972118892703</v>
      </c>
      <c r="P268" s="8">
        <f t="shared" si="29"/>
        <v>7.8730131910269483</v>
      </c>
    </row>
    <row r="269" spans="1:16" x14ac:dyDescent="0.2">
      <c r="A269" s="8">
        <v>133.5</v>
      </c>
      <c r="B269" s="8">
        <v>267</v>
      </c>
      <c r="D269">
        <v>848.47244805780997</v>
      </c>
      <c r="E269">
        <v>272.03432700994</v>
      </c>
      <c r="F269">
        <v>136.89311594202999</v>
      </c>
      <c r="G269">
        <v>115.65126811594</v>
      </c>
      <c r="I269" s="9">
        <f t="shared" si="26"/>
        <v>156.38305889399999</v>
      </c>
      <c r="J269" s="9">
        <f t="shared" si="27"/>
        <v>711.57933211577995</v>
      </c>
      <c r="K269" s="9">
        <f t="shared" si="31"/>
        <v>156.38305889399999</v>
      </c>
      <c r="L269" s="10">
        <f t="shared" si="30"/>
        <v>0.21976897281293598</v>
      </c>
      <c r="M269" s="10">
        <f t="shared" si="28"/>
        <v>0.25027713457726786</v>
      </c>
      <c r="P269" s="8">
        <f t="shared" si="29"/>
        <v>9.7041008792528132</v>
      </c>
    </row>
    <row r="270" spans="1:16" x14ac:dyDescent="0.2">
      <c r="A270" s="8">
        <v>134</v>
      </c>
      <c r="B270" s="8">
        <v>268</v>
      </c>
      <c r="D270">
        <v>860.82204155374995</v>
      </c>
      <c r="E270">
        <v>273.74435411021</v>
      </c>
      <c r="F270">
        <v>136.34873188405999</v>
      </c>
      <c r="G270">
        <v>115.76630434783</v>
      </c>
      <c r="I270" s="9">
        <f t="shared" si="26"/>
        <v>157.97804976238001</v>
      </c>
      <c r="J270" s="9">
        <f t="shared" si="27"/>
        <v>724.47330966969002</v>
      </c>
      <c r="K270" s="9">
        <f t="shared" si="31"/>
        <v>157.97804976238001</v>
      </c>
      <c r="L270" s="10">
        <f t="shared" si="30"/>
        <v>0.21805917161310903</v>
      </c>
      <c r="M270" s="10">
        <f t="shared" si="28"/>
        <v>0.24868159615558449</v>
      </c>
      <c r="P270" s="8">
        <f t="shared" si="29"/>
        <v>9.0047277293055625</v>
      </c>
    </row>
    <row r="271" spans="1:16" x14ac:dyDescent="0.2">
      <c r="A271" s="8">
        <v>134.5</v>
      </c>
      <c r="B271" s="8">
        <v>269</v>
      </c>
      <c r="D271">
        <v>860.78681120144995</v>
      </c>
      <c r="E271">
        <v>275.07859078591002</v>
      </c>
      <c r="F271">
        <v>136.84148550725001</v>
      </c>
      <c r="G271">
        <v>115.70923913044</v>
      </c>
      <c r="I271" s="9">
        <f t="shared" si="26"/>
        <v>159.36935165547004</v>
      </c>
      <c r="J271" s="9">
        <f t="shared" si="27"/>
        <v>723.94532569419994</v>
      </c>
      <c r="K271" s="9">
        <f t="shared" si="31"/>
        <v>159.36935165547004</v>
      </c>
      <c r="L271" s="10">
        <f t="shared" si="30"/>
        <v>0.22014003820336686</v>
      </c>
      <c r="M271" s="10">
        <f t="shared" si="28"/>
        <v>0.25087672552398588</v>
      </c>
      <c r="P271" s="8">
        <f t="shared" si="29"/>
        <v>9.9669198771454575</v>
      </c>
    </row>
    <row r="272" spans="1:16" x14ac:dyDescent="0.2">
      <c r="A272" s="8">
        <v>135</v>
      </c>
      <c r="B272" s="8">
        <v>270</v>
      </c>
      <c r="D272">
        <v>860.08852755194005</v>
      </c>
      <c r="E272">
        <v>278.23667570009002</v>
      </c>
      <c r="F272">
        <v>136.35144927536001</v>
      </c>
      <c r="G272">
        <v>115.66576086956999</v>
      </c>
      <c r="I272" s="9">
        <f t="shared" si="26"/>
        <v>162.57091483052002</v>
      </c>
      <c r="J272" s="9">
        <f t="shared" si="27"/>
        <v>723.73707827658006</v>
      </c>
      <c r="K272" s="9">
        <f t="shared" si="31"/>
        <v>162.57091483052002</v>
      </c>
      <c r="L272" s="10">
        <f t="shared" si="30"/>
        <v>0.22462703612981491</v>
      </c>
      <c r="M272" s="10">
        <f t="shared" si="28"/>
        <v>0.25547798622857748</v>
      </c>
      <c r="P272" s="8">
        <f t="shared" si="29"/>
        <v>11.983792770311892</v>
      </c>
    </row>
    <row r="273" spans="1:16" x14ac:dyDescent="0.2">
      <c r="A273" s="8">
        <v>135.5</v>
      </c>
      <c r="B273" s="8">
        <v>271</v>
      </c>
      <c r="D273">
        <v>848.57000903341998</v>
      </c>
      <c r="E273">
        <v>274.23215898825998</v>
      </c>
      <c r="F273">
        <v>136.6875</v>
      </c>
      <c r="G273">
        <v>115.28170289854999</v>
      </c>
      <c r="I273" s="9">
        <f t="shared" si="26"/>
        <v>158.95045608970997</v>
      </c>
      <c r="J273" s="9">
        <f t="shared" si="27"/>
        <v>711.88250903341998</v>
      </c>
      <c r="K273" s="9">
        <f t="shared" si="31"/>
        <v>158.95045608970997</v>
      </c>
      <c r="L273" s="10">
        <f t="shared" si="30"/>
        <v>0.2232818675451512</v>
      </c>
      <c r="M273" s="10">
        <f t="shared" si="28"/>
        <v>0.25424708042205735</v>
      </c>
      <c r="P273" s="8">
        <f t="shared" si="29"/>
        <v>11.44424921592597</v>
      </c>
    </row>
    <row r="274" spans="1:16" x14ac:dyDescent="0.2">
      <c r="A274" s="8">
        <v>136</v>
      </c>
      <c r="B274" s="8">
        <v>272</v>
      </c>
      <c r="D274">
        <v>868.63685636855996</v>
      </c>
      <c r="E274">
        <v>278.24209575429001</v>
      </c>
      <c r="F274">
        <v>136.29257246377</v>
      </c>
      <c r="G274">
        <v>115.05797101448999</v>
      </c>
      <c r="I274" s="9">
        <f t="shared" si="26"/>
        <v>163.18412473980001</v>
      </c>
      <c r="J274" s="9">
        <f t="shared" si="27"/>
        <v>732.34428390479002</v>
      </c>
      <c r="K274" s="9">
        <f t="shared" si="31"/>
        <v>163.18412473980001</v>
      </c>
      <c r="L274" s="10">
        <f t="shared" si="30"/>
        <v>0.22282433047707806</v>
      </c>
      <c r="M274" s="10">
        <f t="shared" si="28"/>
        <v>0.25390380613212776</v>
      </c>
      <c r="P274" s="8">
        <f t="shared" si="29"/>
        <v>11.293781625687267</v>
      </c>
    </row>
    <row r="275" spans="1:16" x14ac:dyDescent="0.2">
      <c r="A275" s="8">
        <v>136.5</v>
      </c>
      <c r="B275" s="8">
        <v>273</v>
      </c>
      <c r="D275">
        <v>868.08318264014997</v>
      </c>
      <c r="E275">
        <v>272.96202531645997</v>
      </c>
      <c r="F275">
        <v>136.4402173913</v>
      </c>
      <c r="G275">
        <v>115.25</v>
      </c>
      <c r="I275" s="9">
        <f>E275-G275</f>
        <v>157.71202531645997</v>
      </c>
      <c r="J275" s="9">
        <f>D275-F275</f>
        <v>731.64296524885003</v>
      </c>
      <c r="K275" s="9">
        <f t="shared" si="31"/>
        <v>157.71202531645997</v>
      </c>
      <c r="L275" s="10">
        <f t="shared" si="30"/>
        <v>0.21555872578207347</v>
      </c>
      <c r="M275" s="10">
        <f>L275+ABS($N$2)*A275</f>
        <v>0.24675246421526675</v>
      </c>
      <c r="O275" s="11"/>
      <c r="P275" s="8">
        <f>(M275-$O$2)/$O$2*100</f>
        <v>8.1591303664163508</v>
      </c>
    </row>
    <row r="276" spans="1:16" x14ac:dyDescent="0.2">
      <c r="A276" s="8">
        <v>137</v>
      </c>
      <c r="B276" s="8">
        <v>274</v>
      </c>
      <c r="D276">
        <v>847.06600361664005</v>
      </c>
      <c r="E276">
        <v>265.81283905968002</v>
      </c>
      <c r="F276">
        <v>136.58423913044001</v>
      </c>
      <c r="G276">
        <v>115.375</v>
      </c>
      <c r="I276" s="9">
        <f t="shared" ref="I276:I291" si="32">E276-G276</f>
        <v>150.43783905968002</v>
      </c>
      <c r="J276" s="9">
        <f t="shared" ref="J276:J291" si="33">D276-F276</f>
        <v>710.48176448620006</v>
      </c>
      <c r="K276" s="9">
        <f t="shared" si="31"/>
        <v>150.43783905968002</v>
      </c>
      <c r="L276" s="10">
        <f t="shared" si="30"/>
        <v>0.21174060557130883</v>
      </c>
      <c r="M276" s="10">
        <f t="shared" ref="M276:M291" si="34">L276+ABS($N$2)*A276</f>
        <v>0.24304860678264567</v>
      </c>
      <c r="P276" s="8">
        <f t="shared" ref="P276:P291" si="35">(M276-$O$2)/$O$2*100</f>
        <v>6.5356166957930037</v>
      </c>
    </row>
    <row r="277" spans="1:16" x14ac:dyDescent="0.2">
      <c r="A277" s="8">
        <v>137.5</v>
      </c>
      <c r="B277" s="8">
        <v>275</v>
      </c>
      <c r="D277">
        <v>853.08679927667004</v>
      </c>
      <c r="E277">
        <v>268.41229656420001</v>
      </c>
      <c r="F277">
        <v>136.60326086956999</v>
      </c>
      <c r="G277">
        <v>115.29347826087</v>
      </c>
      <c r="I277" s="9">
        <f t="shared" si="32"/>
        <v>153.11881830332999</v>
      </c>
      <c r="J277" s="9">
        <f t="shared" si="33"/>
        <v>716.48353840710001</v>
      </c>
      <c r="K277" s="9">
        <f t="shared" si="31"/>
        <v>153.11881830332999</v>
      </c>
      <c r="L277" s="10">
        <f t="shared" si="30"/>
        <v>0.21370877360803947</v>
      </c>
      <c r="M277" s="10">
        <f t="shared" si="34"/>
        <v>0.24513103759751986</v>
      </c>
      <c r="N277" s="1"/>
      <c r="P277" s="8">
        <f t="shared" si="35"/>
        <v>7.4484096306125984</v>
      </c>
    </row>
    <row r="278" spans="1:16" x14ac:dyDescent="0.2">
      <c r="A278" s="8">
        <v>138</v>
      </c>
      <c r="B278" s="8">
        <v>276</v>
      </c>
      <c r="D278">
        <v>852.36347197107</v>
      </c>
      <c r="E278">
        <v>269.52350813742999</v>
      </c>
      <c r="F278">
        <v>136.26992753623</v>
      </c>
      <c r="G278">
        <v>115.51358695652</v>
      </c>
      <c r="I278" s="9">
        <f t="shared" si="32"/>
        <v>154.00992118091</v>
      </c>
      <c r="J278" s="9">
        <f t="shared" si="33"/>
        <v>716.09354443483994</v>
      </c>
      <c r="K278" s="9">
        <f t="shared" si="31"/>
        <v>154.00992118091</v>
      </c>
      <c r="L278" s="10">
        <f t="shared" si="30"/>
        <v>0.21506955673292477</v>
      </c>
      <c r="M278" s="10">
        <f t="shared" si="34"/>
        <v>0.24660608350054875</v>
      </c>
      <c r="P278" s="8">
        <f t="shared" si="35"/>
        <v>8.0949672349288271</v>
      </c>
    </row>
    <row r="279" spans="1:16" x14ac:dyDescent="0.2">
      <c r="A279" s="8">
        <v>138.5</v>
      </c>
      <c r="B279" s="8">
        <v>277</v>
      </c>
      <c r="D279">
        <v>838.52039891206005</v>
      </c>
      <c r="E279">
        <v>264.86310063462997</v>
      </c>
      <c r="F279">
        <v>136.52989130435</v>
      </c>
      <c r="G279">
        <v>115.01630434783</v>
      </c>
      <c r="I279" s="9">
        <f t="shared" si="32"/>
        <v>149.84679628679999</v>
      </c>
      <c r="J279" s="9">
        <f t="shared" si="33"/>
        <v>701.99050760771001</v>
      </c>
      <c r="K279" s="9">
        <f t="shared" si="31"/>
        <v>149.84679628679999</v>
      </c>
      <c r="L279" s="10">
        <f t="shared" si="30"/>
        <v>0.21345986115604024</v>
      </c>
      <c r="M279" s="10">
        <f t="shared" si="34"/>
        <v>0.24511065070180776</v>
      </c>
      <c r="P279" s="8">
        <f t="shared" si="35"/>
        <v>7.439473432475312</v>
      </c>
    </row>
    <row r="280" spans="1:16" x14ac:dyDescent="0.2">
      <c r="A280" s="8">
        <v>139</v>
      </c>
      <c r="B280" s="8">
        <v>278</v>
      </c>
      <c r="D280">
        <v>819.57751586582003</v>
      </c>
      <c r="E280">
        <v>260.24206708975998</v>
      </c>
      <c r="F280">
        <v>136.10778985507</v>
      </c>
      <c r="G280">
        <v>115.40579710145001</v>
      </c>
      <c r="I280" s="9">
        <f t="shared" si="32"/>
        <v>144.83626998830999</v>
      </c>
      <c r="J280" s="9">
        <f t="shared" si="33"/>
        <v>683.46972601075004</v>
      </c>
      <c r="K280" s="9">
        <f t="shared" si="31"/>
        <v>144.83626998830999</v>
      </c>
      <c r="L280" s="10">
        <f t="shared" si="30"/>
        <v>0.21191321938088581</v>
      </c>
      <c r="M280" s="10">
        <f t="shared" si="34"/>
        <v>0.24367827170479692</v>
      </c>
      <c r="P280" s="8">
        <f t="shared" si="35"/>
        <v>6.8116180342951473</v>
      </c>
    </row>
    <row r="281" spans="1:16" x14ac:dyDescent="0.2">
      <c r="A281" s="8">
        <v>139.5</v>
      </c>
      <c r="B281" s="8">
        <v>279</v>
      </c>
      <c r="D281">
        <v>824.76130198914996</v>
      </c>
      <c r="E281">
        <v>258.88245931284001</v>
      </c>
      <c r="F281">
        <v>136.89311594202999</v>
      </c>
      <c r="G281">
        <v>115.10778985507</v>
      </c>
      <c r="I281" s="9">
        <f t="shared" si="32"/>
        <v>143.77466945777002</v>
      </c>
      <c r="J281" s="9">
        <f t="shared" si="33"/>
        <v>687.86818604711993</v>
      </c>
      <c r="K281" s="9">
        <f t="shared" si="31"/>
        <v>143.77466945777002</v>
      </c>
      <c r="L281" s="10">
        <f t="shared" si="30"/>
        <v>0.20901485542452641</v>
      </c>
      <c r="M281" s="10">
        <f t="shared" si="34"/>
        <v>0.24089417052658108</v>
      </c>
      <c r="P281" s="8">
        <f t="shared" si="35"/>
        <v>5.5912615801231702</v>
      </c>
    </row>
    <row r="282" spans="1:16" x14ac:dyDescent="0.2">
      <c r="A282" s="8">
        <v>140</v>
      </c>
      <c r="B282" s="8">
        <v>280</v>
      </c>
      <c r="D282">
        <v>816.93460490462996</v>
      </c>
      <c r="E282">
        <v>255.22888283379001</v>
      </c>
      <c r="F282">
        <v>136.02807971015</v>
      </c>
      <c r="G282">
        <v>115.43931159420001</v>
      </c>
      <c r="I282" s="9">
        <f t="shared" si="32"/>
        <v>139.78957123959</v>
      </c>
      <c r="J282" s="9">
        <f t="shared" si="33"/>
        <v>680.90652519447997</v>
      </c>
      <c r="K282" s="9">
        <f t="shared" si="31"/>
        <v>139.78957123959</v>
      </c>
      <c r="L282" s="10">
        <f t="shared" si="30"/>
        <v>0.2052992093146169</v>
      </c>
      <c r="M282" s="10">
        <f t="shared" si="34"/>
        <v>0.23729278719481511</v>
      </c>
      <c r="P282" s="8">
        <f t="shared" si="35"/>
        <v>4.0126654330950533</v>
      </c>
    </row>
    <row r="283" spans="1:16" x14ac:dyDescent="0.2">
      <c r="A283" s="8">
        <v>140.5</v>
      </c>
      <c r="B283" s="8">
        <v>281</v>
      </c>
      <c r="D283">
        <v>830.04632152588999</v>
      </c>
      <c r="E283">
        <v>259.82107175294999</v>
      </c>
      <c r="F283">
        <v>136.16213768116</v>
      </c>
      <c r="G283">
        <v>115.32518115942</v>
      </c>
      <c r="I283" s="9">
        <f t="shared" si="32"/>
        <v>144.49589059352999</v>
      </c>
      <c r="J283" s="9">
        <f t="shared" si="33"/>
        <v>693.88418384472993</v>
      </c>
      <c r="K283" s="9">
        <f t="shared" si="31"/>
        <v>144.49589059352999</v>
      </c>
      <c r="L283" s="10">
        <f t="shared" si="30"/>
        <v>0.2082420870193285</v>
      </c>
      <c r="M283" s="10">
        <f t="shared" si="34"/>
        <v>0.2403499276776703</v>
      </c>
      <c r="P283" s="8">
        <f t="shared" si="35"/>
        <v>5.3527033414707823</v>
      </c>
    </row>
    <row r="284" spans="1:16" x14ac:dyDescent="0.2">
      <c r="A284" s="8">
        <v>141</v>
      </c>
      <c r="B284" s="8">
        <v>282</v>
      </c>
      <c r="D284">
        <v>810.56130790191003</v>
      </c>
      <c r="E284">
        <v>256.52951861944001</v>
      </c>
      <c r="F284">
        <v>136.35507246377</v>
      </c>
      <c r="G284">
        <v>114.84782608696</v>
      </c>
      <c r="I284" s="9">
        <f t="shared" si="32"/>
        <v>141.68169253248001</v>
      </c>
      <c r="J284" s="9">
        <f t="shared" si="33"/>
        <v>674.20623543814008</v>
      </c>
      <c r="K284" s="9">
        <f t="shared" si="31"/>
        <v>141.68169253248001</v>
      </c>
      <c r="L284" s="10">
        <f t="shared" si="30"/>
        <v>0.21014592432596929</v>
      </c>
      <c r="M284" s="10">
        <f t="shared" si="34"/>
        <v>0.24236802776245464</v>
      </c>
      <c r="P284" s="8">
        <f t="shared" si="35"/>
        <v>6.2372981553740043</v>
      </c>
    </row>
    <row r="285" spans="1:16" x14ac:dyDescent="0.2">
      <c r="A285" s="8">
        <v>141.5</v>
      </c>
      <c r="B285" s="8">
        <v>283</v>
      </c>
      <c r="D285">
        <v>816.50227066303</v>
      </c>
      <c r="E285">
        <v>255.50862851952999</v>
      </c>
      <c r="F285">
        <v>137.13496376812</v>
      </c>
      <c r="G285">
        <v>115.02355072464</v>
      </c>
      <c r="I285" s="9">
        <f t="shared" si="32"/>
        <v>140.48507779489</v>
      </c>
      <c r="J285" s="9">
        <f t="shared" si="33"/>
        <v>679.36730689491003</v>
      </c>
      <c r="K285" s="9">
        <f t="shared" si="31"/>
        <v>140.48507779489</v>
      </c>
      <c r="L285" s="10">
        <f t="shared" si="30"/>
        <v>0.20678810471022763</v>
      </c>
      <c r="M285" s="10">
        <f t="shared" si="34"/>
        <v>0.23912447092485656</v>
      </c>
      <c r="P285" s="8">
        <f t="shared" si="35"/>
        <v>4.8155482735061721</v>
      </c>
    </row>
    <row r="286" spans="1:16" x14ac:dyDescent="0.2">
      <c r="A286" s="8">
        <v>142</v>
      </c>
      <c r="B286" s="8">
        <v>284</v>
      </c>
      <c r="D286">
        <v>823.42234332425005</v>
      </c>
      <c r="E286">
        <v>256.50772025431002</v>
      </c>
      <c r="F286">
        <v>136.23550724638</v>
      </c>
      <c r="G286">
        <v>115.0652173913</v>
      </c>
      <c r="I286" s="9">
        <f t="shared" si="32"/>
        <v>141.44250286301002</v>
      </c>
      <c r="J286" s="9">
        <f t="shared" si="33"/>
        <v>687.18683607787011</v>
      </c>
      <c r="K286" s="9">
        <f t="shared" si="31"/>
        <v>141.44250286301002</v>
      </c>
      <c r="L286" s="10">
        <f t="shared" si="30"/>
        <v>0.20582830670956298</v>
      </c>
      <c r="M286" s="10">
        <f t="shared" si="34"/>
        <v>0.23827893570233546</v>
      </c>
      <c r="P286" s="8">
        <f t="shared" si="35"/>
        <v>4.444924398875794</v>
      </c>
    </row>
    <row r="287" spans="1:16" x14ac:dyDescent="0.2">
      <c r="A287" s="8">
        <v>142.5</v>
      </c>
      <c r="B287" s="8">
        <v>285</v>
      </c>
      <c r="D287">
        <v>811.06357856494003</v>
      </c>
      <c r="E287">
        <v>251.36603088102001</v>
      </c>
      <c r="F287">
        <v>136.32336956521999</v>
      </c>
      <c r="G287">
        <v>115.21467391304</v>
      </c>
      <c r="I287" s="9">
        <f t="shared" si="32"/>
        <v>136.15135696798001</v>
      </c>
      <c r="J287" s="9">
        <f t="shared" si="33"/>
        <v>674.74020899972004</v>
      </c>
      <c r="K287" s="9">
        <f t="shared" si="31"/>
        <v>136.15135696798001</v>
      </c>
      <c r="L287" s="10">
        <f t="shared" si="30"/>
        <v>0.20178337551547412</v>
      </c>
      <c r="M287" s="10">
        <f t="shared" si="34"/>
        <v>0.23434826728639019</v>
      </c>
      <c r="P287" s="8">
        <f t="shared" si="35"/>
        <v>2.7219925571232819</v>
      </c>
    </row>
    <row r="288" spans="1:16" x14ac:dyDescent="0.2">
      <c r="A288" s="8">
        <v>143</v>
      </c>
      <c r="B288" s="8">
        <v>286</v>
      </c>
      <c r="D288">
        <v>817.17892824704995</v>
      </c>
      <c r="E288">
        <v>252.61762034514001</v>
      </c>
      <c r="F288">
        <v>136.23913043478001</v>
      </c>
      <c r="G288">
        <v>115.25634057971</v>
      </c>
      <c r="I288" s="9">
        <f t="shared" si="32"/>
        <v>137.36127976543003</v>
      </c>
      <c r="J288" s="9">
        <f t="shared" si="33"/>
        <v>680.93979781226994</v>
      </c>
      <c r="K288" s="9">
        <f t="shared" si="31"/>
        <v>137.36127976543003</v>
      </c>
      <c r="L288" s="10">
        <f t="shared" si="30"/>
        <v>0.20172308948125178</v>
      </c>
      <c r="M288" s="10">
        <f t="shared" si="34"/>
        <v>0.2344022440303114</v>
      </c>
      <c r="P288" s="8">
        <f t="shared" si="35"/>
        <v>2.7456522101326075</v>
      </c>
    </row>
    <row r="289" spans="1:16" x14ac:dyDescent="0.2">
      <c r="A289" s="8">
        <v>143.5</v>
      </c>
      <c r="B289" s="8">
        <v>287</v>
      </c>
      <c r="D289">
        <v>820.10535876476001</v>
      </c>
      <c r="E289">
        <v>252.13533151679999</v>
      </c>
      <c r="F289">
        <v>136.07608695651999</v>
      </c>
      <c r="G289">
        <v>115.17300724638</v>
      </c>
      <c r="I289" s="9">
        <f t="shared" si="32"/>
        <v>136.96232427042</v>
      </c>
      <c r="J289" s="9">
        <f t="shared" si="33"/>
        <v>684.02927180824008</v>
      </c>
      <c r="K289" s="9">
        <f t="shared" si="31"/>
        <v>136.96232427042</v>
      </c>
      <c r="L289" s="10">
        <f t="shared" si="30"/>
        <v>0.20022874738731333</v>
      </c>
      <c r="M289" s="10">
        <f t="shared" si="34"/>
        <v>0.23302216471451653</v>
      </c>
      <c r="P289" s="8">
        <f t="shared" si="35"/>
        <v>2.1407213572320649</v>
      </c>
    </row>
    <row r="290" spans="1:16" x14ac:dyDescent="0.2">
      <c r="A290" s="8">
        <v>144</v>
      </c>
      <c r="B290" s="8">
        <v>288</v>
      </c>
      <c r="D290">
        <v>808.62851952769995</v>
      </c>
      <c r="E290">
        <v>248.01544050863001</v>
      </c>
      <c r="F290">
        <v>136.39583333332999</v>
      </c>
      <c r="G290">
        <v>114.81974637681</v>
      </c>
      <c r="I290" s="9">
        <f t="shared" si="32"/>
        <v>133.19569413182001</v>
      </c>
      <c r="J290" s="9">
        <f t="shared" si="33"/>
        <v>672.23268619436999</v>
      </c>
      <c r="K290" s="9">
        <f t="shared" si="31"/>
        <v>133.19569413182001</v>
      </c>
      <c r="L290" s="10">
        <f t="shared" si="30"/>
        <v>0.19813927062348718</v>
      </c>
      <c r="M290" s="10">
        <f t="shared" si="34"/>
        <v>0.23104695072883394</v>
      </c>
      <c r="P290" s="8">
        <f t="shared" si="35"/>
        <v>1.2749248284783123</v>
      </c>
    </row>
    <row r="291" spans="1:16" x14ac:dyDescent="0.2">
      <c r="A291" s="8">
        <v>144.5</v>
      </c>
      <c r="B291" s="8">
        <v>289</v>
      </c>
      <c r="D291">
        <v>844.49954669084002</v>
      </c>
      <c r="E291">
        <v>256.02175883952998</v>
      </c>
      <c r="F291">
        <v>135.94474637681</v>
      </c>
      <c r="G291">
        <v>115.07518115942</v>
      </c>
      <c r="I291" s="9">
        <f t="shared" si="32"/>
        <v>140.94657768010998</v>
      </c>
      <c r="J291" s="9">
        <f t="shared" si="33"/>
        <v>708.55480031402999</v>
      </c>
      <c r="K291" s="9">
        <f t="shared" si="31"/>
        <v>140.94657768010998</v>
      </c>
      <c r="L291" s="10">
        <f t="shared" si="30"/>
        <v>0.19892120922424456</v>
      </c>
      <c r="M291" s="10">
        <f t="shared" si="34"/>
        <v>0.23194315210773486</v>
      </c>
      <c r="P291" s="8">
        <f t="shared" si="35"/>
        <v>1.6677572246344186</v>
      </c>
    </row>
    <row r="292" spans="1:16" x14ac:dyDescent="0.2">
      <c r="A292" s="8">
        <v>145</v>
      </c>
      <c r="B292" s="8">
        <v>290</v>
      </c>
      <c r="D292">
        <v>850.31822302810997</v>
      </c>
      <c r="E292">
        <v>254.95920217587999</v>
      </c>
      <c r="F292">
        <v>136.14764492754</v>
      </c>
      <c r="G292">
        <v>115.27626811594</v>
      </c>
      <c r="I292" s="9">
        <f>E292-G292</f>
        <v>139.68293405994001</v>
      </c>
      <c r="J292" s="9">
        <f>D292-F292</f>
        <v>714.17057810056997</v>
      </c>
      <c r="K292" s="9">
        <f t="shared" si="31"/>
        <v>139.68293405994001</v>
      </c>
      <c r="L292" s="10">
        <f t="shared" si="30"/>
        <v>0.19558763458366632</v>
      </c>
      <c r="M292" s="10">
        <f>L292+ABS($N$2)*A292</f>
        <v>0.22872384024530021</v>
      </c>
      <c r="O292" s="11"/>
      <c r="P292" s="8">
        <f>(M292-$O$2)/$O$2*100</f>
        <v>0.25663465478866182</v>
      </c>
    </row>
    <row r="293" spans="1:16" x14ac:dyDescent="0.2">
      <c r="A293" s="8">
        <v>145.5</v>
      </c>
      <c r="B293" s="8">
        <v>291</v>
      </c>
      <c r="D293">
        <v>844.22212148685003</v>
      </c>
      <c r="E293">
        <v>254.37896645512001</v>
      </c>
      <c r="F293">
        <v>136.39673913044001</v>
      </c>
      <c r="G293">
        <v>115.28170289854999</v>
      </c>
      <c r="I293" s="9">
        <f t="shared" ref="I293:I301" si="36">E293-G293</f>
        <v>139.09726355657</v>
      </c>
      <c r="J293" s="9">
        <f t="shared" ref="J293:J301" si="37">D293-F293</f>
        <v>707.82538235641005</v>
      </c>
      <c r="K293" s="9">
        <f t="shared" si="31"/>
        <v>139.09726355657</v>
      </c>
      <c r="L293" s="10">
        <f t="shared" si="30"/>
        <v>0.1965135286523684</v>
      </c>
      <c r="M293" s="10">
        <f t="shared" ref="M293:M301" si="38">L293+ABS($N$2)*A293</f>
        <v>0.22976399709214584</v>
      </c>
      <c r="P293" s="8">
        <f t="shared" ref="P293:P301" si="39">(M293-$O$2)/$O$2*100</f>
        <v>0.71256712280790957</v>
      </c>
    </row>
    <row r="294" spans="1:16" x14ac:dyDescent="0.2">
      <c r="A294" s="8">
        <v>146</v>
      </c>
      <c r="B294" s="8">
        <v>292</v>
      </c>
      <c r="D294">
        <v>854.04714415231001</v>
      </c>
      <c r="E294">
        <v>256.16500453308998</v>
      </c>
      <c r="F294">
        <v>136.41304347825999</v>
      </c>
      <c r="G294">
        <v>114.72373188406</v>
      </c>
      <c r="I294" s="9">
        <f t="shared" si="36"/>
        <v>141.44127264903</v>
      </c>
      <c r="J294" s="9">
        <f t="shared" si="37"/>
        <v>717.63410067405005</v>
      </c>
      <c r="K294" s="9">
        <f t="shared" si="31"/>
        <v>141.44127264903</v>
      </c>
      <c r="L294" s="10">
        <f t="shared" si="30"/>
        <v>0.19709385676653168</v>
      </c>
      <c r="M294" s="10">
        <f t="shared" si="38"/>
        <v>0.23045858798445268</v>
      </c>
      <c r="N294" s="1"/>
      <c r="P294" s="8">
        <f t="shared" si="39"/>
        <v>1.0170274941004944</v>
      </c>
    </row>
    <row r="295" spans="1:16" x14ac:dyDescent="0.2">
      <c r="A295" s="8">
        <v>146.5</v>
      </c>
      <c r="B295" s="8">
        <v>293</v>
      </c>
      <c r="D295">
        <v>825.89019963702003</v>
      </c>
      <c r="E295">
        <v>250.63430127042</v>
      </c>
      <c r="F295">
        <v>136.21376811594001</v>
      </c>
      <c r="G295">
        <v>115.27717391304</v>
      </c>
      <c r="I295" s="9">
        <f t="shared" si="36"/>
        <v>135.35712735737999</v>
      </c>
      <c r="J295" s="9">
        <f t="shared" si="37"/>
        <v>689.67643152108008</v>
      </c>
      <c r="K295" s="9">
        <f t="shared" si="31"/>
        <v>135.35712735737999</v>
      </c>
      <c r="L295" s="10">
        <f t="shared" si="30"/>
        <v>0.19626178476021008</v>
      </c>
      <c r="M295" s="10">
        <f t="shared" si="38"/>
        <v>0.22974077875627466</v>
      </c>
      <c r="P295" s="8">
        <f t="shared" si="39"/>
        <v>0.7023898180974214</v>
      </c>
    </row>
    <row r="296" spans="1:16" x14ac:dyDescent="0.2">
      <c r="A296" s="8">
        <v>147</v>
      </c>
      <c r="B296" s="8">
        <v>294</v>
      </c>
      <c r="D296">
        <v>810.79310344828002</v>
      </c>
      <c r="E296">
        <v>247.00907441016</v>
      </c>
      <c r="F296">
        <v>135.72463768116</v>
      </c>
      <c r="G296">
        <v>114.79981884058</v>
      </c>
      <c r="I296" s="9">
        <f t="shared" si="36"/>
        <v>132.20925556957999</v>
      </c>
      <c r="J296" s="9">
        <f t="shared" si="37"/>
        <v>675.06846576711996</v>
      </c>
      <c r="K296" s="9">
        <f t="shared" si="31"/>
        <v>132.20925556957999</v>
      </c>
      <c r="L296" s="10">
        <f t="shared" si="30"/>
        <v>0.19584569902749471</v>
      </c>
      <c r="M296" s="10">
        <f t="shared" si="38"/>
        <v>0.22943895580170287</v>
      </c>
      <c r="P296" s="8">
        <f t="shared" si="39"/>
        <v>0.57009161230269523</v>
      </c>
    </row>
    <row r="297" spans="1:16" x14ac:dyDescent="0.2">
      <c r="A297" s="8">
        <v>147.5</v>
      </c>
      <c r="B297" s="8">
        <v>295</v>
      </c>
      <c r="D297">
        <v>812.13067150635004</v>
      </c>
      <c r="E297">
        <v>247.70598911070999</v>
      </c>
      <c r="F297">
        <v>136.02717391304</v>
      </c>
      <c r="G297">
        <v>115.52355072464</v>
      </c>
      <c r="I297" s="9">
        <f t="shared" si="36"/>
        <v>132.18243838606998</v>
      </c>
      <c r="J297" s="9">
        <f t="shared" si="37"/>
        <v>676.10349759331007</v>
      </c>
      <c r="K297" s="9">
        <f t="shared" si="31"/>
        <v>132.18243838606998</v>
      </c>
      <c r="L297" s="10">
        <f t="shared" si="30"/>
        <v>0.19550621888008687</v>
      </c>
      <c r="M297" s="10">
        <f t="shared" si="38"/>
        <v>0.22921373843243859</v>
      </c>
      <c r="P297" s="8">
        <f t="shared" si="39"/>
        <v>0.47137197081702342</v>
      </c>
    </row>
    <row r="298" spans="1:16" x14ac:dyDescent="0.2">
      <c r="A298" s="8">
        <v>148</v>
      </c>
      <c r="B298" s="8">
        <v>296</v>
      </c>
      <c r="D298">
        <v>817.01450589301999</v>
      </c>
      <c r="E298">
        <v>247.07252946509999</v>
      </c>
      <c r="F298">
        <v>136.02717391304</v>
      </c>
      <c r="G298">
        <v>114.64764492754</v>
      </c>
      <c r="I298" s="9">
        <f t="shared" si="36"/>
        <v>132.42488453755999</v>
      </c>
      <c r="J298" s="9">
        <f t="shared" si="37"/>
        <v>680.98733197998001</v>
      </c>
      <c r="K298" s="9">
        <f t="shared" si="31"/>
        <v>132.42488453755999</v>
      </c>
      <c r="L298" s="10">
        <f t="shared" si="30"/>
        <v>0.19446012916647484</v>
      </c>
      <c r="M298" s="10">
        <f t="shared" si="38"/>
        <v>0.22828191149697011</v>
      </c>
      <c r="P298" s="8">
        <f t="shared" si="39"/>
        <v>6.2923806731626716E-2</v>
      </c>
    </row>
    <row r="299" spans="1:16" x14ac:dyDescent="0.2">
      <c r="A299" s="8">
        <v>148.5</v>
      </c>
      <c r="B299" s="8">
        <v>297</v>
      </c>
      <c r="D299">
        <v>818.67815049863998</v>
      </c>
      <c r="E299">
        <v>245.81323662738001</v>
      </c>
      <c r="F299">
        <v>136.16847826086999</v>
      </c>
      <c r="G299">
        <v>115.40670289854999</v>
      </c>
      <c r="I299" s="9">
        <f t="shared" si="36"/>
        <v>130.40653372883003</v>
      </c>
      <c r="J299" s="9">
        <f t="shared" si="37"/>
        <v>682.50967223777002</v>
      </c>
      <c r="K299" s="9">
        <f t="shared" si="31"/>
        <v>130.40653372883003</v>
      </c>
      <c r="L299" s="10">
        <f t="shared" si="30"/>
        <v>0.19106913650214105</v>
      </c>
      <c r="M299" s="10">
        <f t="shared" si="38"/>
        <v>0.2250051816107799</v>
      </c>
      <c r="P299" s="8">
        <f t="shared" si="39"/>
        <v>-1.3733668340248277</v>
      </c>
    </row>
    <row r="300" spans="1:16" x14ac:dyDescent="0.2">
      <c r="A300" s="8">
        <v>149</v>
      </c>
      <c r="B300" s="8">
        <v>298</v>
      </c>
      <c r="D300">
        <v>823.95285584768999</v>
      </c>
      <c r="E300">
        <v>247.43880326383001</v>
      </c>
      <c r="F300">
        <v>135.98188405797001</v>
      </c>
      <c r="G300">
        <v>114.81612318841</v>
      </c>
      <c r="I300" s="9">
        <f t="shared" si="36"/>
        <v>132.62268007542002</v>
      </c>
      <c r="J300" s="9">
        <f t="shared" si="37"/>
        <v>687.97097178972001</v>
      </c>
      <c r="K300" s="9">
        <f t="shared" si="31"/>
        <v>132.62268007542002</v>
      </c>
      <c r="L300" s="10">
        <f t="shared" si="30"/>
        <v>0.19277365690358875</v>
      </c>
      <c r="M300" s="10">
        <f t="shared" si="38"/>
        <v>0.22682396479037115</v>
      </c>
      <c r="P300" s="8">
        <f t="shared" si="39"/>
        <v>-0.57613869830887232</v>
      </c>
    </row>
    <row r="301" spans="1:16" x14ac:dyDescent="0.2">
      <c r="A301" s="8">
        <v>149.5</v>
      </c>
      <c r="B301" s="8">
        <v>299</v>
      </c>
      <c r="D301">
        <v>804.31459655485003</v>
      </c>
      <c r="E301">
        <v>242.49048050771</v>
      </c>
      <c r="F301">
        <v>136.02173913044001</v>
      </c>
      <c r="G301">
        <v>115.13405797100999</v>
      </c>
      <c r="I301" s="9">
        <f t="shared" si="36"/>
        <v>127.35642253670001</v>
      </c>
      <c r="J301" s="9">
        <f t="shared" si="37"/>
        <v>668.29285742441004</v>
      </c>
      <c r="K301" s="9">
        <f t="shared" si="31"/>
        <v>127.35642253670001</v>
      </c>
      <c r="L301" s="10">
        <f t="shared" si="30"/>
        <v>0.19056977958365381</v>
      </c>
      <c r="M301" s="10">
        <f t="shared" si="38"/>
        <v>0.2247343502485798</v>
      </c>
      <c r="P301" s="8">
        <f t="shared" si="39"/>
        <v>-1.4920804797210261</v>
      </c>
    </row>
    <row r="302" spans="1:16" x14ac:dyDescent="0.2">
      <c r="A302" s="8">
        <v>150</v>
      </c>
      <c r="B302" s="8">
        <v>300</v>
      </c>
      <c r="D302">
        <v>821.56820234868997</v>
      </c>
      <c r="E302">
        <v>246.39205058716999</v>
      </c>
      <c r="F302">
        <v>135.27626811594001</v>
      </c>
      <c r="G302">
        <v>114.96829710145001</v>
      </c>
      <c r="I302" s="9">
        <f>E302-G302</f>
        <v>131.42375348572</v>
      </c>
      <c r="J302" s="9">
        <f>D302-F302</f>
        <v>686.29193423275001</v>
      </c>
      <c r="K302" s="9">
        <f t="shared" si="31"/>
        <v>131.42375348572</v>
      </c>
      <c r="L302" s="10">
        <f t="shared" si="30"/>
        <v>0.19149832153083232</v>
      </c>
      <c r="M302" s="10">
        <f>L302+ABS($N$2)*A302</f>
        <v>0.22577715497390186</v>
      </c>
      <c r="O302" s="11"/>
      <c r="P302" s="8">
        <f>(M302-$O$2)/$O$2*100</f>
        <v>-1.034987365812235</v>
      </c>
    </row>
    <row r="303" spans="1:16" x14ac:dyDescent="0.2">
      <c r="A303" s="8">
        <v>150.5</v>
      </c>
      <c r="B303" s="8">
        <v>301</v>
      </c>
      <c r="D303">
        <v>825.90695573621997</v>
      </c>
      <c r="E303">
        <v>250.88617886179</v>
      </c>
      <c r="F303">
        <v>135.92934782609001</v>
      </c>
      <c r="G303">
        <v>114.79891304348</v>
      </c>
      <c r="I303" s="9">
        <f t="shared" ref="I303:I309" si="40">E303-G303</f>
        <v>136.08726581831002</v>
      </c>
      <c r="J303" s="9">
        <f t="shared" ref="J303:J309" si="41">D303-F303</f>
        <v>689.97760791013002</v>
      </c>
      <c r="K303" s="9">
        <f t="shared" si="31"/>
        <v>136.08726581831002</v>
      </c>
      <c r="L303" s="10">
        <f t="shared" si="30"/>
        <v>0.19723432218402581</v>
      </c>
      <c r="M303" s="10">
        <f t="shared" ref="M303:M309" si="42">L303+ABS($N$2)*A303</f>
        <v>0.23162741840523893</v>
      </c>
      <c r="P303" s="8">
        <f t="shared" ref="P303:P309" si="43">(M303-$O$2)/$O$2*100</f>
        <v>1.5293615137833318</v>
      </c>
    </row>
    <row r="304" spans="1:16" x14ac:dyDescent="0.2">
      <c r="A304" s="8">
        <v>151</v>
      </c>
      <c r="B304" s="8">
        <v>302</v>
      </c>
      <c r="D304">
        <v>808.58386219401996</v>
      </c>
      <c r="E304">
        <v>245.15321849501001</v>
      </c>
      <c r="F304">
        <v>135.85326086956999</v>
      </c>
      <c r="G304">
        <v>115.01358695652</v>
      </c>
      <c r="I304" s="9">
        <f t="shared" si="40"/>
        <v>130.13963153848999</v>
      </c>
      <c r="J304" s="9">
        <f t="shared" si="41"/>
        <v>672.73060132444994</v>
      </c>
      <c r="K304" s="9">
        <f t="shared" si="31"/>
        <v>130.13963153848999</v>
      </c>
      <c r="L304" s="10">
        <f t="shared" si="30"/>
        <v>0.19344984646495247</v>
      </c>
      <c r="M304" s="10">
        <f t="shared" si="42"/>
        <v>0.22795720546430914</v>
      </c>
      <c r="N304" s="1"/>
      <c r="P304" s="8">
        <f t="shared" si="43"/>
        <v>-7.940475006325326E-2</v>
      </c>
    </row>
    <row r="305" spans="1:16" x14ac:dyDescent="0.2">
      <c r="A305" s="8">
        <v>151.5</v>
      </c>
      <c r="B305" s="8">
        <v>303</v>
      </c>
      <c r="D305">
        <v>810.69644484958997</v>
      </c>
      <c r="E305">
        <v>247.41841385596999</v>
      </c>
      <c r="F305">
        <v>136.07065217390999</v>
      </c>
      <c r="G305">
        <v>114.98641304348</v>
      </c>
      <c r="I305" s="9">
        <f t="shared" si="40"/>
        <v>132.43200081249</v>
      </c>
      <c r="J305" s="9">
        <f t="shared" si="41"/>
        <v>674.62579267568003</v>
      </c>
      <c r="K305" s="9">
        <f t="shared" si="31"/>
        <v>132.43200081249</v>
      </c>
      <c r="L305" s="10">
        <f t="shared" si="30"/>
        <v>0.19630438422350008</v>
      </c>
      <c r="M305" s="10">
        <f t="shared" si="42"/>
        <v>0.2309260060010003</v>
      </c>
      <c r="P305" s="8">
        <f t="shared" si="43"/>
        <v>1.2219110657728782</v>
      </c>
    </row>
    <row r="306" spans="1:16" x14ac:dyDescent="0.2">
      <c r="A306" s="8">
        <v>152</v>
      </c>
      <c r="B306" s="8">
        <v>304</v>
      </c>
      <c r="D306">
        <v>808.72554347825997</v>
      </c>
      <c r="E306">
        <v>245.99456521739</v>
      </c>
      <c r="F306">
        <v>136.40307971015</v>
      </c>
      <c r="G306">
        <v>114.95923913044</v>
      </c>
      <c r="I306" s="9">
        <f t="shared" si="40"/>
        <v>131.03532608695002</v>
      </c>
      <c r="J306" s="9">
        <f t="shared" si="41"/>
        <v>672.32246376810997</v>
      </c>
      <c r="K306" s="9">
        <f t="shared" si="31"/>
        <v>131.03532608695002</v>
      </c>
      <c r="L306" s="10">
        <f t="shared" si="30"/>
        <v>0.19489952091225271</v>
      </c>
      <c r="M306" s="10">
        <f t="shared" si="42"/>
        <v>0.22963540546789651</v>
      </c>
      <c r="P306" s="8">
        <f t="shared" si="43"/>
        <v>0.65620149219325885</v>
      </c>
    </row>
    <row r="307" spans="1:16" x14ac:dyDescent="0.2">
      <c r="A307" s="8">
        <v>152.5</v>
      </c>
      <c r="B307" s="8">
        <v>305</v>
      </c>
      <c r="D307">
        <v>801.39945652174003</v>
      </c>
      <c r="E307">
        <v>245.0652173913</v>
      </c>
      <c r="F307">
        <v>136.41123188405999</v>
      </c>
      <c r="G307">
        <v>115.09873188406</v>
      </c>
      <c r="I307" s="9">
        <f t="shared" si="40"/>
        <v>129.96648550724001</v>
      </c>
      <c r="J307" s="9">
        <f t="shared" si="41"/>
        <v>664.9882246376801</v>
      </c>
      <c r="K307" s="9">
        <f t="shared" si="31"/>
        <v>129.96648550724001</v>
      </c>
      <c r="L307" s="10">
        <f t="shared" si="30"/>
        <v>0.19544178481965219</v>
      </c>
      <c r="M307" s="10">
        <f t="shared" si="42"/>
        <v>0.23029193215343954</v>
      </c>
      <c r="P307" s="8">
        <f t="shared" si="43"/>
        <v>0.94397716080312222</v>
      </c>
    </row>
    <row r="308" spans="1:16" x14ac:dyDescent="0.2">
      <c r="A308" s="8">
        <v>153</v>
      </c>
      <c r="B308" s="8">
        <v>306</v>
      </c>
      <c r="D308">
        <v>755.94746376811997</v>
      </c>
      <c r="E308">
        <v>237.30344202898999</v>
      </c>
      <c r="F308">
        <v>135.89764492754</v>
      </c>
      <c r="G308">
        <v>115.07518115942</v>
      </c>
      <c r="I308" s="9">
        <f t="shared" si="40"/>
        <v>122.22826086956999</v>
      </c>
      <c r="J308" s="9">
        <f t="shared" si="41"/>
        <v>620.04981884057997</v>
      </c>
      <c r="K308" s="9">
        <f t="shared" si="31"/>
        <v>122.22826086956999</v>
      </c>
      <c r="L308" s="10">
        <f t="shared" si="30"/>
        <v>0.19712651654043287</v>
      </c>
      <c r="M308" s="10">
        <f t="shared" si="42"/>
        <v>0.2320909266523638</v>
      </c>
      <c r="P308" s="8">
        <f t="shared" si="43"/>
        <v>1.7325313142800478</v>
      </c>
    </row>
    <row r="309" spans="1:16" x14ac:dyDescent="0.2">
      <c r="A309" s="8">
        <v>153.5</v>
      </c>
      <c r="B309" s="8">
        <v>307</v>
      </c>
      <c r="D309">
        <v>790.08356039963996</v>
      </c>
      <c r="E309">
        <v>243.37420526794</v>
      </c>
      <c r="F309">
        <v>135.88858695651999</v>
      </c>
      <c r="G309">
        <v>115.0615942029</v>
      </c>
      <c r="I309" s="9">
        <f t="shared" si="40"/>
        <v>128.31261106504002</v>
      </c>
      <c r="J309" s="9">
        <f t="shared" si="41"/>
        <v>654.19497344312003</v>
      </c>
      <c r="K309" s="9">
        <f t="shared" si="31"/>
        <v>128.31261106504002</v>
      </c>
      <c r="L309" s="10">
        <f t="shared" si="30"/>
        <v>0.19613817940194911</v>
      </c>
      <c r="M309" s="10">
        <f t="shared" si="42"/>
        <v>0.2312168522920236</v>
      </c>
      <c r="P309" s="8">
        <f t="shared" si="43"/>
        <v>1.3493978651749468</v>
      </c>
    </row>
    <row r="310" spans="1:16" x14ac:dyDescent="0.2">
      <c r="A310" s="8">
        <v>154</v>
      </c>
      <c r="B310" s="8">
        <v>308</v>
      </c>
      <c r="D310">
        <v>793.10081743869</v>
      </c>
      <c r="E310">
        <v>243.20435967303001</v>
      </c>
      <c r="F310">
        <v>135.28170289855001</v>
      </c>
      <c r="G310">
        <v>114.8722826087</v>
      </c>
      <c r="I310" s="9">
        <f>E310-G310</f>
        <v>128.33207706433001</v>
      </c>
      <c r="J310" s="9">
        <f>D310-F310</f>
        <v>657.81911454013994</v>
      </c>
      <c r="K310" s="9">
        <f t="shared" si="31"/>
        <v>128.33207706433001</v>
      </c>
      <c r="L310" s="10">
        <f t="shared" si="30"/>
        <v>0.19508718160925259</v>
      </c>
      <c r="M310" s="10">
        <f>L310+ABS($N$2)*A310</f>
        <v>0.23028011727747064</v>
      </c>
      <c r="O310" s="11"/>
      <c r="P310" s="8">
        <f>(M310-$O$2)/$O$2*100</f>
        <v>0.93879834034332232</v>
      </c>
    </row>
    <row r="311" spans="1:16" x14ac:dyDescent="0.2">
      <c r="A311" s="8">
        <v>154.5</v>
      </c>
      <c r="B311" s="8">
        <v>309</v>
      </c>
      <c r="D311">
        <v>790.96548592189004</v>
      </c>
      <c r="E311">
        <v>241.69663941870999</v>
      </c>
      <c r="F311">
        <v>136.15942028986001</v>
      </c>
      <c r="G311">
        <v>114.53351449275</v>
      </c>
      <c r="I311" s="9">
        <f t="shared" ref="I311:I314" si="44">E311-G311</f>
        <v>127.16312492595999</v>
      </c>
      <c r="J311" s="9">
        <f t="shared" ref="J311:J314" si="45">D311-F311</f>
        <v>654.80606563203003</v>
      </c>
      <c r="K311" s="9">
        <f t="shared" si="31"/>
        <v>127.16312492595999</v>
      </c>
      <c r="L311" s="10">
        <f t="shared" si="30"/>
        <v>0.19419967468264052</v>
      </c>
      <c r="M311" s="10">
        <f t="shared" ref="M311:M314" si="46">L311+ABS($N$2)*A311</f>
        <v>0.22950687312900214</v>
      </c>
      <c r="P311" s="8">
        <f t="shared" ref="P311:P314" si="47">(M311-$O$2)/$O$2*100</f>
        <v>0.59986184815773391</v>
      </c>
    </row>
    <row r="312" spans="1:16" x14ac:dyDescent="0.2">
      <c r="A312" s="8">
        <v>155</v>
      </c>
      <c r="B312" s="8">
        <v>310</v>
      </c>
      <c r="D312">
        <v>801.27898550725001</v>
      </c>
      <c r="E312">
        <v>240.60688405797001</v>
      </c>
      <c r="F312">
        <v>135.5652173913</v>
      </c>
      <c r="G312">
        <v>114.98913043477999</v>
      </c>
      <c r="I312" s="9">
        <f t="shared" si="44"/>
        <v>125.61775362319001</v>
      </c>
      <c r="J312" s="9">
        <f t="shared" si="45"/>
        <v>665.71376811594996</v>
      </c>
      <c r="K312" s="9">
        <f t="shared" si="31"/>
        <v>125.61775362319001</v>
      </c>
      <c r="L312" s="10">
        <f t="shared" si="30"/>
        <v>0.18869634314264427</v>
      </c>
      <c r="M312" s="10">
        <f t="shared" si="46"/>
        <v>0.22411780436714945</v>
      </c>
      <c r="N312" s="1"/>
      <c r="P312" s="8">
        <f t="shared" si="47"/>
        <v>-1.7623313425789766</v>
      </c>
    </row>
    <row r="313" spans="1:16" x14ac:dyDescent="0.2">
      <c r="A313" s="8">
        <v>155.5</v>
      </c>
      <c r="B313" s="8">
        <v>311</v>
      </c>
      <c r="D313">
        <v>795.35688405796998</v>
      </c>
      <c r="E313">
        <v>239.41304347825999</v>
      </c>
      <c r="F313">
        <v>136.18206521739</v>
      </c>
      <c r="G313">
        <v>114.82971014493</v>
      </c>
      <c r="I313" s="9">
        <f t="shared" si="44"/>
        <v>124.58333333332999</v>
      </c>
      <c r="J313" s="9">
        <f t="shared" si="45"/>
        <v>659.17481884057997</v>
      </c>
      <c r="K313" s="9">
        <f t="shared" si="31"/>
        <v>124.58333333332999</v>
      </c>
      <c r="L313" s="10">
        <f t="shared" si="30"/>
        <v>0.18899892679829478</v>
      </c>
      <c r="M313" s="10">
        <f t="shared" si="46"/>
        <v>0.22453465080094354</v>
      </c>
      <c r="P313" s="8">
        <f t="shared" si="47"/>
        <v>-1.5796148379276707</v>
      </c>
    </row>
    <row r="314" spans="1:16" x14ac:dyDescent="0.2">
      <c r="A314" s="8">
        <v>156</v>
      </c>
      <c r="B314" s="8">
        <v>312</v>
      </c>
      <c r="D314">
        <v>829.48694869486997</v>
      </c>
      <c r="E314">
        <v>246.07470747075001</v>
      </c>
      <c r="F314">
        <v>135.93931159420001</v>
      </c>
      <c r="G314">
        <v>115.22463768116</v>
      </c>
      <c r="I314" s="9">
        <f t="shared" si="44"/>
        <v>130.85006978959001</v>
      </c>
      <c r="J314" s="9">
        <f t="shared" si="45"/>
        <v>693.54763710066993</v>
      </c>
      <c r="K314" s="9">
        <f t="shared" ref="K314:K322" si="48">I314*1</f>
        <v>130.85006978959001</v>
      </c>
      <c r="L314" s="10">
        <f t="shared" ref="L314:L322" si="49">K314/J314</f>
        <v>0.18866774651067961</v>
      </c>
      <c r="M314" s="10">
        <f t="shared" si="46"/>
        <v>0.22431773329147192</v>
      </c>
      <c r="O314" s="11"/>
      <c r="P314" s="8">
        <f t="shared" si="47"/>
        <v>-1.6746963977423313</v>
      </c>
    </row>
    <row r="315" spans="1:16" x14ac:dyDescent="0.2">
      <c r="A315" s="8">
        <v>156.5</v>
      </c>
      <c r="B315" s="8">
        <v>313</v>
      </c>
      <c r="D315">
        <v>834.97209720972</v>
      </c>
      <c r="E315">
        <v>248.75427542753999</v>
      </c>
      <c r="F315">
        <v>135.49003623188</v>
      </c>
      <c r="G315">
        <v>115.08876811594</v>
      </c>
      <c r="I315" s="9">
        <f t="shared" ref="I315:I322" si="50">E315-G315</f>
        <v>133.66550731159998</v>
      </c>
      <c r="J315" s="9">
        <f t="shared" ref="J315:J322" si="51">D315-F315</f>
        <v>699.48206097783998</v>
      </c>
      <c r="K315" s="9">
        <f t="shared" si="48"/>
        <v>133.66550731159998</v>
      </c>
      <c r="L315" s="10">
        <f t="shared" si="49"/>
        <v>0.19109211625061903</v>
      </c>
      <c r="M315" s="10">
        <f t="shared" ref="M315:M322" si="52">L315+ABS($N$2)*A315</f>
        <v>0.22685636580955493</v>
      </c>
      <c r="P315" s="8">
        <f t="shared" ref="P315:P322" si="53">(M315-$O$2)/$O$2*100</f>
        <v>-0.5619363434547946</v>
      </c>
    </row>
    <row r="316" spans="1:16" x14ac:dyDescent="0.2">
      <c r="A316" s="8">
        <v>157</v>
      </c>
      <c r="B316" s="8">
        <v>314</v>
      </c>
      <c r="D316">
        <v>830.53769300635997</v>
      </c>
      <c r="E316">
        <v>246.95549500454001</v>
      </c>
      <c r="F316">
        <v>135.94202898551001</v>
      </c>
      <c r="G316">
        <v>115.03804347825999</v>
      </c>
      <c r="I316" s="9">
        <f t="shared" si="50"/>
        <v>131.91745152628002</v>
      </c>
      <c r="J316" s="9">
        <f t="shared" si="51"/>
        <v>694.59566402084999</v>
      </c>
      <c r="K316" s="9">
        <f t="shared" si="48"/>
        <v>131.91745152628002</v>
      </c>
      <c r="L316" s="10">
        <f t="shared" si="49"/>
        <v>0.18991977399144863</v>
      </c>
      <c r="M316" s="10">
        <f t="shared" si="52"/>
        <v>0.22579828632852808</v>
      </c>
      <c r="N316" s="1"/>
      <c r="P316" s="8">
        <f t="shared" si="53"/>
        <v>-1.0257248486288488</v>
      </c>
    </row>
    <row r="317" spans="1:16" x14ac:dyDescent="0.2">
      <c r="A317" s="8">
        <v>157.5</v>
      </c>
      <c r="B317" s="8">
        <v>315</v>
      </c>
      <c r="D317">
        <v>827.35785649410002</v>
      </c>
      <c r="E317">
        <v>247.04995458674</v>
      </c>
      <c r="F317">
        <v>136.05253623188</v>
      </c>
      <c r="G317">
        <v>114.78351449275</v>
      </c>
      <c r="I317" s="9">
        <f t="shared" si="50"/>
        <v>132.26644009399001</v>
      </c>
      <c r="J317" s="9">
        <f t="shared" si="51"/>
        <v>691.30532026221999</v>
      </c>
      <c r="K317" s="9">
        <f t="shared" si="48"/>
        <v>132.26644009399001</v>
      </c>
      <c r="L317" s="10">
        <f t="shared" si="49"/>
        <v>0.19132854357871837</v>
      </c>
      <c r="M317" s="10">
        <f t="shared" si="52"/>
        <v>0.22732131869394137</v>
      </c>
      <c r="P317" s="8">
        <f t="shared" si="53"/>
        <v>-0.35813331438869922</v>
      </c>
    </row>
    <row r="318" spans="1:16" x14ac:dyDescent="0.2">
      <c r="A318" s="8">
        <v>158</v>
      </c>
      <c r="B318" s="8">
        <v>316</v>
      </c>
      <c r="D318">
        <v>800.35559566787003</v>
      </c>
      <c r="E318">
        <v>242.21028880866001</v>
      </c>
      <c r="F318">
        <v>135.65851449274999</v>
      </c>
      <c r="G318">
        <v>114.94927536231999</v>
      </c>
      <c r="I318" s="9">
        <f t="shared" si="50"/>
        <v>127.26101344634002</v>
      </c>
      <c r="J318" s="9">
        <f t="shared" si="51"/>
        <v>664.69708117512005</v>
      </c>
      <c r="K318" s="9">
        <f t="shared" si="48"/>
        <v>127.26101344634002</v>
      </c>
      <c r="L318" s="10">
        <f t="shared" si="49"/>
        <v>0.19145715702761154</v>
      </c>
      <c r="M318" s="10">
        <f t="shared" si="52"/>
        <v>0.22756419492097812</v>
      </c>
      <c r="O318" s="11"/>
      <c r="P318" s="8">
        <f t="shared" si="53"/>
        <v>-0.25167325699265941</v>
      </c>
    </row>
    <row r="319" spans="1:16" x14ac:dyDescent="0.2">
      <c r="A319" s="8">
        <v>158.5</v>
      </c>
      <c r="B319" s="8">
        <v>317</v>
      </c>
      <c r="D319">
        <v>786.73555956679002</v>
      </c>
      <c r="E319">
        <v>241.08754512634999</v>
      </c>
      <c r="F319">
        <v>135.95742753623</v>
      </c>
      <c r="G319">
        <v>114.77989130435</v>
      </c>
      <c r="I319" s="9">
        <f t="shared" si="50"/>
        <v>126.30765382199999</v>
      </c>
      <c r="J319" s="9">
        <f t="shared" si="51"/>
        <v>650.77813203056007</v>
      </c>
      <c r="K319" s="9">
        <f t="shared" si="48"/>
        <v>126.30765382199999</v>
      </c>
      <c r="L319" s="10">
        <f t="shared" si="49"/>
        <v>0.19408712064109226</v>
      </c>
      <c r="M319" s="10">
        <f t="shared" si="52"/>
        <v>0.2303084213126024</v>
      </c>
      <c r="P319" s="8">
        <f t="shared" si="53"/>
        <v>0.95120486214016853</v>
      </c>
    </row>
    <row r="320" spans="1:16" x14ac:dyDescent="0.2">
      <c r="A320" s="8">
        <v>159</v>
      </c>
      <c r="B320" s="8">
        <v>318</v>
      </c>
      <c r="D320">
        <v>807.87274368230999</v>
      </c>
      <c r="E320">
        <v>244.09386281587999</v>
      </c>
      <c r="F320">
        <v>135.94565217390999</v>
      </c>
      <c r="G320">
        <v>114.61050724638</v>
      </c>
      <c r="I320" s="9">
        <f t="shared" si="50"/>
        <v>129.48335556949999</v>
      </c>
      <c r="J320" s="9">
        <f t="shared" si="51"/>
        <v>671.92709150840005</v>
      </c>
      <c r="K320" s="9">
        <f t="shared" si="48"/>
        <v>129.48335556949999</v>
      </c>
      <c r="L320" s="10">
        <f t="shared" si="49"/>
        <v>0.19270447226472823</v>
      </c>
      <c r="M320" s="10">
        <f t="shared" si="52"/>
        <v>0.22904003571438192</v>
      </c>
      <c r="N320" s="1"/>
      <c r="P320" s="8">
        <f t="shared" si="53"/>
        <v>0.39523277201695911</v>
      </c>
    </row>
    <row r="321" spans="1:16" x14ac:dyDescent="0.2">
      <c r="A321" s="8">
        <v>159.5</v>
      </c>
      <c r="B321" s="8">
        <v>319</v>
      </c>
      <c r="D321">
        <v>805.64859981933</v>
      </c>
      <c r="E321">
        <v>243.87985546522</v>
      </c>
      <c r="F321">
        <v>136.09239130435</v>
      </c>
      <c r="G321">
        <v>114.97010869565</v>
      </c>
      <c r="I321" s="9">
        <f t="shared" si="50"/>
        <v>128.90974676957001</v>
      </c>
      <c r="J321" s="9">
        <f t="shared" si="51"/>
        <v>669.55620851497997</v>
      </c>
      <c r="K321" s="9">
        <f t="shared" si="48"/>
        <v>128.90974676957001</v>
      </c>
      <c r="L321" s="10">
        <f t="shared" si="49"/>
        <v>0.19253013433402569</v>
      </c>
      <c r="M321" s="10">
        <f t="shared" si="52"/>
        <v>0.22897996056182296</v>
      </c>
      <c r="P321" s="8">
        <f t="shared" si="53"/>
        <v>0.36890000051629379</v>
      </c>
    </row>
    <row r="322" spans="1:16" x14ac:dyDescent="0.2">
      <c r="A322" s="8">
        <v>160</v>
      </c>
      <c r="B322" s="8">
        <v>320</v>
      </c>
      <c r="D322">
        <v>804.58626919603</v>
      </c>
      <c r="E322">
        <v>243.06775067750999</v>
      </c>
      <c r="F322">
        <v>136.12318840579999</v>
      </c>
      <c r="G322">
        <v>114.68568840579999</v>
      </c>
      <c r="I322" s="9">
        <f t="shared" si="50"/>
        <v>128.38206227171</v>
      </c>
      <c r="J322" s="9">
        <f t="shared" si="51"/>
        <v>668.46308079023004</v>
      </c>
      <c r="K322" s="9">
        <f t="shared" si="48"/>
        <v>128.38206227171</v>
      </c>
      <c r="L322" s="10">
        <f t="shared" si="49"/>
        <v>0.19205557638268056</v>
      </c>
      <c r="M322" s="10">
        <f t="shared" si="52"/>
        <v>0.22861966538862138</v>
      </c>
      <c r="O322" s="11"/>
      <c r="P322" s="8">
        <f t="shared" si="53"/>
        <v>0.21097163804732591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FD71-DD9C-144F-96DC-97D7B4146AEA}">
  <dimension ref="A1:Y798"/>
  <sheetViews>
    <sheetView topLeftCell="F1" zoomScale="75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626.85598047193002</v>
      </c>
      <c r="E2">
        <v>269.31895850285002</v>
      </c>
      <c r="F2">
        <v>145.16476345839999</v>
      </c>
      <c r="G2">
        <v>121.56688417618</v>
      </c>
      <c r="H2" s="4"/>
      <c r="I2" s="5">
        <f>E2-G2</f>
        <v>147.75207432667003</v>
      </c>
      <c r="J2" s="5">
        <f>D2-F2</f>
        <v>481.69121701353004</v>
      </c>
      <c r="K2" s="9">
        <f>I2*1</f>
        <v>147.75207432667003</v>
      </c>
      <c r="L2" s="6">
        <f t="shared" ref="L2:L65" si="0">K2/J2</f>
        <v>0.30673607719635848</v>
      </c>
      <c r="M2" s="6">
        <f>L2+ABS($N$2)*A2</f>
        <v>0.30673607719635848</v>
      </c>
      <c r="N2" s="4">
        <f>LINEST(V64:V103,U64:U103)</f>
        <v>-1.45494470320951E-5</v>
      </c>
      <c r="O2" s="7">
        <f>AVERAGE(M62:M81)</f>
        <v>0.25497640939976252</v>
      </c>
      <c r="P2" s="4">
        <f>(M2-$O$2)/$O$2*100</f>
        <v>20.299786916932</v>
      </c>
    </row>
    <row r="3" spans="1:16" x14ac:dyDescent="0.2">
      <c r="A3" s="8">
        <v>0.5</v>
      </c>
      <c r="B3" s="8">
        <v>1</v>
      </c>
      <c r="D3">
        <v>631.16598860862996</v>
      </c>
      <c r="E3">
        <v>269.52318958503002</v>
      </c>
      <c r="F3">
        <v>145.38825448612999</v>
      </c>
      <c r="G3">
        <v>121.90212071777999</v>
      </c>
      <c r="I3" s="9">
        <f t="shared" ref="I3:I66" si="1">E3-G3</f>
        <v>147.62106886725002</v>
      </c>
      <c r="J3" s="9">
        <f t="shared" ref="J3:J66" si="2">D3-F3</f>
        <v>485.77773412249996</v>
      </c>
      <c r="K3" s="9">
        <f t="shared" ref="K3:K66" si="3">I3*1</f>
        <v>147.62106886725002</v>
      </c>
      <c r="L3" s="10">
        <f t="shared" si="0"/>
        <v>0.30388603366910183</v>
      </c>
      <c r="M3" s="10">
        <f t="shared" ref="M3:M66" si="4">L3+ABS($N$2)*A3</f>
        <v>0.30389330839261786</v>
      </c>
      <c r="P3" s="8">
        <f t="shared" ref="P3:P66" si="5">(M3-$O$2)/$O$2*100</f>
        <v>19.184872478206959</v>
      </c>
    </row>
    <row r="4" spans="1:16" ht="16" x14ac:dyDescent="0.2">
      <c r="A4" s="8">
        <v>1</v>
      </c>
      <c r="B4" s="8">
        <v>2</v>
      </c>
      <c r="D4">
        <v>623.31899350648996</v>
      </c>
      <c r="E4">
        <v>267.02678571428999</v>
      </c>
      <c r="F4">
        <v>146.06933115824</v>
      </c>
      <c r="G4">
        <v>121.59543230016</v>
      </c>
      <c r="I4" s="9">
        <f t="shared" si="1"/>
        <v>145.43135341413</v>
      </c>
      <c r="J4" s="9">
        <f t="shared" si="2"/>
        <v>477.24966234824996</v>
      </c>
      <c r="K4" s="9">
        <f t="shared" si="3"/>
        <v>145.43135341413</v>
      </c>
      <c r="L4" s="10">
        <f t="shared" si="0"/>
        <v>0.30472803835743412</v>
      </c>
      <c r="M4" s="10">
        <f t="shared" si="4"/>
        <v>0.30474258780446623</v>
      </c>
      <c r="N4" s="1" t="s">
        <v>7</v>
      </c>
      <c r="P4" s="8">
        <f t="shared" si="5"/>
        <v>19.517954042045609</v>
      </c>
    </row>
    <row r="5" spans="1:16" x14ac:dyDescent="0.2">
      <c r="A5" s="8">
        <v>1.5</v>
      </c>
      <c r="B5" s="8">
        <v>3</v>
      </c>
      <c r="D5">
        <v>534.77516233766005</v>
      </c>
      <c r="E5">
        <v>251.77353896104</v>
      </c>
      <c r="F5">
        <v>145.36296900489</v>
      </c>
      <c r="G5">
        <v>121.55954323002</v>
      </c>
      <c r="I5" s="9">
        <f t="shared" si="1"/>
        <v>130.21399573102002</v>
      </c>
      <c r="J5" s="9">
        <f t="shared" si="2"/>
        <v>389.41219333277002</v>
      </c>
      <c r="K5" s="9">
        <f t="shared" si="3"/>
        <v>130.21399573102002</v>
      </c>
      <c r="L5" s="10">
        <f t="shared" si="0"/>
        <v>0.33438602581133453</v>
      </c>
      <c r="M5" s="10">
        <f t="shared" si="4"/>
        <v>0.33440784998188267</v>
      </c>
      <c r="N5" s="8">
        <f>RSQ(V64:V83,U64:U83)</f>
        <v>0.32468883388067038</v>
      </c>
      <c r="P5" s="8">
        <f t="shared" si="5"/>
        <v>31.152466523906636</v>
      </c>
    </row>
    <row r="6" spans="1:16" x14ac:dyDescent="0.2">
      <c r="A6" s="8">
        <v>2</v>
      </c>
      <c r="B6" s="8">
        <v>4</v>
      </c>
      <c r="D6">
        <v>487.50081168831002</v>
      </c>
      <c r="E6">
        <v>235.23944805195001</v>
      </c>
      <c r="F6">
        <v>146.43066884176</v>
      </c>
      <c r="G6">
        <v>121.81239804241</v>
      </c>
      <c r="I6" s="9">
        <f t="shared" si="1"/>
        <v>113.42705000954001</v>
      </c>
      <c r="J6" s="9">
        <f t="shared" si="2"/>
        <v>341.07014284655003</v>
      </c>
      <c r="K6" s="9">
        <f t="shared" si="3"/>
        <v>113.42705000954001</v>
      </c>
      <c r="L6" s="10">
        <f t="shared" si="0"/>
        <v>0.33256223796924866</v>
      </c>
      <c r="M6" s="10">
        <f t="shared" si="4"/>
        <v>0.33259133686331288</v>
      </c>
      <c r="P6" s="8">
        <f t="shared" si="5"/>
        <v>30.440042530312084</v>
      </c>
    </row>
    <row r="7" spans="1:16" x14ac:dyDescent="0.2">
      <c r="A7" s="8">
        <v>2.5</v>
      </c>
      <c r="B7" s="8">
        <v>5</v>
      </c>
      <c r="D7">
        <v>476.70941558442001</v>
      </c>
      <c r="E7">
        <v>232.30762987013</v>
      </c>
      <c r="F7">
        <v>145.99102773246</v>
      </c>
      <c r="G7">
        <v>121.89722675367</v>
      </c>
      <c r="I7" s="9">
        <f t="shared" si="1"/>
        <v>110.41040311646</v>
      </c>
      <c r="J7" s="9">
        <f t="shared" si="2"/>
        <v>330.71838785196002</v>
      </c>
      <c r="K7" s="9">
        <f t="shared" si="3"/>
        <v>110.41040311646</v>
      </c>
      <c r="L7" s="10">
        <f t="shared" si="0"/>
        <v>0.33385020964084761</v>
      </c>
      <c r="M7" s="10">
        <f t="shared" si="4"/>
        <v>0.33388658325842785</v>
      </c>
      <c r="P7" s="8">
        <f t="shared" si="5"/>
        <v>30.948029288053359</v>
      </c>
    </row>
    <row r="8" spans="1:16" x14ac:dyDescent="0.2">
      <c r="A8" s="8">
        <v>3</v>
      </c>
      <c r="B8" s="8">
        <v>6</v>
      </c>
      <c r="D8">
        <v>566.16829268292997</v>
      </c>
      <c r="E8">
        <v>255.18780487805</v>
      </c>
      <c r="F8">
        <v>145.46818923327999</v>
      </c>
      <c r="G8">
        <v>121.44045676998</v>
      </c>
      <c r="I8" s="9">
        <f t="shared" si="1"/>
        <v>133.74734810807001</v>
      </c>
      <c r="J8" s="9">
        <f t="shared" si="2"/>
        <v>420.70010344964999</v>
      </c>
      <c r="K8" s="9">
        <f t="shared" si="3"/>
        <v>133.74734810807001</v>
      </c>
      <c r="L8" s="10">
        <f t="shared" si="0"/>
        <v>0.31791612840446354</v>
      </c>
      <c r="M8" s="10">
        <f t="shared" si="4"/>
        <v>0.31795977674555981</v>
      </c>
      <c r="P8" s="8">
        <f t="shared" si="5"/>
        <v>24.701644945924926</v>
      </c>
    </row>
    <row r="9" spans="1:16" x14ac:dyDescent="0.2">
      <c r="A9" s="8">
        <v>3.5</v>
      </c>
      <c r="B9" s="8">
        <v>7</v>
      </c>
      <c r="D9">
        <v>608.85284552845997</v>
      </c>
      <c r="E9">
        <v>258.47479674797</v>
      </c>
      <c r="F9">
        <v>146.28792822186</v>
      </c>
      <c r="G9">
        <v>121.71533442088</v>
      </c>
      <c r="I9" s="9">
        <f t="shared" si="1"/>
        <v>136.75946232709001</v>
      </c>
      <c r="J9" s="9">
        <f t="shared" si="2"/>
        <v>462.56491730659997</v>
      </c>
      <c r="K9" s="9">
        <f t="shared" si="3"/>
        <v>136.75946232709001</v>
      </c>
      <c r="L9" s="10">
        <f t="shared" si="0"/>
        <v>0.29565463616092247</v>
      </c>
      <c r="M9" s="10">
        <f t="shared" si="4"/>
        <v>0.29570555922553482</v>
      </c>
      <c r="P9" s="8">
        <f t="shared" si="5"/>
        <v>15.973693378792337</v>
      </c>
    </row>
    <row r="10" spans="1:16" x14ac:dyDescent="0.2">
      <c r="A10" s="8">
        <v>4</v>
      </c>
      <c r="B10" s="8">
        <v>8</v>
      </c>
      <c r="D10">
        <v>615.88358932901997</v>
      </c>
      <c r="E10">
        <v>256.63459983832001</v>
      </c>
      <c r="F10">
        <v>145.49265905383001</v>
      </c>
      <c r="G10">
        <v>121.61500815661</v>
      </c>
      <c r="I10" s="9">
        <f t="shared" si="1"/>
        <v>135.01959168171001</v>
      </c>
      <c r="J10" s="9">
        <f t="shared" si="2"/>
        <v>470.39093027518993</v>
      </c>
      <c r="K10" s="9">
        <f t="shared" si="3"/>
        <v>135.01959168171001</v>
      </c>
      <c r="L10" s="10">
        <f t="shared" si="0"/>
        <v>0.28703697922644966</v>
      </c>
      <c r="M10" s="10">
        <f t="shared" si="4"/>
        <v>0.28709517701457804</v>
      </c>
      <c r="P10" s="8">
        <f t="shared" si="5"/>
        <v>12.596760496559664</v>
      </c>
    </row>
    <row r="11" spans="1:16" x14ac:dyDescent="0.2">
      <c r="A11" s="8">
        <v>4.5</v>
      </c>
      <c r="B11" s="8">
        <v>9</v>
      </c>
      <c r="D11">
        <v>632.81244947454002</v>
      </c>
      <c r="E11">
        <v>258.57962813258001</v>
      </c>
      <c r="F11">
        <v>146.03996737356999</v>
      </c>
      <c r="G11">
        <v>121.91353996737</v>
      </c>
      <c r="I11" s="9">
        <f t="shared" si="1"/>
        <v>136.66608816521</v>
      </c>
      <c r="J11" s="9">
        <f t="shared" si="2"/>
        <v>486.77248210097002</v>
      </c>
      <c r="K11" s="9">
        <f t="shared" si="3"/>
        <v>136.66608816521</v>
      </c>
      <c r="L11" s="10">
        <f t="shared" si="0"/>
        <v>0.28075968381643579</v>
      </c>
      <c r="M11" s="10">
        <f t="shared" si="4"/>
        <v>0.28082515632808019</v>
      </c>
      <c r="P11" s="8">
        <f t="shared" si="5"/>
        <v>10.137701361929114</v>
      </c>
    </row>
    <row r="12" spans="1:16" x14ac:dyDescent="0.2">
      <c r="A12" s="8">
        <v>5</v>
      </c>
      <c r="B12" s="8">
        <v>10</v>
      </c>
      <c r="D12">
        <v>614.23089430894004</v>
      </c>
      <c r="E12">
        <v>254.65772357724001</v>
      </c>
      <c r="F12">
        <v>146.41353996737001</v>
      </c>
      <c r="G12">
        <v>121.91680261011</v>
      </c>
      <c r="I12" s="9">
        <f t="shared" si="1"/>
        <v>132.74092096713002</v>
      </c>
      <c r="J12" s="9">
        <f t="shared" si="2"/>
        <v>467.81735434157002</v>
      </c>
      <c r="K12" s="9">
        <f t="shared" si="3"/>
        <v>132.74092096713002</v>
      </c>
      <c r="L12" s="10">
        <f t="shared" si="0"/>
        <v>0.28374518331829812</v>
      </c>
      <c r="M12" s="10">
        <f t="shared" si="4"/>
        <v>0.28381793055345861</v>
      </c>
      <c r="P12" s="8">
        <f t="shared" si="5"/>
        <v>11.311446898790219</v>
      </c>
    </row>
    <row r="13" spans="1:16" x14ac:dyDescent="0.2">
      <c r="A13" s="8">
        <v>5.5</v>
      </c>
      <c r="B13" s="8">
        <v>11</v>
      </c>
      <c r="D13">
        <v>638.94796747967996</v>
      </c>
      <c r="E13">
        <v>258.40406504064998</v>
      </c>
      <c r="F13">
        <v>146.6207177814</v>
      </c>
      <c r="G13">
        <v>122.13295269168</v>
      </c>
      <c r="I13" s="9">
        <f t="shared" si="1"/>
        <v>136.27111234896998</v>
      </c>
      <c r="J13" s="9">
        <f t="shared" si="2"/>
        <v>492.32724969827996</v>
      </c>
      <c r="K13" s="9">
        <f t="shared" si="3"/>
        <v>136.27111234896998</v>
      </c>
      <c r="L13" s="10">
        <f t="shared" si="0"/>
        <v>0.27678970122511598</v>
      </c>
      <c r="M13" s="10">
        <f t="shared" si="4"/>
        <v>0.27686972318379249</v>
      </c>
      <c r="P13" s="8">
        <f t="shared" si="5"/>
        <v>8.5864075957335881</v>
      </c>
    </row>
    <row r="14" spans="1:16" x14ac:dyDescent="0.2">
      <c r="A14" s="8">
        <v>6</v>
      </c>
      <c r="B14" s="8">
        <v>12</v>
      </c>
      <c r="D14">
        <v>632.09685230024002</v>
      </c>
      <c r="E14">
        <v>256.08232445521003</v>
      </c>
      <c r="F14">
        <v>145.65089722675</v>
      </c>
      <c r="G14">
        <v>121.74551386623</v>
      </c>
      <c r="I14" s="9">
        <f t="shared" si="1"/>
        <v>134.33681058898003</v>
      </c>
      <c r="J14" s="9">
        <f t="shared" si="2"/>
        <v>486.44595507349004</v>
      </c>
      <c r="K14" s="9">
        <f t="shared" si="3"/>
        <v>134.33681058898003</v>
      </c>
      <c r="L14" s="10">
        <f t="shared" si="0"/>
        <v>0.27615978545588898</v>
      </c>
      <c r="M14" s="10">
        <f t="shared" si="4"/>
        <v>0.27624708213808158</v>
      </c>
      <c r="P14" s="8">
        <f t="shared" si="5"/>
        <v>8.3422120455739996</v>
      </c>
    </row>
    <row r="15" spans="1:16" x14ac:dyDescent="0.2">
      <c r="A15" s="8">
        <v>6.5</v>
      </c>
      <c r="B15" s="8">
        <v>13</v>
      </c>
      <c r="D15">
        <v>635.43825665860004</v>
      </c>
      <c r="E15">
        <v>257.01856335755002</v>
      </c>
      <c r="F15">
        <v>146.41761827080001</v>
      </c>
      <c r="G15">
        <v>122.10032626427</v>
      </c>
      <c r="I15" s="9">
        <f t="shared" si="1"/>
        <v>134.91823709328003</v>
      </c>
      <c r="J15" s="9">
        <f t="shared" si="2"/>
        <v>489.02063838780003</v>
      </c>
      <c r="K15" s="9">
        <f t="shared" si="3"/>
        <v>134.91823709328003</v>
      </c>
      <c r="L15" s="10">
        <f t="shared" si="0"/>
        <v>0.2758947711042985</v>
      </c>
      <c r="M15" s="10">
        <f t="shared" si="4"/>
        <v>0.27598934251000712</v>
      </c>
      <c r="P15" s="8">
        <f t="shared" si="5"/>
        <v>8.2411283301505982</v>
      </c>
    </row>
    <row r="16" spans="1:16" x14ac:dyDescent="0.2">
      <c r="A16" s="8">
        <v>7</v>
      </c>
      <c r="B16" s="8">
        <v>14</v>
      </c>
      <c r="D16">
        <v>638.07990314769995</v>
      </c>
      <c r="E16">
        <v>256.56577885390999</v>
      </c>
      <c r="F16">
        <v>146.57504078303</v>
      </c>
      <c r="G16">
        <v>121.96329526917</v>
      </c>
      <c r="I16" s="9">
        <f t="shared" si="1"/>
        <v>134.60248358473999</v>
      </c>
      <c r="J16" s="9">
        <f t="shared" si="2"/>
        <v>491.50486236466998</v>
      </c>
      <c r="K16" s="9">
        <f t="shared" si="3"/>
        <v>134.60248358473999</v>
      </c>
      <c r="L16" s="10">
        <f t="shared" si="0"/>
        <v>0.27385788807287981</v>
      </c>
      <c r="M16" s="10">
        <f t="shared" si="4"/>
        <v>0.27395973420210445</v>
      </c>
      <c r="P16" s="8">
        <f t="shared" si="5"/>
        <v>7.4451298639863976</v>
      </c>
    </row>
    <row r="17" spans="1:16" x14ac:dyDescent="0.2">
      <c r="A17" s="8">
        <v>7.5</v>
      </c>
      <c r="B17" s="8">
        <v>15</v>
      </c>
      <c r="D17">
        <v>643.06376109765995</v>
      </c>
      <c r="E17">
        <v>257.77481840194002</v>
      </c>
      <c r="F17">
        <v>146.74306688418</v>
      </c>
      <c r="G17">
        <v>122.17047308319999</v>
      </c>
      <c r="I17" s="9">
        <f t="shared" si="1"/>
        <v>135.60434531874003</v>
      </c>
      <c r="J17" s="9">
        <f t="shared" si="2"/>
        <v>496.32069421347995</v>
      </c>
      <c r="K17" s="9">
        <f t="shared" si="3"/>
        <v>135.60434531874003</v>
      </c>
      <c r="L17" s="10">
        <f t="shared" si="0"/>
        <v>0.2732192046387113</v>
      </c>
      <c r="M17" s="10">
        <f t="shared" si="4"/>
        <v>0.27332832549145203</v>
      </c>
      <c r="P17" s="8">
        <f t="shared" si="5"/>
        <v>7.1974956957357659</v>
      </c>
    </row>
    <row r="18" spans="1:16" x14ac:dyDescent="0.2">
      <c r="A18" s="8">
        <v>8</v>
      </c>
      <c r="B18" s="8">
        <v>16</v>
      </c>
      <c r="D18">
        <v>629.24678456592005</v>
      </c>
      <c r="E18">
        <v>252.00884244373</v>
      </c>
      <c r="F18">
        <v>146.51060358890999</v>
      </c>
      <c r="G18">
        <v>122.46737357259001</v>
      </c>
      <c r="I18" s="9">
        <f t="shared" si="1"/>
        <v>129.54146887114001</v>
      </c>
      <c r="J18" s="9">
        <f t="shared" si="2"/>
        <v>482.73618097701006</v>
      </c>
      <c r="K18" s="9">
        <f t="shared" si="3"/>
        <v>129.54146887114001</v>
      </c>
      <c r="L18" s="10">
        <f t="shared" si="0"/>
        <v>0.26834837324387195</v>
      </c>
      <c r="M18" s="10">
        <f t="shared" si="4"/>
        <v>0.26846476882012871</v>
      </c>
      <c r="P18" s="8">
        <f t="shared" si="5"/>
        <v>5.2900421070792421</v>
      </c>
    </row>
    <row r="19" spans="1:16" x14ac:dyDescent="0.2">
      <c r="A19" s="8">
        <v>8.5</v>
      </c>
      <c r="B19" s="8">
        <v>17</v>
      </c>
      <c r="D19">
        <v>636.95020080321001</v>
      </c>
      <c r="E19">
        <v>251.81445783133</v>
      </c>
      <c r="F19">
        <v>146.08972267537001</v>
      </c>
      <c r="G19">
        <v>122.15660685154999</v>
      </c>
      <c r="I19" s="9">
        <f t="shared" si="1"/>
        <v>129.65785097977999</v>
      </c>
      <c r="J19" s="9">
        <f t="shared" si="2"/>
        <v>490.86047812784</v>
      </c>
      <c r="K19" s="9">
        <f t="shared" si="3"/>
        <v>129.65785097977999</v>
      </c>
      <c r="L19" s="10">
        <f t="shared" si="0"/>
        <v>0.26414400172183311</v>
      </c>
      <c r="M19" s="10">
        <f t="shared" si="4"/>
        <v>0.26426767202160589</v>
      </c>
      <c r="P19" s="8">
        <f t="shared" si="5"/>
        <v>3.6439695122054028</v>
      </c>
    </row>
    <row r="20" spans="1:16" x14ac:dyDescent="0.2">
      <c r="A20" s="8">
        <v>9</v>
      </c>
      <c r="B20" s="8">
        <v>18</v>
      </c>
      <c r="D20">
        <v>644.17670682731</v>
      </c>
      <c r="E20">
        <v>251.72530120482</v>
      </c>
      <c r="F20">
        <v>146.40783034258001</v>
      </c>
      <c r="G20">
        <v>121.9013050571</v>
      </c>
      <c r="I20" s="9">
        <f t="shared" si="1"/>
        <v>129.82399614771998</v>
      </c>
      <c r="J20" s="9">
        <f t="shared" si="2"/>
        <v>497.76887648472996</v>
      </c>
      <c r="K20" s="9">
        <f t="shared" si="3"/>
        <v>129.82399614771998</v>
      </c>
      <c r="L20" s="10">
        <f t="shared" si="0"/>
        <v>0.26081179897092782</v>
      </c>
      <c r="M20" s="10">
        <f t="shared" si="4"/>
        <v>0.26094274399421669</v>
      </c>
      <c r="P20" s="8">
        <f t="shared" si="5"/>
        <v>2.3399555309840077</v>
      </c>
    </row>
    <row r="21" spans="1:16" x14ac:dyDescent="0.2">
      <c r="A21" s="8">
        <v>9.5</v>
      </c>
      <c r="B21" s="8">
        <v>19</v>
      </c>
      <c r="D21">
        <v>640.13574297188995</v>
      </c>
      <c r="E21">
        <v>248.85140562249001</v>
      </c>
      <c r="F21">
        <v>146.46492659053999</v>
      </c>
      <c r="G21">
        <v>122.08238172919999</v>
      </c>
      <c r="I21" s="9">
        <f t="shared" si="1"/>
        <v>126.76902389329001</v>
      </c>
      <c r="J21" s="9">
        <f t="shared" si="2"/>
        <v>493.67081638134994</v>
      </c>
      <c r="K21" s="9">
        <f t="shared" si="3"/>
        <v>126.76902389329001</v>
      </c>
      <c r="L21" s="10">
        <f t="shared" si="0"/>
        <v>0.25678857183116066</v>
      </c>
      <c r="M21" s="10">
        <f t="shared" si="4"/>
        <v>0.25692679157796555</v>
      </c>
      <c r="P21" s="8">
        <f t="shared" si="5"/>
        <v>0.76492652116107984</v>
      </c>
    </row>
    <row r="22" spans="1:16" x14ac:dyDescent="0.2">
      <c r="A22" s="8">
        <v>10</v>
      </c>
      <c r="B22" s="8">
        <v>20</v>
      </c>
      <c r="D22">
        <v>633.13381995134</v>
      </c>
      <c r="E22">
        <v>246.0097323601</v>
      </c>
      <c r="F22">
        <v>146.18597063621999</v>
      </c>
      <c r="G22">
        <v>121.85562805873001</v>
      </c>
      <c r="I22" s="9">
        <f t="shared" si="1"/>
        <v>124.15410430137</v>
      </c>
      <c r="J22" s="9">
        <f t="shared" si="2"/>
        <v>486.94784931512004</v>
      </c>
      <c r="K22" s="9">
        <f t="shared" si="3"/>
        <v>124.15410430137</v>
      </c>
      <c r="L22" s="10">
        <f t="shared" si="0"/>
        <v>0.25496386209732652</v>
      </c>
      <c r="M22" s="10">
        <f t="shared" si="4"/>
        <v>0.25510935656764749</v>
      </c>
      <c r="P22" s="8">
        <f t="shared" si="5"/>
        <v>5.2140967942072639E-2</v>
      </c>
    </row>
    <row r="23" spans="1:16" x14ac:dyDescent="0.2">
      <c r="A23" s="8">
        <v>10.5</v>
      </c>
      <c r="B23" s="8">
        <v>21</v>
      </c>
      <c r="D23">
        <v>630.16962843296005</v>
      </c>
      <c r="E23">
        <v>247.16639741519</v>
      </c>
      <c r="F23">
        <v>146.26345840131</v>
      </c>
      <c r="G23">
        <v>122.26182707994001</v>
      </c>
      <c r="I23" s="9">
        <f t="shared" si="1"/>
        <v>124.90457033525</v>
      </c>
      <c r="J23" s="9">
        <f t="shared" si="2"/>
        <v>483.90617003165005</v>
      </c>
      <c r="K23" s="9">
        <f t="shared" si="3"/>
        <v>124.90457033525</v>
      </c>
      <c r="L23" s="10">
        <f t="shared" si="0"/>
        <v>0.25811733362912187</v>
      </c>
      <c r="M23" s="10">
        <f t="shared" si="4"/>
        <v>0.25827010282295887</v>
      </c>
      <c r="P23" s="8">
        <f t="shared" si="5"/>
        <v>1.2917639835583239</v>
      </c>
    </row>
    <row r="24" spans="1:16" x14ac:dyDescent="0.2">
      <c r="A24" s="8">
        <v>11</v>
      </c>
      <c r="B24" s="8">
        <v>22</v>
      </c>
      <c r="D24">
        <v>630.37156704361996</v>
      </c>
      <c r="E24">
        <v>245.34491114701001</v>
      </c>
      <c r="F24">
        <v>146.54078303425999</v>
      </c>
      <c r="G24">
        <v>122.42006525286</v>
      </c>
      <c r="I24" s="9">
        <f t="shared" si="1"/>
        <v>122.92484589415001</v>
      </c>
      <c r="J24" s="9">
        <f t="shared" si="2"/>
        <v>483.83078400935995</v>
      </c>
      <c r="K24" s="9">
        <f t="shared" si="3"/>
        <v>122.92484589415001</v>
      </c>
      <c r="L24" s="10">
        <f t="shared" si="0"/>
        <v>0.2540657807581172</v>
      </c>
      <c r="M24" s="10">
        <f t="shared" si="4"/>
        <v>0.25422582467547022</v>
      </c>
      <c r="P24" s="8">
        <f t="shared" si="5"/>
        <v>-0.2943741838938102</v>
      </c>
    </row>
    <row r="25" spans="1:16" x14ac:dyDescent="0.2">
      <c r="A25" s="8">
        <v>11.5</v>
      </c>
      <c r="B25" s="8">
        <v>23</v>
      </c>
      <c r="D25">
        <v>632.27221324717004</v>
      </c>
      <c r="E25">
        <v>244.88368336025999</v>
      </c>
      <c r="F25">
        <v>146.74306688418</v>
      </c>
      <c r="G25">
        <v>122.40619902121</v>
      </c>
      <c r="I25" s="9">
        <f t="shared" si="1"/>
        <v>122.47748433904999</v>
      </c>
      <c r="J25" s="9">
        <f t="shared" si="2"/>
        <v>485.52914636299005</v>
      </c>
      <c r="K25" s="9">
        <f t="shared" si="3"/>
        <v>122.47748433904999</v>
      </c>
      <c r="L25" s="10">
        <f t="shared" si="0"/>
        <v>0.25225567868892407</v>
      </c>
      <c r="M25" s="10">
        <f t="shared" si="4"/>
        <v>0.25242299732979318</v>
      </c>
      <c r="P25" s="8">
        <f t="shared" si="5"/>
        <v>-1.0014307111706151</v>
      </c>
    </row>
    <row r="26" spans="1:16" x14ac:dyDescent="0.2">
      <c r="A26" s="8">
        <v>12</v>
      </c>
      <c r="B26" s="8">
        <v>24</v>
      </c>
      <c r="D26">
        <v>627.36593317032998</v>
      </c>
      <c r="E26">
        <v>241.10757946210001</v>
      </c>
      <c r="F26">
        <v>146.24959216965999</v>
      </c>
      <c r="G26">
        <v>122.07748776509</v>
      </c>
      <c r="I26" s="9">
        <f t="shared" si="1"/>
        <v>119.03009169701001</v>
      </c>
      <c r="J26" s="9">
        <f t="shared" si="2"/>
        <v>481.11634100066999</v>
      </c>
      <c r="K26" s="9">
        <f t="shared" si="3"/>
        <v>119.03009169701001</v>
      </c>
      <c r="L26" s="10">
        <f t="shared" si="0"/>
        <v>0.24740396771691495</v>
      </c>
      <c r="M26" s="10">
        <f t="shared" si="4"/>
        <v>0.24757856108130008</v>
      </c>
      <c r="P26" s="8">
        <f t="shared" si="5"/>
        <v>-2.9013854010563715</v>
      </c>
    </row>
    <row r="27" spans="1:16" x14ac:dyDescent="0.2">
      <c r="A27" s="8">
        <v>12.5</v>
      </c>
      <c r="B27" s="8">
        <v>25</v>
      </c>
      <c r="D27">
        <v>624.82672064777</v>
      </c>
      <c r="E27">
        <v>238.34412955465999</v>
      </c>
      <c r="F27">
        <v>147.05872756932999</v>
      </c>
      <c r="G27">
        <v>121.89070146819</v>
      </c>
      <c r="I27" s="9">
        <f t="shared" si="1"/>
        <v>116.45342808646998</v>
      </c>
      <c r="J27" s="9">
        <f t="shared" si="2"/>
        <v>477.76799307843999</v>
      </c>
      <c r="K27" s="9">
        <f t="shared" si="3"/>
        <v>116.45342808646998</v>
      </c>
      <c r="L27" s="10">
        <f t="shared" si="0"/>
        <v>0.24374472499950547</v>
      </c>
      <c r="M27" s="10">
        <f t="shared" si="4"/>
        <v>0.24392659308740666</v>
      </c>
      <c r="P27" s="8">
        <f t="shared" si="5"/>
        <v>-4.333662215405778</v>
      </c>
    </row>
    <row r="28" spans="1:16" x14ac:dyDescent="0.2">
      <c r="A28" s="8">
        <v>13</v>
      </c>
      <c r="B28" s="8">
        <v>26</v>
      </c>
      <c r="D28">
        <v>624.97077922077995</v>
      </c>
      <c r="E28">
        <v>238.42938311687999</v>
      </c>
      <c r="F28">
        <v>146.55709624796</v>
      </c>
      <c r="G28">
        <v>122.40375203915001</v>
      </c>
      <c r="I28" s="9">
        <f t="shared" si="1"/>
        <v>116.02563107772998</v>
      </c>
      <c r="J28" s="9">
        <f t="shared" si="2"/>
        <v>478.41368297281997</v>
      </c>
      <c r="K28" s="9">
        <f t="shared" si="3"/>
        <v>116.02563107772998</v>
      </c>
      <c r="L28" s="10">
        <f t="shared" si="0"/>
        <v>0.24252155656743982</v>
      </c>
      <c r="M28" s="10">
        <f t="shared" si="4"/>
        <v>0.24271069937885706</v>
      </c>
      <c r="P28" s="8">
        <f t="shared" si="5"/>
        <v>-4.8105273934086865</v>
      </c>
    </row>
    <row r="29" spans="1:16" x14ac:dyDescent="0.2">
      <c r="A29" s="8">
        <v>13.5</v>
      </c>
      <c r="B29" s="8">
        <v>27</v>
      </c>
      <c r="D29">
        <v>624.75664786463005</v>
      </c>
      <c r="E29">
        <v>238.47058823528999</v>
      </c>
      <c r="F29">
        <v>146.54730831974001</v>
      </c>
      <c r="G29">
        <v>121.62642740619999</v>
      </c>
      <c r="I29" s="9">
        <f t="shared" si="1"/>
        <v>116.84416082909</v>
      </c>
      <c r="J29" s="9">
        <f t="shared" si="2"/>
        <v>478.20933954489004</v>
      </c>
      <c r="K29" s="9">
        <f t="shared" si="3"/>
        <v>116.84416082909</v>
      </c>
      <c r="L29" s="10">
        <f t="shared" si="0"/>
        <v>0.24433684406977524</v>
      </c>
      <c r="M29" s="10">
        <f t="shared" si="4"/>
        <v>0.24453326160470854</v>
      </c>
      <c r="P29" s="8">
        <f t="shared" si="5"/>
        <v>-4.0957309814025908</v>
      </c>
    </row>
    <row r="30" spans="1:16" x14ac:dyDescent="0.2">
      <c r="A30" s="8">
        <v>14</v>
      </c>
      <c r="B30" s="8">
        <v>28</v>
      </c>
      <c r="D30">
        <v>629.55600322321004</v>
      </c>
      <c r="E30">
        <v>239.13859790492</v>
      </c>
      <c r="F30">
        <v>146.44127243067001</v>
      </c>
      <c r="G30">
        <v>121.97634584012999</v>
      </c>
      <c r="I30" s="9">
        <f t="shared" si="1"/>
        <v>117.16225206479001</v>
      </c>
      <c r="J30" s="9">
        <f t="shared" si="2"/>
        <v>483.11473079254006</v>
      </c>
      <c r="K30" s="9">
        <f t="shared" si="3"/>
        <v>117.16225206479001</v>
      </c>
      <c r="L30" s="10">
        <f t="shared" si="0"/>
        <v>0.24251434410328926</v>
      </c>
      <c r="M30" s="10">
        <f t="shared" si="4"/>
        <v>0.24271803636173858</v>
      </c>
      <c r="P30" s="8">
        <f t="shared" si="5"/>
        <v>-4.8076498790147886</v>
      </c>
    </row>
    <row r="31" spans="1:16" x14ac:dyDescent="0.2">
      <c r="A31" s="8">
        <v>14.5</v>
      </c>
      <c r="B31" s="8">
        <v>29</v>
      </c>
      <c r="D31">
        <v>630.64845024470003</v>
      </c>
      <c r="E31">
        <v>239.73001631321</v>
      </c>
      <c r="F31">
        <v>146.60685154975999</v>
      </c>
      <c r="G31">
        <v>122.3409461664</v>
      </c>
      <c r="I31" s="9">
        <f t="shared" si="1"/>
        <v>117.38907014681</v>
      </c>
      <c r="J31" s="9">
        <f t="shared" si="2"/>
        <v>484.04159869494003</v>
      </c>
      <c r="K31" s="9">
        <f t="shared" si="3"/>
        <v>117.38907014681</v>
      </c>
      <c r="L31" s="10">
        <f t="shared" si="0"/>
        <v>0.24251855721349416</v>
      </c>
      <c r="M31" s="10">
        <f t="shared" si="4"/>
        <v>0.24272952419545954</v>
      </c>
      <c r="P31" s="8">
        <f t="shared" si="5"/>
        <v>-4.8031444293741723</v>
      </c>
    </row>
    <row r="32" spans="1:16" x14ac:dyDescent="0.2">
      <c r="A32" s="8">
        <v>15</v>
      </c>
      <c r="B32" s="8">
        <v>30</v>
      </c>
      <c r="D32">
        <v>629.40946166394997</v>
      </c>
      <c r="E32">
        <v>240.6810766721</v>
      </c>
      <c r="F32">
        <v>147.14437194127001</v>
      </c>
      <c r="G32">
        <v>122.26508972268</v>
      </c>
      <c r="I32" s="9">
        <f t="shared" si="1"/>
        <v>118.41598694942</v>
      </c>
      <c r="J32" s="9">
        <f t="shared" si="2"/>
        <v>482.26508972267993</v>
      </c>
      <c r="K32" s="9">
        <f t="shared" si="3"/>
        <v>118.41598694942</v>
      </c>
      <c r="L32" s="10">
        <f t="shared" si="0"/>
        <v>0.24554127900386388</v>
      </c>
      <c r="M32" s="10">
        <f t="shared" si="4"/>
        <v>0.24575952070934531</v>
      </c>
      <c r="P32" s="8">
        <f t="shared" si="5"/>
        <v>-3.614800566105151</v>
      </c>
    </row>
    <row r="33" spans="1:16" x14ac:dyDescent="0.2">
      <c r="A33" s="8">
        <v>15.5</v>
      </c>
      <c r="B33" s="8">
        <v>31</v>
      </c>
      <c r="D33">
        <v>620.49061224490003</v>
      </c>
      <c r="E33">
        <v>236.6</v>
      </c>
      <c r="F33">
        <v>146.55057096248001</v>
      </c>
      <c r="G33">
        <v>122.70717781403</v>
      </c>
      <c r="I33" s="9">
        <f t="shared" si="1"/>
        <v>113.89282218596999</v>
      </c>
      <c r="J33" s="9">
        <f t="shared" si="2"/>
        <v>473.94004128242</v>
      </c>
      <c r="K33" s="9">
        <f t="shared" si="3"/>
        <v>113.89282218596999</v>
      </c>
      <c r="L33" s="10">
        <f t="shared" si="0"/>
        <v>0.24031061371769907</v>
      </c>
      <c r="M33" s="10">
        <f t="shared" si="4"/>
        <v>0.24053613014669656</v>
      </c>
      <c r="P33" s="8">
        <f t="shared" si="5"/>
        <v>-5.6633785404146524</v>
      </c>
    </row>
    <row r="34" spans="1:16" x14ac:dyDescent="0.2">
      <c r="A34" s="8">
        <v>16</v>
      </c>
      <c r="B34" s="8">
        <v>32</v>
      </c>
      <c r="D34">
        <v>623.49510603588999</v>
      </c>
      <c r="E34">
        <v>233.54486133768</v>
      </c>
      <c r="F34">
        <v>147.30587275693</v>
      </c>
      <c r="G34">
        <v>122.14355628059</v>
      </c>
      <c r="I34" s="9">
        <f t="shared" si="1"/>
        <v>111.40130505709</v>
      </c>
      <c r="J34" s="9">
        <f t="shared" si="2"/>
        <v>476.18923327895999</v>
      </c>
      <c r="K34" s="9">
        <f t="shared" si="3"/>
        <v>111.40130505709</v>
      </c>
      <c r="L34" s="10">
        <f t="shared" si="0"/>
        <v>0.23394335123874832</v>
      </c>
      <c r="M34" s="10">
        <f t="shared" si="4"/>
        <v>0.23417614239126183</v>
      </c>
      <c r="P34" s="8">
        <f t="shared" si="5"/>
        <v>-8.1577221427921085</v>
      </c>
    </row>
    <row r="35" spans="1:16" x14ac:dyDescent="0.2">
      <c r="A35" s="8">
        <v>16.5</v>
      </c>
      <c r="B35" s="8">
        <v>33</v>
      </c>
      <c r="D35">
        <v>622.69086460032997</v>
      </c>
      <c r="E35">
        <v>234.20146818923001</v>
      </c>
      <c r="F35">
        <v>147.32544861337999</v>
      </c>
      <c r="G35">
        <v>122.38172920065</v>
      </c>
      <c r="I35" s="9">
        <f t="shared" si="1"/>
        <v>111.81973898858001</v>
      </c>
      <c r="J35" s="9">
        <f t="shared" si="2"/>
        <v>475.36541598694998</v>
      </c>
      <c r="K35" s="9">
        <f t="shared" si="3"/>
        <v>111.81973898858001</v>
      </c>
      <c r="L35" s="10">
        <f t="shared" si="0"/>
        <v>0.2352290158854336</v>
      </c>
      <c r="M35" s="10">
        <f t="shared" si="4"/>
        <v>0.23546908176146317</v>
      </c>
      <c r="P35" s="8">
        <f t="shared" si="5"/>
        <v>-7.6506401844081804</v>
      </c>
    </row>
    <row r="36" spans="1:16" x14ac:dyDescent="0.2">
      <c r="A36" s="8">
        <v>17</v>
      </c>
      <c r="B36" s="8">
        <v>34</v>
      </c>
      <c r="D36">
        <v>624.79674796747997</v>
      </c>
      <c r="E36">
        <v>235.60650406504001</v>
      </c>
      <c r="F36">
        <v>147.088091354</v>
      </c>
      <c r="G36">
        <v>122.18515497553</v>
      </c>
      <c r="I36" s="9">
        <f t="shared" si="1"/>
        <v>113.42134908951002</v>
      </c>
      <c r="J36" s="9">
        <f t="shared" si="2"/>
        <v>477.70865661348</v>
      </c>
      <c r="K36" s="9">
        <f t="shared" si="3"/>
        <v>113.42134908951002</v>
      </c>
      <c r="L36" s="10">
        <f t="shared" si="0"/>
        <v>0.23742787056354442</v>
      </c>
      <c r="M36" s="10">
        <f t="shared" si="4"/>
        <v>0.23767521116309004</v>
      </c>
      <c r="P36" s="8">
        <f t="shared" si="5"/>
        <v>-6.7854113552704973</v>
      </c>
    </row>
    <row r="37" spans="1:16" x14ac:dyDescent="0.2">
      <c r="A37" s="8">
        <v>17.5</v>
      </c>
      <c r="B37" s="8">
        <v>35</v>
      </c>
      <c r="D37">
        <v>621.77154471544998</v>
      </c>
      <c r="E37">
        <v>234.66585365853999</v>
      </c>
      <c r="F37">
        <v>147.37030995105999</v>
      </c>
      <c r="G37">
        <v>122.84257748777</v>
      </c>
      <c r="I37" s="9">
        <f t="shared" si="1"/>
        <v>111.82327617076999</v>
      </c>
      <c r="J37" s="9">
        <f t="shared" si="2"/>
        <v>474.40123476438998</v>
      </c>
      <c r="K37" s="9">
        <f t="shared" si="3"/>
        <v>111.82327617076999</v>
      </c>
      <c r="L37" s="10">
        <f t="shared" si="0"/>
        <v>0.23571455547814224</v>
      </c>
      <c r="M37" s="10">
        <f t="shared" si="4"/>
        <v>0.23596917080120391</v>
      </c>
      <c r="P37" s="8">
        <f t="shared" si="5"/>
        <v>-7.4545086909425686</v>
      </c>
    </row>
    <row r="38" spans="1:16" x14ac:dyDescent="0.2">
      <c r="A38" s="8">
        <v>18</v>
      </c>
      <c r="B38" s="8">
        <v>36</v>
      </c>
      <c r="D38">
        <v>607.71707317073003</v>
      </c>
      <c r="E38">
        <v>230.74796747968</v>
      </c>
      <c r="F38">
        <v>147.29608482871001</v>
      </c>
      <c r="G38">
        <v>122.13050570963</v>
      </c>
      <c r="I38" s="9">
        <f t="shared" si="1"/>
        <v>108.61746177005</v>
      </c>
      <c r="J38" s="9">
        <f t="shared" si="2"/>
        <v>460.42098834202</v>
      </c>
      <c r="K38" s="9">
        <f t="shared" si="3"/>
        <v>108.61746177005</v>
      </c>
      <c r="L38" s="10">
        <f t="shared" si="0"/>
        <v>0.23590901483701346</v>
      </c>
      <c r="M38" s="10">
        <f t="shared" si="4"/>
        <v>0.23617090488359116</v>
      </c>
      <c r="P38" s="8">
        <f t="shared" si="5"/>
        <v>-7.3753899666409186</v>
      </c>
    </row>
    <row r="39" spans="1:16" x14ac:dyDescent="0.2">
      <c r="A39" s="8">
        <v>18.5</v>
      </c>
      <c r="B39" s="8">
        <v>37</v>
      </c>
      <c r="D39">
        <v>616.67370129870005</v>
      </c>
      <c r="E39">
        <v>232.60146103896</v>
      </c>
      <c r="F39">
        <v>147.13866231648001</v>
      </c>
      <c r="G39">
        <v>122.56851549755</v>
      </c>
      <c r="I39" s="9">
        <f t="shared" si="1"/>
        <v>110.03294554141</v>
      </c>
      <c r="J39" s="9">
        <f t="shared" si="2"/>
        <v>469.53503898222004</v>
      </c>
      <c r="K39" s="9">
        <f t="shared" si="3"/>
        <v>110.03294554141</v>
      </c>
      <c r="L39" s="10">
        <f t="shared" si="0"/>
        <v>0.23434448210706726</v>
      </c>
      <c r="M39" s="10">
        <f t="shared" si="4"/>
        <v>0.23461364687716102</v>
      </c>
      <c r="P39" s="8">
        <f t="shared" si="5"/>
        <v>-7.9861358823497737</v>
      </c>
    </row>
    <row r="40" spans="1:16" x14ac:dyDescent="0.2">
      <c r="A40" s="8">
        <v>19</v>
      </c>
      <c r="B40" s="8">
        <v>38</v>
      </c>
      <c r="D40">
        <v>611.74450772985995</v>
      </c>
      <c r="E40">
        <v>232.28478437754001</v>
      </c>
      <c r="F40">
        <v>147.34176182708001</v>
      </c>
      <c r="G40">
        <v>122.40619902121</v>
      </c>
      <c r="I40" s="9">
        <f t="shared" si="1"/>
        <v>109.87858535633001</v>
      </c>
      <c r="J40" s="9">
        <f t="shared" si="2"/>
        <v>464.40274590277994</v>
      </c>
      <c r="K40" s="9">
        <f t="shared" si="3"/>
        <v>109.87858535633001</v>
      </c>
      <c r="L40" s="10">
        <f t="shared" si="0"/>
        <v>0.236601928661577</v>
      </c>
      <c r="M40" s="10">
        <f t="shared" si="4"/>
        <v>0.23687836815518681</v>
      </c>
      <c r="P40" s="8">
        <f t="shared" si="5"/>
        <v>-7.0979277209135248</v>
      </c>
    </row>
    <row r="41" spans="1:16" x14ac:dyDescent="0.2">
      <c r="A41" s="8">
        <v>19.5</v>
      </c>
      <c r="B41" s="8">
        <v>39</v>
      </c>
      <c r="D41">
        <v>629.47030105777003</v>
      </c>
      <c r="E41">
        <v>237.14320585842</v>
      </c>
      <c r="F41">
        <v>147.29445350733999</v>
      </c>
      <c r="G41">
        <v>122.50897226754</v>
      </c>
      <c r="I41" s="9">
        <f t="shared" si="1"/>
        <v>114.63423359088</v>
      </c>
      <c r="J41" s="9">
        <f t="shared" si="2"/>
        <v>482.17584755043003</v>
      </c>
      <c r="K41" s="9">
        <f t="shared" si="3"/>
        <v>114.63423359088</v>
      </c>
      <c r="L41" s="10">
        <f t="shared" si="0"/>
        <v>0.23774362439190938</v>
      </c>
      <c r="M41" s="10">
        <f t="shared" si="4"/>
        <v>0.23802733860903524</v>
      </c>
      <c r="P41" s="8">
        <f t="shared" si="5"/>
        <v>-6.6473093846708853</v>
      </c>
    </row>
    <row r="42" spans="1:16" x14ac:dyDescent="0.2">
      <c r="A42" s="8">
        <v>20</v>
      </c>
      <c r="B42" s="8">
        <v>40</v>
      </c>
      <c r="D42">
        <v>616.55429497569003</v>
      </c>
      <c r="E42">
        <v>234.84359805510999</v>
      </c>
      <c r="F42">
        <v>147.28629690048999</v>
      </c>
      <c r="G42">
        <v>122.92659053833999</v>
      </c>
      <c r="I42" s="9">
        <f t="shared" si="1"/>
        <v>111.91700751677</v>
      </c>
      <c r="J42" s="9">
        <f t="shared" si="2"/>
        <v>469.26799807520001</v>
      </c>
      <c r="K42" s="9">
        <f t="shared" si="3"/>
        <v>111.91700751677</v>
      </c>
      <c r="L42" s="10">
        <f t="shared" si="0"/>
        <v>0.23849273331192583</v>
      </c>
      <c r="M42" s="10">
        <f t="shared" si="4"/>
        <v>0.23878372225256772</v>
      </c>
      <c r="P42" s="8">
        <f t="shared" si="5"/>
        <v>-6.3506609044004669</v>
      </c>
    </row>
    <row r="43" spans="1:16" x14ac:dyDescent="0.2">
      <c r="A43" s="8">
        <v>20.5</v>
      </c>
      <c r="B43" s="8">
        <v>41</v>
      </c>
      <c r="D43">
        <v>611.36547811994001</v>
      </c>
      <c r="E43">
        <v>233.85089141005</v>
      </c>
      <c r="F43">
        <v>147.59624796085001</v>
      </c>
      <c r="G43">
        <v>122.3572593801</v>
      </c>
      <c r="I43" s="9">
        <f t="shared" si="1"/>
        <v>111.49363202994999</v>
      </c>
      <c r="J43" s="9">
        <f t="shared" si="2"/>
        <v>463.76923015909</v>
      </c>
      <c r="K43" s="9">
        <f t="shared" si="3"/>
        <v>111.49363202994999</v>
      </c>
      <c r="L43" s="10">
        <f t="shared" si="0"/>
        <v>0.24040756647805969</v>
      </c>
      <c r="M43" s="10">
        <f t="shared" si="4"/>
        <v>0.24070583014221764</v>
      </c>
      <c r="P43" s="8">
        <f t="shared" si="5"/>
        <v>-5.5968233654003958</v>
      </c>
    </row>
    <row r="44" spans="1:16" x14ac:dyDescent="0.2">
      <c r="A44" s="8">
        <v>21</v>
      </c>
      <c r="B44" s="8">
        <v>42</v>
      </c>
      <c r="D44">
        <v>623.17609046849998</v>
      </c>
      <c r="E44">
        <v>237.92245557351001</v>
      </c>
      <c r="F44">
        <v>147.29445350733999</v>
      </c>
      <c r="G44">
        <v>122.40783034258</v>
      </c>
      <c r="I44" s="9">
        <f t="shared" si="1"/>
        <v>115.51462523093001</v>
      </c>
      <c r="J44" s="9">
        <f t="shared" si="2"/>
        <v>475.88163696115998</v>
      </c>
      <c r="K44" s="9">
        <f t="shared" si="3"/>
        <v>115.51462523093001</v>
      </c>
      <c r="L44" s="10">
        <f t="shared" si="0"/>
        <v>0.2427381438136012</v>
      </c>
      <c r="M44" s="10">
        <f t="shared" si="4"/>
        <v>0.2430436822012752</v>
      </c>
      <c r="P44" s="8">
        <f t="shared" si="5"/>
        <v>-4.6799338129272554</v>
      </c>
    </row>
    <row r="45" spans="1:16" x14ac:dyDescent="0.2">
      <c r="A45" s="8">
        <v>21.5</v>
      </c>
      <c r="B45" s="8">
        <v>43</v>
      </c>
      <c r="D45">
        <v>618.43485342020006</v>
      </c>
      <c r="E45">
        <v>235.86400651465999</v>
      </c>
      <c r="F45">
        <v>147.65986949429001</v>
      </c>
      <c r="G45">
        <v>122.52854812398</v>
      </c>
      <c r="I45" s="9">
        <f t="shared" si="1"/>
        <v>113.33545839067999</v>
      </c>
      <c r="J45" s="9">
        <f t="shared" si="2"/>
        <v>470.77498392591008</v>
      </c>
      <c r="K45" s="9">
        <f t="shared" si="3"/>
        <v>113.33545839067999</v>
      </c>
      <c r="L45" s="10">
        <f t="shared" si="0"/>
        <v>0.24074231269798432</v>
      </c>
      <c r="M45" s="10">
        <f t="shared" si="4"/>
        <v>0.24105512580917438</v>
      </c>
      <c r="P45" s="8">
        <f t="shared" si="5"/>
        <v>-5.4598319991092898</v>
      </c>
    </row>
    <row r="46" spans="1:16" x14ac:dyDescent="0.2">
      <c r="A46" s="8">
        <v>22</v>
      </c>
      <c r="B46" s="8">
        <v>44</v>
      </c>
      <c r="D46">
        <v>607.01547231270001</v>
      </c>
      <c r="E46">
        <v>232.84446254072</v>
      </c>
      <c r="F46">
        <v>147.84013050570999</v>
      </c>
      <c r="G46">
        <v>122.30261011419</v>
      </c>
      <c r="I46" s="9">
        <f t="shared" si="1"/>
        <v>110.54185242653</v>
      </c>
      <c r="J46" s="9">
        <f t="shared" si="2"/>
        <v>459.17534180698999</v>
      </c>
      <c r="K46" s="9">
        <f t="shared" si="3"/>
        <v>110.54185242653</v>
      </c>
      <c r="L46" s="10">
        <f t="shared" si="0"/>
        <v>0.24073995783727259</v>
      </c>
      <c r="M46" s="10">
        <f t="shared" si="4"/>
        <v>0.24106004567197867</v>
      </c>
      <c r="P46" s="8">
        <f t="shared" si="5"/>
        <v>-5.4579024626412398</v>
      </c>
    </row>
    <row r="47" spans="1:16" x14ac:dyDescent="0.2">
      <c r="A47" s="8">
        <v>22.5</v>
      </c>
      <c r="B47" s="8">
        <v>45</v>
      </c>
      <c r="D47">
        <v>607.68562144598002</v>
      </c>
      <c r="E47">
        <v>234.19333874898999</v>
      </c>
      <c r="F47">
        <v>147.90783034258001</v>
      </c>
      <c r="G47">
        <v>122.35399673736001</v>
      </c>
      <c r="I47" s="9">
        <f t="shared" si="1"/>
        <v>111.83934201162998</v>
      </c>
      <c r="J47" s="9">
        <f t="shared" si="2"/>
        <v>459.77779110339998</v>
      </c>
      <c r="K47" s="9">
        <f t="shared" si="3"/>
        <v>111.83934201162998</v>
      </c>
      <c r="L47" s="10">
        <f t="shared" si="0"/>
        <v>0.2432465077167642</v>
      </c>
      <c r="M47" s="10">
        <f t="shared" si="4"/>
        <v>0.24357387027498634</v>
      </c>
      <c r="P47" s="8">
        <f t="shared" si="5"/>
        <v>-4.4719976846559195</v>
      </c>
    </row>
    <row r="48" spans="1:16" x14ac:dyDescent="0.2">
      <c r="A48" s="8">
        <v>23</v>
      </c>
      <c r="B48" s="8">
        <v>46</v>
      </c>
      <c r="D48">
        <v>614.96742671009997</v>
      </c>
      <c r="E48">
        <v>236.05537459282999</v>
      </c>
      <c r="F48">
        <v>147.84584013051</v>
      </c>
      <c r="G48">
        <v>122.8409461664</v>
      </c>
      <c r="I48" s="9">
        <f t="shared" si="1"/>
        <v>113.21442842642999</v>
      </c>
      <c r="J48" s="9">
        <f t="shared" si="2"/>
        <v>467.12158657958997</v>
      </c>
      <c r="K48" s="9">
        <f t="shared" si="3"/>
        <v>113.21442842642999</v>
      </c>
      <c r="L48" s="10">
        <f t="shared" si="0"/>
        <v>0.24236608129249895</v>
      </c>
      <c r="M48" s="10">
        <f t="shared" si="4"/>
        <v>0.24270071857423714</v>
      </c>
      <c r="P48" s="8">
        <f t="shared" si="5"/>
        <v>-4.8144417965659878</v>
      </c>
    </row>
    <row r="49" spans="1:25" x14ac:dyDescent="0.2">
      <c r="A49" s="8">
        <v>23.5</v>
      </c>
      <c r="B49" s="8">
        <v>47</v>
      </c>
      <c r="D49">
        <v>623.96834415583999</v>
      </c>
      <c r="E49">
        <v>239.00730519480999</v>
      </c>
      <c r="F49">
        <v>147.93474714518999</v>
      </c>
      <c r="G49">
        <v>122.6867862969</v>
      </c>
      <c r="I49" s="9">
        <f t="shared" si="1"/>
        <v>116.32051889790999</v>
      </c>
      <c r="J49" s="9">
        <f t="shared" si="2"/>
        <v>476.03359701065</v>
      </c>
      <c r="K49" s="9">
        <f t="shared" si="3"/>
        <v>116.32051889790999</v>
      </c>
      <c r="L49" s="10">
        <f t="shared" si="0"/>
        <v>0.24435359106661461</v>
      </c>
      <c r="M49" s="10">
        <f t="shared" si="4"/>
        <v>0.24469550307186885</v>
      </c>
      <c r="P49" s="8">
        <f t="shared" si="5"/>
        <v>-4.0321009900860414</v>
      </c>
    </row>
    <row r="50" spans="1:25" x14ac:dyDescent="0.2">
      <c r="A50" s="8">
        <v>24</v>
      </c>
      <c r="B50" s="8">
        <v>48</v>
      </c>
      <c r="D50">
        <v>639.88048780487998</v>
      </c>
      <c r="E50">
        <v>243.76585365854001</v>
      </c>
      <c r="F50">
        <v>147.67781402936001</v>
      </c>
      <c r="G50">
        <v>122.98123980424</v>
      </c>
      <c r="I50" s="9">
        <f t="shared" si="1"/>
        <v>120.78461385430001</v>
      </c>
      <c r="J50" s="9">
        <f t="shared" si="2"/>
        <v>492.20267377552</v>
      </c>
      <c r="K50" s="9">
        <f t="shared" si="3"/>
        <v>120.78461385430001</v>
      </c>
      <c r="L50" s="10">
        <f t="shared" si="0"/>
        <v>0.24539609451489189</v>
      </c>
      <c r="M50" s="10">
        <f t="shared" si="4"/>
        <v>0.24574528124366218</v>
      </c>
      <c r="P50" s="8">
        <f t="shared" si="5"/>
        <v>-3.6203851869399375</v>
      </c>
    </row>
    <row r="51" spans="1:25" x14ac:dyDescent="0.2">
      <c r="A51" s="8">
        <v>24.5</v>
      </c>
      <c r="B51" s="8">
        <v>49</v>
      </c>
      <c r="D51">
        <v>628.81951219511996</v>
      </c>
      <c r="E51">
        <v>243.00894308943001</v>
      </c>
      <c r="F51">
        <v>148.19004893964001</v>
      </c>
      <c r="G51">
        <v>123.05220228384999</v>
      </c>
      <c r="I51" s="9">
        <f t="shared" si="1"/>
        <v>119.95674080558001</v>
      </c>
      <c r="J51" s="9">
        <f t="shared" si="2"/>
        <v>480.62946325547995</v>
      </c>
      <c r="K51" s="9">
        <f t="shared" si="3"/>
        <v>119.95674080558001</v>
      </c>
      <c r="L51" s="10">
        <f t="shared" si="0"/>
        <v>0.24958257863150737</v>
      </c>
      <c r="M51" s="10">
        <f t="shared" si="4"/>
        <v>0.2499390400837937</v>
      </c>
      <c r="P51" s="8">
        <f t="shared" si="5"/>
        <v>-1.9756217164667282</v>
      </c>
    </row>
    <row r="52" spans="1:25" x14ac:dyDescent="0.2">
      <c r="A52" s="8">
        <v>25</v>
      </c>
      <c r="B52" s="8">
        <v>50</v>
      </c>
      <c r="D52">
        <v>642.24979789813995</v>
      </c>
      <c r="E52">
        <v>244.91350040419999</v>
      </c>
      <c r="F52">
        <v>147.77487765090001</v>
      </c>
      <c r="G52">
        <v>122.90701468189</v>
      </c>
      <c r="I52" s="9">
        <f t="shared" si="1"/>
        <v>122.00648572230999</v>
      </c>
      <c r="J52" s="9">
        <f t="shared" si="2"/>
        <v>494.47492024723994</v>
      </c>
      <c r="K52" s="9">
        <f t="shared" si="3"/>
        <v>122.00648572230999</v>
      </c>
      <c r="L52" s="10">
        <f t="shared" si="0"/>
        <v>0.24673948207789009</v>
      </c>
      <c r="M52" s="10">
        <f t="shared" si="4"/>
        <v>0.24710321825369247</v>
      </c>
      <c r="P52" s="8">
        <f t="shared" si="5"/>
        <v>-3.0878115997492666</v>
      </c>
    </row>
    <row r="53" spans="1:25" x14ac:dyDescent="0.2">
      <c r="A53" s="8">
        <v>25.5</v>
      </c>
      <c r="B53" s="8">
        <v>51</v>
      </c>
      <c r="D53">
        <v>643.08084074374005</v>
      </c>
      <c r="E53">
        <v>248.53435731609</v>
      </c>
      <c r="F53">
        <v>147.96329526917</v>
      </c>
      <c r="G53">
        <v>122.88336052202</v>
      </c>
      <c r="I53" s="9">
        <f t="shared" si="1"/>
        <v>125.65099679407</v>
      </c>
      <c r="J53" s="9">
        <f t="shared" si="2"/>
        <v>495.11754547457008</v>
      </c>
      <c r="K53" s="9">
        <f t="shared" si="3"/>
        <v>125.65099679407</v>
      </c>
      <c r="L53" s="10">
        <f t="shared" si="0"/>
        <v>0.25378013351078793</v>
      </c>
      <c r="M53" s="10">
        <f t="shared" si="4"/>
        <v>0.25415114441010633</v>
      </c>
      <c r="P53" s="8">
        <f t="shared" si="5"/>
        <v>-0.32366327206463169</v>
      </c>
      <c r="S53" s="11"/>
      <c r="U53" s="12"/>
    </row>
    <row r="54" spans="1:25" x14ac:dyDescent="0.2">
      <c r="A54" s="8">
        <v>26</v>
      </c>
      <c r="B54" s="8">
        <v>52</v>
      </c>
      <c r="D54">
        <v>628.12287793047994</v>
      </c>
      <c r="E54">
        <v>243.72675828618</v>
      </c>
      <c r="F54">
        <v>148.60603588907</v>
      </c>
      <c r="G54">
        <v>122.87601957586</v>
      </c>
      <c r="I54" s="9">
        <f t="shared" si="1"/>
        <v>120.85073871032</v>
      </c>
      <c r="J54" s="9">
        <f t="shared" si="2"/>
        <v>479.51684204140997</v>
      </c>
      <c r="K54" s="9">
        <f t="shared" si="3"/>
        <v>120.85073871032</v>
      </c>
      <c r="L54" s="10">
        <f t="shared" si="0"/>
        <v>0.25202605646932336</v>
      </c>
      <c r="M54" s="10">
        <f t="shared" si="4"/>
        <v>0.25240434209215784</v>
      </c>
      <c r="P54" s="8">
        <f t="shared" si="5"/>
        <v>-1.0087471674966142</v>
      </c>
      <c r="S54" s="11"/>
    </row>
    <row r="55" spans="1:25" x14ac:dyDescent="0.2">
      <c r="A55" s="8">
        <v>26.5</v>
      </c>
      <c r="B55" s="8">
        <v>53</v>
      </c>
      <c r="D55">
        <v>630.29021827000997</v>
      </c>
      <c r="E55">
        <v>246.37995149554999</v>
      </c>
      <c r="F55">
        <v>148.06525285481001</v>
      </c>
      <c r="G55">
        <v>123.11663947798</v>
      </c>
      <c r="I55" s="9">
        <f t="shared" si="1"/>
        <v>123.26331201756999</v>
      </c>
      <c r="J55" s="9">
        <f t="shared" si="2"/>
        <v>482.22496541519996</v>
      </c>
      <c r="K55" s="9">
        <f t="shared" si="3"/>
        <v>123.26331201756999</v>
      </c>
      <c r="L55" s="10">
        <f t="shared" si="0"/>
        <v>0.25561370907339726</v>
      </c>
      <c r="M55" s="10">
        <f t="shared" si="4"/>
        <v>0.25599926941974777</v>
      </c>
      <c r="P55" s="8">
        <f t="shared" si="5"/>
        <v>0.4011586885206968</v>
      </c>
      <c r="S55" s="11"/>
    </row>
    <row r="56" spans="1:25" x14ac:dyDescent="0.2">
      <c r="A56" s="8">
        <v>27</v>
      </c>
      <c r="B56" s="8">
        <v>54</v>
      </c>
      <c r="D56">
        <v>634.21746160065004</v>
      </c>
      <c r="E56">
        <v>246.86903799514999</v>
      </c>
      <c r="F56">
        <v>147.72593800979001</v>
      </c>
      <c r="G56">
        <v>122.73491027733</v>
      </c>
      <c r="I56" s="9">
        <f t="shared" si="1"/>
        <v>124.13412771781999</v>
      </c>
      <c r="J56" s="9">
        <f t="shared" si="2"/>
        <v>486.49152359086003</v>
      </c>
      <c r="K56" s="9">
        <f t="shared" si="3"/>
        <v>124.13412771781999</v>
      </c>
      <c r="L56" s="10">
        <f t="shared" si="0"/>
        <v>0.25516195390532015</v>
      </c>
      <c r="M56" s="10">
        <f t="shared" si="4"/>
        <v>0.25555478897518674</v>
      </c>
      <c r="P56" s="8">
        <f t="shared" si="5"/>
        <v>0.22683650490874185</v>
      </c>
      <c r="S56" s="11"/>
    </row>
    <row r="57" spans="1:25" x14ac:dyDescent="0.2">
      <c r="A57" s="8">
        <v>27.5</v>
      </c>
      <c r="B57" s="8">
        <v>55</v>
      </c>
      <c r="D57">
        <v>642.89894907032999</v>
      </c>
      <c r="E57">
        <v>249.17865804364999</v>
      </c>
      <c r="F57">
        <v>148.61419249592001</v>
      </c>
      <c r="G57">
        <v>122.82544861338</v>
      </c>
      <c r="I57" s="9">
        <f t="shared" si="1"/>
        <v>126.35320943026998</v>
      </c>
      <c r="J57" s="9">
        <f t="shared" si="2"/>
        <v>494.28475657440998</v>
      </c>
      <c r="K57" s="9">
        <f t="shared" si="3"/>
        <v>126.35320943026998</v>
      </c>
      <c r="L57" s="10">
        <f t="shared" si="0"/>
        <v>0.2556283756471634</v>
      </c>
      <c r="M57" s="10">
        <f t="shared" si="4"/>
        <v>0.25602848544054602</v>
      </c>
      <c r="P57" s="8">
        <f t="shared" si="5"/>
        <v>0.41261701161302827</v>
      </c>
      <c r="S57" s="11"/>
    </row>
    <row r="58" spans="1:25" x14ac:dyDescent="0.2">
      <c r="A58" s="8">
        <v>28</v>
      </c>
      <c r="B58" s="8">
        <v>56</v>
      </c>
      <c r="D58">
        <v>637.77687954729004</v>
      </c>
      <c r="E58">
        <v>249.57073565076999</v>
      </c>
      <c r="F58">
        <v>148.59624796085001</v>
      </c>
      <c r="G58">
        <v>123.34176182708001</v>
      </c>
      <c r="I58" s="9">
        <f t="shared" si="1"/>
        <v>126.22897382368998</v>
      </c>
      <c r="J58" s="9">
        <f t="shared" si="2"/>
        <v>489.18063158644003</v>
      </c>
      <c r="K58" s="9">
        <f t="shared" si="3"/>
        <v>126.22897382368998</v>
      </c>
      <c r="L58" s="10">
        <f t="shared" si="0"/>
        <v>0.25804164284739239</v>
      </c>
      <c r="M58" s="10">
        <f t="shared" si="4"/>
        <v>0.25844902736429104</v>
      </c>
      <c r="P58" s="8">
        <f t="shared" si="5"/>
        <v>1.3619369622089275</v>
      </c>
      <c r="S58" s="11"/>
    </row>
    <row r="59" spans="1:25" x14ac:dyDescent="0.2">
      <c r="A59" s="8">
        <v>28.5</v>
      </c>
      <c r="B59" s="8">
        <v>57</v>
      </c>
      <c r="D59">
        <v>645.40986257073996</v>
      </c>
      <c r="E59">
        <v>249.39450282943</v>
      </c>
      <c r="F59">
        <v>148.29934747145001</v>
      </c>
      <c r="G59">
        <v>123.03099510604</v>
      </c>
      <c r="I59" s="9">
        <f t="shared" si="1"/>
        <v>126.36350772339</v>
      </c>
      <c r="J59" s="9">
        <f t="shared" si="2"/>
        <v>497.11051509928996</v>
      </c>
      <c r="K59" s="9">
        <f t="shared" si="3"/>
        <v>126.36350772339</v>
      </c>
      <c r="L59" s="10">
        <f t="shared" si="0"/>
        <v>0.25419600649193852</v>
      </c>
      <c r="M59" s="10">
        <f t="shared" si="4"/>
        <v>0.25461066573235325</v>
      </c>
      <c r="P59" s="8">
        <f t="shared" si="5"/>
        <v>-0.14344215932378296</v>
      </c>
      <c r="R59" s="1"/>
      <c r="S59" s="11"/>
    </row>
    <row r="60" spans="1:25" x14ac:dyDescent="0.2">
      <c r="A60" s="8">
        <v>29</v>
      </c>
      <c r="B60" s="8">
        <v>58</v>
      </c>
      <c r="D60">
        <v>643.77364591753997</v>
      </c>
      <c r="E60">
        <v>250.09539207761</v>
      </c>
      <c r="F60">
        <v>147.92822185970999</v>
      </c>
      <c r="G60">
        <v>123.22104404568</v>
      </c>
      <c r="I60" s="9">
        <f t="shared" si="1"/>
        <v>126.87434803193</v>
      </c>
      <c r="J60" s="9">
        <f t="shared" si="2"/>
        <v>495.84542405782997</v>
      </c>
      <c r="K60" s="9">
        <f t="shared" si="3"/>
        <v>126.87434803193</v>
      </c>
      <c r="L60" s="10">
        <f t="shared" si="0"/>
        <v>0.25587479862904366</v>
      </c>
      <c r="M60" s="10">
        <f t="shared" si="4"/>
        <v>0.25629673259297442</v>
      </c>
      <c r="P60" s="8">
        <f t="shared" si="5"/>
        <v>0.5178217060629503</v>
      </c>
      <c r="S60" s="11"/>
    </row>
    <row r="61" spans="1:25" x14ac:dyDescent="0.2">
      <c r="A61" s="8">
        <v>29.5</v>
      </c>
      <c r="B61" s="8">
        <v>59</v>
      </c>
      <c r="C61" s="2"/>
      <c r="D61">
        <v>652.03556992723998</v>
      </c>
      <c r="E61">
        <v>248.69199676637001</v>
      </c>
      <c r="F61">
        <v>148.75203915170999</v>
      </c>
      <c r="G61">
        <v>123.08238172919999</v>
      </c>
      <c r="I61" s="9">
        <f t="shared" si="1"/>
        <v>125.60961503717002</v>
      </c>
      <c r="J61" s="9">
        <f t="shared" si="2"/>
        <v>503.28353077552998</v>
      </c>
      <c r="K61" s="9">
        <f t="shared" si="3"/>
        <v>125.60961503717002</v>
      </c>
      <c r="L61" s="10">
        <f t="shared" si="0"/>
        <v>0.24958022139848898</v>
      </c>
      <c r="M61" s="10">
        <f t="shared" si="4"/>
        <v>0.25000943008593579</v>
      </c>
      <c r="P61" s="8">
        <f t="shared" si="5"/>
        <v>-1.9480152401233675</v>
      </c>
      <c r="S61" s="11"/>
    </row>
    <row r="62" spans="1:25" x14ac:dyDescent="0.2">
      <c r="A62" s="8">
        <v>30</v>
      </c>
      <c r="B62" s="8">
        <v>60</v>
      </c>
      <c r="D62">
        <v>651.10994341148</v>
      </c>
      <c r="E62">
        <v>247.37995149554999</v>
      </c>
      <c r="F62">
        <v>148.55628058728001</v>
      </c>
      <c r="G62">
        <v>123.34991843393</v>
      </c>
      <c r="I62" s="9">
        <f t="shared" si="1"/>
        <v>124.03003306161999</v>
      </c>
      <c r="J62" s="9">
        <f t="shared" si="2"/>
        <v>502.55366282419999</v>
      </c>
      <c r="K62" s="9">
        <f t="shared" si="3"/>
        <v>124.03003306161999</v>
      </c>
      <c r="L62" s="10">
        <f t="shared" si="0"/>
        <v>0.2467995802967759</v>
      </c>
      <c r="M62" s="10">
        <f t="shared" si="4"/>
        <v>0.24723606370773876</v>
      </c>
      <c r="P62" s="8">
        <f t="shared" si="5"/>
        <v>-3.0357105232775168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653.38318512529997</v>
      </c>
      <c r="E63">
        <v>248.01212611156001</v>
      </c>
      <c r="F63">
        <v>148.48450244698</v>
      </c>
      <c r="G63">
        <v>123.11663947798</v>
      </c>
      <c r="I63" s="9">
        <f t="shared" si="1"/>
        <v>124.89548663358001</v>
      </c>
      <c r="J63" s="9">
        <f t="shared" si="2"/>
        <v>504.89868267831997</v>
      </c>
      <c r="K63" s="9">
        <f t="shared" si="3"/>
        <v>124.89548663358001</v>
      </c>
      <c r="L63" s="10">
        <f t="shared" si="0"/>
        <v>0.24736742423460267</v>
      </c>
      <c r="M63" s="10">
        <f t="shared" si="4"/>
        <v>0.24781118236908156</v>
      </c>
      <c r="P63" s="8">
        <f t="shared" si="5"/>
        <v>-2.8101529265191809</v>
      </c>
    </row>
    <row r="64" spans="1:25" x14ac:dyDescent="0.2">
      <c r="A64" s="8">
        <v>31</v>
      </c>
      <c r="B64" s="8">
        <v>62</v>
      </c>
      <c r="D64">
        <v>646.24575586095</v>
      </c>
      <c r="E64">
        <v>245.67825383994</v>
      </c>
      <c r="F64">
        <v>148.38336052202001</v>
      </c>
      <c r="G64">
        <v>123.01060358891</v>
      </c>
      <c r="I64" s="9">
        <f t="shared" si="1"/>
        <v>122.66765025103</v>
      </c>
      <c r="J64" s="9">
        <f t="shared" si="2"/>
        <v>497.86239533893001</v>
      </c>
      <c r="K64" s="9">
        <f t="shared" si="3"/>
        <v>122.66765025103</v>
      </c>
      <c r="L64" s="10">
        <f t="shared" si="0"/>
        <v>0.2463886636136105</v>
      </c>
      <c r="M64" s="10">
        <f t="shared" si="4"/>
        <v>0.24683969647160545</v>
      </c>
      <c r="P64" s="8">
        <f t="shared" si="5"/>
        <v>-3.1911630363419214</v>
      </c>
      <c r="U64" s="8">
        <v>30.5</v>
      </c>
      <c r="V64" s="10">
        <f>L62</f>
        <v>0.2467995802967759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662.58286176233003</v>
      </c>
      <c r="E65">
        <v>249.09943411479</v>
      </c>
      <c r="F65">
        <v>148.46329526917</v>
      </c>
      <c r="G65">
        <v>122.98776508972</v>
      </c>
      <c r="I65" s="9">
        <f t="shared" si="1"/>
        <v>126.11166902507</v>
      </c>
      <c r="J65" s="9">
        <f t="shared" si="2"/>
        <v>514.11956649316005</v>
      </c>
      <c r="K65" s="9">
        <f t="shared" si="3"/>
        <v>126.11166902507</v>
      </c>
      <c r="L65" s="10">
        <f t="shared" si="0"/>
        <v>0.24529638092804976</v>
      </c>
      <c r="M65" s="10">
        <f t="shared" si="4"/>
        <v>0.24575468850956075</v>
      </c>
      <c r="P65" s="8">
        <f t="shared" si="5"/>
        <v>-3.616695721737758</v>
      </c>
      <c r="U65" s="8">
        <v>31</v>
      </c>
      <c r="V65" s="10">
        <f t="shared" ref="V65:V83" si="6">L63</f>
        <v>0.24736742423460267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649.41612377850004</v>
      </c>
      <c r="E66">
        <v>248.32736156351999</v>
      </c>
      <c r="F66">
        <v>148.70065252854999</v>
      </c>
      <c r="G66">
        <v>122.97308319739</v>
      </c>
      <c r="I66" s="9">
        <f t="shared" si="1"/>
        <v>125.35427836612999</v>
      </c>
      <c r="J66" s="9">
        <f t="shared" si="2"/>
        <v>500.71547124995004</v>
      </c>
      <c r="K66" s="9">
        <f t="shared" si="3"/>
        <v>125.35427836612999</v>
      </c>
      <c r="L66" s="10">
        <f t="shared" ref="L66:L129" si="7">K66/J66</f>
        <v>0.2503503198197663</v>
      </c>
      <c r="M66" s="10">
        <f t="shared" si="4"/>
        <v>0.25081590212479332</v>
      </c>
      <c r="P66" s="8">
        <f t="shared" si="5"/>
        <v>-1.6317224345434165</v>
      </c>
      <c r="U66" s="8">
        <v>31.5</v>
      </c>
      <c r="V66" s="10">
        <f t="shared" si="6"/>
        <v>0.2463886636136105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647.52442996743002</v>
      </c>
      <c r="E67">
        <v>249.42589576546999</v>
      </c>
      <c r="F67">
        <v>148.00407830342999</v>
      </c>
      <c r="G67">
        <v>122.96574225121999</v>
      </c>
      <c r="I67" s="9">
        <f t="shared" ref="I67:I130" si="8">E67-G67</f>
        <v>126.46015351425</v>
      </c>
      <c r="J67" s="9">
        <f t="shared" ref="J67:J130" si="9">D67-F67</f>
        <v>499.52035166400003</v>
      </c>
      <c r="K67" s="9">
        <f t="shared" ref="K67:K130" si="10">I67*1</f>
        <v>126.46015351425</v>
      </c>
      <c r="L67" s="10">
        <f t="shared" si="7"/>
        <v>0.25316316561074337</v>
      </c>
      <c r="M67" s="10">
        <f t="shared" ref="M67:M130" si="11">L67+ABS($N$2)*A67</f>
        <v>0.25363602263928647</v>
      </c>
      <c r="P67" s="8">
        <f t="shared" ref="P67:P130" si="12">(M67-$O$2)/$O$2*100</f>
        <v>-0.52569049961580117</v>
      </c>
      <c r="U67" s="8">
        <v>32</v>
      </c>
      <c r="V67" s="10">
        <f t="shared" si="6"/>
        <v>0.24529638092804976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648.80048859935005</v>
      </c>
      <c r="E68">
        <v>248.9348534202</v>
      </c>
      <c r="F68">
        <v>148.63132137030999</v>
      </c>
      <c r="G68">
        <v>123.00734094617</v>
      </c>
      <c r="I68" s="9">
        <f t="shared" si="8"/>
        <v>125.92751247403</v>
      </c>
      <c r="J68" s="9">
        <f t="shared" si="9"/>
        <v>500.16916722904006</v>
      </c>
      <c r="K68" s="9">
        <f t="shared" si="10"/>
        <v>125.92751247403</v>
      </c>
      <c r="L68" s="10">
        <f t="shared" si="7"/>
        <v>0.25176984253482504</v>
      </c>
      <c r="M68" s="10">
        <f t="shared" si="11"/>
        <v>0.25224997428688417</v>
      </c>
      <c r="P68" s="8">
        <f t="shared" si="12"/>
        <v>-1.0692891625921861</v>
      </c>
      <c r="U68" s="8">
        <v>32.5</v>
      </c>
      <c r="V68" s="10">
        <f t="shared" si="6"/>
        <v>0.2503503198197663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648.69951140064995</v>
      </c>
      <c r="E69">
        <v>250.08794788274</v>
      </c>
      <c r="F69">
        <v>149.45024469821001</v>
      </c>
      <c r="G69">
        <v>123.40212071777999</v>
      </c>
      <c r="I69" s="9">
        <f t="shared" si="8"/>
        <v>126.68582716496</v>
      </c>
      <c r="J69" s="9">
        <f t="shared" si="9"/>
        <v>499.24926670243997</v>
      </c>
      <c r="K69" s="9">
        <f t="shared" si="10"/>
        <v>126.68582716496</v>
      </c>
      <c r="L69" s="10">
        <f t="shared" si="7"/>
        <v>0.2537526554655245</v>
      </c>
      <c r="M69" s="10">
        <f t="shared" si="11"/>
        <v>0.25424006194109966</v>
      </c>
      <c r="P69" s="8">
        <f t="shared" si="12"/>
        <v>-0.28879042590500215</v>
      </c>
      <c r="U69" s="8">
        <v>33</v>
      </c>
      <c r="V69" s="10">
        <f t="shared" si="6"/>
        <v>0.25316316561074337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648.92752442997005</v>
      </c>
      <c r="E70">
        <v>252.33306188924999</v>
      </c>
      <c r="F70">
        <v>148.80587275693</v>
      </c>
      <c r="G70">
        <v>122.61582381729001</v>
      </c>
      <c r="I70" s="9">
        <f t="shared" si="8"/>
        <v>129.71723807195997</v>
      </c>
      <c r="J70" s="9">
        <f t="shared" si="9"/>
        <v>500.12165167304005</v>
      </c>
      <c r="K70" s="9">
        <f t="shared" si="10"/>
        <v>129.71723807195997</v>
      </c>
      <c r="L70" s="10">
        <f t="shared" si="7"/>
        <v>0.25937137022166762</v>
      </c>
      <c r="M70" s="10">
        <f t="shared" si="11"/>
        <v>0.25986605142075886</v>
      </c>
      <c r="P70" s="8">
        <f t="shared" si="12"/>
        <v>1.9176840839931042</v>
      </c>
      <c r="U70" s="8">
        <v>33.5</v>
      </c>
      <c r="V70" s="10">
        <f t="shared" si="6"/>
        <v>0.25176984253482504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651.05028386050003</v>
      </c>
      <c r="E71">
        <v>254.18410381184</v>
      </c>
      <c r="F71">
        <v>148.66721044046</v>
      </c>
      <c r="G71">
        <v>123.50407830343001</v>
      </c>
      <c r="I71" s="9">
        <f t="shared" si="8"/>
        <v>130.68002550840998</v>
      </c>
      <c r="J71" s="9">
        <f t="shared" si="9"/>
        <v>502.38307342004003</v>
      </c>
      <c r="K71" s="9">
        <f t="shared" si="10"/>
        <v>130.68002550840998</v>
      </c>
      <c r="L71" s="10">
        <f t="shared" si="7"/>
        <v>0.26012027956831468</v>
      </c>
      <c r="M71" s="10">
        <f t="shared" si="11"/>
        <v>0.26062223549092195</v>
      </c>
      <c r="P71" s="8">
        <f t="shared" si="12"/>
        <v>2.2142542929560496</v>
      </c>
      <c r="U71" s="8">
        <v>34</v>
      </c>
      <c r="V71" s="10">
        <f t="shared" si="6"/>
        <v>0.2537526554655245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655.70578647107004</v>
      </c>
      <c r="E72">
        <v>255.90546047270001</v>
      </c>
      <c r="F72">
        <v>148.88254486133999</v>
      </c>
      <c r="G72">
        <v>123.43393148449999</v>
      </c>
      <c r="I72" s="9">
        <f t="shared" si="8"/>
        <v>132.47152898820002</v>
      </c>
      <c r="J72" s="9">
        <f t="shared" si="9"/>
        <v>506.82324160973008</v>
      </c>
      <c r="K72" s="9">
        <f t="shared" si="10"/>
        <v>132.47152898820002</v>
      </c>
      <c r="L72" s="10">
        <f t="shared" si="7"/>
        <v>0.26137619215617441</v>
      </c>
      <c r="M72" s="10">
        <f t="shared" si="11"/>
        <v>0.26188542280229776</v>
      </c>
      <c r="P72" s="8">
        <f t="shared" si="12"/>
        <v>2.7096676978076868</v>
      </c>
      <c r="U72" s="8">
        <v>34.5</v>
      </c>
      <c r="V72" s="10">
        <f t="shared" si="6"/>
        <v>0.25937137022166762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656.44934640523002</v>
      </c>
      <c r="E73">
        <v>255.74918300653999</v>
      </c>
      <c r="F73">
        <v>148.85562805872999</v>
      </c>
      <c r="G73">
        <v>123.69168026101001</v>
      </c>
      <c r="I73" s="9">
        <f t="shared" si="8"/>
        <v>132.05750274552997</v>
      </c>
      <c r="J73" s="9">
        <f t="shared" si="9"/>
        <v>507.59371834650005</v>
      </c>
      <c r="K73" s="9">
        <f t="shared" si="10"/>
        <v>132.05750274552997</v>
      </c>
      <c r="L73" s="10">
        <f t="shared" si="7"/>
        <v>0.26016378448439192</v>
      </c>
      <c r="M73" s="10">
        <f t="shared" si="11"/>
        <v>0.2606802898540313</v>
      </c>
      <c r="P73" s="8">
        <f t="shared" si="12"/>
        <v>2.2370228162268946</v>
      </c>
      <c r="U73" s="8">
        <v>35</v>
      </c>
      <c r="V73" s="10">
        <f t="shared" si="6"/>
        <v>0.26012027956831468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654.97549019608005</v>
      </c>
      <c r="E74">
        <v>254.18382352941001</v>
      </c>
      <c r="F74">
        <v>149.12398042414</v>
      </c>
      <c r="G74">
        <v>123.28384991842999</v>
      </c>
      <c r="I74" s="9">
        <f t="shared" si="8"/>
        <v>130.89997361098</v>
      </c>
      <c r="J74" s="9">
        <f t="shared" si="9"/>
        <v>505.85150977194007</v>
      </c>
      <c r="K74" s="9">
        <f t="shared" si="10"/>
        <v>130.89997361098</v>
      </c>
      <c r="L74" s="10">
        <f t="shared" si="7"/>
        <v>0.25877153884545173</v>
      </c>
      <c r="M74" s="10">
        <f t="shared" si="11"/>
        <v>0.25929531893860713</v>
      </c>
      <c r="P74" s="8">
        <f t="shared" si="12"/>
        <v>1.6938467166479128</v>
      </c>
      <c r="U74" s="8">
        <v>35.5</v>
      </c>
      <c r="V74" s="10">
        <f t="shared" si="6"/>
        <v>0.26137619215617441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659.09150326796998</v>
      </c>
      <c r="E75">
        <v>255.84232026143999</v>
      </c>
      <c r="F75">
        <v>148.76835236541999</v>
      </c>
      <c r="G75">
        <v>123.45513866232</v>
      </c>
      <c r="I75" s="9">
        <f t="shared" si="8"/>
        <v>132.38718159912</v>
      </c>
      <c r="J75" s="9">
        <f t="shared" si="9"/>
        <v>510.32315090254997</v>
      </c>
      <c r="K75" s="9">
        <f t="shared" si="10"/>
        <v>132.38718159912</v>
      </c>
      <c r="L75" s="10">
        <f t="shared" si="7"/>
        <v>0.25941833398109021</v>
      </c>
      <c r="M75" s="10">
        <f t="shared" si="11"/>
        <v>0.25994938879776169</v>
      </c>
      <c r="P75" s="8">
        <f t="shared" si="12"/>
        <v>1.9503684320075023</v>
      </c>
      <c r="U75" s="8">
        <v>36</v>
      </c>
      <c r="V75" s="10">
        <f t="shared" si="6"/>
        <v>0.26016378448439192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670.65114379085003</v>
      </c>
      <c r="E76">
        <v>259.22794117646998</v>
      </c>
      <c r="F76">
        <v>148.92251223490999</v>
      </c>
      <c r="G76">
        <v>123.37438825449</v>
      </c>
      <c r="I76" s="9">
        <f t="shared" si="8"/>
        <v>135.85355292198</v>
      </c>
      <c r="J76" s="9">
        <f t="shared" si="9"/>
        <v>521.72863155594007</v>
      </c>
      <c r="K76" s="9">
        <f t="shared" si="10"/>
        <v>135.85355292198</v>
      </c>
      <c r="L76" s="10">
        <f t="shared" si="7"/>
        <v>0.26039121624747114</v>
      </c>
      <c r="M76" s="10">
        <f t="shared" si="11"/>
        <v>0.26092954578765865</v>
      </c>
      <c r="P76" s="8">
        <f t="shared" si="12"/>
        <v>2.334779284840645</v>
      </c>
      <c r="U76" s="8">
        <v>36.5</v>
      </c>
      <c r="V76" s="10">
        <f t="shared" si="6"/>
        <v>0.25877153884545173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661.95684039087996</v>
      </c>
      <c r="E77">
        <v>257.40879478826997</v>
      </c>
      <c r="F77">
        <v>149.22022838499001</v>
      </c>
      <c r="G77">
        <v>123.67781402935999</v>
      </c>
      <c r="I77" s="9">
        <f t="shared" si="8"/>
        <v>133.73098075890999</v>
      </c>
      <c r="J77" s="9">
        <f t="shared" si="9"/>
        <v>512.73661200588992</v>
      </c>
      <c r="K77" s="9">
        <f t="shared" si="10"/>
        <v>133.73098075890999</v>
      </c>
      <c r="L77" s="10">
        <f t="shared" si="7"/>
        <v>0.26081808403682666</v>
      </c>
      <c r="M77" s="10">
        <f t="shared" si="11"/>
        <v>0.26136368830053025</v>
      </c>
      <c r="P77" s="8">
        <f t="shared" si="12"/>
        <v>2.5050470025066103</v>
      </c>
      <c r="U77" s="8">
        <v>37</v>
      </c>
      <c r="V77" s="10">
        <f t="shared" si="6"/>
        <v>0.25941833398109021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664.90635179153003</v>
      </c>
      <c r="E78">
        <v>254.58469055374999</v>
      </c>
      <c r="F78">
        <v>149.14355628058999</v>
      </c>
      <c r="G78">
        <v>123.52365415987001</v>
      </c>
      <c r="I78" s="9">
        <f t="shared" si="8"/>
        <v>131.06103639387999</v>
      </c>
      <c r="J78" s="9">
        <f t="shared" si="9"/>
        <v>515.76279551094001</v>
      </c>
      <c r="K78" s="9">
        <f t="shared" si="10"/>
        <v>131.06103639387999</v>
      </c>
      <c r="L78" s="10">
        <f t="shared" si="7"/>
        <v>0.2541110710865534</v>
      </c>
      <c r="M78" s="10">
        <f t="shared" si="11"/>
        <v>0.25466395007377302</v>
      </c>
      <c r="P78" s="8">
        <f t="shared" si="12"/>
        <v>-0.12254440586290229</v>
      </c>
      <c r="U78" s="8">
        <v>37.5</v>
      </c>
      <c r="V78" s="10">
        <f t="shared" si="6"/>
        <v>0.26039121624747114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655.10235580828999</v>
      </c>
      <c r="E79">
        <v>253.05930138099001</v>
      </c>
      <c r="F79">
        <v>149.35644371941001</v>
      </c>
      <c r="G79">
        <v>123.27243066884</v>
      </c>
      <c r="I79" s="9">
        <f t="shared" si="8"/>
        <v>129.78687071215001</v>
      </c>
      <c r="J79" s="9">
        <f t="shared" si="9"/>
        <v>505.74591208888</v>
      </c>
      <c r="K79" s="9">
        <f t="shared" si="10"/>
        <v>129.78687071215001</v>
      </c>
      <c r="L79" s="10">
        <f t="shared" si="7"/>
        <v>0.25662465599789408</v>
      </c>
      <c r="M79" s="10">
        <f t="shared" si="11"/>
        <v>0.25718480970862972</v>
      </c>
      <c r="P79" s="8">
        <f t="shared" si="12"/>
        <v>0.86611946339113577</v>
      </c>
      <c r="U79" s="8">
        <v>38</v>
      </c>
      <c r="V79" s="10">
        <f t="shared" si="6"/>
        <v>0.26081808403682666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655.19902518278002</v>
      </c>
      <c r="E80">
        <v>251.24126726239001</v>
      </c>
      <c r="F80">
        <v>149.04078303425999</v>
      </c>
      <c r="G80">
        <v>123.61011419250001</v>
      </c>
      <c r="I80" s="9">
        <f t="shared" si="8"/>
        <v>127.63115306989</v>
      </c>
      <c r="J80" s="9">
        <f t="shared" si="9"/>
        <v>506.15824214852</v>
      </c>
      <c r="K80" s="9">
        <f t="shared" si="10"/>
        <v>127.63115306989</v>
      </c>
      <c r="L80" s="10">
        <f t="shared" si="7"/>
        <v>0.25215662305157072</v>
      </c>
      <c r="M80" s="10">
        <f t="shared" si="11"/>
        <v>0.25272405148582244</v>
      </c>
      <c r="P80" s="8">
        <f t="shared" si="12"/>
        <v>-0.88335933478800122</v>
      </c>
      <c r="U80" s="8">
        <v>38.5</v>
      </c>
      <c r="V80" s="10">
        <f t="shared" si="6"/>
        <v>0.2541110710865534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652.98862713240999</v>
      </c>
      <c r="E81">
        <v>249.96994313566</v>
      </c>
      <c r="F81">
        <v>149.51305057095999</v>
      </c>
      <c r="G81">
        <v>123.49429037519999</v>
      </c>
      <c r="I81" s="9">
        <f t="shared" si="8"/>
        <v>126.47565276046001</v>
      </c>
      <c r="J81" s="9">
        <f t="shared" si="9"/>
        <v>503.47557656145</v>
      </c>
      <c r="K81" s="9">
        <f t="shared" si="10"/>
        <v>126.47565276046001</v>
      </c>
      <c r="L81" s="10">
        <f t="shared" si="7"/>
        <v>0.25120514012664019</v>
      </c>
      <c r="M81" s="10">
        <f t="shared" si="11"/>
        <v>0.25177984328440794</v>
      </c>
      <c r="P81" s="8">
        <f t="shared" si="12"/>
        <v>-1.2536713191936368</v>
      </c>
      <c r="U81" s="8">
        <v>39</v>
      </c>
      <c r="V81" s="10">
        <f t="shared" si="6"/>
        <v>0.25662465599789408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655.02924451665001</v>
      </c>
      <c r="E82">
        <v>251.42810722989</v>
      </c>
      <c r="F82">
        <v>149.82789559542999</v>
      </c>
      <c r="G82">
        <v>123.58482871126</v>
      </c>
      <c r="H82" s="13"/>
      <c r="I82" s="14">
        <f t="shared" si="8"/>
        <v>127.84327851863</v>
      </c>
      <c r="J82" s="14">
        <f t="shared" si="9"/>
        <v>505.20134892122002</v>
      </c>
      <c r="K82" s="9">
        <f t="shared" si="10"/>
        <v>127.84327851863</v>
      </c>
      <c r="L82" s="15">
        <f t="shared" si="7"/>
        <v>0.25305411157674007</v>
      </c>
      <c r="M82" s="15">
        <f t="shared" si="11"/>
        <v>0.25363608945802385</v>
      </c>
      <c r="N82" s="13"/>
      <c r="O82" s="13"/>
      <c r="P82" s="13">
        <f t="shared" si="12"/>
        <v>-0.52566429376501922</v>
      </c>
      <c r="U82" s="8">
        <v>39.5</v>
      </c>
      <c r="V82" s="10">
        <f t="shared" si="6"/>
        <v>0.25215662305157072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650.76685621445995</v>
      </c>
      <c r="E83">
        <v>249.57351746547999</v>
      </c>
      <c r="F83">
        <v>149.93719412723999</v>
      </c>
      <c r="G83">
        <v>123.14681892333</v>
      </c>
      <c r="I83" s="9">
        <f t="shared" si="8"/>
        <v>126.42669854214999</v>
      </c>
      <c r="J83" s="9">
        <f t="shared" si="9"/>
        <v>500.82966208721996</v>
      </c>
      <c r="K83" s="9">
        <f t="shared" si="10"/>
        <v>126.42669854214999</v>
      </c>
      <c r="L83" s="10">
        <f t="shared" si="7"/>
        <v>0.25243452637222724</v>
      </c>
      <c r="M83" s="10">
        <f t="shared" si="11"/>
        <v>0.2530237789770271</v>
      </c>
      <c r="P83" s="8">
        <f t="shared" si="12"/>
        <v>-0.76580826725581441</v>
      </c>
      <c r="U83" s="8">
        <v>40</v>
      </c>
      <c r="V83" s="10">
        <f t="shared" si="6"/>
        <v>0.25120514012664019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649.57189277011003</v>
      </c>
      <c r="E84">
        <v>249.58570268074999</v>
      </c>
      <c r="F84">
        <v>149.27569331158</v>
      </c>
      <c r="G84">
        <v>123.48939641109</v>
      </c>
      <c r="I84" s="9">
        <f t="shared" si="8"/>
        <v>126.09630626965999</v>
      </c>
      <c r="J84" s="9">
        <f t="shared" si="9"/>
        <v>500.29619945853005</v>
      </c>
      <c r="K84" s="9">
        <f t="shared" si="10"/>
        <v>126.09630626965999</v>
      </c>
      <c r="L84" s="10">
        <f t="shared" si="7"/>
        <v>0.25204330235994971</v>
      </c>
      <c r="M84" s="10">
        <f t="shared" si="11"/>
        <v>0.25263982968826559</v>
      </c>
      <c r="P84" s="8">
        <f t="shared" si="12"/>
        <v>-0.91639054648131635</v>
      </c>
      <c r="U84" s="8">
        <v>150.5</v>
      </c>
      <c r="V84" s="10">
        <f>L302</f>
        <v>0.25405689561922667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645.91307879773001</v>
      </c>
      <c r="E85">
        <v>248.83265637693</v>
      </c>
      <c r="F85">
        <v>149.68760195759</v>
      </c>
      <c r="G85">
        <v>124.00570962480001</v>
      </c>
      <c r="I85" s="9">
        <f t="shared" si="8"/>
        <v>124.82694675213</v>
      </c>
      <c r="J85" s="9">
        <f t="shared" si="9"/>
        <v>496.22547684014</v>
      </c>
      <c r="K85" s="9">
        <f t="shared" si="10"/>
        <v>124.82694675213</v>
      </c>
      <c r="L85" s="10">
        <f t="shared" si="7"/>
        <v>0.25155287783086405</v>
      </c>
      <c r="M85" s="10">
        <f t="shared" si="11"/>
        <v>0.25215667988269602</v>
      </c>
      <c r="P85" s="8">
        <f t="shared" si="12"/>
        <v>-1.1058785884170192</v>
      </c>
      <c r="U85" s="8">
        <v>151</v>
      </c>
      <c r="V85" s="10">
        <f t="shared" ref="V85:V103" si="13">L303</f>
        <v>0.25741873243109892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639.83103168156003</v>
      </c>
      <c r="E86">
        <v>248.47278635256001</v>
      </c>
      <c r="F86">
        <v>149.87846655791</v>
      </c>
      <c r="G86">
        <v>124.06362153344</v>
      </c>
      <c r="I86" s="9">
        <f t="shared" si="8"/>
        <v>124.40916481912001</v>
      </c>
      <c r="J86" s="9">
        <f t="shared" si="9"/>
        <v>489.95256512365006</v>
      </c>
      <c r="K86" s="9">
        <f t="shared" si="10"/>
        <v>124.40916481912001</v>
      </c>
      <c r="L86" s="10">
        <f t="shared" si="7"/>
        <v>0.25392083576034075</v>
      </c>
      <c r="M86" s="10">
        <f t="shared" si="11"/>
        <v>0.25453191253568874</v>
      </c>
      <c r="P86" s="8">
        <f t="shared" si="12"/>
        <v>-0.17432862323230575</v>
      </c>
      <c r="U86" s="8">
        <v>151.5</v>
      </c>
      <c r="V86" s="10">
        <f t="shared" si="13"/>
        <v>0.25427448247012435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663.21636952998006</v>
      </c>
      <c r="E87">
        <v>254.02350081037</v>
      </c>
      <c r="F87">
        <v>149.87765089723001</v>
      </c>
      <c r="G87">
        <v>123.65415986949</v>
      </c>
      <c r="I87" s="9">
        <f t="shared" si="8"/>
        <v>130.36934094087999</v>
      </c>
      <c r="J87" s="9">
        <f t="shared" si="9"/>
        <v>513.33871863274999</v>
      </c>
      <c r="K87" s="9">
        <f t="shared" si="10"/>
        <v>130.36934094087999</v>
      </c>
      <c r="L87" s="10">
        <f t="shared" si="7"/>
        <v>0.25396358429403437</v>
      </c>
      <c r="M87" s="10">
        <f t="shared" si="11"/>
        <v>0.2545819357928984</v>
      </c>
      <c r="P87" s="8">
        <f t="shared" si="12"/>
        <v>-0.1547098446451369</v>
      </c>
      <c r="U87" s="8">
        <v>152</v>
      </c>
      <c r="V87" s="10">
        <f t="shared" si="13"/>
        <v>0.25293012425868255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642.08434712083999</v>
      </c>
      <c r="E88">
        <v>247.60259529602999</v>
      </c>
      <c r="F88">
        <v>149.46818923327999</v>
      </c>
      <c r="G88">
        <v>123.95024469821</v>
      </c>
      <c r="I88" s="9">
        <f t="shared" si="8"/>
        <v>123.65235059781999</v>
      </c>
      <c r="J88" s="9">
        <f t="shared" si="9"/>
        <v>492.61615788756001</v>
      </c>
      <c r="K88" s="9">
        <f t="shared" si="10"/>
        <v>123.65235059781999</v>
      </c>
      <c r="L88" s="10">
        <f t="shared" si="7"/>
        <v>0.25101156066026509</v>
      </c>
      <c r="M88" s="10">
        <f t="shared" si="11"/>
        <v>0.25163718688264519</v>
      </c>
      <c r="P88" s="8">
        <f t="shared" si="12"/>
        <v>-1.3096201821094566</v>
      </c>
      <c r="U88" s="8">
        <v>152.5</v>
      </c>
      <c r="V88" s="10">
        <f t="shared" si="13"/>
        <v>0.25351316908391441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644.87621359222999</v>
      </c>
      <c r="E89">
        <v>247.96440129449999</v>
      </c>
      <c r="F89">
        <v>150.18433931485001</v>
      </c>
      <c r="G89">
        <v>123.71207177814</v>
      </c>
      <c r="I89" s="9">
        <f t="shared" si="8"/>
        <v>124.25232951635999</v>
      </c>
      <c r="J89" s="9">
        <f t="shared" si="9"/>
        <v>494.69187427737995</v>
      </c>
      <c r="K89" s="9">
        <f t="shared" si="10"/>
        <v>124.25232951635999</v>
      </c>
      <c r="L89" s="10">
        <f t="shared" si="7"/>
        <v>0.25117115517181537</v>
      </c>
      <c r="M89" s="10">
        <f t="shared" si="11"/>
        <v>0.25180405611771151</v>
      </c>
      <c r="P89" s="8">
        <f t="shared" si="12"/>
        <v>-1.2441752119417699</v>
      </c>
      <c r="U89" s="8">
        <v>153</v>
      </c>
      <c r="V89" s="10">
        <f t="shared" si="13"/>
        <v>0.2500945179470393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648.93689320388</v>
      </c>
      <c r="E90">
        <v>250.10032362460001</v>
      </c>
      <c r="F90">
        <v>150.29934747145001</v>
      </c>
      <c r="G90">
        <v>124.06606851550001</v>
      </c>
      <c r="I90" s="9">
        <f t="shared" si="8"/>
        <v>126.0342551091</v>
      </c>
      <c r="J90" s="9">
        <f t="shared" si="9"/>
        <v>498.63754573243</v>
      </c>
      <c r="K90" s="9">
        <f t="shared" si="10"/>
        <v>126.0342551091</v>
      </c>
      <c r="L90" s="10">
        <f t="shared" si="7"/>
        <v>0.25275725060769944</v>
      </c>
      <c r="M90" s="10">
        <f t="shared" si="11"/>
        <v>0.25339742627711159</v>
      </c>
      <c r="P90" s="8">
        <f t="shared" si="12"/>
        <v>-0.61926635737321423</v>
      </c>
      <c r="U90" s="8">
        <v>153.5</v>
      </c>
      <c r="V90" s="10">
        <f t="shared" si="13"/>
        <v>0.25611825100218177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650.50806451613005</v>
      </c>
      <c r="E91">
        <v>248.93145161289999</v>
      </c>
      <c r="F91">
        <v>150.42251223490999</v>
      </c>
      <c r="G91">
        <v>123.67944535073001</v>
      </c>
      <c r="I91" s="9">
        <f t="shared" si="8"/>
        <v>125.25200626216999</v>
      </c>
      <c r="J91" s="9">
        <f t="shared" si="9"/>
        <v>500.08555228122009</v>
      </c>
      <c r="K91" s="9">
        <f t="shared" si="10"/>
        <v>125.25200626216999</v>
      </c>
      <c r="L91" s="10">
        <f t="shared" si="7"/>
        <v>0.25046115747758152</v>
      </c>
      <c r="M91" s="10">
        <f t="shared" si="11"/>
        <v>0.25110860787050976</v>
      </c>
      <c r="P91" s="8">
        <f t="shared" si="12"/>
        <v>-1.5169252474603085</v>
      </c>
      <c r="U91" s="8">
        <v>154</v>
      </c>
      <c r="V91" s="10">
        <f t="shared" si="13"/>
        <v>0.25293743952435938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644.77983870968001</v>
      </c>
      <c r="E92">
        <v>248.39112903226001</v>
      </c>
      <c r="F92">
        <v>149.63050570963</v>
      </c>
      <c r="G92">
        <v>123.56362153344</v>
      </c>
      <c r="I92" s="9">
        <f t="shared" si="8"/>
        <v>124.82750749882001</v>
      </c>
      <c r="J92" s="9">
        <f t="shared" si="9"/>
        <v>495.14933300004998</v>
      </c>
      <c r="K92" s="9">
        <f t="shared" si="10"/>
        <v>124.82750749882001</v>
      </c>
      <c r="L92" s="10">
        <f t="shared" si="7"/>
        <v>0.2521007283651282</v>
      </c>
      <c r="M92" s="10">
        <f t="shared" si="11"/>
        <v>0.25275545348157247</v>
      </c>
      <c r="P92" s="8">
        <f t="shared" si="12"/>
        <v>-0.87104368730361337</v>
      </c>
      <c r="U92" s="8">
        <v>154.5</v>
      </c>
      <c r="V92" s="10">
        <f t="shared" si="13"/>
        <v>0.2535548268968747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663.84515077424999</v>
      </c>
      <c r="E93">
        <v>253.28606356968001</v>
      </c>
      <c r="F93">
        <v>150.22920065253001</v>
      </c>
      <c r="G93">
        <v>123.95758564437</v>
      </c>
      <c r="I93" s="9">
        <f t="shared" si="8"/>
        <v>129.32847792531001</v>
      </c>
      <c r="J93" s="9">
        <f t="shared" si="9"/>
        <v>513.61595012171995</v>
      </c>
      <c r="K93" s="9">
        <f t="shared" si="10"/>
        <v>129.32847792531001</v>
      </c>
      <c r="L93" s="10">
        <f t="shared" si="7"/>
        <v>0.25179996434040053</v>
      </c>
      <c r="M93" s="10">
        <f t="shared" si="11"/>
        <v>0.25246196418036088</v>
      </c>
      <c r="P93" s="8">
        <f t="shared" si="12"/>
        <v>-0.98614817948094524</v>
      </c>
      <c r="U93" s="8">
        <v>155</v>
      </c>
      <c r="V93" s="10">
        <f t="shared" si="13"/>
        <v>0.25657649194227655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664.04400977994999</v>
      </c>
      <c r="E94">
        <v>252.21515892420999</v>
      </c>
      <c r="F94">
        <v>149.86296900489</v>
      </c>
      <c r="G94">
        <v>123.57585644372</v>
      </c>
      <c r="I94" s="9">
        <f t="shared" si="8"/>
        <v>128.63930248048999</v>
      </c>
      <c r="J94" s="9">
        <f t="shared" si="9"/>
        <v>514.18104077505996</v>
      </c>
      <c r="K94" s="9">
        <f t="shared" si="10"/>
        <v>128.63930248048999</v>
      </c>
      <c r="L94" s="10">
        <f t="shared" si="7"/>
        <v>0.25018289722737197</v>
      </c>
      <c r="M94" s="10">
        <f t="shared" si="11"/>
        <v>0.25085217179084834</v>
      </c>
      <c r="P94" s="8">
        <f t="shared" si="12"/>
        <v>-1.6174977201314427</v>
      </c>
      <c r="U94" s="8">
        <v>155.5</v>
      </c>
      <c r="V94" s="10">
        <f t="shared" si="13"/>
        <v>0.25317193707665381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666.73431132843996</v>
      </c>
      <c r="E95">
        <v>252.17522412388001</v>
      </c>
      <c r="F95">
        <v>150.16884176183001</v>
      </c>
      <c r="G95">
        <v>123.46818923328</v>
      </c>
      <c r="I95" s="9">
        <f t="shared" si="8"/>
        <v>128.70703489060003</v>
      </c>
      <c r="J95" s="9">
        <f t="shared" si="9"/>
        <v>516.56546956660998</v>
      </c>
      <c r="K95" s="9">
        <f t="shared" si="10"/>
        <v>128.70703489060003</v>
      </c>
      <c r="L95" s="10">
        <f t="shared" si="7"/>
        <v>0.24915919176437235</v>
      </c>
      <c r="M95" s="10">
        <f t="shared" si="11"/>
        <v>0.24983574105136477</v>
      </c>
      <c r="P95" s="8">
        <f t="shared" si="12"/>
        <v>-2.0161348889096602</v>
      </c>
      <c r="U95" s="8">
        <v>156</v>
      </c>
      <c r="V95" s="10">
        <f t="shared" si="13"/>
        <v>0.25346298413175911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666.04156479218</v>
      </c>
      <c r="E96">
        <v>254.15240423797999</v>
      </c>
      <c r="F96">
        <v>150.16639477977</v>
      </c>
      <c r="G96">
        <v>123.8189233279</v>
      </c>
      <c r="I96" s="9">
        <f t="shared" si="8"/>
        <v>130.33348091008</v>
      </c>
      <c r="J96" s="9">
        <f t="shared" si="9"/>
        <v>515.87517001240997</v>
      </c>
      <c r="K96" s="9">
        <f t="shared" si="10"/>
        <v>130.33348091008</v>
      </c>
      <c r="L96" s="10">
        <f t="shared" si="7"/>
        <v>0.25264538494253302</v>
      </c>
      <c r="M96" s="10">
        <f t="shared" si="11"/>
        <v>0.25332920895304151</v>
      </c>
      <c r="P96" s="8">
        <f t="shared" si="12"/>
        <v>-0.64602072426961665</v>
      </c>
      <c r="U96" s="8">
        <v>156.5</v>
      </c>
      <c r="V96" s="10">
        <f t="shared" si="13"/>
        <v>0.24744547607659648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664.61043194783997</v>
      </c>
      <c r="E97">
        <v>252.53137734310999</v>
      </c>
      <c r="F97">
        <v>149.79526916802999</v>
      </c>
      <c r="G97">
        <v>124.15905383361</v>
      </c>
      <c r="I97" s="9">
        <f t="shared" si="8"/>
        <v>128.37232350950001</v>
      </c>
      <c r="J97" s="9">
        <f t="shared" si="9"/>
        <v>514.81516277980995</v>
      </c>
      <c r="K97" s="9">
        <f t="shared" si="10"/>
        <v>128.37232350950001</v>
      </c>
      <c r="L97" s="10">
        <f t="shared" si="7"/>
        <v>0.24935614331236344</v>
      </c>
      <c r="M97" s="10">
        <f t="shared" si="11"/>
        <v>0.25004724204638795</v>
      </c>
      <c r="P97" s="8">
        <f t="shared" si="12"/>
        <v>-1.9331856484206791</v>
      </c>
      <c r="U97" s="8">
        <v>157</v>
      </c>
      <c r="V97" s="10">
        <f t="shared" si="13"/>
        <v>0.25036100107942122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654.56539398863003</v>
      </c>
      <c r="E98">
        <v>249.35174654752001</v>
      </c>
      <c r="F98">
        <v>150.18597063621999</v>
      </c>
      <c r="G98">
        <v>123.88662316476</v>
      </c>
      <c r="I98" s="9">
        <f t="shared" si="8"/>
        <v>125.46512338276001</v>
      </c>
      <c r="J98" s="9">
        <f t="shared" si="9"/>
        <v>504.37942335241007</v>
      </c>
      <c r="K98" s="9">
        <f t="shared" si="10"/>
        <v>125.46512338276001</v>
      </c>
      <c r="L98" s="10">
        <f t="shared" si="7"/>
        <v>0.24875147076548657</v>
      </c>
      <c r="M98" s="10">
        <f t="shared" si="11"/>
        <v>0.24944984422302713</v>
      </c>
      <c r="P98" s="8">
        <f t="shared" si="12"/>
        <v>-2.1674809798072774</v>
      </c>
      <c r="U98" s="8">
        <v>157.5</v>
      </c>
      <c r="V98" s="10">
        <f t="shared" si="13"/>
        <v>0.25210906516150422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657.03411860276003</v>
      </c>
      <c r="E99">
        <v>250.89033306255001</v>
      </c>
      <c r="F99">
        <v>150.62316476346001</v>
      </c>
      <c r="G99">
        <v>123.89641109298999</v>
      </c>
      <c r="I99" s="9">
        <f t="shared" si="8"/>
        <v>126.99392196956002</v>
      </c>
      <c r="J99" s="9">
        <f t="shared" si="9"/>
        <v>506.41095383930002</v>
      </c>
      <c r="K99" s="9">
        <f t="shared" si="10"/>
        <v>126.99392196956002</v>
      </c>
      <c r="L99" s="10">
        <f t="shared" si="7"/>
        <v>0.25077246257564001</v>
      </c>
      <c r="M99" s="10">
        <f t="shared" si="11"/>
        <v>0.25147811075669663</v>
      </c>
      <c r="P99" s="8">
        <f t="shared" si="12"/>
        <v>-1.3720087482999701</v>
      </c>
      <c r="U99" s="8">
        <v>158</v>
      </c>
      <c r="V99" s="10">
        <f t="shared" si="13"/>
        <v>0.2531066726456902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651.65556458163996</v>
      </c>
      <c r="E100">
        <v>248.55808285946</v>
      </c>
      <c r="F100">
        <v>150.11908646002999</v>
      </c>
      <c r="G100">
        <v>124.02446982056</v>
      </c>
      <c r="I100" s="9">
        <f t="shared" si="8"/>
        <v>124.5336130389</v>
      </c>
      <c r="J100" s="9">
        <f t="shared" si="9"/>
        <v>501.53647812161</v>
      </c>
      <c r="K100" s="9">
        <f t="shared" si="10"/>
        <v>124.5336130389</v>
      </c>
      <c r="L100" s="10">
        <f t="shared" si="7"/>
        <v>0.2483041981419021</v>
      </c>
      <c r="M100" s="10">
        <f t="shared" si="11"/>
        <v>0.24901712104647478</v>
      </c>
      <c r="P100" s="8">
        <f t="shared" si="12"/>
        <v>-2.3371920434978444</v>
      </c>
      <c r="U100" s="8">
        <v>158.5</v>
      </c>
      <c r="V100" s="10">
        <f t="shared" si="13"/>
        <v>0.25087194640630839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659.01462225832995</v>
      </c>
      <c r="E101">
        <v>249.78960194963</v>
      </c>
      <c r="F101">
        <v>150.39559543230001</v>
      </c>
      <c r="G101">
        <v>124.22022838498999</v>
      </c>
      <c r="I101" s="9">
        <f t="shared" si="8"/>
        <v>125.56937356464</v>
      </c>
      <c r="J101" s="9">
        <f t="shared" si="9"/>
        <v>508.61902682602994</v>
      </c>
      <c r="K101" s="9">
        <f t="shared" si="10"/>
        <v>125.56937356464</v>
      </c>
      <c r="L101" s="10">
        <f t="shared" si="7"/>
        <v>0.24688296532719026</v>
      </c>
      <c r="M101" s="10">
        <f t="shared" si="11"/>
        <v>0.24760316295527895</v>
      </c>
      <c r="P101" s="8">
        <f t="shared" si="12"/>
        <v>-2.8917367147183728</v>
      </c>
      <c r="U101" s="8">
        <v>159</v>
      </c>
      <c r="V101" s="10">
        <f t="shared" si="13"/>
        <v>0.25358311103117948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660.93826157595004</v>
      </c>
      <c r="E102">
        <v>251.5239642567</v>
      </c>
      <c r="F102">
        <v>149.84176182708001</v>
      </c>
      <c r="G102">
        <v>124.14681892333</v>
      </c>
      <c r="I102" s="9">
        <f t="shared" si="8"/>
        <v>127.37714533337</v>
      </c>
      <c r="J102" s="9">
        <f t="shared" si="9"/>
        <v>511.09649974887003</v>
      </c>
      <c r="K102" s="9">
        <f t="shared" si="10"/>
        <v>127.37714533337</v>
      </c>
      <c r="L102" s="10">
        <f t="shared" si="7"/>
        <v>0.24922327857059759</v>
      </c>
      <c r="M102" s="10">
        <f t="shared" si="11"/>
        <v>0.24995075092220234</v>
      </c>
      <c r="P102" s="8">
        <f t="shared" si="12"/>
        <v>-1.9710288059162133</v>
      </c>
      <c r="U102" s="8">
        <v>159.5</v>
      </c>
      <c r="V102" s="10">
        <f t="shared" si="13"/>
        <v>0.24874885747287684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651.56067961165002</v>
      </c>
      <c r="E103">
        <v>249.96035598706001</v>
      </c>
      <c r="F103">
        <v>150.16884176183001</v>
      </c>
      <c r="G103">
        <v>124.04975530179</v>
      </c>
      <c r="I103" s="9">
        <f t="shared" si="8"/>
        <v>125.91060068527001</v>
      </c>
      <c r="J103" s="9">
        <f t="shared" si="9"/>
        <v>501.39183784982004</v>
      </c>
      <c r="K103" s="9">
        <f t="shared" si="10"/>
        <v>125.91060068527001</v>
      </c>
      <c r="L103" s="10">
        <f t="shared" si="7"/>
        <v>0.25112215871967092</v>
      </c>
      <c r="M103" s="10">
        <f t="shared" si="11"/>
        <v>0.2518569057947917</v>
      </c>
      <c r="P103" s="8">
        <f t="shared" si="12"/>
        <v>-1.223447930855412</v>
      </c>
      <c r="U103" s="8">
        <v>160</v>
      </c>
      <c r="V103" s="10">
        <f t="shared" si="13"/>
        <v>0.24862204080491881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656.19902912621001</v>
      </c>
      <c r="E104">
        <v>250.82847896440001</v>
      </c>
      <c r="F104">
        <v>150.17618270798999</v>
      </c>
      <c r="G104">
        <v>123.99265905383</v>
      </c>
      <c r="I104" s="9">
        <f t="shared" si="8"/>
        <v>126.83581991057001</v>
      </c>
      <c r="J104" s="9">
        <f t="shared" si="9"/>
        <v>506.02284641822001</v>
      </c>
      <c r="K104" s="9">
        <f t="shared" si="10"/>
        <v>126.83581991057001</v>
      </c>
      <c r="L104" s="10">
        <f t="shared" si="7"/>
        <v>0.25065235850189693</v>
      </c>
      <c r="M104" s="10">
        <f t="shared" si="11"/>
        <v>0.25139438030053379</v>
      </c>
      <c r="P104" s="8">
        <f t="shared" si="12"/>
        <v>-1.4048472592665113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659.41423948219995</v>
      </c>
      <c r="E105">
        <v>253.54692556634001</v>
      </c>
      <c r="F105">
        <v>150.52039151713001</v>
      </c>
      <c r="G105">
        <v>124.12642740619999</v>
      </c>
      <c r="I105" s="9">
        <f t="shared" si="8"/>
        <v>129.42049816014003</v>
      </c>
      <c r="J105" s="9">
        <f t="shared" si="9"/>
        <v>508.89384796506994</v>
      </c>
      <c r="K105" s="9">
        <f t="shared" si="10"/>
        <v>129.42049816014003</v>
      </c>
      <c r="L105" s="10">
        <f t="shared" si="7"/>
        <v>0.25431727791101799</v>
      </c>
      <c r="M105" s="10">
        <f t="shared" si="11"/>
        <v>0.25506657443317088</v>
      </c>
      <c r="P105" s="8">
        <f t="shared" si="12"/>
        <v>3.5362108055650793E-2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651.25688816855995</v>
      </c>
      <c r="E106">
        <v>252.12803889789001</v>
      </c>
      <c r="F106">
        <v>150.29200652528999</v>
      </c>
      <c r="G106">
        <v>124.1427406199</v>
      </c>
      <c r="I106" s="9">
        <f t="shared" si="8"/>
        <v>127.98529827799001</v>
      </c>
      <c r="J106" s="9">
        <f t="shared" si="9"/>
        <v>500.96488164326996</v>
      </c>
      <c r="K106" s="9">
        <f t="shared" si="10"/>
        <v>127.98529827799001</v>
      </c>
      <c r="L106" s="10">
        <f t="shared" si="7"/>
        <v>0.25547758529135089</v>
      </c>
      <c r="M106" s="10">
        <f t="shared" si="11"/>
        <v>0.25623415653701986</v>
      </c>
      <c r="P106" s="8">
        <f t="shared" si="12"/>
        <v>0.49327980585270542</v>
      </c>
      <c r="X106" s="8">
        <v>-13</v>
      </c>
    </row>
    <row r="107" spans="1:25" x14ac:dyDescent="0.2">
      <c r="A107" s="8">
        <v>52.5</v>
      </c>
      <c r="B107" s="8">
        <v>105</v>
      </c>
      <c r="D107">
        <v>649.65192926044995</v>
      </c>
      <c r="E107">
        <v>250.6808681672</v>
      </c>
      <c r="F107">
        <v>150.1484502447</v>
      </c>
      <c r="G107">
        <v>123.96655791191</v>
      </c>
      <c r="I107" s="9">
        <f t="shared" si="8"/>
        <v>126.71431025529</v>
      </c>
      <c r="J107" s="9">
        <f t="shared" si="9"/>
        <v>499.50347901574992</v>
      </c>
      <c r="K107" s="9">
        <f t="shared" si="10"/>
        <v>126.71431025529</v>
      </c>
      <c r="L107" s="10">
        <f t="shared" si="7"/>
        <v>0.25368053592934947</v>
      </c>
      <c r="M107" s="10">
        <f t="shared" si="11"/>
        <v>0.25444438189853447</v>
      </c>
      <c r="P107" s="8">
        <f t="shared" si="12"/>
        <v>-0.20865753913489105</v>
      </c>
      <c r="X107" s="8">
        <v>-13</v>
      </c>
    </row>
    <row r="108" spans="1:25" x14ac:dyDescent="0.2">
      <c r="A108" s="8">
        <v>53</v>
      </c>
      <c r="B108" s="8">
        <v>106</v>
      </c>
      <c r="D108">
        <v>645.57717041801004</v>
      </c>
      <c r="E108">
        <v>250.66720257234999</v>
      </c>
      <c r="F108">
        <v>150.16068515498</v>
      </c>
      <c r="G108">
        <v>124.22593800979</v>
      </c>
      <c r="I108" s="9">
        <f t="shared" si="8"/>
        <v>126.44126456255999</v>
      </c>
      <c r="J108" s="9">
        <f t="shared" si="9"/>
        <v>495.41648526303004</v>
      </c>
      <c r="K108" s="9">
        <f t="shared" si="10"/>
        <v>126.44126456255999</v>
      </c>
      <c r="L108" s="10">
        <f t="shared" si="7"/>
        <v>0.25522215817148053</v>
      </c>
      <c r="M108" s="10">
        <f t="shared" si="11"/>
        <v>0.25599327886418155</v>
      </c>
      <c r="P108" s="8">
        <f t="shared" si="12"/>
        <v>0.39880923369061361</v>
      </c>
      <c r="X108" s="8">
        <v>-13</v>
      </c>
    </row>
    <row r="109" spans="1:25" x14ac:dyDescent="0.2">
      <c r="A109" s="8">
        <v>53.5</v>
      </c>
      <c r="B109" s="8">
        <v>107</v>
      </c>
      <c r="D109">
        <v>607.95659163987</v>
      </c>
      <c r="E109">
        <v>245.86816720256999</v>
      </c>
      <c r="F109">
        <v>149.96737357258999</v>
      </c>
      <c r="G109">
        <v>123.66231647635</v>
      </c>
      <c r="I109" s="9">
        <f t="shared" si="8"/>
        <v>122.20585072621999</v>
      </c>
      <c r="J109" s="9">
        <f t="shared" si="9"/>
        <v>457.98921806728004</v>
      </c>
      <c r="K109" s="9">
        <f t="shared" si="10"/>
        <v>122.20585072621999</v>
      </c>
      <c r="L109" s="10">
        <f t="shared" si="7"/>
        <v>0.26683128315100985</v>
      </c>
      <c r="M109" s="10">
        <f t="shared" si="11"/>
        <v>0.26760967856722695</v>
      </c>
      <c r="P109" s="8">
        <f t="shared" si="12"/>
        <v>4.9546815712105641</v>
      </c>
      <c r="X109" s="8">
        <v>-13</v>
      </c>
    </row>
    <row r="110" spans="1:25" x14ac:dyDescent="0.2">
      <c r="A110" s="8">
        <v>54</v>
      </c>
      <c r="B110" s="8">
        <v>108</v>
      </c>
      <c r="D110">
        <v>648.23534201953998</v>
      </c>
      <c r="E110">
        <v>252.83306188924999</v>
      </c>
      <c r="F110">
        <v>149.86786296900999</v>
      </c>
      <c r="G110">
        <v>123.99755301795</v>
      </c>
      <c r="I110" s="9">
        <f t="shared" si="8"/>
        <v>128.83550887129999</v>
      </c>
      <c r="J110" s="9">
        <f t="shared" si="9"/>
        <v>498.36747905052999</v>
      </c>
      <c r="K110" s="9">
        <f t="shared" si="10"/>
        <v>128.83550887129999</v>
      </c>
      <c r="L110" s="10">
        <f t="shared" si="7"/>
        <v>0.25851508031132431</v>
      </c>
      <c r="M110" s="10">
        <f t="shared" si="11"/>
        <v>0.25930075045105744</v>
      </c>
      <c r="P110" s="8">
        <f t="shared" si="12"/>
        <v>1.6959769185999642</v>
      </c>
      <c r="X110" s="8">
        <v>-13</v>
      </c>
    </row>
    <row r="111" spans="1:25" x14ac:dyDescent="0.2">
      <c r="A111" s="8">
        <v>54.5</v>
      </c>
      <c r="B111" s="8">
        <v>109</v>
      </c>
      <c r="D111">
        <v>654.80456026059005</v>
      </c>
      <c r="E111">
        <v>253.69543973941001</v>
      </c>
      <c r="F111">
        <v>150.60929853181</v>
      </c>
      <c r="G111">
        <v>124.10032626427</v>
      </c>
      <c r="I111" s="9">
        <f t="shared" si="8"/>
        <v>129.59511347514001</v>
      </c>
      <c r="J111" s="9">
        <f t="shared" si="9"/>
        <v>504.19526172878005</v>
      </c>
      <c r="K111" s="9">
        <f t="shared" si="10"/>
        <v>129.59511347514001</v>
      </c>
      <c r="L111" s="10">
        <f t="shared" si="7"/>
        <v>0.25703358066235188</v>
      </c>
      <c r="M111" s="10">
        <f t="shared" si="11"/>
        <v>0.25782652552560104</v>
      </c>
      <c r="P111" s="8">
        <f t="shared" si="12"/>
        <v>1.1177960080887288</v>
      </c>
      <c r="X111" s="8">
        <v>-13</v>
      </c>
    </row>
    <row r="112" spans="1:25" x14ac:dyDescent="0.2">
      <c r="A112" s="8">
        <v>55</v>
      </c>
      <c r="B112" s="8">
        <v>110</v>
      </c>
      <c r="D112">
        <v>649.65855636659001</v>
      </c>
      <c r="E112">
        <v>251.14111922141001</v>
      </c>
      <c r="F112">
        <v>150.17047308319999</v>
      </c>
      <c r="G112">
        <v>124.03996737356999</v>
      </c>
      <c r="I112" s="9">
        <f t="shared" si="8"/>
        <v>127.10115184784001</v>
      </c>
      <c r="J112" s="9">
        <f t="shared" si="9"/>
        <v>499.48808328338998</v>
      </c>
      <c r="K112" s="9">
        <f t="shared" si="10"/>
        <v>127.10115184784001</v>
      </c>
      <c r="L112" s="10">
        <f t="shared" si="7"/>
        <v>0.25446283124982544</v>
      </c>
      <c r="M112" s="10">
        <f t="shared" si="11"/>
        <v>0.25526305083659068</v>
      </c>
      <c r="P112" s="8">
        <f t="shared" si="12"/>
        <v>0.11241880670566384</v>
      </c>
      <c r="X112" s="8">
        <v>-13</v>
      </c>
    </row>
    <row r="113" spans="1:24" x14ac:dyDescent="0.2">
      <c r="A113" s="8">
        <v>55.5</v>
      </c>
      <c r="B113" s="8">
        <v>111</v>
      </c>
      <c r="D113">
        <v>655.54987834550002</v>
      </c>
      <c r="E113">
        <v>252.29359286293999</v>
      </c>
      <c r="F113">
        <v>149.90456769983999</v>
      </c>
      <c r="G113">
        <v>124.35562805873001</v>
      </c>
      <c r="I113" s="9">
        <f t="shared" si="8"/>
        <v>127.93796480420998</v>
      </c>
      <c r="J113" s="9">
        <f t="shared" si="9"/>
        <v>505.64531064566006</v>
      </c>
      <c r="K113" s="9">
        <f t="shared" si="10"/>
        <v>127.93796480420998</v>
      </c>
      <c r="L113" s="10">
        <f t="shared" si="7"/>
        <v>0.25301918580209043</v>
      </c>
      <c r="M113" s="10">
        <f t="shared" si="11"/>
        <v>0.25382668011237169</v>
      </c>
      <c r="P113" s="8">
        <f t="shared" si="12"/>
        <v>-0.45091594555644893</v>
      </c>
      <c r="X113" s="8">
        <v>-13</v>
      </c>
    </row>
    <row r="114" spans="1:24" x14ac:dyDescent="0.2">
      <c r="A114" s="8">
        <v>56</v>
      </c>
      <c r="B114" s="8">
        <v>112</v>
      </c>
      <c r="D114">
        <v>657.82587469486998</v>
      </c>
      <c r="E114">
        <v>254.73148901546</v>
      </c>
      <c r="F114">
        <v>150.88907014681999</v>
      </c>
      <c r="G114">
        <v>123.955954323</v>
      </c>
      <c r="I114" s="9">
        <f t="shared" si="8"/>
        <v>130.77553469245998</v>
      </c>
      <c r="J114" s="9">
        <f t="shared" si="9"/>
        <v>506.93680454804996</v>
      </c>
      <c r="K114" s="9">
        <f t="shared" si="10"/>
        <v>130.77553469245998</v>
      </c>
      <c r="L114" s="10">
        <f t="shared" si="7"/>
        <v>0.25797206578648491</v>
      </c>
      <c r="M114" s="10">
        <f t="shared" si="11"/>
        <v>0.25878683482028225</v>
      </c>
      <c r="P114" s="8">
        <f t="shared" si="12"/>
        <v>1.4944227309066833</v>
      </c>
      <c r="X114" s="8">
        <v>-13</v>
      </c>
    </row>
    <row r="115" spans="1:24" x14ac:dyDescent="0.2">
      <c r="A115" s="8">
        <v>56.5</v>
      </c>
      <c r="B115" s="8">
        <v>113</v>
      </c>
      <c r="D115">
        <v>651.64210526316003</v>
      </c>
      <c r="E115">
        <v>252.81862348178001</v>
      </c>
      <c r="F115">
        <v>150.40130505709999</v>
      </c>
      <c r="G115">
        <v>124.15579119087</v>
      </c>
      <c r="I115" s="9">
        <f t="shared" si="8"/>
        <v>128.66283229090999</v>
      </c>
      <c r="J115" s="9">
        <f t="shared" si="9"/>
        <v>501.24080020606004</v>
      </c>
      <c r="K115" s="9">
        <f t="shared" si="10"/>
        <v>128.66283229090999</v>
      </c>
      <c r="L115" s="10">
        <f t="shared" si="7"/>
        <v>0.25668866588277872</v>
      </c>
      <c r="M115" s="10">
        <f t="shared" si="11"/>
        <v>0.25751070964009209</v>
      </c>
      <c r="P115" s="8">
        <f t="shared" si="12"/>
        <v>0.99393518259024449</v>
      </c>
      <c r="X115" s="8">
        <v>-13</v>
      </c>
    </row>
    <row r="116" spans="1:24" x14ac:dyDescent="0.2">
      <c r="A116" s="8">
        <v>57</v>
      </c>
      <c r="B116" s="8">
        <v>114</v>
      </c>
      <c r="D116">
        <v>651.11012145748998</v>
      </c>
      <c r="E116">
        <v>252.41700404858</v>
      </c>
      <c r="F116">
        <v>149.82544861337999</v>
      </c>
      <c r="G116">
        <v>124.1044045677</v>
      </c>
      <c r="I116" s="9">
        <f t="shared" si="8"/>
        <v>128.31259948088001</v>
      </c>
      <c r="J116" s="9">
        <f t="shared" si="9"/>
        <v>501.28467284410999</v>
      </c>
      <c r="K116" s="9">
        <f t="shared" si="10"/>
        <v>128.31259948088001</v>
      </c>
      <c r="L116" s="10">
        <f t="shared" si="7"/>
        <v>0.25596752989250637</v>
      </c>
      <c r="M116" s="10">
        <f t="shared" si="11"/>
        <v>0.25679684837333577</v>
      </c>
      <c r="P116" s="8">
        <f t="shared" si="12"/>
        <v>0.71396368701666757</v>
      </c>
      <c r="X116" s="8">
        <v>-13</v>
      </c>
    </row>
    <row r="117" spans="1:24" x14ac:dyDescent="0.2">
      <c r="A117" s="8">
        <v>57.5</v>
      </c>
      <c r="B117" s="8">
        <v>115</v>
      </c>
      <c r="D117">
        <v>661.16518218624003</v>
      </c>
      <c r="E117">
        <v>257.00566801618999</v>
      </c>
      <c r="F117">
        <v>150.77406199020999</v>
      </c>
      <c r="G117">
        <v>123.85970636215001</v>
      </c>
      <c r="I117" s="9">
        <f t="shared" si="8"/>
        <v>133.14596165403998</v>
      </c>
      <c r="J117" s="9">
        <f t="shared" si="9"/>
        <v>510.39112019603004</v>
      </c>
      <c r="K117" s="9">
        <f t="shared" si="10"/>
        <v>133.14596165403998</v>
      </c>
      <c r="L117" s="10">
        <f t="shared" si="7"/>
        <v>0.26087045088657013</v>
      </c>
      <c r="M117" s="10">
        <f t="shared" si="11"/>
        <v>0.26170704409091561</v>
      </c>
      <c r="P117" s="8">
        <f t="shared" si="12"/>
        <v>2.6397087899220222</v>
      </c>
      <c r="X117" s="8">
        <v>-13</v>
      </c>
    </row>
    <row r="118" spans="1:24" x14ac:dyDescent="0.2">
      <c r="A118" s="8">
        <v>58</v>
      </c>
      <c r="B118" s="8">
        <v>116</v>
      </c>
      <c r="D118">
        <v>649.46178861788997</v>
      </c>
      <c r="E118">
        <v>253.93008130081</v>
      </c>
      <c r="F118">
        <v>150.35399673736001</v>
      </c>
      <c r="G118">
        <v>123.97226753671001</v>
      </c>
      <c r="I118" s="9">
        <f t="shared" si="8"/>
        <v>129.9578137641</v>
      </c>
      <c r="J118" s="9">
        <f t="shared" si="9"/>
        <v>499.10779188052993</v>
      </c>
      <c r="K118" s="9">
        <f t="shared" si="10"/>
        <v>129.9578137641</v>
      </c>
      <c r="L118" s="10">
        <f t="shared" si="7"/>
        <v>0.2603802542822406</v>
      </c>
      <c r="M118" s="10">
        <f t="shared" si="11"/>
        <v>0.26122412221010211</v>
      </c>
      <c r="P118" s="8">
        <f t="shared" si="12"/>
        <v>2.4503101385133115</v>
      </c>
      <c r="X118" s="8">
        <v>-13</v>
      </c>
    </row>
    <row r="119" spans="1:24" x14ac:dyDescent="0.2">
      <c r="A119" s="8">
        <v>58.5</v>
      </c>
      <c r="B119" s="8">
        <v>117</v>
      </c>
      <c r="D119">
        <v>656.33902439023996</v>
      </c>
      <c r="E119">
        <v>258.00406504065</v>
      </c>
      <c r="F119">
        <v>150.13703099511</v>
      </c>
      <c r="G119">
        <v>123.5277324633</v>
      </c>
      <c r="I119" s="9">
        <f t="shared" si="8"/>
        <v>134.47633257735001</v>
      </c>
      <c r="J119" s="9">
        <f t="shared" si="9"/>
        <v>506.20199339512999</v>
      </c>
      <c r="K119" s="9">
        <f t="shared" si="10"/>
        <v>134.47633257735001</v>
      </c>
      <c r="L119" s="10">
        <f t="shared" si="7"/>
        <v>0.26565745360939497</v>
      </c>
      <c r="M119" s="10">
        <f t="shared" si="11"/>
        <v>0.26650859626077256</v>
      </c>
      <c r="P119" s="8">
        <f t="shared" si="12"/>
        <v>4.5228446381207776</v>
      </c>
      <c r="X119" s="8">
        <v>-13</v>
      </c>
    </row>
    <row r="120" spans="1:24" x14ac:dyDescent="0.2">
      <c r="A120" s="8">
        <v>59</v>
      </c>
      <c r="B120" s="8">
        <v>118</v>
      </c>
      <c r="D120">
        <v>657.23658536585003</v>
      </c>
      <c r="E120">
        <v>261.65528455284999</v>
      </c>
      <c r="F120">
        <v>150.23898858075</v>
      </c>
      <c r="G120">
        <v>123.81810766721</v>
      </c>
      <c r="I120" s="9">
        <f t="shared" si="8"/>
        <v>137.83717688563999</v>
      </c>
      <c r="J120" s="9">
        <f t="shared" si="9"/>
        <v>506.99759678510003</v>
      </c>
      <c r="K120" s="9">
        <f t="shared" si="10"/>
        <v>137.83717688563999</v>
      </c>
      <c r="L120" s="10">
        <f t="shared" si="7"/>
        <v>0.27186948766556923</v>
      </c>
      <c r="M120" s="10">
        <f t="shared" si="11"/>
        <v>0.27272790504046285</v>
      </c>
      <c r="P120" s="8">
        <f t="shared" si="12"/>
        <v>6.9620149105122913</v>
      </c>
      <c r="X120" s="8">
        <v>-13</v>
      </c>
    </row>
    <row r="121" spans="1:24" x14ac:dyDescent="0.2">
      <c r="A121" s="8">
        <v>59.5</v>
      </c>
      <c r="B121" s="8">
        <v>119</v>
      </c>
      <c r="D121">
        <v>654.27804878049005</v>
      </c>
      <c r="E121">
        <v>259.02276422763998</v>
      </c>
      <c r="F121">
        <v>150.51876019576</v>
      </c>
      <c r="G121">
        <v>124.14355628059</v>
      </c>
      <c r="I121" s="9">
        <f t="shared" si="8"/>
        <v>134.87920794704996</v>
      </c>
      <c r="J121" s="9">
        <f t="shared" si="9"/>
        <v>503.75928858473003</v>
      </c>
      <c r="K121" s="9">
        <f t="shared" si="10"/>
        <v>134.87920794704996</v>
      </c>
      <c r="L121" s="10">
        <f t="shared" si="7"/>
        <v>0.26774535180479136</v>
      </c>
      <c r="M121" s="10">
        <f t="shared" si="11"/>
        <v>0.26861104390320101</v>
      </c>
      <c r="P121" s="8">
        <f t="shared" si="12"/>
        <v>5.3474101919999786</v>
      </c>
      <c r="X121" s="8">
        <v>-13</v>
      </c>
    </row>
    <row r="122" spans="1:24" x14ac:dyDescent="0.2">
      <c r="A122" s="8">
        <v>60</v>
      </c>
      <c r="B122" s="8">
        <v>120</v>
      </c>
      <c r="D122">
        <v>627.72845528455002</v>
      </c>
      <c r="E122">
        <v>251.68455284552999</v>
      </c>
      <c r="F122">
        <v>150.19738988581</v>
      </c>
      <c r="G122">
        <v>123.68515497553</v>
      </c>
      <c r="I122" s="9">
        <f t="shared" si="8"/>
        <v>127.99939787</v>
      </c>
      <c r="J122" s="9">
        <f t="shared" si="9"/>
        <v>477.53106539874</v>
      </c>
      <c r="K122" s="9">
        <f t="shared" si="10"/>
        <v>127.99939787</v>
      </c>
      <c r="L122" s="10">
        <f t="shared" si="7"/>
        <v>0.26804412769066677</v>
      </c>
      <c r="M122" s="10">
        <f t="shared" si="11"/>
        <v>0.26891709451259249</v>
      </c>
      <c r="P122" s="8">
        <f t="shared" si="12"/>
        <v>5.4674411431424605</v>
      </c>
      <c r="X122" s="8">
        <v>-13</v>
      </c>
    </row>
    <row r="123" spans="1:24" x14ac:dyDescent="0.2">
      <c r="A123" s="8">
        <v>60.5</v>
      </c>
      <c r="B123" s="8">
        <v>121</v>
      </c>
      <c r="D123">
        <v>645.98863636364001</v>
      </c>
      <c r="E123">
        <v>253.95616883117</v>
      </c>
      <c r="F123">
        <v>150.21778140294001</v>
      </c>
      <c r="G123">
        <v>123.86786296901001</v>
      </c>
      <c r="I123" s="9">
        <f t="shared" si="8"/>
        <v>130.08830586215998</v>
      </c>
      <c r="J123" s="9">
        <f t="shared" si="9"/>
        <v>495.77085496070004</v>
      </c>
      <c r="K123" s="9">
        <f t="shared" si="10"/>
        <v>130.08830586215998</v>
      </c>
      <c r="L123" s="10">
        <f t="shared" si="7"/>
        <v>0.26239603349106139</v>
      </c>
      <c r="M123" s="10">
        <f t="shared" si="11"/>
        <v>0.26327627503650314</v>
      </c>
      <c r="P123" s="8">
        <f t="shared" si="12"/>
        <v>3.255150410298449</v>
      </c>
      <c r="X123" s="8">
        <v>-13</v>
      </c>
    </row>
    <row r="124" spans="1:24" x14ac:dyDescent="0.2">
      <c r="A124" s="8">
        <v>61</v>
      </c>
      <c r="B124" s="8">
        <v>122</v>
      </c>
      <c r="D124">
        <v>650.29951298700996</v>
      </c>
      <c r="E124">
        <v>255.68262987013</v>
      </c>
      <c r="F124">
        <v>149.6484502447</v>
      </c>
      <c r="G124">
        <v>123.82300163132</v>
      </c>
      <c r="I124" s="9">
        <f t="shared" si="8"/>
        <v>131.85962823880999</v>
      </c>
      <c r="J124" s="9">
        <f t="shared" si="9"/>
        <v>500.65106274230993</v>
      </c>
      <c r="K124" s="9">
        <f t="shared" si="10"/>
        <v>131.85962823880999</v>
      </c>
      <c r="L124" s="10">
        <f t="shared" si="7"/>
        <v>0.26337630747561092</v>
      </c>
      <c r="M124" s="10">
        <f t="shared" si="11"/>
        <v>0.26426382374456869</v>
      </c>
      <c r="P124" s="8">
        <f t="shared" si="12"/>
        <v>3.6424602443298926</v>
      </c>
      <c r="X124" s="8">
        <v>-13</v>
      </c>
    </row>
    <row r="125" spans="1:24" x14ac:dyDescent="0.2">
      <c r="A125" s="8">
        <v>61.5</v>
      </c>
      <c r="B125" s="8">
        <v>123</v>
      </c>
      <c r="D125">
        <v>641.77948303716005</v>
      </c>
      <c r="E125">
        <v>251.90872374797999</v>
      </c>
      <c r="F125">
        <v>150.35889070146999</v>
      </c>
      <c r="G125">
        <v>123.73246329526999</v>
      </c>
      <c r="I125" s="9">
        <f t="shared" si="8"/>
        <v>128.17626045270998</v>
      </c>
      <c r="J125" s="9">
        <f t="shared" si="9"/>
        <v>491.42059233569006</v>
      </c>
      <c r="K125" s="9">
        <f t="shared" si="10"/>
        <v>128.17626045270998</v>
      </c>
      <c r="L125" s="10">
        <f t="shared" si="7"/>
        <v>0.26082802074592881</v>
      </c>
      <c r="M125" s="10">
        <f t="shared" si="11"/>
        <v>0.26172281173840267</v>
      </c>
      <c r="P125" s="8">
        <f t="shared" si="12"/>
        <v>2.6458927531852048</v>
      </c>
      <c r="X125" s="8">
        <v>-13</v>
      </c>
    </row>
    <row r="126" spans="1:24" x14ac:dyDescent="0.2">
      <c r="A126" s="8">
        <v>62</v>
      </c>
      <c r="B126" s="8">
        <v>124</v>
      </c>
      <c r="D126">
        <v>652.79318734793003</v>
      </c>
      <c r="E126">
        <v>253.62368207623999</v>
      </c>
      <c r="F126">
        <v>149.70717781402999</v>
      </c>
      <c r="G126">
        <v>123.8792822186</v>
      </c>
      <c r="I126" s="9">
        <f t="shared" si="8"/>
        <v>129.74439985763999</v>
      </c>
      <c r="J126" s="9">
        <f t="shared" si="9"/>
        <v>503.08600953390004</v>
      </c>
      <c r="K126" s="9">
        <f t="shared" si="10"/>
        <v>129.74439985763999</v>
      </c>
      <c r="L126" s="10">
        <f t="shared" si="7"/>
        <v>0.25789705417935554</v>
      </c>
      <c r="M126" s="10">
        <f t="shared" si="11"/>
        <v>0.25879911989534543</v>
      </c>
      <c r="P126" s="8">
        <f t="shared" si="12"/>
        <v>1.4992408531369315</v>
      </c>
      <c r="X126" s="8">
        <v>-13</v>
      </c>
    </row>
    <row r="127" spans="1:24" x14ac:dyDescent="0.2">
      <c r="A127" s="8">
        <v>62.5</v>
      </c>
      <c r="B127" s="8">
        <v>125</v>
      </c>
      <c r="D127">
        <v>647.67343623070997</v>
      </c>
      <c r="E127">
        <v>250.55889520714999</v>
      </c>
      <c r="F127">
        <v>150.41924959216999</v>
      </c>
      <c r="G127">
        <v>123.75611745514</v>
      </c>
      <c r="I127" s="9">
        <f t="shared" si="8"/>
        <v>126.80277775200999</v>
      </c>
      <c r="J127" s="9">
        <f t="shared" si="9"/>
        <v>497.25418663853998</v>
      </c>
      <c r="K127" s="9">
        <f t="shared" si="10"/>
        <v>126.80277775200999</v>
      </c>
      <c r="L127" s="10">
        <f t="shared" si="7"/>
        <v>0.25500595301007378</v>
      </c>
      <c r="M127" s="10">
        <f t="shared" si="11"/>
        <v>0.25591529344957975</v>
      </c>
      <c r="P127" s="8">
        <f t="shared" si="12"/>
        <v>0.36822388864422884</v>
      </c>
      <c r="X127" s="8">
        <v>-13</v>
      </c>
    </row>
    <row r="128" spans="1:24" x14ac:dyDescent="0.2">
      <c r="A128" s="8">
        <v>63</v>
      </c>
      <c r="B128" s="8">
        <v>126</v>
      </c>
      <c r="D128">
        <v>653.56864337936997</v>
      </c>
      <c r="E128">
        <v>253.4224207961</v>
      </c>
      <c r="F128">
        <v>150.19331158238001</v>
      </c>
      <c r="G128">
        <v>124.06769983687001</v>
      </c>
      <c r="I128" s="9">
        <f t="shared" si="8"/>
        <v>129.35472095923001</v>
      </c>
      <c r="J128" s="9">
        <f t="shared" si="9"/>
        <v>503.37533179698994</v>
      </c>
      <c r="K128" s="9">
        <f t="shared" si="10"/>
        <v>129.35472095923001</v>
      </c>
      <c r="L128" s="10">
        <f t="shared" si="7"/>
        <v>0.25697469221912222</v>
      </c>
      <c r="M128" s="10">
        <f t="shared" si="11"/>
        <v>0.25789130738214422</v>
      </c>
      <c r="P128" s="8">
        <f t="shared" si="12"/>
        <v>1.1432030081699074</v>
      </c>
      <c r="X128" s="8">
        <v>-13</v>
      </c>
    </row>
    <row r="129" spans="1:24" x14ac:dyDescent="0.2">
      <c r="A129" s="8">
        <v>63.5</v>
      </c>
      <c r="B129" s="8">
        <v>127</v>
      </c>
      <c r="D129">
        <v>654.52396425669997</v>
      </c>
      <c r="E129">
        <v>254.54670999187999</v>
      </c>
      <c r="F129">
        <v>150.09787928221999</v>
      </c>
      <c r="G129">
        <v>123.73898858075</v>
      </c>
      <c r="I129" s="9">
        <f t="shared" si="8"/>
        <v>130.80772141112999</v>
      </c>
      <c r="J129" s="9">
        <f t="shared" si="9"/>
        <v>504.42608497447998</v>
      </c>
      <c r="K129" s="9">
        <f t="shared" si="10"/>
        <v>130.80772141112999</v>
      </c>
      <c r="L129" s="10">
        <f t="shared" si="7"/>
        <v>0.25931989900511954</v>
      </c>
      <c r="M129" s="10">
        <f t="shared" si="11"/>
        <v>0.26024378889165756</v>
      </c>
      <c r="P129" s="8">
        <f t="shared" si="12"/>
        <v>2.0658301308324671</v>
      </c>
      <c r="X129" s="8">
        <v>-13</v>
      </c>
    </row>
    <row r="130" spans="1:24" x14ac:dyDescent="0.2">
      <c r="A130" s="8">
        <v>64</v>
      </c>
      <c r="B130" s="8">
        <v>128</v>
      </c>
      <c r="D130">
        <v>642.78327922077995</v>
      </c>
      <c r="E130">
        <v>255.04951298700999</v>
      </c>
      <c r="F130">
        <v>149.93230016313001</v>
      </c>
      <c r="G130">
        <v>123.76590538336001</v>
      </c>
      <c r="I130" s="9">
        <f t="shared" si="8"/>
        <v>131.28360760364998</v>
      </c>
      <c r="J130" s="9">
        <f t="shared" si="9"/>
        <v>492.85097905764997</v>
      </c>
      <c r="K130" s="9">
        <f t="shared" si="10"/>
        <v>131.28360760364998</v>
      </c>
      <c r="L130" s="10">
        <f t="shared" ref="L130:L193" si="14">K130/J130</f>
        <v>0.26637586853265321</v>
      </c>
      <c r="M130" s="10">
        <f t="shared" si="11"/>
        <v>0.26730703314270732</v>
      </c>
      <c r="P130" s="8">
        <f t="shared" si="12"/>
        <v>4.8359861102335717</v>
      </c>
      <c r="X130" s="8">
        <v>-13</v>
      </c>
    </row>
    <row r="131" spans="1:24" x14ac:dyDescent="0.2">
      <c r="A131" s="8">
        <v>64.5</v>
      </c>
      <c r="B131" s="8">
        <v>129</v>
      </c>
      <c r="D131">
        <v>648.45432497979004</v>
      </c>
      <c r="E131">
        <v>256.25303152789002</v>
      </c>
      <c r="F131">
        <v>149.95595432299999</v>
      </c>
      <c r="G131">
        <v>123.89070146819</v>
      </c>
      <c r="I131" s="9">
        <f t="shared" ref="I131:I194" si="15">E131-G131</f>
        <v>132.36233005970001</v>
      </c>
      <c r="J131" s="9">
        <f t="shared" ref="J131:J194" si="16">D131-F131</f>
        <v>498.49837065679003</v>
      </c>
      <c r="K131" s="9">
        <f t="shared" ref="K131:K194" si="17">I131*1</f>
        <v>132.36233005970001</v>
      </c>
      <c r="L131" s="10">
        <f t="shared" si="14"/>
        <v>0.26552209164757701</v>
      </c>
      <c r="M131" s="10">
        <f t="shared" ref="M131:M181" si="18">L131+ABS($N$2)*A131</f>
        <v>0.26646053098114714</v>
      </c>
      <c r="P131" s="8">
        <f t="shared" ref="P131:P194" si="19">(M131-$O$2)/$O$2*100</f>
        <v>4.5039937649209509</v>
      </c>
      <c r="X131" s="8">
        <v>-13</v>
      </c>
    </row>
    <row r="132" spans="1:24" x14ac:dyDescent="0.2">
      <c r="A132" s="8">
        <v>65</v>
      </c>
      <c r="B132" s="8">
        <v>130</v>
      </c>
      <c r="D132">
        <v>643.27331711272996</v>
      </c>
      <c r="E132">
        <v>251.99107866991</v>
      </c>
      <c r="F132">
        <v>149.63458401304999</v>
      </c>
      <c r="G132">
        <v>123.64600326263999</v>
      </c>
      <c r="I132" s="9">
        <f t="shared" si="15"/>
        <v>128.34507540727</v>
      </c>
      <c r="J132" s="9">
        <f t="shared" si="16"/>
        <v>493.63873309967994</v>
      </c>
      <c r="K132" s="9">
        <f t="shared" si="17"/>
        <v>128.34507540727</v>
      </c>
      <c r="L132" s="10">
        <f t="shared" si="14"/>
        <v>0.2599979839534865</v>
      </c>
      <c r="M132" s="10">
        <f t="shared" si="18"/>
        <v>0.26094369801057266</v>
      </c>
      <c r="P132" s="8">
        <f t="shared" si="19"/>
        <v>2.3403296896593986</v>
      </c>
      <c r="X132" s="8">
        <v>-13</v>
      </c>
    </row>
    <row r="133" spans="1:24" x14ac:dyDescent="0.2">
      <c r="A133" s="8">
        <v>65.5</v>
      </c>
      <c r="B133" s="8">
        <v>131</v>
      </c>
      <c r="D133">
        <v>654.82952691679998</v>
      </c>
      <c r="E133">
        <v>255.38499184339</v>
      </c>
      <c r="F133">
        <v>149.91027732462999</v>
      </c>
      <c r="G133">
        <v>123.45513866232</v>
      </c>
      <c r="I133" s="9">
        <f t="shared" si="15"/>
        <v>131.92985318107</v>
      </c>
      <c r="J133" s="9">
        <f t="shared" si="16"/>
        <v>504.91924959216999</v>
      </c>
      <c r="K133" s="9">
        <f t="shared" si="17"/>
        <v>131.92985318107</v>
      </c>
      <c r="L133" s="10">
        <f t="shared" si="14"/>
        <v>0.26128901460507103</v>
      </c>
      <c r="M133" s="10">
        <f t="shared" si="18"/>
        <v>0.26224200338567327</v>
      </c>
      <c r="P133" s="8">
        <f t="shared" si="19"/>
        <v>2.8495161583828952</v>
      </c>
      <c r="X133" s="8">
        <v>-13</v>
      </c>
    </row>
    <row r="134" spans="1:24" x14ac:dyDescent="0.2">
      <c r="A134" s="8">
        <v>66</v>
      </c>
      <c r="B134" s="8">
        <v>132</v>
      </c>
      <c r="D134">
        <v>645.14192495921998</v>
      </c>
      <c r="E134">
        <v>252.14029363784999</v>
      </c>
      <c r="F134">
        <v>150.60603588907</v>
      </c>
      <c r="G134">
        <v>123.73898858075</v>
      </c>
      <c r="I134" s="9">
        <f t="shared" si="15"/>
        <v>128.40130505709999</v>
      </c>
      <c r="J134" s="9">
        <f t="shared" si="16"/>
        <v>494.53588907015001</v>
      </c>
      <c r="K134" s="9">
        <f t="shared" si="17"/>
        <v>128.40130505709999</v>
      </c>
      <c r="L134" s="10">
        <f t="shared" si="14"/>
        <v>0.25964001378853668</v>
      </c>
      <c r="M134" s="10">
        <f t="shared" si="18"/>
        <v>0.26060027729265495</v>
      </c>
      <c r="P134" s="8">
        <f t="shared" si="19"/>
        <v>2.205642438110853</v>
      </c>
      <c r="X134" s="8">
        <v>-13</v>
      </c>
    </row>
    <row r="135" spans="1:24" x14ac:dyDescent="0.2">
      <c r="A135" s="8">
        <v>66.5</v>
      </c>
      <c r="B135" s="8">
        <v>133</v>
      </c>
      <c r="D135">
        <v>647.40536149471995</v>
      </c>
      <c r="E135">
        <v>253.03249390739001</v>
      </c>
      <c r="F135">
        <v>150.36867862969001</v>
      </c>
      <c r="G135">
        <v>123.56933115824</v>
      </c>
      <c r="I135" s="9">
        <f t="shared" si="15"/>
        <v>129.46316274915</v>
      </c>
      <c r="J135" s="9">
        <f t="shared" si="16"/>
        <v>497.03668286502995</v>
      </c>
      <c r="K135" s="9">
        <f t="shared" si="17"/>
        <v>129.46316274915</v>
      </c>
      <c r="L135" s="10">
        <f t="shared" si="14"/>
        <v>0.26047003614078451</v>
      </c>
      <c r="M135" s="10">
        <f t="shared" si="18"/>
        <v>0.26143757436841886</v>
      </c>
      <c r="P135" s="8">
        <f t="shared" si="19"/>
        <v>2.5340246118715477</v>
      </c>
      <c r="X135" s="8">
        <v>-13</v>
      </c>
    </row>
    <row r="136" spans="1:24" x14ac:dyDescent="0.2">
      <c r="A136" s="8">
        <v>67</v>
      </c>
      <c r="B136" s="8">
        <v>134</v>
      </c>
      <c r="D136">
        <v>643.33925686590999</v>
      </c>
      <c r="E136">
        <v>248.96365105007999</v>
      </c>
      <c r="F136">
        <v>150.19738988581</v>
      </c>
      <c r="G136">
        <v>123.69412724307</v>
      </c>
      <c r="I136" s="9">
        <f t="shared" si="15"/>
        <v>125.26952380700999</v>
      </c>
      <c r="J136" s="9">
        <f t="shared" si="16"/>
        <v>493.14186698009996</v>
      </c>
      <c r="K136" s="9">
        <f t="shared" si="17"/>
        <v>125.26952380700999</v>
      </c>
      <c r="L136" s="10">
        <f t="shared" si="14"/>
        <v>0.25402329876012142</v>
      </c>
      <c r="M136" s="10">
        <f t="shared" si="18"/>
        <v>0.25499811171127179</v>
      </c>
      <c r="P136" s="8">
        <f t="shared" si="19"/>
        <v>8.5114978128229008E-3</v>
      </c>
      <c r="X136" s="8">
        <v>-13</v>
      </c>
    </row>
    <row r="137" spans="1:24" x14ac:dyDescent="0.2">
      <c r="A137" s="8">
        <v>67.5</v>
      </c>
      <c r="B137" s="8">
        <v>135</v>
      </c>
      <c r="D137">
        <v>649.81906300485002</v>
      </c>
      <c r="E137">
        <v>251.5</v>
      </c>
      <c r="F137">
        <v>149.75040783034001</v>
      </c>
      <c r="G137">
        <v>124.00244698205999</v>
      </c>
      <c r="I137" s="9">
        <f t="shared" si="15"/>
        <v>127.49755301794001</v>
      </c>
      <c r="J137" s="9">
        <f t="shared" si="16"/>
        <v>500.06865517451001</v>
      </c>
      <c r="K137" s="9">
        <f t="shared" si="17"/>
        <v>127.49755301794001</v>
      </c>
      <c r="L137" s="10">
        <f t="shared" si="14"/>
        <v>0.25496009737592312</v>
      </c>
      <c r="M137" s="10">
        <f t="shared" si="18"/>
        <v>0.25594218505058952</v>
      </c>
      <c r="P137" s="8">
        <f t="shared" si="19"/>
        <v>0.37877059022853471</v>
      </c>
      <c r="X137" s="8">
        <v>-13</v>
      </c>
    </row>
    <row r="138" spans="1:24" x14ac:dyDescent="0.2">
      <c r="A138" s="8">
        <v>68</v>
      </c>
      <c r="B138" s="8">
        <v>136</v>
      </c>
      <c r="D138">
        <v>648.87479806139004</v>
      </c>
      <c r="E138">
        <v>252.65347334410001</v>
      </c>
      <c r="F138">
        <v>150.10522022839001</v>
      </c>
      <c r="G138">
        <v>123.36949429038</v>
      </c>
      <c r="I138" s="9">
        <f t="shared" si="15"/>
        <v>129.28397905372</v>
      </c>
      <c r="J138" s="9">
        <f t="shared" si="16"/>
        <v>498.76957783300003</v>
      </c>
      <c r="K138" s="9">
        <f t="shared" si="17"/>
        <v>129.28397905372</v>
      </c>
      <c r="L138" s="10">
        <f t="shared" si="14"/>
        <v>0.25920582328902059</v>
      </c>
      <c r="M138" s="10">
        <f t="shared" si="18"/>
        <v>0.26019518568720307</v>
      </c>
      <c r="P138" s="8">
        <f t="shared" si="19"/>
        <v>2.0467682872019504</v>
      </c>
      <c r="X138" s="8">
        <v>-13</v>
      </c>
    </row>
    <row r="139" spans="1:24" x14ac:dyDescent="0.2">
      <c r="A139" s="8">
        <v>68.5</v>
      </c>
      <c r="B139" s="8">
        <v>137</v>
      </c>
      <c r="D139">
        <v>641.89579967689997</v>
      </c>
      <c r="E139">
        <v>251.06704361874</v>
      </c>
      <c r="F139">
        <v>149.76264274062001</v>
      </c>
      <c r="G139">
        <v>124.00897226754</v>
      </c>
      <c r="I139" s="9">
        <f t="shared" si="15"/>
        <v>127.0580713512</v>
      </c>
      <c r="J139" s="9">
        <f t="shared" si="16"/>
        <v>492.13315693627999</v>
      </c>
      <c r="K139" s="9">
        <f t="shared" si="17"/>
        <v>127.0580713512</v>
      </c>
      <c r="L139" s="10">
        <f t="shared" si="14"/>
        <v>0.25817823806505102</v>
      </c>
      <c r="M139" s="10">
        <f t="shared" si="18"/>
        <v>0.25917487518674953</v>
      </c>
      <c r="P139" s="8">
        <f t="shared" si="19"/>
        <v>1.6466095027656023</v>
      </c>
      <c r="X139" s="8">
        <v>-13</v>
      </c>
    </row>
    <row r="140" spans="1:24" x14ac:dyDescent="0.2">
      <c r="A140" s="8">
        <v>69</v>
      </c>
      <c r="B140" s="8">
        <v>138</v>
      </c>
      <c r="D140">
        <v>631.37479806139004</v>
      </c>
      <c r="E140">
        <v>250.26494345718999</v>
      </c>
      <c r="F140">
        <v>150.20962479609</v>
      </c>
      <c r="G140">
        <v>123.6427406199</v>
      </c>
      <c r="I140" s="9">
        <f t="shared" si="15"/>
        <v>126.62220283728999</v>
      </c>
      <c r="J140" s="9">
        <f t="shared" si="16"/>
        <v>481.16517326530004</v>
      </c>
      <c r="K140" s="9">
        <f t="shared" si="17"/>
        <v>126.62220283728999</v>
      </c>
      <c r="L140" s="10">
        <f t="shared" si="14"/>
        <v>0.26315745584411676</v>
      </c>
      <c r="M140" s="10">
        <f t="shared" si="18"/>
        <v>0.26416136768933135</v>
      </c>
      <c r="P140" s="8">
        <f t="shared" si="19"/>
        <v>3.6022776817632094</v>
      </c>
      <c r="X140" s="8">
        <v>-13</v>
      </c>
    </row>
    <row r="141" spans="1:24" x14ac:dyDescent="0.2">
      <c r="A141" s="8">
        <v>69.5</v>
      </c>
      <c r="B141" s="8">
        <v>139</v>
      </c>
      <c r="D141">
        <v>641.06443719413005</v>
      </c>
      <c r="E141">
        <v>250.89151712886999</v>
      </c>
      <c r="F141">
        <v>150.39885807504001</v>
      </c>
      <c r="G141">
        <v>123.53181076672</v>
      </c>
      <c r="I141" s="9">
        <f t="shared" si="15"/>
        <v>127.35970636214999</v>
      </c>
      <c r="J141" s="9">
        <f t="shared" si="16"/>
        <v>490.66557911909001</v>
      </c>
      <c r="K141" s="9">
        <f t="shared" si="17"/>
        <v>127.35970636214999</v>
      </c>
      <c r="L141" s="10">
        <f t="shared" si="14"/>
        <v>0.25956519426286956</v>
      </c>
      <c r="M141" s="10">
        <f t="shared" si="18"/>
        <v>0.26057638083160017</v>
      </c>
      <c r="P141" s="8">
        <f t="shared" si="19"/>
        <v>2.1962704098863481</v>
      </c>
      <c r="X141" s="8">
        <v>-13</v>
      </c>
    </row>
    <row r="142" spans="1:24" x14ac:dyDescent="0.2">
      <c r="A142" s="8">
        <v>70</v>
      </c>
      <c r="B142" s="8">
        <v>140</v>
      </c>
      <c r="D142">
        <v>643.98137651822003</v>
      </c>
      <c r="E142">
        <v>252.94898785424999</v>
      </c>
      <c r="F142">
        <v>149.72593800979001</v>
      </c>
      <c r="G142">
        <v>123.59380097879</v>
      </c>
      <c r="I142" s="9">
        <f t="shared" si="15"/>
        <v>129.35518687545999</v>
      </c>
      <c r="J142" s="9">
        <f t="shared" si="16"/>
        <v>494.25543850843002</v>
      </c>
      <c r="K142" s="9">
        <f t="shared" si="17"/>
        <v>129.35518687545999</v>
      </c>
      <c r="L142" s="10">
        <f t="shared" si="14"/>
        <v>0.26171727571846176</v>
      </c>
      <c r="M142" s="10">
        <f t="shared" si="18"/>
        <v>0.2627357370107084</v>
      </c>
      <c r="P142" s="8">
        <f t="shared" si="19"/>
        <v>3.0431551017649219</v>
      </c>
      <c r="X142" s="8">
        <v>-13</v>
      </c>
    </row>
    <row r="143" spans="1:24" x14ac:dyDescent="0.2">
      <c r="A143" s="8">
        <v>70.5</v>
      </c>
      <c r="B143" s="8">
        <v>141</v>
      </c>
      <c r="D143">
        <v>661.07287449393004</v>
      </c>
      <c r="E143">
        <v>261.69068825911</v>
      </c>
      <c r="F143">
        <v>150.33605220228</v>
      </c>
      <c r="G143">
        <v>123.53425774878001</v>
      </c>
      <c r="I143" s="9">
        <f t="shared" si="15"/>
        <v>138.15643051032998</v>
      </c>
      <c r="J143" s="9">
        <f t="shared" si="16"/>
        <v>510.73682229165001</v>
      </c>
      <c r="K143" s="9">
        <f t="shared" si="17"/>
        <v>138.15643051032998</v>
      </c>
      <c r="L143" s="10">
        <f t="shared" si="14"/>
        <v>0.27050415102327874</v>
      </c>
      <c r="M143" s="10">
        <f t="shared" si="18"/>
        <v>0.27152988703904146</v>
      </c>
      <c r="P143" s="8">
        <f t="shared" si="19"/>
        <v>6.4921604623138771</v>
      </c>
      <c r="X143" s="8">
        <v>-13</v>
      </c>
    </row>
    <row r="144" spans="1:24" x14ac:dyDescent="0.2">
      <c r="A144" s="8">
        <v>71</v>
      </c>
      <c r="B144" s="8">
        <v>142</v>
      </c>
      <c r="D144">
        <v>655.88771358828001</v>
      </c>
      <c r="E144">
        <v>264.90805532953999</v>
      </c>
      <c r="F144">
        <v>150.33278955954</v>
      </c>
      <c r="G144">
        <v>123.63866231647999</v>
      </c>
      <c r="I144" s="9">
        <f t="shared" si="15"/>
        <v>141.26939301305998</v>
      </c>
      <c r="J144" s="9">
        <f t="shared" si="16"/>
        <v>505.55492402874</v>
      </c>
      <c r="K144" s="9">
        <f t="shared" si="17"/>
        <v>141.26939301305998</v>
      </c>
      <c r="L144" s="10">
        <f t="shared" si="14"/>
        <v>0.27943431326371382</v>
      </c>
      <c r="M144" s="10">
        <f t="shared" si="18"/>
        <v>0.28046732400299257</v>
      </c>
      <c r="P144" s="8">
        <f t="shared" si="19"/>
        <v>9.9973619768346289</v>
      </c>
    </row>
    <row r="145" spans="1:16" x14ac:dyDescent="0.2">
      <c r="A145" s="8">
        <v>71.5</v>
      </c>
      <c r="B145" s="8">
        <v>143</v>
      </c>
      <c r="D145">
        <v>654.93409275833994</v>
      </c>
      <c r="E145">
        <v>264.59397884459003</v>
      </c>
      <c r="F145">
        <v>150.37846655791</v>
      </c>
      <c r="G145">
        <v>123.45187601958</v>
      </c>
      <c r="I145" s="9">
        <f t="shared" si="15"/>
        <v>141.14210282501003</v>
      </c>
      <c r="J145" s="9">
        <f t="shared" si="16"/>
        <v>504.55562620042997</v>
      </c>
      <c r="K145" s="9">
        <f t="shared" si="17"/>
        <v>141.14210282501003</v>
      </c>
      <c r="L145" s="10">
        <f t="shared" si="14"/>
        <v>0.2797354652209203</v>
      </c>
      <c r="M145" s="10">
        <f t="shared" si="18"/>
        <v>0.28077575068371508</v>
      </c>
      <c r="P145" s="8">
        <f t="shared" si="19"/>
        <v>10.118324806866068</v>
      </c>
    </row>
    <row r="146" spans="1:16" x14ac:dyDescent="0.2">
      <c r="A146" s="8">
        <v>72</v>
      </c>
      <c r="B146" s="8">
        <v>144</v>
      </c>
      <c r="D146">
        <v>641.78681855166997</v>
      </c>
      <c r="E146">
        <v>263.62408462164001</v>
      </c>
      <c r="F146">
        <v>150.38499184339</v>
      </c>
      <c r="G146">
        <v>123.46574225121999</v>
      </c>
      <c r="I146" s="9">
        <f t="shared" si="15"/>
        <v>140.15834237042003</v>
      </c>
      <c r="J146" s="9">
        <f t="shared" si="16"/>
        <v>491.40182670827994</v>
      </c>
      <c r="K146" s="9">
        <f t="shared" si="17"/>
        <v>140.15834237042003</v>
      </c>
      <c r="L146" s="10">
        <f t="shared" si="14"/>
        <v>0.2852214516769081</v>
      </c>
      <c r="M146" s="10">
        <f t="shared" si="18"/>
        <v>0.28626901186321896</v>
      </c>
      <c r="P146" s="8">
        <f t="shared" si="19"/>
        <v>12.272744187245422</v>
      </c>
    </row>
    <row r="147" spans="1:16" x14ac:dyDescent="0.2">
      <c r="A147" s="8">
        <v>72.5</v>
      </c>
      <c r="B147" s="8">
        <v>145</v>
      </c>
      <c r="D147">
        <v>653.61097461097995</v>
      </c>
      <c r="E147">
        <v>267.51515151515002</v>
      </c>
      <c r="F147">
        <v>150.03181076672001</v>
      </c>
      <c r="G147">
        <v>123.15334420881</v>
      </c>
      <c r="I147" s="9">
        <f t="shared" si="15"/>
        <v>144.36180730634004</v>
      </c>
      <c r="J147" s="9">
        <f t="shared" si="16"/>
        <v>503.57916384425994</v>
      </c>
      <c r="K147" s="9">
        <f t="shared" si="17"/>
        <v>144.36180730634004</v>
      </c>
      <c r="L147" s="10">
        <f t="shared" si="14"/>
        <v>0.28667152589138156</v>
      </c>
      <c r="M147" s="10">
        <f t="shared" si="18"/>
        <v>0.28772636080120845</v>
      </c>
      <c r="P147" s="8">
        <f t="shared" si="19"/>
        <v>12.844306451150628</v>
      </c>
    </row>
    <row r="148" spans="1:16" x14ac:dyDescent="0.2">
      <c r="A148" s="8">
        <v>73</v>
      </c>
      <c r="B148" s="8">
        <v>146</v>
      </c>
      <c r="D148">
        <v>652.03931203930995</v>
      </c>
      <c r="E148">
        <v>270.26535626536003</v>
      </c>
      <c r="F148">
        <v>149.77569331158</v>
      </c>
      <c r="G148">
        <v>123.76019575856</v>
      </c>
      <c r="I148" s="9">
        <f t="shared" si="15"/>
        <v>146.50516050680002</v>
      </c>
      <c r="J148" s="9">
        <f t="shared" si="16"/>
        <v>502.26361872772998</v>
      </c>
      <c r="K148" s="9">
        <f t="shared" si="17"/>
        <v>146.50516050680002</v>
      </c>
      <c r="L148" s="10">
        <f t="shared" si="14"/>
        <v>0.29168977215174013</v>
      </c>
      <c r="M148" s="10">
        <f t="shared" si="18"/>
        <v>0.2927518817850831</v>
      </c>
      <c r="P148" s="8">
        <f t="shared" si="19"/>
        <v>14.815281332985847</v>
      </c>
    </row>
    <row r="149" spans="1:16" x14ac:dyDescent="0.2">
      <c r="A149" s="8">
        <v>73.5</v>
      </c>
      <c r="B149" s="8">
        <v>147</v>
      </c>
      <c r="D149">
        <v>638.55310457515998</v>
      </c>
      <c r="E149">
        <v>266.12990196077999</v>
      </c>
      <c r="F149">
        <v>150.25203915170999</v>
      </c>
      <c r="G149">
        <v>123.80424143556</v>
      </c>
      <c r="I149" s="9">
        <f t="shared" si="15"/>
        <v>142.32566052521997</v>
      </c>
      <c r="J149" s="9">
        <f t="shared" si="16"/>
        <v>488.30106542344998</v>
      </c>
      <c r="K149" s="9">
        <f t="shared" si="17"/>
        <v>142.32566052521997</v>
      </c>
      <c r="L149" s="10">
        <f t="shared" si="14"/>
        <v>0.29147112427820843</v>
      </c>
      <c r="M149" s="10">
        <f t="shared" si="18"/>
        <v>0.29254050863506742</v>
      </c>
      <c r="P149" s="8">
        <f t="shared" si="19"/>
        <v>14.732382232432476</v>
      </c>
    </row>
    <row r="150" spans="1:16" x14ac:dyDescent="0.2">
      <c r="A150" s="8">
        <v>74</v>
      </c>
      <c r="B150" s="8">
        <v>148</v>
      </c>
      <c r="D150">
        <v>648.41390460792002</v>
      </c>
      <c r="E150">
        <v>271.98544866613003</v>
      </c>
      <c r="F150">
        <v>150.13295269168</v>
      </c>
      <c r="G150">
        <v>123.6810766721</v>
      </c>
      <c r="I150" s="9">
        <f t="shared" si="15"/>
        <v>148.30437199403002</v>
      </c>
      <c r="J150" s="9">
        <f t="shared" si="16"/>
        <v>498.28095191624004</v>
      </c>
      <c r="K150" s="9">
        <f t="shared" si="17"/>
        <v>148.30437199403002</v>
      </c>
      <c r="L150" s="10">
        <f t="shared" si="14"/>
        <v>0.29763203153501172</v>
      </c>
      <c r="M150" s="10">
        <f t="shared" si="18"/>
        <v>0.29870869061538674</v>
      </c>
      <c r="P150" s="8">
        <f t="shared" si="19"/>
        <v>17.151500924565514</v>
      </c>
    </row>
    <row r="151" spans="1:16" x14ac:dyDescent="0.2">
      <c r="A151" s="8">
        <v>74.5</v>
      </c>
      <c r="B151" s="8">
        <v>149</v>
      </c>
      <c r="D151">
        <v>653.80274858529003</v>
      </c>
      <c r="E151">
        <v>274.32821341955997</v>
      </c>
      <c r="F151">
        <v>149.64355628058999</v>
      </c>
      <c r="G151">
        <v>123.94208809135</v>
      </c>
      <c r="I151" s="9">
        <f t="shared" si="15"/>
        <v>150.38612532820997</v>
      </c>
      <c r="J151" s="9">
        <f t="shared" si="16"/>
        <v>504.15919230470001</v>
      </c>
      <c r="K151" s="9">
        <f t="shared" si="17"/>
        <v>150.38612532820997</v>
      </c>
      <c r="L151" s="10">
        <f t="shared" si="14"/>
        <v>0.29829095179389431</v>
      </c>
      <c r="M151" s="10">
        <f t="shared" si="18"/>
        <v>0.29937488559778541</v>
      </c>
      <c r="P151" s="8">
        <f t="shared" si="19"/>
        <v>17.412778030148324</v>
      </c>
    </row>
    <row r="152" spans="1:16" x14ac:dyDescent="0.2">
      <c r="A152" s="8">
        <v>75</v>
      </c>
      <c r="B152" s="8">
        <v>150</v>
      </c>
      <c r="D152">
        <v>652.47857720290995</v>
      </c>
      <c r="E152">
        <v>276.27809215845002</v>
      </c>
      <c r="F152">
        <v>149.53588907015001</v>
      </c>
      <c r="G152">
        <v>123.5277324633</v>
      </c>
      <c r="I152" s="9">
        <f t="shared" si="15"/>
        <v>152.75035969515002</v>
      </c>
      <c r="J152" s="9">
        <f t="shared" si="16"/>
        <v>502.94268813275994</v>
      </c>
      <c r="K152" s="9">
        <f t="shared" si="17"/>
        <v>152.75035969515002</v>
      </c>
      <c r="L152" s="10">
        <f t="shared" si="14"/>
        <v>0.30371325262179588</v>
      </c>
      <c r="M152" s="10">
        <f t="shared" si="18"/>
        <v>0.30480446114920301</v>
      </c>
      <c r="P152" s="8">
        <f t="shared" si="19"/>
        <v>19.542220343733064</v>
      </c>
    </row>
    <row r="153" spans="1:16" x14ac:dyDescent="0.2">
      <c r="A153" s="8">
        <v>75.5</v>
      </c>
      <c r="B153" s="8">
        <v>151</v>
      </c>
      <c r="D153">
        <v>654.00889248180999</v>
      </c>
      <c r="E153">
        <v>283.68633791431</v>
      </c>
      <c r="F153">
        <v>150.02854812397999</v>
      </c>
      <c r="G153">
        <v>123.8352365416</v>
      </c>
      <c r="I153" s="9">
        <f t="shared" si="15"/>
        <v>159.85110137270999</v>
      </c>
      <c r="J153" s="9">
        <f t="shared" si="16"/>
        <v>503.98034435783001</v>
      </c>
      <c r="K153" s="9">
        <f t="shared" si="17"/>
        <v>159.85110137270999</v>
      </c>
      <c r="L153" s="10">
        <f t="shared" si="14"/>
        <v>0.3171772533637035</v>
      </c>
      <c r="M153" s="10">
        <f t="shared" si="18"/>
        <v>0.31827573661462666</v>
      </c>
      <c r="P153" s="8">
        <f t="shared" si="19"/>
        <v>24.825562240787871</v>
      </c>
    </row>
    <row r="154" spans="1:16" x14ac:dyDescent="0.2">
      <c r="A154" s="8">
        <v>76</v>
      </c>
      <c r="B154" s="8">
        <v>152</v>
      </c>
      <c r="D154">
        <v>653.58752025931994</v>
      </c>
      <c r="E154">
        <v>285.11507293354998</v>
      </c>
      <c r="F154">
        <v>149.68433931485001</v>
      </c>
      <c r="G154">
        <v>123.83849918433999</v>
      </c>
      <c r="I154" s="9">
        <f t="shared" si="15"/>
        <v>161.27657374921</v>
      </c>
      <c r="J154" s="9">
        <f t="shared" si="16"/>
        <v>503.90318094446991</v>
      </c>
      <c r="K154" s="9">
        <f t="shared" si="17"/>
        <v>161.27657374921</v>
      </c>
      <c r="L154" s="10">
        <f t="shared" si="14"/>
        <v>0.32005468480458482</v>
      </c>
      <c r="M154" s="10">
        <f t="shared" si="18"/>
        <v>0.32116044277902406</v>
      </c>
      <c r="P154" s="8">
        <f t="shared" si="19"/>
        <v>25.956924224897797</v>
      </c>
    </row>
    <row r="155" spans="1:16" x14ac:dyDescent="0.2">
      <c r="A155" s="8">
        <v>76.5</v>
      </c>
      <c r="B155" s="8">
        <v>153</v>
      </c>
      <c r="D155">
        <v>652.12884927067</v>
      </c>
      <c r="E155">
        <v>285.88978930308002</v>
      </c>
      <c r="F155">
        <v>149.92495921697</v>
      </c>
      <c r="G155">
        <v>123.52528548124</v>
      </c>
      <c r="I155" s="9">
        <f t="shared" si="15"/>
        <v>162.36450382184</v>
      </c>
      <c r="J155" s="9">
        <f t="shared" si="16"/>
        <v>502.20389005369998</v>
      </c>
      <c r="K155" s="9">
        <f t="shared" si="17"/>
        <v>162.36450382184</v>
      </c>
      <c r="L155" s="10">
        <f t="shared" si="14"/>
        <v>0.32330395490261654</v>
      </c>
      <c r="M155" s="10">
        <f t="shared" si="18"/>
        <v>0.3244169876005718</v>
      </c>
      <c r="P155" s="8">
        <f t="shared" si="19"/>
        <v>27.234118781529116</v>
      </c>
    </row>
    <row r="156" spans="1:16" x14ac:dyDescent="0.2">
      <c r="A156" s="8">
        <v>77</v>
      </c>
      <c r="B156" s="8">
        <v>154</v>
      </c>
      <c r="D156">
        <v>636.42544570502002</v>
      </c>
      <c r="E156">
        <v>278.79659643436003</v>
      </c>
      <c r="F156">
        <v>149.59053833605</v>
      </c>
      <c r="G156">
        <v>123.56280587275999</v>
      </c>
      <c r="I156" s="9">
        <f t="shared" si="15"/>
        <v>155.23379056160002</v>
      </c>
      <c r="J156" s="9">
        <f t="shared" si="16"/>
        <v>486.83490736896999</v>
      </c>
      <c r="K156" s="9">
        <f t="shared" si="17"/>
        <v>155.23379056160002</v>
      </c>
      <c r="L156" s="10">
        <f t="shared" si="14"/>
        <v>0.31886331117983907</v>
      </c>
      <c r="M156" s="10">
        <f t="shared" si="18"/>
        <v>0.31998361860131042</v>
      </c>
      <c r="P156" s="8">
        <f t="shared" si="19"/>
        <v>25.495381849081937</v>
      </c>
    </row>
    <row r="157" spans="1:16" x14ac:dyDescent="0.2">
      <c r="A157" s="8">
        <v>77.5</v>
      </c>
      <c r="B157" s="8">
        <v>155</v>
      </c>
      <c r="D157">
        <v>641.75713121434001</v>
      </c>
      <c r="E157">
        <v>279.74246128768999</v>
      </c>
      <c r="F157">
        <v>150.21125611746001</v>
      </c>
      <c r="G157">
        <v>123.1484502447</v>
      </c>
      <c r="I157" s="9">
        <f t="shared" si="15"/>
        <v>156.59401104298999</v>
      </c>
      <c r="J157" s="9">
        <f t="shared" si="16"/>
        <v>491.54587509687997</v>
      </c>
      <c r="K157" s="9">
        <f t="shared" si="17"/>
        <v>156.59401104298999</v>
      </c>
      <c r="L157" s="10">
        <f t="shared" si="14"/>
        <v>0.31857456033402071</v>
      </c>
      <c r="M157" s="10">
        <f t="shared" si="18"/>
        <v>0.31970214247900808</v>
      </c>
      <c r="P157" s="8">
        <f t="shared" si="19"/>
        <v>25.384988843327029</v>
      </c>
    </row>
    <row r="158" spans="1:16" x14ac:dyDescent="0.2">
      <c r="A158" s="8">
        <v>78</v>
      </c>
      <c r="B158" s="8">
        <v>156</v>
      </c>
      <c r="D158">
        <v>645.66666666667004</v>
      </c>
      <c r="E158">
        <v>278.40097799511</v>
      </c>
      <c r="F158">
        <v>149.55464926591</v>
      </c>
      <c r="G158">
        <v>123.63866231647999</v>
      </c>
      <c r="I158" s="9">
        <f t="shared" si="15"/>
        <v>154.76231567862999</v>
      </c>
      <c r="J158" s="9">
        <f t="shared" si="16"/>
        <v>496.11201740076001</v>
      </c>
      <c r="K158" s="9">
        <f t="shared" si="17"/>
        <v>154.76231567862999</v>
      </c>
      <c r="L158" s="10">
        <f t="shared" si="14"/>
        <v>0.31195034639447722</v>
      </c>
      <c r="M158" s="10">
        <f t="shared" si="18"/>
        <v>0.31308520326298062</v>
      </c>
      <c r="P158" s="8">
        <f t="shared" si="19"/>
        <v>22.789870639409916</v>
      </c>
    </row>
    <row r="159" spans="1:16" x14ac:dyDescent="0.2">
      <c r="A159" s="8">
        <v>78.5</v>
      </c>
      <c r="B159" s="8">
        <v>157</v>
      </c>
      <c r="D159">
        <v>638.40749796250998</v>
      </c>
      <c r="E159">
        <v>275.31866340668</v>
      </c>
      <c r="F159">
        <v>149.77079934746999</v>
      </c>
      <c r="G159">
        <v>123.32463295269</v>
      </c>
      <c r="I159" s="9">
        <f t="shared" si="15"/>
        <v>151.99403045399001</v>
      </c>
      <c r="J159" s="9">
        <f t="shared" si="16"/>
        <v>488.63669861504002</v>
      </c>
      <c r="K159" s="9">
        <f t="shared" si="17"/>
        <v>151.99403045399001</v>
      </c>
      <c r="L159" s="10">
        <f t="shared" si="14"/>
        <v>0.31105733745498848</v>
      </c>
      <c r="M159" s="10">
        <f t="shared" si="18"/>
        <v>0.31219946904700796</v>
      </c>
      <c r="P159" s="8">
        <f t="shared" si="19"/>
        <v>22.442491751277576</v>
      </c>
    </row>
    <row r="160" spans="1:16" x14ac:dyDescent="0.2">
      <c r="A160" s="8">
        <v>79</v>
      </c>
      <c r="B160" s="8">
        <v>158</v>
      </c>
      <c r="D160">
        <v>650</v>
      </c>
      <c r="E160">
        <v>279.34502446981998</v>
      </c>
      <c r="F160">
        <v>149.73409461663999</v>
      </c>
      <c r="G160">
        <v>123.09706362153</v>
      </c>
      <c r="I160" s="9">
        <f t="shared" si="15"/>
        <v>156.24796084828998</v>
      </c>
      <c r="J160" s="9">
        <f t="shared" si="16"/>
        <v>500.26590538336001</v>
      </c>
      <c r="K160" s="9">
        <f t="shared" si="17"/>
        <v>156.24796084828998</v>
      </c>
      <c r="L160" s="10">
        <f t="shared" si="14"/>
        <v>0.31232982133482634</v>
      </c>
      <c r="M160" s="10">
        <f t="shared" si="18"/>
        <v>0.31347922765036185</v>
      </c>
      <c r="P160" s="8">
        <f t="shared" si="19"/>
        <v>22.944404303253091</v>
      </c>
    </row>
    <row r="161" spans="1:16" x14ac:dyDescent="0.2">
      <c r="A161" s="8">
        <v>79.5</v>
      </c>
      <c r="B161" s="8">
        <v>159</v>
      </c>
      <c r="D161">
        <v>649.86074918566999</v>
      </c>
      <c r="E161">
        <v>274.28501628664998</v>
      </c>
      <c r="F161">
        <v>149.45921696574001</v>
      </c>
      <c r="G161">
        <v>123.59216965742</v>
      </c>
      <c r="I161" s="9">
        <f t="shared" si="15"/>
        <v>150.69284662922996</v>
      </c>
      <c r="J161" s="9">
        <f t="shared" si="16"/>
        <v>500.40153221993</v>
      </c>
      <c r="K161" s="9">
        <f t="shared" si="17"/>
        <v>150.69284662922996</v>
      </c>
      <c r="L161" s="10">
        <f t="shared" si="14"/>
        <v>0.30114385533695648</v>
      </c>
      <c r="M161" s="10">
        <f t="shared" si="18"/>
        <v>0.30230053637600807</v>
      </c>
      <c r="P161" s="8">
        <f t="shared" si="19"/>
        <v>18.560198211140715</v>
      </c>
    </row>
    <row r="162" spans="1:16" x14ac:dyDescent="0.2">
      <c r="A162" s="8">
        <v>80</v>
      </c>
      <c r="B162" s="4">
        <v>160</v>
      </c>
      <c r="C162" s="4" t="s">
        <v>6</v>
      </c>
      <c r="D162">
        <v>650.20048504446004</v>
      </c>
      <c r="E162">
        <v>274.57558609539001</v>
      </c>
      <c r="F162">
        <v>149.69820554648999</v>
      </c>
      <c r="G162">
        <v>123.52039151712999</v>
      </c>
      <c r="H162" s="4"/>
      <c r="I162" s="5">
        <f t="shared" si="15"/>
        <v>151.05519457826</v>
      </c>
      <c r="J162" s="5">
        <f t="shared" si="16"/>
        <v>500.50227949797005</v>
      </c>
      <c r="K162" s="9">
        <f t="shared" si="17"/>
        <v>151.05519457826</v>
      </c>
      <c r="L162" s="6">
        <f t="shared" si="14"/>
        <v>0.30180720601268041</v>
      </c>
      <c r="M162" s="6">
        <f t="shared" si="18"/>
        <v>0.30297116177524802</v>
      </c>
      <c r="N162" s="4"/>
      <c r="O162" s="4"/>
      <c r="P162" s="4">
        <f t="shared" si="19"/>
        <v>18.823212895839848</v>
      </c>
    </row>
    <row r="163" spans="1:16" x14ac:dyDescent="0.2">
      <c r="A163" s="8">
        <v>80.5</v>
      </c>
      <c r="B163" s="8">
        <v>161</v>
      </c>
      <c r="D163">
        <v>649.06143896523997</v>
      </c>
      <c r="E163">
        <v>274.32902182700002</v>
      </c>
      <c r="F163">
        <v>149.32218597063999</v>
      </c>
      <c r="G163">
        <v>123.48858075040999</v>
      </c>
      <c r="I163" s="9">
        <f t="shared" si="15"/>
        <v>150.84044107659003</v>
      </c>
      <c r="J163" s="9">
        <f t="shared" si="16"/>
        <v>499.73925299459995</v>
      </c>
      <c r="K163" s="9">
        <f t="shared" si="17"/>
        <v>150.84044107659003</v>
      </c>
      <c r="L163" s="10">
        <f t="shared" si="14"/>
        <v>0.30183828901313053</v>
      </c>
      <c r="M163" s="10">
        <f t="shared" si="18"/>
        <v>0.30300951949921417</v>
      </c>
      <c r="P163" s="8">
        <f t="shared" si="19"/>
        <v>18.838256532251723</v>
      </c>
    </row>
    <row r="164" spans="1:16" x14ac:dyDescent="0.2">
      <c r="A164" s="8">
        <v>81</v>
      </c>
      <c r="B164" s="8">
        <v>162</v>
      </c>
      <c r="D164">
        <v>647.74065040649998</v>
      </c>
      <c r="E164">
        <v>271.91300813008002</v>
      </c>
      <c r="F164">
        <v>150.02283849918001</v>
      </c>
      <c r="G164">
        <v>123.36541598695</v>
      </c>
      <c r="I164" s="9">
        <f t="shared" si="15"/>
        <v>148.54759214313003</v>
      </c>
      <c r="J164" s="9">
        <f t="shared" si="16"/>
        <v>497.71781190731997</v>
      </c>
      <c r="K164" s="9">
        <f t="shared" si="17"/>
        <v>148.54759214313003</v>
      </c>
      <c r="L164" s="10">
        <f t="shared" si="14"/>
        <v>0.29845745639256144</v>
      </c>
      <c r="M164" s="10">
        <f t="shared" si="18"/>
        <v>0.29963596160216116</v>
      </c>
      <c r="P164" s="8">
        <f t="shared" si="19"/>
        <v>17.515170249487497</v>
      </c>
    </row>
    <row r="165" spans="1:16" x14ac:dyDescent="0.2">
      <c r="A165" s="8">
        <v>81.5</v>
      </c>
      <c r="B165" s="8">
        <v>163</v>
      </c>
      <c r="D165">
        <v>646.66422764228003</v>
      </c>
      <c r="E165">
        <v>270.86991869919001</v>
      </c>
      <c r="F165">
        <v>149.38254486133999</v>
      </c>
      <c r="G165">
        <v>123.34991843393</v>
      </c>
      <c r="I165" s="9">
        <f t="shared" si="15"/>
        <v>147.52000026526002</v>
      </c>
      <c r="J165" s="9">
        <f t="shared" si="16"/>
        <v>497.28168278094006</v>
      </c>
      <c r="K165" s="9">
        <f t="shared" si="17"/>
        <v>147.52000026526002</v>
      </c>
      <c r="L165" s="10">
        <f t="shared" si="14"/>
        <v>0.29665279332286359</v>
      </c>
      <c r="M165" s="10">
        <f t="shared" si="18"/>
        <v>0.29783857325597934</v>
      </c>
      <c r="P165" s="8">
        <f t="shared" si="19"/>
        <v>16.810246860530441</v>
      </c>
    </row>
    <row r="166" spans="1:16" x14ac:dyDescent="0.2">
      <c r="A166" s="8">
        <v>82</v>
      </c>
      <c r="B166" s="8">
        <v>164</v>
      </c>
      <c r="D166">
        <v>642.4162601626</v>
      </c>
      <c r="E166">
        <v>270.40081300813</v>
      </c>
      <c r="F166">
        <v>149.65089722675</v>
      </c>
      <c r="G166">
        <v>123.71778140294001</v>
      </c>
      <c r="I166" s="9">
        <f t="shared" si="15"/>
        <v>146.68303160519</v>
      </c>
      <c r="J166" s="9">
        <f t="shared" si="16"/>
        <v>492.76536293585002</v>
      </c>
      <c r="K166" s="9">
        <f t="shared" si="17"/>
        <v>146.68303160519</v>
      </c>
      <c r="L166" s="10">
        <f t="shared" si="14"/>
        <v>0.29767317802384929</v>
      </c>
      <c r="M166" s="10">
        <f t="shared" si="18"/>
        <v>0.29886623268048107</v>
      </c>
      <c r="P166" s="8">
        <f t="shared" si="19"/>
        <v>17.213287842604405</v>
      </c>
    </row>
    <row r="167" spans="1:16" x14ac:dyDescent="0.2">
      <c r="A167" s="8">
        <v>82.5</v>
      </c>
      <c r="B167" s="8">
        <v>165</v>
      </c>
      <c r="D167">
        <v>643.04838709677006</v>
      </c>
      <c r="E167">
        <v>268.82499999999999</v>
      </c>
      <c r="F167">
        <v>149.81729200653001</v>
      </c>
      <c r="G167">
        <v>123.31158238173001</v>
      </c>
      <c r="I167" s="9">
        <f t="shared" si="15"/>
        <v>145.51341761826998</v>
      </c>
      <c r="J167" s="9">
        <f t="shared" si="16"/>
        <v>493.23109509024005</v>
      </c>
      <c r="K167" s="9">
        <f t="shared" si="17"/>
        <v>145.51341761826998</v>
      </c>
      <c r="L167" s="10">
        <f t="shared" si="14"/>
        <v>0.29502077031791213</v>
      </c>
      <c r="M167" s="10">
        <f t="shared" si="18"/>
        <v>0.29622109969805999</v>
      </c>
      <c r="P167" s="8">
        <f t="shared" si="19"/>
        <v>16.175884818282285</v>
      </c>
    </row>
    <row r="168" spans="1:16" x14ac:dyDescent="0.2">
      <c r="A168" s="8">
        <v>83</v>
      </c>
      <c r="B168" s="8">
        <v>166</v>
      </c>
      <c r="D168">
        <v>654.50570962480003</v>
      </c>
      <c r="E168">
        <v>275.54730831974001</v>
      </c>
      <c r="F168">
        <v>149.64518760196</v>
      </c>
      <c r="G168">
        <v>123.23001631321</v>
      </c>
      <c r="I168" s="9">
        <f t="shared" si="15"/>
        <v>152.31729200653001</v>
      </c>
      <c r="J168" s="9">
        <f t="shared" si="16"/>
        <v>504.86052202284003</v>
      </c>
      <c r="K168" s="9">
        <f t="shared" si="17"/>
        <v>152.31729200653001</v>
      </c>
      <c r="L168" s="10">
        <f t="shared" si="14"/>
        <v>0.3017017282243335</v>
      </c>
      <c r="M168" s="10">
        <f t="shared" si="18"/>
        <v>0.30290933232799738</v>
      </c>
      <c r="P168" s="8">
        <f t="shared" si="19"/>
        <v>18.79896381044556</v>
      </c>
    </row>
    <row r="169" spans="1:16" x14ac:dyDescent="0.2">
      <c r="A169" s="8">
        <v>83.5</v>
      </c>
      <c r="B169" s="8">
        <v>167</v>
      </c>
      <c r="D169">
        <v>624.72587185726002</v>
      </c>
      <c r="E169">
        <v>265.64071370641</v>
      </c>
      <c r="F169">
        <v>149.87112561174999</v>
      </c>
      <c r="G169">
        <v>123.55383360522001</v>
      </c>
      <c r="I169" s="9">
        <f t="shared" si="15"/>
        <v>142.08688010118999</v>
      </c>
      <c r="J169" s="9">
        <f t="shared" si="16"/>
        <v>474.85474624551</v>
      </c>
      <c r="K169" s="9">
        <f t="shared" si="17"/>
        <v>142.08688010118999</v>
      </c>
      <c r="L169" s="10">
        <f t="shared" si="14"/>
        <v>0.29922177513148002</v>
      </c>
      <c r="M169" s="10">
        <f t="shared" si="18"/>
        <v>0.30043665395865998</v>
      </c>
      <c r="P169" s="8">
        <f t="shared" si="19"/>
        <v>17.829196303263892</v>
      </c>
    </row>
    <row r="170" spans="1:16" x14ac:dyDescent="0.2">
      <c r="A170" s="8">
        <v>84</v>
      </c>
      <c r="B170" s="8">
        <v>168</v>
      </c>
      <c r="D170">
        <v>631.46185064935003</v>
      </c>
      <c r="E170">
        <v>266.25730519480999</v>
      </c>
      <c r="F170">
        <v>149.57422512234999</v>
      </c>
      <c r="G170">
        <v>123.10032626427</v>
      </c>
      <c r="I170" s="9">
        <f t="shared" si="15"/>
        <v>143.15697893053999</v>
      </c>
      <c r="J170" s="9">
        <f t="shared" si="16"/>
        <v>481.88762552700007</v>
      </c>
      <c r="K170" s="9">
        <f t="shared" si="17"/>
        <v>143.15697893053999</v>
      </c>
      <c r="L170" s="10">
        <f t="shared" si="14"/>
        <v>0.2970754411341881</v>
      </c>
      <c r="M170" s="10">
        <f t="shared" si="18"/>
        <v>0.29829759468488409</v>
      </c>
      <c r="P170" s="8">
        <f t="shared" si="19"/>
        <v>16.990271918529075</v>
      </c>
    </row>
    <row r="171" spans="1:16" x14ac:dyDescent="0.2">
      <c r="A171" s="8">
        <v>84.5</v>
      </c>
      <c r="B171" s="8">
        <v>169</v>
      </c>
      <c r="D171">
        <v>635.40422077922005</v>
      </c>
      <c r="E171">
        <v>269.1737012987</v>
      </c>
      <c r="F171">
        <v>149.76264274062001</v>
      </c>
      <c r="G171">
        <v>123.31729200653</v>
      </c>
      <c r="I171" s="9">
        <f t="shared" si="15"/>
        <v>145.85640929216999</v>
      </c>
      <c r="J171" s="9">
        <f t="shared" si="16"/>
        <v>485.64157803860007</v>
      </c>
      <c r="K171" s="9">
        <f t="shared" si="17"/>
        <v>145.85640929216999</v>
      </c>
      <c r="L171" s="10">
        <f t="shared" si="14"/>
        <v>0.30033756557923247</v>
      </c>
      <c r="M171" s="10">
        <f t="shared" si="18"/>
        <v>0.30156699385344449</v>
      </c>
      <c r="P171" s="8">
        <f t="shared" si="19"/>
        <v>18.272507861947076</v>
      </c>
    </row>
    <row r="172" spans="1:16" x14ac:dyDescent="0.2">
      <c r="A172" s="8">
        <v>85</v>
      </c>
      <c r="B172" s="8">
        <v>170</v>
      </c>
      <c r="D172">
        <v>633.35255889521</v>
      </c>
      <c r="E172">
        <v>264.20633631193999</v>
      </c>
      <c r="F172">
        <v>149.71778140294001</v>
      </c>
      <c r="G172">
        <v>123.42985318108001</v>
      </c>
      <c r="I172" s="9">
        <f t="shared" si="15"/>
        <v>140.77648313085999</v>
      </c>
      <c r="J172" s="9">
        <f t="shared" si="16"/>
        <v>483.63477749227002</v>
      </c>
      <c r="K172" s="9">
        <f t="shared" si="17"/>
        <v>140.77648313085999</v>
      </c>
      <c r="L172" s="10">
        <f t="shared" si="14"/>
        <v>0.29108014907614876</v>
      </c>
      <c r="M172" s="10">
        <f t="shared" si="18"/>
        <v>0.29231685207387686</v>
      </c>
      <c r="P172" s="8">
        <f t="shared" si="19"/>
        <v>14.644665662214445</v>
      </c>
    </row>
    <row r="173" spans="1:16" x14ac:dyDescent="0.2">
      <c r="A173" s="8">
        <v>85.5</v>
      </c>
      <c r="B173" s="8">
        <v>171</v>
      </c>
      <c r="D173">
        <v>639.25751421608004</v>
      </c>
      <c r="E173">
        <v>265.53371242892001</v>
      </c>
      <c r="F173">
        <v>149.57259380098</v>
      </c>
      <c r="G173">
        <v>123.13376835237</v>
      </c>
      <c r="I173" s="9">
        <f t="shared" si="15"/>
        <v>142.39994407655001</v>
      </c>
      <c r="J173" s="9">
        <f t="shared" si="16"/>
        <v>489.68492041510001</v>
      </c>
      <c r="K173" s="9">
        <f t="shared" si="17"/>
        <v>142.39994407655001</v>
      </c>
      <c r="L173" s="10">
        <f t="shared" si="14"/>
        <v>0.29079912029114413</v>
      </c>
      <c r="M173" s="10">
        <f t="shared" si="18"/>
        <v>0.29204309801238826</v>
      </c>
      <c r="P173" s="8">
        <f t="shared" si="19"/>
        <v>14.537301195778884</v>
      </c>
    </row>
    <row r="174" spans="1:16" x14ac:dyDescent="0.2">
      <c r="A174" s="8">
        <v>86</v>
      </c>
      <c r="B174" s="8">
        <v>172</v>
      </c>
      <c r="D174">
        <v>631.00406173841998</v>
      </c>
      <c r="E174">
        <v>264.358245329</v>
      </c>
      <c r="F174">
        <v>149.11663947797999</v>
      </c>
      <c r="G174">
        <v>123.37030995105999</v>
      </c>
      <c r="I174" s="9">
        <f t="shared" si="15"/>
        <v>140.98793537794</v>
      </c>
      <c r="J174" s="9">
        <f t="shared" si="16"/>
        <v>481.88742226043996</v>
      </c>
      <c r="K174" s="9">
        <f t="shared" si="17"/>
        <v>140.98793537794</v>
      </c>
      <c r="L174" s="10">
        <f t="shared" si="14"/>
        <v>0.292574424782853</v>
      </c>
      <c r="M174" s="10">
        <f t="shared" si="18"/>
        <v>0.29382567722761316</v>
      </c>
      <c r="P174" s="8">
        <f t="shared" si="19"/>
        <v>15.236416545085612</v>
      </c>
    </row>
    <row r="175" spans="1:16" x14ac:dyDescent="0.2">
      <c r="A175" s="8">
        <v>86.5</v>
      </c>
      <c r="B175" s="8">
        <v>173</v>
      </c>
      <c r="D175">
        <v>630.12835093419994</v>
      </c>
      <c r="E175">
        <v>261.49878147846999</v>
      </c>
      <c r="F175">
        <v>149.88417618271001</v>
      </c>
      <c r="G175">
        <v>123.44127243067</v>
      </c>
      <c r="I175" s="9">
        <f t="shared" si="15"/>
        <v>138.05750904780001</v>
      </c>
      <c r="J175" s="9">
        <f t="shared" si="16"/>
        <v>480.24417475148994</v>
      </c>
      <c r="K175" s="9">
        <f t="shared" si="17"/>
        <v>138.05750904780001</v>
      </c>
      <c r="L175" s="10">
        <f t="shared" si="14"/>
        <v>0.28747357345716912</v>
      </c>
      <c r="M175" s="10">
        <f t="shared" si="18"/>
        <v>0.28873210062544535</v>
      </c>
      <c r="P175" s="8">
        <f t="shared" si="19"/>
        <v>13.238750716251275</v>
      </c>
    </row>
    <row r="176" spans="1:16" x14ac:dyDescent="0.2">
      <c r="A176" s="8">
        <v>87</v>
      </c>
      <c r="B176" s="8">
        <v>174</v>
      </c>
      <c r="D176">
        <v>619.62530413624995</v>
      </c>
      <c r="E176">
        <v>261.66342254662999</v>
      </c>
      <c r="F176">
        <v>149.76835236541999</v>
      </c>
      <c r="G176">
        <v>123.38662316476</v>
      </c>
      <c r="I176" s="9">
        <f t="shared" si="15"/>
        <v>138.27679938186998</v>
      </c>
      <c r="J176" s="9">
        <f t="shared" si="16"/>
        <v>469.85695177082994</v>
      </c>
      <c r="K176" s="9">
        <f t="shared" si="17"/>
        <v>138.27679938186998</v>
      </c>
      <c r="L176" s="10">
        <f t="shared" si="14"/>
        <v>0.2942955273104349</v>
      </c>
      <c r="M176" s="10">
        <f t="shared" si="18"/>
        <v>0.29556132920222716</v>
      </c>
      <c r="P176" s="8">
        <f t="shared" si="19"/>
        <v>15.917127352293184</v>
      </c>
    </row>
    <row r="177" spans="1:16" x14ac:dyDescent="0.2">
      <c r="A177" s="8">
        <v>87.5</v>
      </c>
      <c r="B177" s="8">
        <v>175</v>
      </c>
      <c r="D177">
        <v>621.52516233766005</v>
      </c>
      <c r="E177">
        <v>260.54383116883002</v>
      </c>
      <c r="F177">
        <v>149.56606851550001</v>
      </c>
      <c r="G177">
        <v>122.99755301795</v>
      </c>
      <c r="I177" s="9">
        <f t="shared" si="15"/>
        <v>137.54627815088003</v>
      </c>
      <c r="J177" s="9">
        <f t="shared" si="16"/>
        <v>471.95909382216007</v>
      </c>
      <c r="K177" s="9">
        <f t="shared" si="17"/>
        <v>137.54627815088003</v>
      </c>
      <c r="L177" s="10">
        <f t="shared" si="14"/>
        <v>0.29143686381156825</v>
      </c>
      <c r="M177" s="10">
        <f t="shared" si="18"/>
        <v>0.29270994042687659</v>
      </c>
      <c r="P177" s="8">
        <f t="shared" si="19"/>
        <v>14.798832219789357</v>
      </c>
    </row>
    <row r="178" spans="1:16" x14ac:dyDescent="0.2">
      <c r="A178" s="8">
        <v>88</v>
      </c>
      <c r="B178" s="8">
        <v>176</v>
      </c>
      <c r="D178">
        <v>613.37824675324998</v>
      </c>
      <c r="E178">
        <v>258.29626623376998</v>
      </c>
      <c r="F178">
        <v>149.44045676997999</v>
      </c>
      <c r="G178">
        <v>123.11419249591999</v>
      </c>
      <c r="I178" s="9">
        <f t="shared" si="15"/>
        <v>135.18207373784998</v>
      </c>
      <c r="J178" s="9">
        <f t="shared" si="16"/>
        <v>463.93778998327002</v>
      </c>
      <c r="K178" s="9">
        <f t="shared" si="17"/>
        <v>135.18207373784998</v>
      </c>
      <c r="L178" s="10">
        <f t="shared" si="14"/>
        <v>0.29137974240624964</v>
      </c>
      <c r="M178" s="10">
        <f t="shared" si="18"/>
        <v>0.29266009374507401</v>
      </c>
      <c r="P178" s="8">
        <f t="shared" si="19"/>
        <v>14.779282692866486</v>
      </c>
    </row>
    <row r="179" spans="1:16" x14ac:dyDescent="0.2">
      <c r="A179" s="8">
        <v>88.5</v>
      </c>
      <c r="B179" s="8">
        <v>177</v>
      </c>
      <c r="D179">
        <v>650.60813008130003</v>
      </c>
      <c r="E179">
        <v>265.51788617886001</v>
      </c>
      <c r="F179">
        <v>149.95269168025999</v>
      </c>
      <c r="G179">
        <v>123.42006525286</v>
      </c>
      <c r="I179" s="9">
        <f t="shared" si="15"/>
        <v>142.097820926</v>
      </c>
      <c r="J179" s="9">
        <f t="shared" si="16"/>
        <v>500.65543840104004</v>
      </c>
      <c r="K179" s="9">
        <f t="shared" si="17"/>
        <v>142.097820926</v>
      </c>
      <c r="L179" s="10">
        <f t="shared" si="14"/>
        <v>0.28382358409972042</v>
      </c>
      <c r="M179" s="10">
        <f t="shared" si="18"/>
        <v>0.28511121016206081</v>
      </c>
      <c r="P179" s="8">
        <f t="shared" si="19"/>
        <v>11.818662296342763</v>
      </c>
    </row>
    <row r="180" spans="1:16" x14ac:dyDescent="0.2">
      <c r="A180" s="8">
        <v>89</v>
      </c>
      <c r="B180" s="8">
        <v>178</v>
      </c>
      <c r="D180">
        <v>643.04878048780995</v>
      </c>
      <c r="E180">
        <v>260.39593495934997</v>
      </c>
      <c r="F180">
        <v>149.60685154975999</v>
      </c>
      <c r="G180">
        <v>123.57911908646</v>
      </c>
      <c r="I180" s="9">
        <f t="shared" si="15"/>
        <v>136.81681587288998</v>
      </c>
      <c r="J180" s="9">
        <f t="shared" si="16"/>
        <v>493.44192893804995</v>
      </c>
      <c r="K180" s="9">
        <f t="shared" si="17"/>
        <v>136.81681587288998</v>
      </c>
      <c r="L180" s="10">
        <f t="shared" si="14"/>
        <v>0.27727034905067194</v>
      </c>
      <c r="M180" s="10">
        <f t="shared" si="18"/>
        <v>0.27856524983652842</v>
      </c>
      <c r="P180" s="8">
        <f t="shared" si="19"/>
        <v>9.2513815267444386</v>
      </c>
    </row>
    <row r="181" spans="1:16" x14ac:dyDescent="0.2">
      <c r="A181" s="8">
        <v>89.5</v>
      </c>
      <c r="B181" s="8">
        <v>179</v>
      </c>
      <c r="D181">
        <v>652.20759289175999</v>
      </c>
      <c r="E181">
        <v>260.30613893376</v>
      </c>
      <c r="F181">
        <v>149.80097879281999</v>
      </c>
      <c r="G181">
        <v>123.07830342578001</v>
      </c>
      <c r="I181" s="9">
        <f t="shared" si="15"/>
        <v>137.22783550797999</v>
      </c>
      <c r="J181" s="9">
        <f t="shared" si="16"/>
        <v>502.40661409894</v>
      </c>
      <c r="K181" s="9">
        <f t="shared" si="17"/>
        <v>137.22783550797999</v>
      </c>
      <c r="L181" s="10">
        <f t="shared" si="14"/>
        <v>0.27314098114352336</v>
      </c>
      <c r="M181" s="10">
        <f t="shared" si="18"/>
        <v>0.27444315665289587</v>
      </c>
      <c r="P181" s="8">
        <f t="shared" si="19"/>
        <v>7.6347248355092283</v>
      </c>
    </row>
    <row r="182" spans="1:16" x14ac:dyDescent="0.2">
      <c r="A182" s="8">
        <v>90</v>
      </c>
      <c r="B182" s="8">
        <v>180</v>
      </c>
      <c r="D182">
        <v>644.93430656934004</v>
      </c>
      <c r="E182">
        <v>259.16545012165</v>
      </c>
      <c r="F182">
        <v>149.7308319739</v>
      </c>
      <c r="G182">
        <v>123.40212071777999</v>
      </c>
      <c r="I182" s="9">
        <f t="shared" si="15"/>
        <v>135.76332940386999</v>
      </c>
      <c r="J182" s="9">
        <f t="shared" si="16"/>
        <v>495.20347459544007</v>
      </c>
      <c r="K182" s="9">
        <f t="shared" si="17"/>
        <v>135.76332940386999</v>
      </c>
      <c r="L182" s="10">
        <f t="shared" si="14"/>
        <v>0.27415665755330731</v>
      </c>
      <c r="M182" s="10">
        <f>L182+ABS($N$2)*A182</f>
        <v>0.27546610778619585</v>
      </c>
      <c r="P182" s="8">
        <f t="shared" si="19"/>
        <v>8.0359192580474144</v>
      </c>
    </row>
    <row r="183" spans="1:16" x14ac:dyDescent="0.2">
      <c r="A183" s="8">
        <v>90.5</v>
      </c>
      <c r="B183" s="8">
        <v>181</v>
      </c>
      <c r="D183">
        <v>641.98296836983002</v>
      </c>
      <c r="E183">
        <v>258.30819140308</v>
      </c>
      <c r="F183">
        <v>150.33442088090999</v>
      </c>
      <c r="G183">
        <v>123.64763458401001</v>
      </c>
      <c r="I183" s="9">
        <f t="shared" si="15"/>
        <v>134.66055681907</v>
      </c>
      <c r="J183" s="9">
        <f t="shared" si="16"/>
        <v>491.64854748892003</v>
      </c>
      <c r="K183" s="9">
        <f t="shared" si="17"/>
        <v>134.66055681907</v>
      </c>
      <c r="L183" s="10">
        <f t="shared" si="14"/>
        <v>0.27389597204516253</v>
      </c>
      <c r="M183" s="10">
        <f t="shared" ref="M183:M241" si="20">L183+ABS($N$2)*A183</f>
        <v>0.27521269700156714</v>
      </c>
      <c r="P183" s="8">
        <f t="shared" si="19"/>
        <v>7.9365332853508583</v>
      </c>
    </row>
    <row r="184" spans="1:16" x14ac:dyDescent="0.2">
      <c r="A184" s="8">
        <v>91</v>
      </c>
      <c r="B184" s="8">
        <v>182</v>
      </c>
      <c r="D184">
        <v>653.04129554656004</v>
      </c>
      <c r="E184">
        <v>257.94898785424999</v>
      </c>
      <c r="F184">
        <v>149.30097879281999</v>
      </c>
      <c r="G184">
        <v>123.51549755302</v>
      </c>
      <c r="I184" s="9">
        <f t="shared" si="15"/>
        <v>134.43349030122999</v>
      </c>
      <c r="J184" s="9">
        <f t="shared" si="16"/>
        <v>503.74031675374005</v>
      </c>
      <c r="K184" s="9">
        <f t="shared" si="17"/>
        <v>134.43349030122999</v>
      </c>
      <c r="L184" s="10">
        <f t="shared" si="14"/>
        <v>0.26687061930552114</v>
      </c>
      <c r="M184" s="10">
        <f t="shared" si="20"/>
        <v>0.26819461898544178</v>
      </c>
      <c r="P184" s="8">
        <f t="shared" si="19"/>
        <v>5.1840911936896914</v>
      </c>
    </row>
    <row r="185" spans="1:16" x14ac:dyDescent="0.2">
      <c r="A185" s="8">
        <v>91.5</v>
      </c>
      <c r="B185" s="8">
        <v>183</v>
      </c>
      <c r="D185">
        <v>648.03886639676</v>
      </c>
      <c r="E185">
        <v>255.10688259109</v>
      </c>
      <c r="F185">
        <v>150.16231647634999</v>
      </c>
      <c r="G185">
        <v>123.46166394780001</v>
      </c>
      <c r="I185" s="9">
        <f t="shared" si="15"/>
        <v>131.64521864328998</v>
      </c>
      <c r="J185" s="9">
        <f t="shared" si="16"/>
        <v>497.87654992041001</v>
      </c>
      <c r="K185" s="9">
        <f t="shared" si="17"/>
        <v>131.64521864328998</v>
      </c>
      <c r="L185" s="10">
        <f t="shared" si="14"/>
        <v>0.26441337448878571</v>
      </c>
      <c r="M185" s="10">
        <f t="shared" si="20"/>
        <v>0.26574464889222243</v>
      </c>
      <c r="P185" s="8">
        <f t="shared" si="19"/>
        <v>4.2232297167449051</v>
      </c>
    </row>
    <row r="186" spans="1:16" x14ac:dyDescent="0.2">
      <c r="A186" s="8">
        <v>92</v>
      </c>
      <c r="B186" s="8">
        <v>184</v>
      </c>
      <c r="D186">
        <v>654.60809716598999</v>
      </c>
      <c r="E186">
        <v>255.67773279351999</v>
      </c>
      <c r="F186">
        <v>149.49836867862999</v>
      </c>
      <c r="G186">
        <v>122.95432300163</v>
      </c>
      <c r="I186" s="9">
        <f t="shared" si="15"/>
        <v>132.72340979188999</v>
      </c>
      <c r="J186" s="9">
        <f t="shared" si="16"/>
        <v>505.10972848736003</v>
      </c>
      <c r="K186" s="9">
        <f t="shared" si="17"/>
        <v>132.72340979188999</v>
      </c>
      <c r="L186" s="10">
        <f t="shared" si="14"/>
        <v>0.26276153933790503</v>
      </c>
      <c r="M186" s="10">
        <f t="shared" si="20"/>
        <v>0.26410008846485777</v>
      </c>
      <c r="P186" s="8">
        <f t="shared" si="19"/>
        <v>3.5782443899705161</v>
      </c>
    </row>
    <row r="187" spans="1:16" x14ac:dyDescent="0.2">
      <c r="A187" s="8">
        <v>92.5</v>
      </c>
      <c r="B187" s="8">
        <v>185</v>
      </c>
      <c r="D187">
        <v>641.38636363635999</v>
      </c>
      <c r="E187">
        <v>252.64042207791999</v>
      </c>
      <c r="F187">
        <v>149.28140293638</v>
      </c>
      <c r="G187">
        <v>124.07911908646</v>
      </c>
      <c r="I187" s="9">
        <f t="shared" si="15"/>
        <v>128.56130299146</v>
      </c>
      <c r="J187" s="9">
        <f t="shared" si="16"/>
        <v>492.10496069997998</v>
      </c>
      <c r="K187" s="9">
        <f t="shared" si="17"/>
        <v>128.56130299146</v>
      </c>
      <c r="L187" s="10">
        <f t="shared" si="14"/>
        <v>0.261247728144402</v>
      </c>
      <c r="M187" s="10">
        <f t="shared" si="20"/>
        <v>0.26259355199487078</v>
      </c>
      <c r="P187" s="8">
        <f t="shared" si="19"/>
        <v>2.9873911131777655</v>
      </c>
    </row>
    <row r="188" spans="1:16" x14ac:dyDescent="0.2">
      <c r="A188" s="8">
        <v>93</v>
      </c>
      <c r="B188" s="8">
        <v>186</v>
      </c>
      <c r="D188">
        <v>639.72970779220998</v>
      </c>
      <c r="E188">
        <v>252.52435064935</v>
      </c>
      <c r="F188">
        <v>149.45432300163</v>
      </c>
      <c r="G188">
        <v>123.19494290375</v>
      </c>
      <c r="I188" s="9">
        <f t="shared" si="15"/>
        <v>129.32940774560001</v>
      </c>
      <c r="J188" s="9">
        <f t="shared" si="16"/>
        <v>490.27538479058001</v>
      </c>
      <c r="K188" s="9">
        <f t="shared" si="17"/>
        <v>129.32940774560001</v>
      </c>
      <c r="L188" s="10">
        <f t="shared" si="14"/>
        <v>0.26378931465393224</v>
      </c>
      <c r="M188" s="10">
        <f t="shared" si="20"/>
        <v>0.2651424132279171</v>
      </c>
      <c r="P188" s="8">
        <f t="shared" si="19"/>
        <v>3.9870370173014322</v>
      </c>
    </row>
    <row r="189" spans="1:16" x14ac:dyDescent="0.2">
      <c r="A189" s="8">
        <v>93.5</v>
      </c>
      <c r="B189" s="8">
        <v>187</v>
      </c>
      <c r="D189">
        <v>634.18322475570005</v>
      </c>
      <c r="E189">
        <v>251.02280130292999</v>
      </c>
      <c r="F189">
        <v>149.39314845025001</v>
      </c>
      <c r="G189">
        <v>123.3515497553</v>
      </c>
      <c r="I189" s="9">
        <f t="shared" si="15"/>
        <v>127.67125154762999</v>
      </c>
      <c r="J189" s="9">
        <f t="shared" si="16"/>
        <v>484.79007630545004</v>
      </c>
      <c r="K189" s="9">
        <f t="shared" si="17"/>
        <v>127.67125154762999</v>
      </c>
      <c r="L189" s="10">
        <f t="shared" si="14"/>
        <v>0.26335368190826702</v>
      </c>
      <c r="M189" s="10">
        <f t="shared" si="20"/>
        <v>0.26471405520576791</v>
      </c>
      <c r="P189" s="8">
        <f t="shared" si="19"/>
        <v>3.8190379372463079</v>
      </c>
    </row>
    <row r="190" spans="1:16" x14ac:dyDescent="0.2">
      <c r="A190" s="8">
        <v>94</v>
      </c>
      <c r="B190" s="8">
        <v>188</v>
      </c>
      <c r="D190">
        <v>642.51872964169002</v>
      </c>
      <c r="E190">
        <v>251.90553745928</v>
      </c>
      <c r="F190">
        <v>149.32952691680001</v>
      </c>
      <c r="G190">
        <v>123.25774877651</v>
      </c>
      <c r="I190" s="9">
        <f t="shared" si="15"/>
        <v>128.64778868277</v>
      </c>
      <c r="J190" s="9">
        <f t="shared" si="16"/>
        <v>493.18920272489004</v>
      </c>
      <c r="K190" s="9">
        <f t="shared" si="17"/>
        <v>128.64778868277</v>
      </c>
      <c r="L190" s="10">
        <f t="shared" si="14"/>
        <v>0.26084875332222568</v>
      </c>
      <c r="M190" s="10">
        <f t="shared" si="20"/>
        <v>0.26221640134324264</v>
      </c>
      <c r="P190" s="8">
        <f t="shared" si="19"/>
        <v>2.8394752128338943</v>
      </c>
    </row>
    <row r="191" spans="1:16" x14ac:dyDescent="0.2">
      <c r="A191" s="8">
        <v>94.5</v>
      </c>
      <c r="B191" s="8">
        <v>189</v>
      </c>
      <c r="D191">
        <v>649.15016233766005</v>
      </c>
      <c r="E191">
        <v>253.18831168830999</v>
      </c>
      <c r="F191">
        <v>149.76101141925</v>
      </c>
      <c r="G191">
        <v>123.03099510604</v>
      </c>
      <c r="I191" s="9">
        <f t="shared" si="15"/>
        <v>130.15731658227</v>
      </c>
      <c r="J191" s="9">
        <f t="shared" si="16"/>
        <v>499.38915091841005</v>
      </c>
      <c r="K191" s="9">
        <f t="shared" si="17"/>
        <v>130.15731658227</v>
      </c>
      <c r="L191" s="10">
        <f t="shared" si="14"/>
        <v>0.26063304808064408</v>
      </c>
      <c r="M191" s="10">
        <f t="shared" si="20"/>
        <v>0.26200797082517707</v>
      </c>
      <c r="P191" s="8">
        <f t="shared" si="19"/>
        <v>2.7577301923607309</v>
      </c>
    </row>
    <row r="192" spans="1:16" x14ac:dyDescent="0.2">
      <c r="A192" s="8">
        <v>95</v>
      </c>
      <c r="B192" s="8">
        <v>190</v>
      </c>
      <c r="D192">
        <v>647.14448051948</v>
      </c>
      <c r="E192">
        <v>250.59902597403001</v>
      </c>
      <c r="F192">
        <v>149.60032626427</v>
      </c>
      <c r="G192">
        <v>123.4013050571</v>
      </c>
      <c r="I192" s="9">
        <f t="shared" si="15"/>
        <v>127.19772091693001</v>
      </c>
      <c r="J192" s="9">
        <f t="shared" si="16"/>
        <v>497.54415425521</v>
      </c>
      <c r="K192" s="9">
        <f t="shared" si="17"/>
        <v>127.19772091693001</v>
      </c>
      <c r="L192" s="10">
        <f t="shared" si="14"/>
        <v>0.25565112127050593</v>
      </c>
      <c r="M192" s="10">
        <f t="shared" si="20"/>
        <v>0.25703331873855495</v>
      </c>
      <c r="P192" s="8">
        <f t="shared" si="19"/>
        <v>0.80670574334095624</v>
      </c>
    </row>
    <row r="193" spans="1:16" x14ac:dyDescent="0.2">
      <c r="A193" s="8">
        <v>95.5</v>
      </c>
      <c r="B193" s="8">
        <v>191</v>
      </c>
      <c r="D193">
        <v>648.46266233766005</v>
      </c>
      <c r="E193">
        <v>253.50568181817999</v>
      </c>
      <c r="F193">
        <v>149.85481239804</v>
      </c>
      <c r="G193">
        <v>123.69983686786</v>
      </c>
      <c r="I193" s="9">
        <f t="shared" si="15"/>
        <v>129.80584495031999</v>
      </c>
      <c r="J193" s="9">
        <f t="shared" si="16"/>
        <v>498.60784993962005</v>
      </c>
      <c r="K193" s="9">
        <f t="shared" si="17"/>
        <v>129.80584495031999</v>
      </c>
      <c r="L193" s="10">
        <f t="shared" si="14"/>
        <v>0.26033654497425002</v>
      </c>
      <c r="M193" s="10">
        <f t="shared" si="20"/>
        <v>0.26172601716581512</v>
      </c>
      <c r="P193" s="8">
        <f t="shared" si="19"/>
        <v>2.6471498998443765</v>
      </c>
    </row>
    <row r="194" spans="1:16" x14ac:dyDescent="0.2">
      <c r="A194" s="8">
        <v>96</v>
      </c>
      <c r="B194" s="8">
        <v>192</v>
      </c>
      <c r="D194">
        <v>651.11282467532999</v>
      </c>
      <c r="E194">
        <v>251.67694805195001</v>
      </c>
      <c r="F194">
        <v>149.78874388254999</v>
      </c>
      <c r="G194">
        <v>123.53262642740999</v>
      </c>
      <c r="I194" s="9">
        <f t="shared" si="15"/>
        <v>128.14432162454</v>
      </c>
      <c r="J194" s="9">
        <f t="shared" si="16"/>
        <v>501.32408079278002</v>
      </c>
      <c r="K194" s="9">
        <f t="shared" si="17"/>
        <v>128.14432162454</v>
      </c>
      <c r="L194" s="10">
        <f t="shared" ref="L194:L257" si="21">K194/J194</f>
        <v>0.25561174205295728</v>
      </c>
      <c r="M194" s="10">
        <f t="shared" si="20"/>
        <v>0.25700848896803841</v>
      </c>
      <c r="P194" s="8">
        <f t="shared" si="19"/>
        <v>0.79696767754302822</v>
      </c>
    </row>
    <row r="195" spans="1:16" x14ac:dyDescent="0.2">
      <c r="A195" s="8">
        <v>96.5</v>
      </c>
      <c r="B195" s="8">
        <v>193</v>
      </c>
      <c r="D195">
        <v>647.15503246752996</v>
      </c>
      <c r="E195">
        <v>251.10633116883</v>
      </c>
      <c r="F195">
        <v>149.61337683523999</v>
      </c>
      <c r="G195">
        <v>123.53017944535</v>
      </c>
      <c r="I195" s="9">
        <f t="shared" ref="I195:I241" si="22">E195-G195</f>
        <v>127.57615172348</v>
      </c>
      <c r="J195" s="9">
        <f t="shared" ref="J195:J241" si="23">D195-F195</f>
        <v>497.54165563228997</v>
      </c>
      <c r="K195" s="9">
        <f t="shared" ref="K195:K258" si="24">I195*1</f>
        <v>127.57615172348</v>
      </c>
      <c r="L195" s="10">
        <f t="shared" si="21"/>
        <v>0.25641300638707853</v>
      </c>
      <c r="M195" s="10">
        <f t="shared" si="20"/>
        <v>0.25781702802567569</v>
      </c>
      <c r="P195" s="8">
        <f t="shared" ref="P195:P241" si="25">(M195-$O$2)/$O$2*100</f>
        <v>1.1140711537197672</v>
      </c>
    </row>
    <row r="196" spans="1:16" x14ac:dyDescent="0.2">
      <c r="A196" s="8">
        <v>97</v>
      </c>
      <c r="B196" s="8">
        <v>194</v>
      </c>
      <c r="D196">
        <v>647.71996753247004</v>
      </c>
      <c r="E196">
        <v>248.35227272726999</v>
      </c>
      <c r="F196">
        <v>149.4396411093</v>
      </c>
      <c r="G196">
        <v>123.03344208809</v>
      </c>
      <c r="I196" s="9">
        <f t="shared" si="22"/>
        <v>125.31883063917999</v>
      </c>
      <c r="J196" s="9">
        <f t="shared" si="23"/>
        <v>498.28032642317004</v>
      </c>
      <c r="K196" s="9">
        <f t="shared" si="24"/>
        <v>125.31883063917999</v>
      </c>
      <c r="L196" s="10">
        <f t="shared" si="21"/>
        <v>0.25150266625769124</v>
      </c>
      <c r="M196" s="10">
        <f t="shared" si="20"/>
        <v>0.25291396261980448</v>
      </c>
      <c r="P196" s="8">
        <f t="shared" si="25"/>
        <v>-0.80887748980904695</v>
      </c>
    </row>
    <row r="197" spans="1:16" x14ac:dyDescent="0.2">
      <c r="A197" s="8">
        <v>97.5</v>
      </c>
      <c r="B197" s="8">
        <v>195</v>
      </c>
      <c r="D197">
        <v>650.88717532468002</v>
      </c>
      <c r="E197">
        <v>248.65178571429001</v>
      </c>
      <c r="F197">
        <v>149.56769983686999</v>
      </c>
      <c r="G197">
        <v>123.41680261011</v>
      </c>
      <c r="I197" s="9">
        <f t="shared" si="22"/>
        <v>125.23498310418002</v>
      </c>
      <c r="J197" s="9">
        <f t="shared" si="23"/>
        <v>501.31947548781</v>
      </c>
      <c r="K197" s="9">
        <f t="shared" si="24"/>
        <v>125.23498310418002</v>
      </c>
      <c r="L197" s="10">
        <f t="shared" si="21"/>
        <v>0.24981072794413153</v>
      </c>
      <c r="M197" s="10">
        <f t="shared" si="20"/>
        <v>0.25122929902976082</v>
      </c>
      <c r="P197" s="8">
        <f t="shared" si="25"/>
        <v>-1.4695910020941663</v>
      </c>
    </row>
    <row r="198" spans="1:16" x14ac:dyDescent="0.2">
      <c r="A198" s="8">
        <v>98</v>
      </c>
      <c r="B198" s="8">
        <v>196</v>
      </c>
      <c r="D198">
        <v>652.73944805195003</v>
      </c>
      <c r="E198">
        <v>248.02353896104</v>
      </c>
      <c r="F198">
        <v>149.68189233279</v>
      </c>
      <c r="G198">
        <v>122.81810766721</v>
      </c>
      <c r="I198" s="9">
        <f t="shared" si="22"/>
        <v>125.20543129383</v>
      </c>
      <c r="J198" s="9">
        <f t="shared" si="23"/>
        <v>503.05755571916006</v>
      </c>
      <c r="K198" s="9">
        <f t="shared" si="24"/>
        <v>125.20543129383</v>
      </c>
      <c r="L198" s="10">
        <f t="shared" si="21"/>
        <v>0.24888887935464774</v>
      </c>
      <c r="M198" s="10">
        <f t="shared" si="20"/>
        <v>0.25031472516379305</v>
      </c>
      <c r="P198" s="8">
        <f t="shared" si="25"/>
        <v>-1.8282806032697263</v>
      </c>
    </row>
    <row r="199" spans="1:16" x14ac:dyDescent="0.2">
      <c r="A199" s="8">
        <v>98.5</v>
      </c>
      <c r="B199" s="8">
        <v>197</v>
      </c>
      <c r="D199">
        <v>645.84313725489994</v>
      </c>
      <c r="E199">
        <v>247.00571895425</v>
      </c>
      <c r="F199">
        <v>149.88988580750001</v>
      </c>
      <c r="G199">
        <v>123.32952691680001</v>
      </c>
      <c r="I199" s="9">
        <f t="shared" si="22"/>
        <v>123.67619203744999</v>
      </c>
      <c r="J199" s="9">
        <f t="shared" si="23"/>
        <v>495.95325144739991</v>
      </c>
      <c r="K199" s="9">
        <f t="shared" si="24"/>
        <v>123.67619203744999</v>
      </c>
      <c r="L199" s="10">
        <f t="shared" si="21"/>
        <v>0.24937066482881384</v>
      </c>
      <c r="M199" s="10">
        <f t="shared" si="20"/>
        <v>0.25080378536147518</v>
      </c>
      <c r="P199" s="8">
        <f t="shared" si="25"/>
        <v>-1.6364745460609726</v>
      </c>
    </row>
    <row r="200" spans="1:16" x14ac:dyDescent="0.2">
      <c r="A200" s="8">
        <v>99</v>
      </c>
      <c r="B200" s="8">
        <v>198</v>
      </c>
      <c r="D200">
        <v>643.05882352941001</v>
      </c>
      <c r="E200">
        <v>247.94117647058999</v>
      </c>
      <c r="F200">
        <v>150.00407830342999</v>
      </c>
      <c r="G200">
        <v>123.41272430669</v>
      </c>
      <c r="I200" s="9">
        <f t="shared" si="22"/>
        <v>124.5284521639</v>
      </c>
      <c r="J200" s="9">
        <f t="shared" si="23"/>
        <v>493.05474522598001</v>
      </c>
      <c r="K200" s="9">
        <f t="shared" si="24"/>
        <v>124.5284521639</v>
      </c>
      <c r="L200" s="10">
        <f t="shared" si="21"/>
        <v>0.25256516313786886</v>
      </c>
      <c r="M200" s="10">
        <f t="shared" si="20"/>
        <v>0.25400555839404626</v>
      </c>
      <c r="P200" s="8">
        <f t="shared" si="25"/>
        <v>-0.38076110962646564</v>
      </c>
    </row>
    <row r="201" spans="1:16" x14ac:dyDescent="0.2">
      <c r="A201" s="8">
        <v>99.5</v>
      </c>
      <c r="B201" s="8">
        <v>199</v>
      </c>
      <c r="D201">
        <v>638.66911764706003</v>
      </c>
      <c r="E201">
        <v>248.38071895425</v>
      </c>
      <c r="F201">
        <v>149.79934747145001</v>
      </c>
      <c r="G201">
        <v>123.19168026101001</v>
      </c>
      <c r="I201" s="9">
        <f t="shared" si="22"/>
        <v>125.18903869323999</v>
      </c>
      <c r="J201" s="9">
        <f t="shared" si="23"/>
        <v>488.86977017561003</v>
      </c>
      <c r="K201" s="9">
        <f t="shared" si="24"/>
        <v>125.18903869323999</v>
      </c>
      <c r="L201" s="10">
        <f t="shared" si="21"/>
        <v>0.25607850255962861</v>
      </c>
      <c r="M201" s="10">
        <f t="shared" si="20"/>
        <v>0.25752617253932208</v>
      </c>
      <c r="P201" s="8">
        <f t="shared" si="25"/>
        <v>0.99999962567593659</v>
      </c>
    </row>
    <row r="202" spans="1:16" x14ac:dyDescent="0.2">
      <c r="A202" s="8">
        <v>100</v>
      </c>
      <c r="B202" s="8">
        <v>200</v>
      </c>
      <c r="D202">
        <v>647.33034987794997</v>
      </c>
      <c r="E202">
        <v>252.74613506916</v>
      </c>
      <c r="F202">
        <v>149.19657422512</v>
      </c>
      <c r="G202">
        <v>122.98613376835</v>
      </c>
      <c r="I202" s="9">
        <f t="shared" si="22"/>
        <v>129.76000130081002</v>
      </c>
      <c r="J202" s="9">
        <f t="shared" si="23"/>
        <v>498.13377565282997</v>
      </c>
      <c r="K202" s="9">
        <f t="shared" si="24"/>
        <v>129.76000130081002</v>
      </c>
      <c r="L202" s="10">
        <f t="shared" si="21"/>
        <v>0.26049227665952357</v>
      </c>
      <c r="M202" s="10">
        <f t="shared" si="20"/>
        <v>0.26194722136273307</v>
      </c>
      <c r="P202" s="8">
        <f t="shared" si="25"/>
        <v>2.7339046696047209</v>
      </c>
    </row>
    <row r="203" spans="1:16" x14ac:dyDescent="0.2">
      <c r="A203" s="8">
        <v>100.5</v>
      </c>
      <c r="B203" s="8">
        <v>201</v>
      </c>
      <c r="D203">
        <v>642.07425343018997</v>
      </c>
      <c r="E203">
        <v>253.15819209040001</v>
      </c>
      <c r="F203">
        <v>149.80179445351001</v>
      </c>
      <c r="G203">
        <v>122.81484502447</v>
      </c>
      <c r="I203" s="9">
        <f t="shared" si="22"/>
        <v>130.34334706593</v>
      </c>
      <c r="J203" s="9">
        <f t="shared" si="23"/>
        <v>492.27245897667996</v>
      </c>
      <c r="K203" s="9">
        <f t="shared" si="24"/>
        <v>130.34334706593</v>
      </c>
      <c r="L203" s="10">
        <f t="shared" si="21"/>
        <v>0.26477887334360228</v>
      </c>
      <c r="M203" s="10">
        <f t="shared" si="20"/>
        <v>0.26624109277032781</v>
      </c>
      <c r="P203" s="8">
        <f t="shared" si="25"/>
        <v>4.4179316028033258</v>
      </c>
    </row>
    <row r="204" spans="1:16" x14ac:dyDescent="0.2">
      <c r="A204" s="8">
        <v>101</v>
      </c>
      <c r="B204" s="8">
        <v>202</v>
      </c>
      <c r="D204">
        <v>632.18644067797004</v>
      </c>
      <c r="E204">
        <v>247.57869249395</v>
      </c>
      <c r="F204">
        <v>149.92659053834001</v>
      </c>
      <c r="G204">
        <v>123.19004893963999</v>
      </c>
      <c r="I204" s="9">
        <f t="shared" si="22"/>
        <v>124.38864355431001</v>
      </c>
      <c r="J204" s="9">
        <f t="shared" si="23"/>
        <v>482.25985013963003</v>
      </c>
      <c r="K204" s="9">
        <f t="shared" si="24"/>
        <v>124.38864355431001</v>
      </c>
      <c r="L204" s="10">
        <f t="shared" si="21"/>
        <v>0.25792867376020506</v>
      </c>
      <c r="M204" s="10">
        <f t="shared" si="20"/>
        <v>0.25939816791044668</v>
      </c>
      <c r="P204" s="8">
        <f t="shared" si="25"/>
        <v>1.7341833784126843</v>
      </c>
    </row>
    <row r="205" spans="1:16" x14ac:dyDescent="0.2">
      <c r="A205" s="8">
        <v>101.5</v>
      </c>
      <c r="B205" s="8">
        <v>203</v>
      </c>
      <c r="D205">
        <v>642.36238902340995</v>
      </c>
      <c r="E205">
        <v>252.56577885390999</v>
      </c>
      <c r="F205">
        <v>149.97063621532999</v>
      </c>
      <c r="G205">
        <v>123.18026101142</v>
      </c>
      <c r="I205" s="9">
        <f t="shared" si="22"/>
        <v>129.38551784249</v>
      </c>
      <c r="J205" s="9">
        <f t="shared" si="23"/>
        <v>492.39175280807996</v>
      </c>
      <c r="K205" s="9">
        <f t="shared" si="24"/>
        <v>129.38551784249</v>
      </c>
      <c r="L205" s="10">
        <f t="shared" si="21"/>
        <v>0.26276946578534738</v>
      </c>
      <c r="M205" s="10">
        <f t="shared" si="20"/>
        <v>0.26424623465910502</v>
      </c>
      <c r="P205" s="8">
        <f t="shared" si="25"/>
        <v>3.6355619255775489</v>
      </c>
    </row>
    <row r="206" spans="1:16" x14ac:dyDescent="0.2">
      <c r="A206" s="8">
        <v>102</v>
      </c>
      <c r="B206" s="8">
        <v>204</v>
      </c>
      <c r="D206">
        <v>642.93301049233003</v>
      </c>
      <c r="E206">
        <v>249.99596448749</v>
      </c>
      <c r="F206">
        <v>149.67292006525</v>
      </c>
      <c r="G206">
        <v>123.26101141925</v>
      </c>
      <c r="I206" s="9">
        <f t="shared" si="22"/>
        <v>126.73495306824</v>
      </c>
      <c r="J206" s="9">
        <f t="shared" si="23"/>
        <v>493.26009042708006</v>
      </c>
      <c r="K206" s="9">
        <f t="shared" si="24"/>
        <v>126.73495306824</v>
      </c>
      <c r="L206" s="10">
        <f t="shared" si="21"/>
        <v>0.2569333208338605</v>
      </c>
      <c r="M206" s="10">
        <f t="shared" si="20"/>
        <v>0.25841736443113422</v>
      </c>
      <c r="P206" s="8">
        <f t="shared" si="25"/>
        <v>1.3495189768622222</v>
      </c>
    </row>
    <row r="207" spans="1:16" x14ac:dyDescent="0.2">
      <c r="A207" s="8">
        <v>102.5</v>
      </c>
      <c r="B207" s="8">
        <v>205</v>
      </c>
      <c r="D207">
        <v>647.42497972424997</v>
      </c>
      <c r="E207">
        <v>250.48580697486</v>
      </c>
      <c r="F207">
        <v>149.87765089723001</v>
      </c>
      <c r="G207">
        <v>123.25203915170999</v>
      </c>
      <c r="I207" s="9">
        <f t="shared" si="22"/>
        <v>127.23376782315</v>
      </c>
      <c r="J207" s="9">
        <f t="shared" si="23"/>
        <v>497.54732882701995</v>
      </c>
      <c r="K207" s="9">
        <f t="shared" si="24"/>
        <v>127.23376782315</v>
      </c>
      <c r="L207" s="10">
        <f t="shared" si="21"/>
        <v>0.25572193930395876</v>
      </c>
      <c r="M207" s="10">
        <f t="shared" si="20"/>
        <v>0.2572132576247485</v>
      </c>
      <c r="P207" s="8">
        <f t="shared" si="25"/>
        <v>0.87727654109324482</v>
      </c>
    </row>
    <row r="208" spans="1:16" x14ac:dyDescent="0.2">
      <c r="A208" s="8">
        <v>103</v>
      </c>
      <c r="B208" s="8">
        <v>206</v>
      </c>
      <c r="D208">
        <v>646.15652879157005</v>
      </c>
      <c r="E208">
        <v>248.51500405515</v>
      </c>
      <c r="F208">
        <v>150.00897226754</v>
      </c>
      <c r="G208">
        <v>123.39722675367</v>
      </c>
      <c r="I208" s="9">
        <f t="shared" si="22"/>
        <v>125.11777730148</v>
      </c>
      <c r="J208" s="9">
        <f t="shared" si="23"/>
        <v>496.14755652403005</v>
      </c>
      <c r="K208" s="9">
        <f t="shared" si="24"/>
        <v>125.11777730148</v>
      </c>
      <c r="L208" s="10">
        <f t="shared" si="21"/>
        <v>0.25217856191421179</v>
      </c>
      <c r="M208" s="10">
        <f t="shared" si="20"/>
        <v>0.25367715495851756</v>
      </c>
      <c r="P208" s="8">
        <f t="shared" si="25"/>
        <v>-0.50955868595981846</v>
      </c>
    </row>
    <row r="209" spans="1:16" x14ac:dyDescent="0.2">
      <c r="A209" s="8">
        <v>103.5</v>
      </c>
      <c r="B209" s="8">
        <v>207</v>
      </c>
      <c r="D209">
        <v>642.89375506893998</v>
      </c>
      <c r="E209">
        <v>245.63098134630999</v>
      </c>
      <c r="F209">
        <v>149.41435562806001</v>
      </c>
      <c r="G209">
        <v>123.22593800979</v>
      </c>
      <c r="I209" s="9">
        <f t="shared" si="22"/>
        <v>122.40504333652</v>
      </c>
      <c r="J209" s="9">
        <f t="shared" si="23"/>
        <v>493.47939944088</v>
      </c>
      <c r="K209" s="9">
        <f t="shared" si="24"/>
        <v>122.40504333652</v>
      </c>
      <c r="L209" s="10">
        <f t="shared" si="21"/>
        <v>0.24804488996948373</v>
      </c>
      <c r="M209" s="10">
        <f t="shared" si="20"/>
        <v>0.24955075773730559</v>
      </c>
      <c r="P209" s="8">
        <f t="shared" si="25"/>
        <v>-2.127903391231134</v>
      </c>
    </row>
    <row r="210" spans="1:16" x14ac:dyDescent="0.2">
      <c r="A210" s="8">
        <v>104</v>
      </c>
      <c r="B210" s="8">
        <v>208</v>
      </c>
      <c r="D210">
        <v>648.20762368208</v>
      </c>
      <c r="E210">
        <v>247.36901865369001</v>
      </c>
      <c r="F210">
        <v>149.77569331158</v>
      </c>
      <c r="G210">
        <v>123.42985318108001</v>
      </c>
      <c r="I210" s="9">
        <f t="shared" si="22"/>
        <v>123.93916547261</v>
      </c>
      <c r="J210" s="9">
        <f t="shared" si="23"/>
        <v>498.43193037050003</v>
      </c>
      <c r="K210" s="9">
        <f t="shared" si="24"/>
        <v>123.93916547261</v>
      </c>
      <c r="L210" s="10">
        <f t="shared" si="21"/>
        <v>0.24865815755519946</v>
      </c>
      <c r="M210" s="10">
        <f t="shared" si="20"/>
        <v>0.25017130004653737</v>
      </c>
      <c r="P210" s="8">
        <f t="shared" si="25"/>
        <v>-1.8845309511326191</v>
      </c>
    </row>
    <row r="211" spans="1:16" x14ac:dyDescent="0.2">
      <c r="A211" s="8">
        <v>104.5</v>
      </c>
      <c r="B211" s="8">
        <v>209</v>
      </c>
      <c r="D211">
        <v>639.24817518248005</v>
      </c>
      <c r="E211">
        <v>246.19383617194001</v>
      </c>
      <c r="F211">
        <v>149.63703099511</v>
      </c>
      <c r="G211">
        <v>122.78629690049</v>
      </c>
      <c r="I211" s="9">
        <f t="shared" si="22"/>
        <v>123.40753927145001</v>
      </c>
      <c r="J211" s="9">
        <f t="shared" si="23"/>
        <v>489.61114418737009</v>
      </c>
      <c r="K211" s="9">
        <f t="shared" si="24"/>
        <v>123.40753927145001</v>
      </c>
      <c r="L211" s="10">
        <f t="shared" si="21"/>
        <v>0.2520521453331605</v>
      </c>
      <c r="M211" s="10">
        <f t="shared" si="20"/>
        <v>0.25357256254801447</v>
      </c>
      <c r="P211" s="8">
        <f t="shared" si="25"/>
        <v>-0.55057911241782309</v>
      </c>
    </row>
    <row r="212" spans="1:16" x14ac:dyDescent="0.2">
      <c r="A212" s="8">
        <v>105</v>
      </c>
      <c r="B212" s="8">
        <v>210</v>
      </c>
      <c r="D212">
        <v>639.37662337662005</v>
      </c>
      <c r="E212">
        <v>247.08279220778999</v>
      </c>
      <c r="F212">
        <v>149.65089722675</v>
      </c>
      <c r="G212">
        <v>122.97634584012999</v>
      </c>
      <c r="I212" s="9">
        <f t="shared" si="22"/>
        <v>124.10644636766</v>
      </c>
      <c r="J212" s="9">
        <f t="shared" si="23"/>
        <v>489.72572614987007</v>
      </c>
      <c r="K212" s="9">
        <f t="shared" si="24"/>
        <v>124.10644636766</v>
      </c>
      <c r="L212" s="10">
        <f t="shared" si="21"/>
        <v>0.25342031210686261</v>
      </c>
      <c r="M212" s="10">
        <f t="shared" si="20"/>
        <v>0.2549480040452326</v>
      </c>
      <c r="P212" s="8">
        <f t="shared" si="25"/>
        <v>-1.114038533869989E-2</v>
      </c>
    </row>
    <row r="213" spans="1:16" x14ac:dyDescent="0.2">
      <c r="A213" s="8">
        <v>105.5</v>
      </c>
      <c r="B213" s="8">
        <v>211</v>
      </c>
      <c r="D213">
        <v>634.85772357723999</v>
      </c>
      <c r="E213">
        <v>245.87398373984001</v>
      </c>
      <c r="F213">
        <v>149.73817292007001</v>
      </c>
      <c r="G213">
        <v>123.15252854812</v>
      </c>
      <c r="I213" s="9">
        <f t="shared" si="22"/>
        <v>122.72145519172001</v>
      </c>
      <c r="J213" s="9">
        <f t="shared" si="23"/>
        <v>485.11955065716995</v>
      </c>
      <c r="K213" s="9">
        <f t="shared" si="24"/>
        <v>122.72145519172001</v>
      </c>
      <c r="L213" s="10">
        <f t="shared" si="21"/>
        <v>0.25297157169913004</v>
      </c>
      <c r="M213" s="10">
        <f t="shared" si="20"/>
        <v>0.25450653836101605</v>
      </c>
      <c r="P213" s="8">
        <f t="shared" si="25"/>
        <v>-0.1842802006085896</v>
      </c>
    </row>
    <row r="214" spans="1:16" x14ac:dyDescent="0.2">
      <c r="A214" s="8">
        <v>106</v>
      </c>
      <c r="B214" s="8">
        <v>212</v>
      </c>
      <c r="D214">
        <v>635.09512195121999</v>
      </c>
      <c r="E214">
        <v>243.96504065041</v>
      </c>
      <c r="F214">
        <v>149.93637846656</v>
      </c>
      <c r="G214">
        <v>122.8792822186</v>
      </c>
      <c r="I214" s="9">
        <f t="shared" si="22"/>
        <v>121.08575843181001</v>
      </c>
      <c r="J214" s="9">
        <f t="shared" si="23"/>
        <v>485.15874348466002</v>
      </c>
      <c r="K214" s="9">
        <f t="shared" si="24"/>
        <v>121.08575843181001</v>
      </c>
      <c r="L214" s="10">
        <f t="shared" si="21"/>
        <v>0.2495796686299204</v>
      </c>
      <c r="M214" s="10">
        <f t="shared" si="20"/>
        <v>0.25112191001532247</v>
      </c>
      <c r="P214" s="8">
        <f t="shared" si="25"/>
        <v>-1.5117082374459214</v>
      </c>
    </row>
    <row r="215" spans="1:16" x14ac:dyDescent="0.2">
      <c r="A215" s="8">
        <v>106.5</v>
      </c>
      <c r="B215" s="8">
        <v>213</v>
      </c>
      <c r="D215">
        <v>644.77804878049005</v>
      </c>
      <c r="E215">
        <v>246.82357723576999</v>
      </c>
      <c r="F215">
        <v>149.54730831974001</v>
      </c>
      <c r="G215">
        <v>123.00734094617</v>
      </c>
      <c r="I215" s="9">
        <f t="shared" si="22"/>
        <v>123.81623628959998</v>
      </c>
      <c r="J215" s="9">
        <f t="shared" si="23"/>
        <v>495.23074046075004</v>
      </c>
      <c r="K215" s="9">
        <f t="shared" si="24"/>
        <v>123.81623628959998</v>
      </c>
      <c r="L215" s="10">
        <f t="shared" si="21"/>
        <v>0.25001726705091959</v>
      </c>
      <c r="M215" s="10">
        <f t="shared" si="20"/>
        <v>0.25156678315983771</v>
      </c>
      <c r="P215" s="8">
        <f t="shared" si="25"/>
        <v>-1.33723203960373</v>
      </c>
    </row>
    <row r="216" spans="1:16" x14ac:dyDescent="0.2">
      <c r="A216" s="8">
        <v>107</v>
      </c>
      <c r="B216" s="8">
        <v>214</v>
      </c>
      <c r="D216">
        <v>649.66910569106005</v>
      </c>
      <c r="E216">
        <v>249.74715447155</v>
      </c>
      <c r="F216">
        <v>148.96084828711</v>
      </c>
      <c r="G216">
        <v>122.7365415987</v>
      </c>
      <c r="I216" s="9">
        <f t="shared" si="22"/>
        <v>127.01061287285</v>
      </c>
      <c r="J216" s="9">
        <f t="shared" si="23"/>
        <v>500.70825740395003</v>
      </c>
      <c r="K216" s="9">
        <f t="shared" si="24"/>
        <v>127.01061287285</v>
      </c>
      <c r="L216" s="10">
        <f t="shared" si="21"/>
        <v>0.25366190989413473</v>
      </c>
      <c r="M216" s="10">
        <f t="shared" si="20"/>
        <v>0.25521870072656888</v>
      </c>
      <c r="P216" s="8">
        <f t="shared" si="25"/>
        <v>9.502499755829999E-2</v>
      </c>
    </row>
    <row r="217" spans="1:16" x14ac:dyDescent="0.2">
      <c r="A217" s="8">
        <v>107.5</v>
      </c>
      <c r="B217" s="8">
        <v>215</v>
      </c>
      <c r="D217">
        <v>653.10081300812999</v>
      </c>
      <c r="E217">
        <v>250.43414634146001</v>
      </c>
      <c r="F217">
        <v>149.61582381728999</v>
      </c>
      <c r="G217">
        <v>123.0603588907</v>
      </c>
      <c r="I217" s="9">
        <f t="shared" si="22"/>
        <v>127.37378745076001</v>
      </c>
      <c r="J217" s="9">
        <f t="shared" si="23"/>
        <v>503.48498919084</v>
      </c>
      <c r="K217" s="9">
        <f t="shared" si="24"/>
        <v>127.37378745076001</v>
      </c>
      <c r="L217" s="10">
        <f t="shared" si="21"/>
        <v>0.25298427993943723</v>
      </c>
      <c r="M217" s="10">
        <f t="shared" si="20"/>
        <v>0.25454834549538746</v>
      </c>
      <c r="P217" s="8">
        <f t="shared" si="25"/>
        <v>-0.16788372908017429</v>
      </c>
    </row>
    <row r="218" spans="1:16" x14ac:dyDescent="0.2">
      <c r="A218" s="8">
        <v>108</v>
      </c>
      <c r="B218" s="8">
        <v>216</v>
      </c>
      <c r="D218">
        <v>641.64354838710005</v>
      </c>
      <c r="E218">
        <v>248.4185483871</v>
      </c>
      <c r="F218">
        <v>149.51957585644001</v>
      </c>
      <c r="G218">
        <v>123.1427406199</v>
      </c>
      <c r="I218" s="9">
        <f t="shared" si="22"/>
        <v>125.27580776720001</v>
      </c>
      <c r="J218" s="9">
        <f t="shared" si="23"/>
        <v>492.12397253066001</v>
      </c>
      <c r="K218" s="9">
        <f t="shared" si="24"/>
        <v>125.27580776720001</v>
      </c>
      <c r="L218" s="10">
        <f t="shared" si="21"/>
        <v>0.2545614819838819</v>
      </c>
      <c r="M218" s="10">
        <f t="shared" si="20"/>
        <v>0.25613282226334816</v>
      </c>
      <c r="P218" s="8">
        <f t="shared" si="25"/>
        <v>0.45353719832667788</v>
      </c>
    </row>
    <row r="219" spans="1:16" x14ac:dyDescent="0.2">
      <c r="A219" s="8">
        <v>108.5</v>
      </c>
      <c r="B219" s="8">
        <v>217</v>
      </c>
      <c r="D219">
        <v>648.80847595761998</v>
      </c>
      <c r="E219">
        <v>248.28443357782999</v>
      </c>
      <c r="F219">
        <v>149.70065252854999</v>
      </c>
      <c r="G219">
        <v>123.37438825449</v>
      </c>
      <c r="I219" s="9">
        <f t="shared" si="22"/>
        <v>124.91004532333999</v>
      </c>
      <c r="J219" s="9">
        <f t="shared" si="23"/>
        <v>499.10782342906998</v>
      </c>
      <c r="K219" s="9">
        <f t="shared" si="24"/>
        <v>124.91004532333999</v>
      </c>
      <c r="L219" s="10">
        <f t="shared" si="21"/>
        <v>0.25026665473836518</v>
      </c>
      <c r="M219" s="10">
        <f t="shared" si="20"/>
        <v>0.25184526974134752</v>
      </c>
      <c r="P219" s="8">
        <f t="shared" si="25"/>
        <v>-1.2280115112554841</v>
      </c>
    </row>
    <row r="220" spans="1:16" x14ac:dyDescent="0.2">
      <c r="A220" s="8">
        <v>109</v>
      </c>
      <c r="B220" s="8">
        <v>218</v>
      </c>
      <c r="D220">
        <v>620.04738955822995</v>
      </c>
      <c r="E220">
        <v>242.72530120482</v>
      </c>
      <c r="F220">
        <v>149.92903752039001</v>
      </c>
      <c r="G220">
        <v>123.33931484502</v>
      </c>
      <c r="I220" s="9">
        <f t="shared" si="22"/>
        <v>119.3859863598</v>
      </c>
      <c r="J220" s="9">
        <f t="shared" si="23"/>
        <v>470.11835203783994</v>
      </c>
      <c r="K220" s="9">
        <f t="shared" si="24"/>
        <v>119.3859863598</v>
      </c>
      <c r="L220" s="10">
        <f t="shared" si="21"/>
        <v>0.25394878936823678</v>
      </c>
      <c r="M220" s="10">
        <f t="shared" si="20"/>
        <v>0.25553467909473515</v>
      </c>
      <c r="P220" s="8">
        <f t="shared" si="25"/>
        <v>0.21894954764123173</v>
      </c>
    </row>
    <row r="221" spans="1:16" x14ac:dyDescent="0.2">
      <c r="A221" s="8">
        <v>109.5</v>
      </c>
      <c r="B221" s="8">
        <v>219</v>
      </c>
      <c r="D221">
        <v>637.63725490195998</v>
      </c>
      <c r="E221">
        <v>247.59885620915</v>
      </c>
      <c r="F221">
        <v>149.38907014681999</v>
      </c>
      <c r="G221">
        <v>123.26101141925</v>
      </c>
      <c r="I221" s="9">
        <f t="shared" si="22"/>
        <v>124.3378447899</v>
      </c>
      <c r="J221" s="9">
        <f t="shared" si="23"/>
        <v>488.24818475513996</v>
      </c>
      <c r="K221" s="9">
        <f t="shared" si="24"/>
        <v>124.3378447899</v>
      </c>
      <c r="L221" s="10">
        <f t="shared" si="21"/>
        <v>0.2546611511771546</v>
      </c>
      <c r="M221" s="10">
        <f t="shared" si="20"/>
        <v>0.25625431562716899</v>
      </c>
      <c r="P221" s="8">
        <f t="shared" si="25"/>
        <v>0.50118606282627653</v>
      </c>
    </row>
    <row r="222" spans="1:16" x14ac:dyDescent="0.2">
      <c r="A222" s="8">
        <v>110</v>
      </c>
      <c r="B222" s="8">
        <v>220</v>
      </c>
      <c r="D222">
        <v>642.31209150327004</v>
      </c>
      <c r="E222">
        <v>251.54248366012999</v>
      </c>
      <c r="F222">
        <v>149.588091354</v>
      </c>
      <c r="G222">
        <v>123.00570962480001</v>
      </c>
      <c r="I222" s="9">
        <f t="shared" si="22"/>
        <v>128.53677403532998</v>
      </c>
      <c r="J222" s="9">
        <f t="shared" si="23"/>
        <v>492.72400014927007</v>
      </c>
      <c r="K222" s="9">
        <f t="shared" si="24"/>
        <v>128.53677403532998</v>
      </c>
      <c r="L222" s="10">
        <f t="shared" si="21"/>
        <v>0.26086972421962384</v>
      </c>
      <c r="M222" s="10">
        <f t="shared" si="20"/>
        <v>0.26247016339315432</v>
      </c>
      <c r="P222" s="8">
        <f t="shared" si="25"/>
        <v>2.9389989493666406</v>
      </c>
    </row>
    <row r="223" spans="1:16" x14ac:dyDescent="0.2">
      <c r="A223" s="8">
        <v>110.5</v>
      </c>
      <c r="B223" s="8">
        <v>221</v>
      </c>
      <c r="D223">
        <v>642.09232026144002</v>
      </c>
      <c r="E223">
        <v>252.88235294117999</v>
      </c>
      <c r="F223">
        <v>149.39641109299001</v>
      </c>
      <c r="G223">
        <v>122.80505709625</v>
      </c>
      <c r="I223" s="9">
        <f t="shared" si="22"/>
        <v>130.07729584493001</v>
      </c>
      <c r="J223" s="9">
        <f t="shared" si="23"/>
        <v>492.69590916845004</v>
      </c>
      <c r="K223" s="9">
        <f t="shared" si="24"/>
        <v>130.07729584493001</v>
      </c>
      <c r="L223" s="10">
        <f t="shared" si="21"/>
        <v>0.26401131696926122</v>
      </c>
      <c r="M223" s="10">
        <f t="shared" si="20"/>
        <v>0.26561903086630773</v>
      </c>
      <c r="P223" s="8">
        <f t="shared" si="25"/>
        <v>4.1739631880450832</v>
      </c>
    </row>
    <row r="224" spans="1:16" x14ac:dyDescent="0.2">
      <c r="A224" s="8">
        <v>111</v>
      </c>
      <c r="B224" s="8">
        <v>222</v>
      </c>
      <c r="D224">
        <v>641.16094771242001</v>
      </c>
      <c r="E224">
        <v>253.1135620915</v>
      </c>
      <c r="F224">
        <v>149.57177814029001</v>
      </c>
      <c r="G224">
        <v>122.7528548124</v>
      </c>
      <c r="I224" s="9">
        <f t="shared" si="22"/>
        <v>130.36070727909998</v>
      </c>
      <c r="J224" s="9">
        <f t="shared" si="23"/>
        <v>491.58916957213</v>
      </c>
      <c r="K224" s="9">
        <f t="shared" si="24"/>
        <v>130.36070727909998</v>
      </c>
      <c r="L224" s="10">
        <f t="shared" si="21"/>
        <v>0.26518221992678054</v>
      </c>
      <c r="M224" s="10">
        <f t="shared" si="20"/>
        <v>0.26679720854734307</v>
      </c>
      <c r="P224" s="8">
        <f t="shared" si="25"/>
        <v>4.6360363985859632</v>
      </c>
    </row>
    <row r="225" spans="1:16" x14ac:dyDescent="0.2">
      <c r="A225" s="8">
        <v>111.5</v>
      </c>
      <c r="B225" s="8">
        <v>223</v>
      </c>
      <c r="D225">
        <v>639.22882736155998</v>
      </c>
      <c r="E225">
        <v>255.3167752443</v>
      </c>
      <c r="F225">
        <v>149.79608482871001</v>
      </c>
      <c r="G225">
        <v>123.16639477977</v>
      </c>
      <c r="I225" s="9">
        <f t="shared" si="22"/>
        <v>132.15038046453</v>
      </c>
      <c r="J225" s="9">
        <f t="shared" si="23"/>
        <v>489.43274253284994</v>
      </c>
      <c r="K225" s="9">
        <f t="shared" si="24"/>
        <v>132.15038046453</v>
      </c>
      <c r="L225" s="10">
        <f t="shared" si="21"/>
        <v>0.27000723282353811</v>
      </c>
      <c r="M225" s="10">
        <f t="shared" si="20"/>
        <v>0.27162949616761672</v>
      </c>
      <c r="P225" s="8">
        <f t="shared" si="25"/>
        <v>6.5312264797582955</v>
      </c>
    </row>
    <row r="226" spans="1:16" x14ac:dyDescent="0.2">
      <c r="A226" s="8">
        <v>112</v>
      </c>
      <c r="B226" s="8">
        <v>224</v>
      </c>
      <c r="D226">
        <v>626.86963562752999</v>
      </c>
      <c r="E226">
        <v>251.13684210526</v>
      </c>
      <c r="F226">
        <v>148.53181076672001</v>
      </c>
      <c r="G226">
        <v>123.01468189233</v>
      </c>
      <c r="I226" s="9">
        <f t="shared" si="22"/>
        <v>128.12216021293</v>
      </c>
      <c r="J226" s="9">
        <f t="shared" si="23"/>
        <v>478.33782486080997</v>
      </c>
      <c r="K226" s="9">
        <f t="shared" si="24"/>
        <v>128.12216021293</v>
      </c>
      <c r="L226" s="10">
        <f t="shared" si="21"/>
        <v>0.26784869093346708</v>
      </c>
      <c r="M226" s="10">
        <f t="shared" si="20"/>
        <v>0.26947822900106172</v>
      </c>
      <c r="P226" s="8">
        <f t="shared" si="25"/>
        <v>5.6875142431559835</v>
      </c>
    </row>
    <row r="227" spans="1:16" x14ac:dyDescent="0.2">
      <c r="A227" s="8">
        <v>112.5</v>
      </c>
      <c r="B227" s="8">
        <v>225</v>
      </c>
      <c r="D227">
        <v>641.39707078926006</v>
      </c>
      <c r="E227">
        <v>254.19528071603</v>
      </c>
      <c r="F227">
        <v>148.66313213703</v>
      </c>
      <c r="G227">
        <v>122.86215334421</v>
      </c>
      <c r="I227" s="9">
        <f t="shared" si="22"/>
        <v>131.33312737182001</v>
      </c>
      <c r="J227" s="9">
        <f t="shared" si="23"/>
        <v>492.73393865223005</v>
      </c>
      <c r="K227" s="9">
        <f t="shared" si="24"/>
        <v>131.33312737182001</v>
      </c>
      <c r="L227" s="10">
        <f t="shared" si="21"/>
        <v>0.26653964151739606</v>
      </c>
      <c r="M227" s="10">
        <f t="shared" si="20"/>
        <v>0.26817645430850678</v>
      </c>
      <c r="P227" s="8">
        <f t="shared" si="25"/>
        <v>5.1769671319077579</v>
      </c>
    </row>
    <row r="228" spans="1:16" x14ac:dyDescent="0.2">
      <c r="A228" s="8">
        <v>113</v>
      </c>
      <c r="B228" s="8">
        <v>226</v>
      </c>
      <c r="D228">
        <v>645.55655004068001</v>
      </c>
      <c r="E228">
        <v>255.68836452400001</v>
      </c>
      <c r="F228">
        <v>149.43800978793001</v>
      </c>
      <c r="G228">
        <v>122.68026101142</v>
      </c>
      <c r="I228" s="9">
        <f t="shared" si="22"/>
        <v>133.00810351258002</v>
      </c>
      <c r="J228" s="9">
        <f t="shared" si="23"/>
        <v>496.11854025274999</v>
      </c>
      <c r="K228" s="9">
        <f t="shared" si="24"/>
        <v>133.00810351258002</v>
      </c>
      <c r="L228" s="10">
        <f t="shared" si="21"/>
        <v>0.26809742575800211</v>
      </c>
      <c r="M228" s="10">
        <f t="shared" si="20"/>
        <v>0.26974151327262885</v>
      </c>
      <c r="P228" s="8">
        <f t="shared" si="25"/>
        <v>5.7907725297507806</v>
      </c>
    </row>
    <row r="229" spans="1:16" x14ac:dyDescent="0.2">
      <c r="A229" s="8">
        <v>113.5</v>
      </c>
      <c r="B229" s="8">
        <v>227</v>
      </c>
      <c r="D229">
        <v>641.36859235150996</v>
      </c>
      <c r="E229">
        <v>254.70301057770999</v>
      </c>
      <c r="F229">
        <v>149.36296900489</v>
      </c>
      <c r="G229">
        <v>122.79445350733999</v>
      </c>
      <c r="I229" s="9">
        <f t="shared" si="22"/>
        <v>131.90855707036999</v>
      </c>
      <c r="J229" s="9">
        <f t="shared" si="23"/>
        <v>492.00562334661993</v>
      </c>
      <c r="K229" s="9">
        <f t="shared" si="24"/>
        <v>131.90855707036999</v>
      </c>
      <c r="L229" s="10">
        <f t="shared" si="21"/>
        <v>0.26810375900407113</v>
      </c>
      <c r="M229" s="10">
        <f t="shared" si="20"/>
        <v>0.2697551212422139</v>
      </c>
      <c r="P229" s="8">
        <f t="shared" si="25"/>
        <v>5.7961094821445673</v>
      </c>
    </row>
    <row r="230" spans="1:16" x14ac:dyDescent="0.2">
      <c r="A230" s="8">
        <v>114</v>
      </c>
      <c r="B230" s="8">
        <v>228</v>
      </c>
      <c r="D230">
        <v>639.70292207791999</v>
      </c>
      <c r="E230">
        <v>253.83360389609999</v>
      </c>
      <c r="F230">
        <v>150.03425774877999</v>
      </c>
      <c r="G230">
        <v>122.72430668842</v>
      </c>
      <c r="I230" s="9">
        <f t="shared" si="22"/>
        <v>131.10929720767999</v>
      </c>
      <c r="J230" s="9">
        <f t="shared" si="23"/>
        <v>489.66866432914003</v>
      </c>
      <c r="K230" s="9">
        <f t="shared" si="24"/>
        <v>131.10929720767999</v>
      </c>
      <c r="L230" s="10">
        <f t="shared" si="21"/>
        <v>0.2677510462861728</v>
      </c>
      <c r="M230" s="10">
        <f t="shared" si="20"/>
        <v>0.26940968324783165</v>
      </c>
      <c r="P230" s="8">
        <f t="shared" si="25"/>
        <v>5.6606310685942942</v>
      </c>
    </row>
    <row r="231" spans="1:16" x14ac:dyDescent="0.2">
      <c r="A231" s="8">
        <v>114.5</v>
      </c>
      <c r="B231" s="8">
        <v>229</v>
      </c>
      <c r="D231">
        <v>642.52191558441996</v>
      </c>
      <c r="E231">
        <v>256.45616883116998</v>
      </c>
      <c r="F231">
        <v>149.71941272430999</v>
      </c>
      <c r="G231">
        <v>123.06117455139</v>
      </c>
      <c r="I231" s="9">
        <f t="shared" si="22"/>
        <v>133.39499427977998</v>
      </c>
      <c r="J231" s="9">
        <f t="shared" si="23"/>
        <v>492.80250286010994</v>
      </c>
      <c r="K231" s="9">
        <f t="shared" si="24"/>
        <v>133.39499427977998</v>
      </c>
      <c r="L231" s="10">
        <f t="shared" si="21"/>
        <v>0.27068651945878275</v>
      </c>
      <c r="M231" s="10">
        <f t="shared" si="20"/>
        <v>0.27235243114395763</v>
      </c>
      <c r="P231" s="8">
        <f t="shared" si="25"/>
        <v>6.8147566220341087</v>
      </c>
    </row>
    <row r="232" spans="1:16" x14ac:dyDescent="0.2">
      <c r="A232" s="8">
        <v>115</v>
      </c>
      <c r="B232" s="8">
        <v>230</v>
      </c>
      <c r="D232">
        <v>622.85714285714005</v>
      </c>
      <c r="E232">
        <v>251.89610389609999</v>
      </c>
      <c r="F232">
        <v>149.11582381728999</v>
      </c>
      <c r="G232">
        <v>122.91272430669</v>
      </c>
      <c r="I232" s="9">
        <f t="shared" si="22"/>
        <v>128.98337958940999</v>
      </c>
      <c r="J232" s="9">
        <f t="shared" si="23"/>
        <v>473.74131903985005</v>
      </c>
      <c r="K232" s="9">
        <f t="shared" si="24"/>
        <v>128.98337958940999</v>
      </c>
      <c r="L232" s="10">
        <f t="shared" si="21"/>
        <v>0.27226542082254007</v>
      </c>
      <c r="M232" s="10">
        <f t="shared" si="20"/>
        <v>0.27393860723123103</v>
      </c>
      <c r="P232" s="8">
        <f t="shared" si="25"/>
        <v>7.4368440108272154</v>
      </c>
    </row>
    <row r="233" spans="1:16" x14ac:dyDescent="0.2">
      <c r="A233" s="8">
        <v>115.5</v>
      </c>
      <c r="B233" s="8">
        <v>231</v>
      </c>
      <c r="D233">
        <v>627.84983766233995</v>
      </c>
      <c r="E233">
        <v>253.92126623377001</v>
      </c>
      <c r="F233">
        <v>149.18760195759</v>
      </c>
      <c r="G233">
        <v>122.54975530179</v>
      </c>
      <c r="I233" s="9">
        <f t="shared" si="22"/>
        <v>131.37151093198003</v>
      </c>
      <c r="J233" s="9">
        <f t="shared" si="23"/>
        <v>478.66223570474995</v>
      </c>
      <c r="K233" s="9">
        <f t="shared" si="24"/>
        <v>131.37151093198003</v>
      </c>
      <c r="L233" s="10">
        <f t="shared" si="21"/>
        <v>0.27445555787069242</v>
      </c>
      <c r="M233" s="10">
        <f t="shared" si="20"/>
        <v>0.27613601900289941</v>
      </c>
      <c r="P233" s="8">
        <f t="shared" si="25"/>
        <v>8.2986538452512253</v>
      </c>
    </row>
    <row r="234" spans="1:16" x14ac:dyDescent="0.2">
      <c r="A234" s="8">
        <v>116</v>
      </c>
      <c r="B234" s="8">
        <v>232</v>
      </c>
      <c r="D234">
        <v>615.6319218241</v>
      </c>
      <c r="E234">
        <v>248.52442996743</v>
      </c>
      <c r="F234">
        <v>148.75856443718999</v>
      </c>
      <c r="G234">
        <v>123.17699836868</v>
      </c>
      <c r="I234" s="9">
        <f t="shared" si="22"/>
        <v>125.34743159874999</v>
      </c>
      <c r="J234" s="9">
        <f t="shared" si="23"/>
        <v>466.87335738691002</v>
      </c>
      <c r="K234" s="9">
        <f t="shared" si="24"/>
        <v>125.34743159874999</v>
      </c>
      <c r="L234" s="10">
        <f t="shared" si="21"/>
        <v>0.2684827258088136</v>
      </c>
      <c r="M234" s="10">
        <f t="shared" si="20"/>
        <v>0.27017046166453662</v>
      </c>
      <c r="P234" s="8">
        <f t="shared" si="25"/>
        <v>5.9590031487784598</v>
      </c>
    </row>
    <row r="235" spans="1:16" x14ac:dyDescent="0.2">
      <c r="A235" s="8">
        <v>116.5</v>
      </c>
      <c r="B235" s="8">
        <v>233</v>
      </c>
      <c r="D235">
        <v>621.33061889250996</v>
      </c>
      <c r="E235">
        <v>253.18159609121</v>
      </c>
      <c r="F235">
        <v>149.2691680261</v>
      </c>
      <c r="G235">
        <v>122.9396411093</v>
      </c>
      <c r="I235" s="9">
        <f t="shared" si="22"/>
        <v>130.24195498191</v>
      </c>
      <c r="J235" s="9">
        <f t="shared" si="23"/>
        <v>472.06145086640993</v>
      </c>
      <c r="K235" s="9">
        <f t="shared" si="24"/>
        <v>130.24195498191</v>
      </c>
      <c r="L235" s="10">
        <f t="shared" si="21"/>
        <v>0.27590042513081109</v>
      </c>
      <c r="M235" s="10">
        <f t="shared" si="20"/>
        <v>0.27759543571005019</v>
      </c>
      <c r="P235" s="8">
        <f t="shared" si="25"/>
        <v>8.8710270740477135</v>
      </c>
    </row>
    <row r="236" spans="1:16" x14ac:dyDescent="0.2">
      <c r="A236" s="8">
        <v>117</v>
      </c>
      <c r="B236" s="8">
        <v>234</v>
      </c>
      <c r="D236">
        <v>617.49185667751999</v>
      </c>
      <c r="E236">
        <v>248.81188925081</v>
      </c>
      <c r="F236">
        <v>148.66150081565999</v>
      </c>
      <c r="G236">
        <v>122.84584013051</v>
      </c>
      <c r="I236" s="9">
        <f t="shared" si="22"/>
        <v>125.9660491203</v>
      </c>
      <c r="J236" s="9">
        <f t="shared" si="23"/>
        <v>468.83035586185997</v>
      </c>
      <c r="K236" s="9">
        <f t="shared" si="24"/>
        <v>125.9660491203</v>
      </c>
      <c r="L236" s="10">
        <f t="shared" si="21"/>
        <v>0.26868151250303357</v>
      </c>
      <c r="M236" s="10">
        <f t="shared" si="20"/>
        <v>0.27038379780578869</v>
      </c>
      <c r="P236" s="8">
        <f t="shared" si="25"/>
        <v>6.0426721210391827</v>
      </c>
    </row>
    <row r="237" spans="1:16" x14ac:dyDescent="0.2">
      <c r="A237" s="8">
        <v>117.5</v>
      </c>
      <c r="B237" s="8">
        <v>235</v>
      </c>
      <c r="D237">
        <v>633.16612903225996</v>
      </c>
      <c r="E237">
        <v>253.09274193548001</v>
      </c>
      <c r="F237">
        <v>149.35399673736001</v>
      </c>
      <c r="G237">
        <v>122.83686786297</v>
      </c>
      <c r="I237" s="9">
        <f t="shared" si="22"/>
        <v>130.25587407251001</v>
      </c>
      <c r="J237" s="9">
        <f t="shared" si="23"/>
        <v>483.81213229489993</v>
      </c>
      <c r="K237" s="9">
        <f t="shared" si="24"/>
        <v>130.25587407251001</v>
      </c>
      <c r="L237" s="10">
        <f t="shared" si="21"/>
        <v>0.26922820941810244</v>
      </c>
      <c r="M237" s="10">
        <f t="shared" si="20"/>
        <v>0.27093776944437359</v>
      </c>
      <c r="P237" s="8">
        <f t="shared" si="25"/>
        <v>6.2599360004266886</v>
      </c>
    </row>
    <row r="238" spans="1:16" x14ac:dyDescent="0.2">
      <c r="A238" s="8">
        <v>118</v>
      </c>
      <c r="B238" s="8">
        <v>236</v>
      </c>
      <c r="D238">
        <v>633.95806451612998</v>
      </c>
      <c r="E238">
        <v>253.17903225807001</v>
      </c>
      <c r="F238">
        <v>149.52610114193001</v>
      </c>
      <c r="G238">
        <v>122.88907014682</v>
      </c>
      <c r="I238" s="9">
        <f t="shared" si="22"/>
        <v>130.28996211125002</v>
      </c>
      <c r="J238" s="9">
        <f t="shared" si="23"/>
        <v>484.4319633742</v>
      </c>
      <c r="K238" s="9">
        <f t="shared" si="24"/>
        <v>130.28996211125002</v>
      </c>
      <c r="L238" s="10">
        <f t="shared" si="21"/>
        <v>0.26895409874225701</v>
      </c>
      <c r="M238" s="10">
        <f t="shared" si="20"/>
        <v>0.27067093349204424</v>
      </c>
      <c r="P238" s="8">
        <f t="shared" si="25"/>
        <v>6.1552847689823738</v>
      </c>
    </row>
    <row r="239" spans="1:16" x14ac:dyDescent="0.2">
      <c r="A239" s="8">
        <v>118.5</v>
      </c>
      <c r="B239" s="8">
        <v>237</v>
      </c>
      <c r="D239">
        <v>642.42499999999995</v>
      </c>
      <c r="E239">
        <v>258.08306451612998</v>
      </c>
      <c r="F239">
        <v>149.20799347472001</v>
      </c>
      <c r="G239">
        <v>122.80831973898999</v>
      </c>
      <c r="I239" s="9">
        <f t="shared" si="22"/>
        <v>135.27474477713997</v>
      </c>
      <c r="J239" s="9">
        <f t="shared" si="23"/>
        <v>493.21700652527994</v>
      </c>
      <c r="K239" s="9">
        <f t="shared" si="24"/>
        <v>135.27474477713997</v>
      </c>
      <c r="L239" s="10">
        <f t="shared" si="21"/>
        <v>0.27427023599642736</v>
      </c>
      <c r="M239" s="10">
        <f t="shared" si="20"/>
        <v>0.27599434546973062</v>
      </c>
      <c r="P239" s="8">
        <f t="shared" si="25"/>
        <v>8.243090456660763</v>
      </c>
    </row>
    <row r="240" spans="1:16" x14ac:dyDescent="0.2">
      <c r="A240" s="8">
        <v>119</v>
      </c>
      <c r="B240" s="8">
        <v>238</v>
      </c>
      <c r="D240">
        <v>629.11721907842002</v>
      </c>
      <c r="E240">
        <v>253.41228779305001</v>
      </c>
      <c r="F240">
        <v>149.20962479609</v>
      </c>
      <c r="G240">
        <v>123.03344208809</v>
      </c>
      <c r="I240" s="9">
        <f t="shared" si="22"/>
        <v>130.37884570496001</v>
      </c>
      <c r="J240" s="9">
        <f t="shared" si="23"/>
        <v>479.90759428233002</v>
      </c>
      <c r="K240" s="9">
        <f t="shared" si="24"/>
        <v>130.37884570496001</v>
      </c>
      <c r="L240" s="10">
        <f t="shared" si="21"/>
        <v>0.27167489587226251</v>
      </c>
      <c r="M240" s="10">
        <f t="shared" si="20"/>
        <v>0.27340628006908185</v>
      </c>
      <c r="P240" s="8">
        <f t="shared" si="25"/>
        <v>7.2280689467331181</v>
      </c>
    </row>
    <row r="241" spans="1:16" x14ac:dyDescent="0.2">
      <c r="A241" s="8">
        <v>119.5</v>
      </c>
      <c r="B241" s="8">
        <v>239</v>
      </c>
      <c r="D241">
        <v>629.36348949919</v>
      </c>
      <c r="E241">
        <v>253.48061389338</v>
      </c>
      <c r="F241">
        <v>149.02202283849999</v>
      </c>
      <c r="G241">
        <v>123.05464926591</v>
      </c>
      <c r="I241" s="9">
        <f t="shared" si="22"/>
        <v>130.42596462746999</v>
      </c>
      <c r="J241" s="9">
        <f t="shared" si="23"/>
        <v>480.34146666069</v>
      </c>
      <c r="K241" s="9">
        <f t="shared" si="24"/>
        <v>130.42596462746999</v>
      </c>
      <c r="L241" s="10">
        <f t="shared" si="21"/>
        <v>0.27152759792775089</v>
      </c>
      <c r="M241" s="10">
        <f t="shared" si="20"/>
        <v>0.27326625684808625</v>
      </c>
      <c r="P241" s="8">
        <f t="shared" si="25"/>
        <v>7.1731527992647202</v>
      </c>
    </row>
    <row r="242" spans="1:16" x14ac:dyDescent="0.2">
      <c r="A242" s="8">
        <v>120</v>
      </c>
      <c r="B242" s="8">
        <v>240</v>
      </c>
      <c r="D242">
        <v>635.55573505654002</v>
      </c>
      <c r="E242">
        <v>256.89903069466999</v>
      </c>
      <c r="F242">
        <v>149.83278955954</v>
      </c>
      <c r="G242">
        <v>123.11337683524</v>
      </c>
      <c r="I242" s="9">
        <f>E242-G242</f>
        <v>133.78565385943</v>
      </c>
      <c r="J242" s="9">
        <f>D242-F242</f>
        <v>485.72294549700001</v>
      </c>
      <c r="K242" s="9">
        <f t="shared" si="24"/>
        <v>133.78565385943</v>
      </c>
      <c r="L242" s="10">
        <f t="shared" si="21"/>
        <v>0.27543614132237099</v>
      </c>
      <c r="M242" s="10">
        <f>L242+ABS($N$2)*A242</f>
        <v>0.27718207496622238</v>
      </c>
      <c r="O242" s="11"/>
      <c r="P242" s="8">
        <f>(M242-$O$2)/$O$2*100</f>
        <v>8.708909823749579</v>
      </c>
    </row>
    <row r="243" spans="1:16" x14ac:dyDescent="0.2">
      <c r="A243" s="8">
        <v>120.5</v>
      </c>
      <c r="B243" s="8">
        <v>241</v>
      </c>
      <c r="D243">
        <v>632.97899838448996</v>
      </c>
      <c r="E243">
        <v>255.02342487883999</v>
      </c>
      <c r="F243">
        <v>149.82218597063999</v>
      </c>
      <c r="G243">
        <v>123.04323001631001</v>
      </c>
      <c r="I243" s="9">
        <f t="shared" ref="I243:I274" si="26">E243-G243</f>
        <v>131.98019486252997</v>
      </c>
      <c r="J243" s="9">
        <f t="shared" ref="J243:J274" si="27">D243-F243</f>
        <v>483.15681241384993</v>
      </c>
      <c r="K243" s="9">
        <f t="shared" si="24"/>
        <v>131.98019486252997</v>
      </c>
      <c r="L243" s="10">
        <f t="shared" si="21"/>
        <v>0.27316223526510436</v>
      </c>
      <c r="M243" s="10">
        <f t="shared" ref="M243:M274" si="28">L243+ABS($N$2)*A243</f>
        <v>0.27491544363247183</v>
      </c>
      <c r="P243" s="8">
        <f t="shared" ref="P243:P274" si="29">(M243-$O$2)/$O$2*100</f>
        <v>7.8199525515507906</v>
      </c>
    </row>
    <row r="244" spans="1:16" x14ac:dyDescent="0.2">
      <c r="A244" s="8">
        <v>121</v>
      </c>
      <c r="B244" s="8">
        <v>242</v>
      </c>
      <c r="D244">
        <v>638.58090614886999</v>
      </c>
      <c r="E244">
        <v>257.14239482200998</v>
      </c>
      <c r="F244">
        <v>148.99755301795</v>
      </c>
      <c r="G244">
        <v>122.68760195759</v>
      </c>
      <c r="I244" s="9">
        <f t="shared" si="26"/>
        <v>134.45479286441997</v>
      </c>
      <c r="J244" s="9">
        <f t="shared" si="27"/>
        <v>489.58335313091999</v>
      </c>
      <c r="K244" s="9">
        <f t="shared" si="24"/>
        <v>134.45479286441997</v>
      </c>
      <c r="L244" s="10">
        <f t="shared" si="21"/>
        <v>0.27463105517083475</v>
      </c>
      <c r="M244" s="10">
        <f t="shared" si="28"/>
        <v>0.27639153826171825</v>
      </c>
      <c r="N244" s="1"/>
      <c r="P244" s="8">
        <f t="shared" si="29"/>
        <v>8.3988667470723595</v>
      </c>
    </row>
    <row r="245" spans="1:16" x14ac:dyDescent="0.2">
      <c r="A245" s="8">
        <v>121.5</v>
      </c>
      <c r="B245" s="8">
        <v>243</v>
      </c>
      <c r="D245">
        <v>638.59546925565996</v>
      </c>
      <c r="E245">
        <v>257.53236245954997</v>
      </c>
      <c r="F245">
        <v>149.20554649266001</v>
      </c>
      <c r="G245">
        <v>122.88743882545</v>
      </c>
      <c r="I245" s="9">
        <f t="shared" si="26"/>
        <v>134.64492363409997</v>
      </c>
      <c r="J245" s="9">
        <f t="shared" si="27"/>
        <v>489.38992276299996</v>
      </c>
      <c r="K245" s="9">
        <f t="shared" si="24"/>
        <v>134.64492363409997</v>
      </c>
      <c r="L245" s="10">
        <f t="shared" si="21"/>
        <v>0.2751281082248711</v>
      </c>
      <c r="M245" s="10">
        <f t="shared" si="28"/>
        <v>0.27689586603927063</v>
      </c>
      <c r="P245" s="8">
        <f t="shared" si="29"/>
        <v>8.5966606444527542</v>
      </c>
    </row>
    <row r="246" spans="1:16" x14ac:dyDescent="0.2">
      <c r="A246" s="8">
        <v>122</v>
      </c>
      <c r="B246" s="8">
        <v>244</v>
      </c>
      <c r="D246">
        <v>637.93365695793</v>
      </c>
      <c r="E246">
        <v>255.84708737864</v>
      </c>
      <c r="F246">
        <v>148.92169657423</v>
      </c>
      <c r="G246">
        <v>122.61256117455</v>
      </c>
      <c r="I246" s="9">
        <f t="shared" si="26"/>
        <v>133.23452620409</v>
      </c>
      <c r="J246" s="9">
        <f t="shared" si="27"/>
        <v>489.0119603837</v>
      </c>
      <c r="K246" s="9">
        <f t="shared" si="24"/>
        <v>133.23452620409</v>
      </c>
      <c r="L246" s="10">
        <f t="shared" si="21"/>
        <v>0.27245657979315763</v>
      </c>
      <c r="M246" s="10">
        <f t="shared" si="28"/>
        <v>0.27423161233107324</v>
      </c>
      <c r="P246" s="8">
        <f t="shared" si="29"/>
        <v>7.5517586025464896</v>
      </c>
    </row>
    <row r="247" spans="1:16" x14ac:dyDescent="0.2">
      <c r="A247" s="8">
        <v>122.5</v>
      </c>
      <c r="B247" s="8">
        <v>245</v>
      </c>
      <c r="D247">
        <v>635.57142857143003</v>
      </c>
      <c r="E247">
        <v>257.91396103896</v>
      </c>
      <c r="F247">
        <v>148.79771615007999</v>
      </c>
      <c r="G247">
        <v>122.68760195759</v>
      </c>
      <c r="I247" s="9">
        <f t="shared" si="26"/>
        <v>135.22635908136999</v>
      </c>
      <c r="J247" s="9">
        <f t="shared" si="27"/>
        <v>486.77371242135007</v>
      </c>
      <c r="K247" s="9">
        <f t="shared" si="24"/>
        <v>135.22635908136999</v>
      </c>
      <c r="L247" s="10">
        <f t="shared" si="21"/>
        <v>0.27780127733010856</v>
      </c>
      <c r="M247" s="10">
        <f t="shared" si="28"/>
        <v>0.2795835845915402</v>
      </c>
      <c r="P247" s="8">
        <f t="shared" si="29"/>
        <v>9.6507654373615175</v>
      </c>
    </row>
    <row r="248" spans="1:16" x14ac:dyDescent="0.2">
      <c r="A248" s="8">
        <v>123</v>
      </c>
      <c r="B248" s="8">
        <v>246</v>
      </c>
      <c r="D248">
        <v>632.85308441558004</v>
      </c>
      <c r="E248">
        <v>261.58928571428999</v>
      </c>
      <c r="F248">
        <v>148.92495921697</v>
      </c>
      <c r="G248">
        <v>123.18597063622001</v>
      </c>
      <c r="I248" s="9">
        <f t="shared" si="26"/>
        <v>138.40331507806997</v>
      </c>
      <c r="J248" s="9">
        <f t="shared" si="27"/>
        <v>483.92812519861002</v>
      </c>
      <c r="K248" s="9">
        <f t="shared" si="24"/>
        <v>138.40331507806997</v>
      </c>
      <c r="L248" s="10">
        <f t="shared" si="21"/>
        <v>0.28599973399204182</v>
      </c>
      <c r="M248" s="10">
        <f t="shared" si="28"/>
        <v>0.28778931597698953</v>
      </c>
      <c r="P248" s="8">
        <f t="shared" si="29"/>
        <v>12.868997039558117</v>
      </c>
    </row>
    <row r="249" spans="1:16" x14ac:dyDescent="0.2">
      <c r="A249" s="8">
        <v>123.5</v>
      </c>
      <c r="B249" s="8">
        <v>247</v>
      </c>
      <c r="D249">
        <v>644.02764227642001</v>
      </c>
      <c r="E249">
        <v>267.37154471545</v>
      </c>
      <c r="F249">
        <v>148.59543230016001</v>
      </c>
      <c r="G249">
        <v>123.29037520391999</v>
      </c>
      <c r="I249" s="9">
        <f t="shared" si="26"/>
        <v>144.08116951152999</v>
      </c>
      <c r="J249" s="9">
        <f t="shared" si="27"/>
        <v>495.43220997625997</v>
      </c>
      <c r="K249" s="9">
        <f t="shared" si="24"/>
        <v>144.08116951152999</v>
      </c>
      <c r="L249" s="10">
        <f t="shared" si="21"/>
        <v>0.29081914056099428</v>
      </c>
      <c r="M249" s="10">
        <f t="shared" si="28"/>
        <v>0.29261599726945803</v>
      </c>
      <c r="P249" s="8">
        <f t="shared" si="29"/>
        <v>14.761988357394513</v>
      </c>
    </row>
    <row r="250" spans="1:16" x14ac:dyDescent="0.2">
      <c r="A250" s="8">
        <v>124</v>
      </c>
      <c r="B250" s="8">
        <v>248</v>
      </c>
      <c r="D250">
        <v>639.91497975709001</v>
      </c>
      <c r="E250">
        <v>267.01133603238998</v>
      </c>
      <c r="F250">
        <v>148.95269168025999</v>
      </c>
      <c r="G250">
        <v>122.97553017945</v>
      </c>
      <c r="I250" s="9">
        <f t="shared" si="26"/>
        <v>144.03580585293997</v>
      </c>
      <c r="J250" s="9">
        <f t="shared" si="27"/>
        <v>490.96228807683002</v>
      </c>
      <c r="K250" s="9">
        <f t="shared" si="24"/>
        <v>144.03580585293997</v>
      </c>
      <c r="L250" s="10">
        <f t="shared" si="21"/>
        <v>0.29337447977348519</v>
      </c>
      <c r="M250" s="10">
        <f t="shared" si="28"/>
        <v>0.29517861120546496</v>
      </c>
      <c r="P250" s="8">
        <f t="shared" si="29"/>
        <v>15.767027977349768</v>
      </c>
    </row>
    <row r="251" spans="1:16" x14ac:dyDescent="0.2">
      <c r="A251" s="8">
        <v>124.5</v>
      </c>
      <c r="B251" s="8">
        <v>249</v>
      </c>
      <c r="D251">
        <v>634.66072874494</v>
      </c>
      <c r="E251">
        <v>263.35141700405001</v>
      </c>
      <c r="F251">
        <v>149.62642740620001</v>
      </c>
      <c r="G251">
        <v>122.8075040783</v>
      </c>
      <c r="I251" s="9">
        <f t="shared" si="26"/>
        <v>140.54391292575002</v>
      </c>
      <c r="J251" s="9">
        <f t="shared" si="27"/>
        <v>485.03430133873997</v>
      </c>
      <c r="K251" s="9">
        <f t="shared" si="24"/>
        <v>140.54391292575002</v>
      </c>
      <c r="L251" s="10">
        <f t="shared" si="21"/>
        <v>0.28976077060495659</v>
      </c>
      <c r="M251" s="10">
        <f t="shared" si="28"/>
        <v>0.29157217676045244</v>
      </c>
      <c r="P251" s="8">
        <f t="shared" si="29"/>
        <v>14.352609108756242</v>
      </c>
    </row>
    <row r="252" spans="1:16" x14ac:dyDescent="0.2">
      <c r="A252" s="8">
        <v>125</v>
      </c>
      <c r="B252" s="8">
        <v>250</v>
      </c>
      <c r="D252">
        <v>629.23108218063999</v>
      </c>
      <c r="E252">
        <v>258.87550854352997</v>
      </c>
      <c r="F252">
        <v>149.33849918434001</v>
      </c>
      <c r="G252">
        <v>122.97879282219</v>
      </c>
      <c r="I252" s="9">
        <f t="shared" si="26"/>
        <v>135.89671572133997</v>
      </c>
      <c r="J252" s="9">
        <f t="shared" si="27"/>
        <v>479.89258299630001</v>
      </c>
      <c r="K252" s="9">
        <f t="shared" si="24"/>
        <v>135.89671572133997</v>
      </c>
      <c r="L252" s="10">
        <f t="shared" si="21"/>
        <v>0.28318152965157983</v>
      </c>
      <c r="M252" s="10">
        <f t="shared" si="28"/>
        <v>0.28500021053059171</v>
      </c>
      <c r="P252" s="8">
        <f t="shared" si="29"/>
        <v>11.775129001740959</v>
      </c>
    </row>
    <row r="253" spans="1:16" x14ac:dyDescent="0.2">
      <c r="A253" s="8">
        <v>125.5</v>
      </c>
      <c r="B253" s="8">
        <v>251</v>
      </c>
      <c r="D253">
        <v>623.95722356738997</v>
      </c>
      <c r="E253">
        <v>257.23809523810002</v>
      </c>
      <c r="F253">
        <v>148.80668841761999</v>
      </c>
      <c r="G253">
        <v>122.81566068516</v>
      </c>
      <c r="I253" s="9">
        <f t="shared" si="26"/>
        <v>134.42243455294002</v>
      </c>
      <c r="J253" s="9">
        <f t="shared" si="27"/>
        <v>475.15053514977001</v>
      </c>
      <c r="K253" s="9">
        <f t="shared" si="24"/>
        <v>134.42243455294002</v>
      </c>
      <c r="L253" s="10">
        <f t="shared" si="21"/>
        <v>0.28290494192660298</v>
      </c>
      <c r="M253" s="10">
        <f t="shared" si="28"/>
        <v>0.28473089752913094</v>
      </c>
      <c r="P253" s="8">
        <f t="shared" si="29"/>
        <v>11.669506288606533</v>
      </c>
    </row>
    <row r="254" spans="1:16" x14ac:dyDescent="0.2">
      <c r="A254" s="8">
        <v>126</v>
      </c>
      <c r="B254" s="8">
        <v>252</v>
      </c>
      <c r="D254">
        <v>618.06779661017003</v>
      </c>
      <c r="E254">
        <v>254.40516545601</v>
      </c>
      <c r="F254">
        <v>148.65905383360999</v>
      </c>
      <c r="G254">
        <v>122.43800978793</v>
      </c>
      <c r="I254" s="9">
        <f t="shared" si="26"/>
        <v>131.96715566808001</v>
      </c>
      <c r="J254" s="9">
        <f t="shared" si="27"/>
        <v>469.40874277656008</v>
      </c>
      <c r="K254" s="9">
        <f t="shared" si="24"/>
        <v>131.96715566808001</v>
      </c>
      <c r="L254" s="10">
        <f t="shared" si="21"/>
        <v>0.28113484825078505</v>
      </c>
      <c r="M254" s="10">
        <f t="shared" si="28"/>
        <v>0.28296807857682904</v>
      </c>
      <c r="P254" s="8">
        <f t="shared" si="29"/>
        <v>10.978140778969097</v>
      </c>
    </row>
    <row r="255" spans="1:16" x14ac:dyDescent="0.2">
      <c r="A255" s="8">
        <v>126.5</v>
      </c>
      <c r="B255" s="8">
        <v>253</v>
      </c>
      <c r="D255">
        <v>640.52648736755998</v>
      </c>
      <c r="E255">
        <v>258.72942135288997</v>
      </c>
      <c r="F255">
        <v>149.12805872756999</v>
      </c>
      <c r="G255">
        <v>122.71207177814</v>
      </c>
      <c r="I255" s="9">
        <f t="shared" si="26"/>
        <v>136.01734957474997</v>
      </c>
      <c r="J255" s="9">
        <f t="shared" si="27"/>
        <v>491.39842863999002</v>
      </c>
      <c r="K255" s="9">
        <f t="shared" si="24"/>
        <v>136.01734957474997</v>
      </c>
      <c r="L255" s="10">
        <f t="shared" si="21"/>
        <v>0.2767964682980284</v>
      </c>
      <c r="M255" s="10">
        <f t="shared" si="28"/>
        <v>0.27863697334758841</v>
      </c>
      <c r="P255" s="8">
        <f t="shared" si="29"/>
        <v>9.2795109961447011</v>
      </c>
    </row>
    <row r="256" spans="1:16" x14ac:dyDescent="0.2">
      <c r="A256" s="8">
        <v>127</v>
      </c>
      <c r="B256" s="8">
        <v>254</v>
      </c>
      <c r="D256">
        <v>642.06193969030005</v>
      </c>
      <c r="E256">
        <v>256.85737571312001</v>
      </c>
      <c r="F256">
        <v>148.49184339314999</v>
      </c>
      <c r="G256">
        <v>122.46982055465</v>
      </c>
      <c r="I256" s="9">
        <f t="shared" si="26"/>
        <v>134.38755515847001</v>
      </c>
      <c r="J256" s="9">
        <f t="shared" si="27"/>
        <v>493.57009629715003</v>
      </c>
      <c r="K256" s="9">
        <f t="shared" si="24"/>
        <v>134.38755515847001</v>
      </c>
      <c r="L256" s="10">
        <f t="shared" si="21"/>
        <v>0.27227653410664293</v>
      </c>
      <c r="M256" s="10">
        <f t="shared" si="28"/>
        <v>0.27412431387971903</v>
      </c>
      <c r="P256" s="8">
        <f t="shared" si="29"/>
        <v>7.5096768854155602</v>
      </c>
    </row>
    <row r="257" spans="1:16" x14ac:dyDescent="0.2">
      <c r="A257" s="8">
        <v>127.5</v>
      </c>
      <c r="B257" s="8">
        <v>255</v>
      </c>
      <c r="D257">
        <v>621.76528117358998</v>
      </c>
      <c r="E257">
        <v>252.08149959249999</v>
      </c>
      <c r="F257">
        <v>148.24959216965999</v>
      </c>
      <c r="G257">
        <v>122.35073409461999</v>
      </c>
      <c r="I257" s="9">
        <f t="shared" si="26"/>
        <v>129.73076549787999</v>
      </c>
      <c r="J257" s="9">
        <f t="shared" si="27"/>
        <v>473.51568900392999</v>
      </c>
      <c r="K257" s="9">
        <f t="shared" si="24"/>
        <v>129.73076549787999</v>
      </c>
      <c r="L257" s="10">
        <f t="shared" si="21"/>
        <v>0.27397353141725211</v>
      </c>
      <c r="M257" s="10">
        <f t="shared" si="28"/>
        <v>0.27582858591384424</v>
      </c>
      <c r="P257" s="8">
        <f t="shared" si="29"/>
        <v>8.1780806950610163</v>
      </c>
    </row>
    <row r="258" spans="1:16" x14ac:dyDescent="0.2">
      <c r="A258" s="8">
        <v>128</v>
      </c>
      <c r="B258" s="8">
        <v>256</v>
      </c>
      <c r="D258">
        <v>639.09779951099995</v>
      </c>
      <c r="E258">
        <v>254.44335778320999</v>
      </c>
      <c r="F258">
        <v>148.7308319739</v>
      </c>
      <c r="G258">
        <v>122.49836867863</v>
      </c>
      <c r="I258" s="9">
        <f t="shared" si="26"/>
        <v>131.94498910457997</v>
      </c>
      <c r="J258" s="9">
        <f t="shared" si="27"/>
        <v>490.36696753709998</v>
      </c>
      <c r="K258" s="9">
        <f t="shared" si="24"/>
        <v>131.94498910457997</v>
      </c>
      <c r="L258" s="10">
        <f t="shared" ref="L258:L319" si="30">K258/J258</f>
        <v>0.26907397487902229</v>
      </c>
      <c r="M258" s="10">
        <f t="shared" si="28"/>
        <v>0.27093630409913044</v>
      </c>
      <c r="P258" s="8">
        <f t="shared" si="29"/>
        <v>6.2593613020667132</v>
      </c>
    </row>
    <row r="259" spans="1:16" x14ac:dyDescent="0.2">
      <c r="A259" s="8">
        <v>128.5</v>
      </c>
      <c r="B259" s="8">
        <v>257</v>
      </c>
      <c r="D259">
        <v>639.43765281174001</v>
      </c>
      <c r="E259">
        <v>251.92909535452</v>
      </c>
      <c r="F259">
        <v>148.76345840131</v>
      </c>
      <c r="G259">
        <v>122.45024469821</v>
      </c>
      <c r="I259" s="9">
        <f t="shared" si="26"/>
        <v>129.47885065630999</v>
      </c>
      <c r="J259" s="9">
        <f t="shared" si="27"/>
        <v>490.67419441043</v>
      </c>
      <c r="K259" s="9">
        <f t="shared" ref="K259:K319" si="31">I259*1</f>
        <v>129.47885065630999</v>
      </c>
      <c r="L259" s="10">
        <f t="shared" si="30"/>
        <v>0.26387947874838907</v>
      </c>
      <c r="M259" s="10">
        <f t="shared" si="28"/>
        <v>0.26574908269201331</v>
      </c>
      <c r="P259" s="8">
        <f t="shared" si="29"/>
        <v>4.2249686226308683</v>
      </c>
    </row>
    <row r="260" spans="1:16" x14ac:dyDescent="0.2">
      <c r="A260" s="8">
        <v>129</v>
      </c>
      <c r="B260" s="8">
        <v>258</v>
      </c>
      <c r="D260">
        <v>630.25121951220001</v>
      </c>
      <c r="E260">
        <v>250.57642276422999</v>
      </c>
      <c r="F260">
        <v>148.28221859705999</v>
      </c>
      <c r="G260">
        <v>122.46411092984999</v>
      </c>
      <c r="I260" s="9">
        <f t="shared" si="26"/>
        <v>128.11231183437999</v>
      </c>
      <c r="J260" s="9">
        <f t="shared" si="27"/>
        <v>481.96900091513999</v>
      </c>
      <c r="K260" s="9">
        <f t="shared" si="31"/>
        <v>128.11231183437999</v>
      </c>
      <c r="L260" s="10">
        <f t="shared" si="30"/>
        <v>0.26581027325642598</v>
      </c>
      <c r="M260" s="10">
        <f t="shared" si="28"/>
        <v>0.26768715192356624</v>
      </c>
      <c r="P260" s="8">
        <f t="shared" si="29"/>
        <v>4.985066090516356</v>
      </c>
    </row>
    <row r="261" spans="1:16" x14ac:dyDescent="0.2">
      <c r="A261" s="8">
        <v>129.5</v>
      </c>
      <c r="B261" s="8">
        <v>259</v>
      </c>
      <c r="D261">
        <v>631.06747967479998</v>
      </c>
      <c r="E261">
        <v>251.11138211382001</v>
      </c>
      <c r="F261">
        <v>148.67047308319999</v>
      </c>
      <c r="G261">
        <v>122.52202283850001</v>
      </c>
      <c r="I261" s="9">
        <f t="shared" si="26"/>
        <v>128.58935927532002</v>
      </c>
      <c r="J261" s="9">
        <f t="shared" si="27"/>
        <v>482.39700659159996</v>
      </c>
      <c r="K261" s="9">
        <f t="shared" si="31"/>
        <v>128.58935927532002</v>
      </c>
      <c r="L261" s="10">
        <f t="shared" si="30"/>
        <v>0.26656334412992017</v>
      </c>
      <c r="M261" s="10">
        <f t="shared" si="28"/>
        <v>0.26844749752057651</v>
      </c>
      <c r="P261" s="8">
        <f t="shared" si="29"/>
        <v>5.2832684217830765</v>
      </c>
    </row>
    <row r="262" spans="1:16" x14ac:dyDescent="0.2">
      <c r="A262" s="8">
        <v>130</v>
      </c>
      <c r="B262" s="8">
        <v>260</v>
      </c>
      <c r="D262">
        <v>629.40487804878001</v>
      </c>
      <c r="E262">
        <v>247.95447154472001</v>
      </c>
      <c r="F262">
        <v>148.69331158238001</v>
      </c>
      <c r="G262">
        <v>121.98205546493</v>
      </c>
      <c r="I262" s="9">
        <f t="shared" si="26"/>
        <v>125.97241607979001</v>
      </c>
      <c r="J262" s="9">
        <f t="shared" si="27"/>
        <v>480.71156646639997</v>
      </c>
      <c r="K262" s="9">
        <f t="shared" si="31"/>
        <v>125.97241607979001</v>
      </c>
      <c r="L262" s="10">
        <f t="shared" si="30"/>
        <v>0.26205405666808523</v>
      </c>
      <c r="M262" s="10">
        <f t="shared" si="28"/>
        <v>0.2639454847822576</v>
      </c>
      <c r="P262" s="8">
        <f t="shared" si="29"/>
        <v>3.5176098854043389</v>
      </c>
    </row>
    <row r="263" spans="1:16" x14ac:dyDescent="0.2">
      <c r="A263" s="8">
        <v>130.5</v>
      </c>
      <c r="B263" s="8">
        <v>261</v>
      </c>
      <c r="D263">
        <v>642.42567018683997</v>
      </c>
      <c r="E263">
        <v>250.67424857839001</v>
      </c>
      <c r="F263">
        <v>148.09298531811001</v>
      </c>
      <c r="G263">
        <v>122.81239804241</v>
      </c>
      <c r="I263" s="9">
        <f t="shared" si="26"/>
        <v>127.86185053598001</v>
      </c>
      <c r="J263" s="9">
        <f t="shared" si="27"/>
        <v>494.33268486872998</v>
      </c>
      <c r="K263" s="9">
        <f t="shared" si="31"/>
        <v>127.86185053598001</v>
      </c>
      <c r="L263" s="10">
        <f t="shared" si="30"/>
        <v>0.25865546513464654</v>
      </c>
      <c r="M263" s="10">
        <f t="shared" si="28"/>
        <v>0.26055416797233494</v>
      </c>
      <c r="P263" s="8">
        <f t="shared" si="29"/>
        <v>2.1875586787432488</v>
      </c>
    </row>
    <row r="264" spans="1:16" x14ac:dyDescent="0.2">
      <c r="A264" s="8">
        <v>131</v>
      </c>
      <c r="B264" s="8">
        <v>262</v>
      </c>
      <c r="D264">
        <v>638.12459283388</v>
      </c>
      <c r="E264">
        <v>249.78745928339001</v>
      </c>
      <c r="F264">
        <v>148.41109298532001</v>
      </c>
      <c r="G264">
        <v>122.11337683524</v>
      </c>
      <c r="I264" s="9">
        <f t="shared" si="26"/>
        <v>127.67408244815</v>
      </c>
      <c r="J264" s="9">
        <f t="shared" si="27"/>
        <v>489.71349984855999</v>
      </c>
      <c r="K264" s="9">
        <f t="shared" si="31"/>
        <v>127.67408244815</v>
      </c>
      <c r="L264" s="10">
        <f t="shared" si="30"/>
        <v>0.26071178860217697</v>
      </c>
      <c r="M264" s="10">
        <f t="shared" si="28"/>
        <v>0.26261776616338145</v>
      </c>
      <c r="P264" s="8">
        <f t="shared" si="29"/>
        <v>2.9968877440887089</v>
      </c>
    </row>
    <row r="265" spans="1:16" x14ac:dyDescent="0.2">
      <c r="A265" s="8">
        <v>131.5</v>
      </c>
      <c r="B265" s="8">
        <v>263</v>
      </c>
      <c r="D265">
        <v>633.31375703942001</v>
      </c>
      <c r="E265">
        <v>246.1592920354</v>
      </c>
      <c r="F265">
        <v>148.78874388254999</v>
      </c>
      <c r="G265">
        <v>122.28874388254999</v>
      </c>
      <c r="I265" s="9">
        <f t="shared" si="26"/>
        <v>123.87054815285001</v>
      </c>
      <c r="J265" s="9">
        <f t="shared" si="27"/>
        <v>484.52501315687005</v>
      </c>
      <c r="K265" s="9">
        <f t="shared" si="31"/>
        <v>123.87054815285001</v>
      </c>
      <c r="L265" s="10">
        <f t="shared" si="30"/>
        <v>0.25565356749238788</v>
      </c>
      <c r="M265" s="10">
        <f t="shared" si="28"/>
        <v>0.25756681977710838</v>
      </c>
      <c r="P265" s="8">
        <f t="shared" si="29"/>
        <v>1.0159411937143221</v>
      </c>
    </row>
    <row r="266" spans="1:16" x14ac:dyDescent="0.2">
      <c r="A266" s="8">
        <v>132</v>
      </c>
      <c r="B266" s="8">
        <v>264</v>
      </c>
      <c r="D266">
        <v>637.37892196299003</v>
      </c>
      <c r="E266">
        <v>244.44408688657001</v>
      </c>
      <c r="F266">
        <v>148.83442088090999</v>
      </c>
      <c r="G266">
        <v>122.98123980424</v>
      </c>
      <c r="I266" s="9">
        <f t="shared" si="26"/>
        <v>121.46284708233</v>
      </c>
      <c r="J266" s="9">
        <f t="shared" si="27"/>
        <v>488.54450108208005</v>
      </c>
      <c r="K266" s="9">
        <f t="shared" si="31"/>
        <v>121.46284708233</v>
      </c>
      <c r="L266" s="10">
        <f t="shared" si="30"/>
        <v>0.24862186927352828</v>
      </c>
      <c r="M266" s="10">
        <f t="shared" si="28"/>
        <v>0.25054239628176483</v>
      </c>
      <c r="P266" s="8">
        <f t="shared" si="29"/>
        <v>-1.7389895514003624</v>
      </c>
    </row>
    <row r="267" spans="1:16" x14ac:dyDescent="0.2">
      <c r="A267" s="8">
        <v>132.5</v>
      </c>
      <c r="B267" s="8">
        <v>265</v>
      </c>
      <c r="D267">
        <v>633.42263843648004</v>
      </c>
      <c r="E267">
        <v>244.53013029316</v>
      </c>
      <c r="F267">
        <v>149.10603588907</v>
      </c>
      <c r="G267">
        <v>122.632137031</v>
      </c>
      <c r="I267" s="9">
        <f t="shared" si="26"/>
        <v>121.89799326216</v>
      </c>
      <c r="J267" s="9">
        <f t="shared" si="27"/>
        <v>484.31660254741007</v>
      </c>
      <c r="K267" s="9">
        <f t="shared" si="31"/>
        <v>121.89799326216</v>
      </c>
      <c r="L267" s="10">
        <f t="shared" si="30"/>
        <v>0.25169071764420325</v>
      </c>
      <c r="M267" s="10">
        <f t="shared" si="28"/>
        <v>0.25361851937595586</v>
      </c>
      <c r="P267" s="8">
        <f t="shared" si="29"/>
        <v>-0.5325551595158341</v>
      </c>
    </row>
    <row r="268" spans="1:16" x14ac:dyDescent="0.2">
      <c r="A268" s="8">
        <v>133</v>
      </c>
      <c r="B268" s="8">
        <v>266</v>
      </c>
      <c r="D268">
        <v>634.11363636364001</v>
      </c>
      <c r="E268">
        <v>244.09659090909</v>
      </c>
      <c r="F268">
        <v>148.14110929853001</v>
      </c>
      <c r="G268">
        <v>122.60114192496</v>
      </c>
      <c r="I268" s="9">
        <f t="shared" si="26"/>
        <v>121.49544898412999</v>
      </c>
      <c r="J268" s="9">
        <f t="shared" si="27"/>
        <v>485.97252706511</v>
      </c>
      <c r="K268" s="9">
        <f t="shared" si="31"/>
        <v>121.49544898412999</v>
      </c>
      <c r="L268" s="10">
        <f t="shared" si="30"/>
        <v>0.25000476820750855</v>
      </c>
      <c r="M268" s="10">
        <f t="shared" si="28"/>
        <v>0.25193984466277719</v>
      </c>
      <c r="P268" s="8">
        <f t="shared" si="29"/>
        <v>-1.1909198753459871</v>
      </c>
    </row>
    <row r="269" spans="1:16" x14ac:dyDescent="0.2">
      <c r="A269" s="8">
        <v>133.5</v>
      </c>
      <c r="B269" s="8">
        <v>267</v>
      </c>
      <c r="D269">
        <v>630.86963562752999</v>
      </c>
      <c r="E269">
        <v>244.68582995950999</v>
      </c>
      <c r="F269">
        <v>148.09461663947999</v>
      </c>
      <c r="G269">
        <v>122.31566068516</v>
      </c>
      <c r="I269" s="9">
        <f t="shared" si="26"/>
        <v>122.37016927434999</v>
      </c>
      <c r="J269" s="9">
        <f t="shared" si="27"/>
        <v>482.77501898804996</v>
      </c>
      <c r="K269" s="9">
        <f t="shared" si="31"/>
        <v>122.37016927434999</v>
      </c>
      <c r="L269" s="10">
        <f t="shared" si="30"/>
        <v>0.25347245499746746</v>
      </c>
      <c r="M269" s="10">
        <f t="shared" si="28"/>
        <v>0.25541480617625217</v>
      </c>
      <c r="P269" s="8">
        <f t="shared" si="29"/>
        <v>0.17193621069560261</v>
      </c>
    </row>
    <row r="270" spans="1:16" x14ac:dyDescent="0.2">
      <c r="A270" s="8">
        <v>134</v>
      </c>
      <c r="B270" s="8">
        <v>268</v>
      </c>
      <c r="D270">
        <v>638.44480784954999</v>
      </c>
      <c r="E270">
        <v>245.95094031071</v>
      </c>
      <c r="F270">
        <v>148.44861337684</v>
      </c>
      <c r="G270">
        <v>122.17536704731</v>
      </c>
      <c r="I270" s="9">
        <f t="shared" si="26"/>
        <v>123.77557326339999</v>
      </c>
      <c r="J270" s="9">
        <f t="shared" si="27"/>
        <v>489.99619447270999</v>
      </c>
      <c r="K270" s="9">
        <f t="shared" si="31"/>
        <v>123.77557326339999</v>
      </c>
      <c r="L270" s="10">
        <f t="shared" si="30"/>
        <v>0.25260517256995468</v>
      </c>
      <c r="M270" s="10">
        <f t="shared" si="28"/>
        <v>0.25455479847225543</v>
      </c>
      <c r="P270" s="8">
        <f t="shared" si="29"/>
        <v>-0.16535291578526737</v>
      </c>
    </row>
    <row r="271" spans="1:16" x14ac:dyDescent="0.2">
      <c r="A271" s="8">
        <v>134.5</v>
      </c>
      <c r="B271" s="8">
        <v>269</v>
      </c>
      <c r="D271">
        <v>639.08912510221001</v>
      </c>
      <c r="E271">
        <v>245.27391659853001</v>
      </c>
      <c r="F271">
        <v>148.72349102773001</v>
      </c>
      <c r="G271">
        <v>122.44371941272</v>
      </c>
      <c r="I271" s="9">
        <f t="shared" si="26"/>
        <v>122.83019718581001</v>
      </c>
      <c r="J271" s="9">
        <f t="shared" si="27"/>
        <v>490.36563407448</v>
      </c>
      <c r="K271" s="9">
        <f t="shared" si="31"/>
        <v>122.83019718581001</v>
      </c>
      <c r="L271" s="10">
        <f t="shared" si="30"/>
        <v>0.25048696044460927</v>
      </c>
      <c r="M271" s="10">
        <f t="shared" si="28"/>
        <v>0.25244386107042605</v>
      </c>
      <c r="P271" s="8">
        <f t="shared" si="29"/>
        <v>-0.99324809510743273</v>
      </c>
    </row>
    <row r="272" spans="1:16" x14ac:dyDescent="0.2">
      <c r="A272" s="8">
        <v>135</v>
      </c>
      <c r="B272" s="8">
        <v>270</v>
      </c>
      <c r="D272">
        <v>631.47457627119002</v>
      </c>
      <c r="E272">
        <v>245.30347054076</v>
      </c>
      <c r="F272">
        <v>148.61908646002999</v>
      </c>
      <c r="G272">
        <v>122.044045677</v>
      </c>
      <c r="I272" s="9">
        <f t="shared" si="26"/>
        <v>123.25942486376</v>
      </c>
      <c r="J272" s="9">
        <f t="shared" si="27"/>
        <v>482.85548981116006</v>
      </c>
      <c r="K272" s="9">
        <f t="shared" si="31"/>
        <v>123.25942486376</v>
      </c>
      <c r="L272" s="10">
        <f t="shared" si="30"/>
        <v>0.25527187215364483</v>
      </c>
      <c r="M272" s="10">
        <f t="shared" si="28"/>
        <v>0.25723604750297768</v>
      </c>
      <c r="P272" s="8">
        <f t="shared" si="29"/>
        <v>0.88621457511875668</v>
      </c>
    </row>
    <row r="273" spans="1:16" x14ac:dyDescent="0.2">
      <c r="A273" s="8">
        <v>135.5</v>
      </c>
      <c r="B273" s="8">
        <v>271</v>
      </c>
      <c r="D273">
        <v>637.52431118313996</v>
      </c>
      <c r="E273">
        <v>244.914910859</v>
      </c>
      <c r="F273">
        <v>149.08564437193999</v>
      </c>
      <c r="G273">
        <v>121.88009787928</v>
      </c>
      <c r="I273" s="9">
        <f t="shared" si="26"/>
        <v>123.03481297972</v>
      </c>
      <c r="J273" s="9">
        <f t="shared" si="27"/>
        <v>488.43866681119994</v>
      </c>
      <c r="K273" s="9">
        <f t="shared" si="31"/>
        <v>123.03481297972</v>
      </c>
      <c r="L273" s="10">
        <f t="shared" si="30"/>
        <v>0.25189408894050075</v>
      </c>
      <c r="M273" s="10">
        <f t="shared" si="28"/>
        <v>0.25386553901334963</v>
      </c>
      <c r="P273" s="8">
        <f t="shared" si="29"/>
        <v>-0.43567575095593231</v>
      </c>
    </row>
    <row r="274" spans="1:16" x14ac:dyDescent="0.2">
      <c r="A274" s="8">
        <v>136</v>
      </c>
      <c r="B274" s="8">
        <v>272</v>
      </c>
      <c r="D274">
        <v>632.66286644951003</v>
      </c>
      <c r="E274">
        <v>244.92345276872999</v>
      </c>
      <c r="F274">
        <v>148.65089722675</v>
      </c>
      <c r="G274">
        <v>122.05791190865</v>
      </c>
      <c r="I274" s="9">
        <f t="shared" si="26"/>
        <v>122.86554086007999</v>
      </c>
      <c r="J274" s="9">
        <f t="shared" si="27"/>
        <v>484.01196922276006</v>
      </c>
      <c r="K274" s="9">
        <f t="shared" si="31"/>
        <v>122.86554086007999</v>
      </c>
      <c r="L274" s="10">
        <f t="shared" si="30"/>
        <v>0.25384814565098651</v>
      </c>
      <c r="M274" s="10">
        <f t="shared" si="28"/>
        <v>0.25582687044735142</v>
      </c>
      <c r="P274" s="8">
        <f t="shared" si="29"/>
        <v>0.33354499327642267</v>
      </c>
    </row>
    <row r="275" spans="1:16" x14ac:dyDescent="0.2">
      <c r="A275" s="8">
        <v>136.5</v>
      </c>
      <c r="B275" s="8">
        <v>273</v>
      </c>
      <c r="D275">
        <v>636.34609120520997</v>
      </c>
      <c r="E275">
        <v>245.19543973941001</v>
      </c>
      <c r="F275">
        <v>148.77487765090001</v>
      </c>
      <c r="G275">
        <v>122.42903752039</v>
      </c>
      <c r="I275" s="9">
        <f>E275-G275</f>
        <v>122.76640221902001</v>
      </c>
      <c r="J275" s="9">
        <f>D275-F275</f>
        <v>487.57121355430996</v>
      </c>
      <c r="K275" s="9">
        <f t="shared" si="31"/>
        <v>122.76640221902001</v>
      </c>
      <c r="L275" s="10">
        <f t="shared" si="30"/>
        <v>0.25179173586577053</v>
      </c>
      <c r="M275" s="10">
        <f>L275+ABS($N$2)*A275</f>
        <v>0.25377773538565152</v>
      </c>
      <c r="O275" s="11"/>
      <c r="P275" s="8">
        <f>(M275-$O$2)/$O$2*100</f>
        <v>-0.47011173187856387</v>
      </c>
    </row>
    <row r="276" spans="1:16" x14ac:dyDescent="0.2">
      <c r="A276" s="8">
        <v>137</v>
      </c>
      <c r="B276" s="8">
        <v>274</v>
      </c>
      <c r="D276">
        <v>627.91931540342</v>
      </c>
      <c r="E276">
        <v>243.40097799511</v>
      </c>
      <c r="F276">
        <v>148.28955954323001</v>
      </c>
      <c r="G276">
        <v>121.81647634584</v>
      </c>
      <c r="I276" s="9">
        <f t="shared" ref="I276:I291" si="32">E276-G276</f>
        <v>121.58450164927</v>
      </c>
      <c r="J276" s="9">
        <f t="shared" ref="J276:J291" si="33">D276-F276</f>
        <v>479.62975586019002</v>
      </c>
      <c r="K276" s="9">
        <f t="shared" si="31"/>
        <v>121.58450164927</v>
      </c>
      <c r="L276" s="10">
        <f t="shared" si="30"/>
        <v>0.25349657764918021</v>
      </c>
      <c r="M276" s="10">
        <f t="shared" ref="M276:M291" si="34">L276+ABS($N$2)*A276</f>
        <v>0.25548985189257722</v>
      </c>
      <c r="P276" s="8">
        <f t="shared" ref="P276:P291" si="35">(M276-$O$2)/$O$2*100</f>
        <v>0.20136862622836307</v>
      </c>
    </row>
    <row r="277" spans="1:16" x14ac:dyDescent="0.2">
      <c r="A277" s="8">
        <v>137.5</v>
      </c>
      <c r="B277" s="8">
        <v>275</v>
      </c>
      <c r="D277">
        <v>632.47553017944995</v>
      </c>
      <c r="E277">
        <v>244.63784665579001</v>
      </c>
      <c r="F277">
        <v>148.26753670472999</v>
      </c>
      <c r="G277">
        <v>122.3409461664</v>
      </c>
      <c r="I277" s="9">
        <f t="shared" si="32"/>
        <v>122.29690048939001</v>
      </c>
      <c r="J277" s="9">
        <f t="shared" si="33"/>
        <v>484.20799347471996</v>
      </c>
      <c r="K277" s="9">
        <f t="shared" si="31"/>
        <v>122.29690048939001</v>
      </c>
      <c r="L277" s="10">
        <f t="shared" si="30"/>
        <v>0.25257100695875856</v>
      </c>
      <c r="M277" s="10">
        <f t="shared" si="34"/>
        <v>0.25457155592567166</v>
      </c>
      <c r="N277" s="1"/>
      <c r="P277" s="8">
        <f t="shared" si="35"/>
        <v>-0.1587807574214109</v>
      </c>
    </row>
    <row r="278" spans="1:16" x14ac:dyDescent="0.2">
      <c r="A278" s="8">
        <v>138</v>
      </c>
      <c r="B278" s="8">
        <v>276</v>
      </c>
      <c r="D278">
        <v>622.16884176182998</v>
      </c>
      <c r="E278">
        <v>242.10114192495999</v>
      </c>
      <c r="F278">
        <v>148.59053833605</v>
      </c>
      <c r="G278">
        <v>122.20391517129001</v>
      </c>
      <c r="I278" s="9">
        <f t="shared" si="32"/>
        <v>119.89722675366998</v>
      </c>
      <c r="J278" s="9">
        <f t="shared" si="33"/>
        <v>473.57830342577995</v>
      </c>
      <c r="K278" s="9">
        <f t="shared" si="31"/>
        <v>119.89722675366998</v>
      </c>
      <c r="L278" s="10">
        <f t="shared" si="30"/>
        <v>0.25317297242368386</v>
      </c>
      <c r="M278" s="10">
        <f t="shared" si="34"/>
        <v>0.25518079611411298</v>
      </c>
      <c r="P278" s="8">
        <f t="shared" si="35"/>
        <v>8.0159068374840367E-2</v>
      </c>
    </row>
    <row r="279" spans="1:16" x14ac:dyDescent="0.2">
      <c r="A279" s="8">
        <v>138.5</v>
      </c>
      <c r="B279" s="8">
        <v>277</v>
      </c>
      <c r="D279">
        <v>638.53864930837995</v>
      </c>
      <c r="E279">
        <v>242.55004068348001</v>
      </c>
      <c r="F279">
        <v>148.29608482871001</v>
      </c>
      <c r="G279">
        <v>122.35399673736001</v>
      </c>
      <c r="I279" s="9">
        <f t="shared" si="32"/>
        <v>120.19604394612</v>
      </c>
      <c r="J279" s="9">
        <f t="shared" si="33"/>
        <v>490.24256447966991</v>
      </c>
      <c r="K279" s="9">
        <f t="shared" si="31"/>
        <v>120.19604394612</v>
      </c>
      <c r="L279" s="10">
        <f t="shared" si="30"/>
        <v>0.24517667916838842</v>
      </c>
      <c r="M279" s="10">
        <f t="shared" si="34"/>
        <v>0.2471917775823336</v>
      </c>
      <c r="P279" s="8">
        <f t="shared" si="35"/>
        <v>-3.053079238096827</v>
      </c>
    </row>
    <row r="280" spans="1:16" x14ac:dyDescent="0.2">
      <c r="A280" s="8">
        <v>139</v>
      </c>
      <c r="B280" s="8">
        <v>278</v>
      </c>
      <c r="D280">
        <v>639.59124087590999</v>
      </c>
      <c r="E280">
        <v>242.10381184104</v>
      </c>
      <c r="F280">
        <v>148.21370309951001</v>
      </c>
      <c r="G280">
        <v>122.2911908646</v>
      </c>
      <c r="I280" s="9">
        <f t="shared" si="32"/>
        <v>119.81262097644</v>
      </c>
      <c r="J280" s="9">
        <f t="shared" si="33"/>
        <v>491.3775377764</v>
      </c>
      <c r="K280" s="9">
        <f t="shared" si="31"/>
        <v>119.81262097644</v>
      </c>
      <c r="L280" s="10">
        <f t="shared" si="30"/>
        <v>0.243830073142172</v>
      </c>
      <c r="M280" s="10">
        <f t="shared" si="34"/>
        <v>0.24585244627963324</v>
      </c>
      <c r="P280" s="8">
        <f t="shared" si="35"/>
        <v>-3.57835579440777</v>
      </c>
    </row>
    <row r="281" spans="1:16" x14ac:dyDescent="0.2">
      <c r="A281" s="8">
        <v>139.5</v>
      </c>
      <c r="B281" s="8">
        <v>279</v>
      </c>
      <c r="D281">
        <v>628.63474025974006</v>
      </c>
      <c r="E281">
        <v>241.08847402596999</v>
      </c>
      <c r="F281">
        <v>148.38825448612999</v>
      </c>
      <c r="G281">
        <v>122.01549755302</v>
      </c>
      <c r="I281" s="9">
        <f t="shared" si="32"/>
        <v>119.07297647294999</v>
      </c>
      <c r="J281" s="9">
        <f t="shared" si="33"/>
        <v>480.24648577361006</v>
      </c>
      <c r="K281" s="9">
        <f t="shared" si="31"/>
        <v>119.07297647294999</v>
      </c>
      <c r="L281" s="10">
        <f t="shared" si="30"/>
        <v>0.24794138010430217</v>
      </c>
      <c r="M281" s="10">
        <f t="shared" si="34"/>
        <v>0.24997102796527942</v>
      </c>
      <c r="P281" s="8">
        <f t="shared" si="35"/>
        <v>-1.9630762886128215</v>
      </c>
    </row>
    <row r="282" spans="1:16" x14ac:dyDescent="0.2">
      <c r="A282" s="8">
        <v>140</v>
      </c>
      <c r="B282" s="8">
        <v>280</v>
      </c>
      <c r="D282">
        <v>628.61931818181995</v>
      </c>
      <c r="E282">
        <v>238.99431818182001</v>
      </c>
      <c r="F282">
        <v>148.26835236541999</v>
      </c>
      <c r="G282">
        <v>122.08075040783</v>
      </c>
      <c r="I282" s="9">
        <f t="shared" si="32"/>
        <v>116.91356777399001</v>
      </c>
      <c r="J282" s="9">
        <f t="shared" si="33"/>
        <v>480.35096581639993</v>
      </c>
      <c r="K282" s="9">
        <f t="shared" si="31"/>
        <v>116.91356777399001</v>
      </c>
      <c r="L282" s="10">
        <f t="shared" si="30"/>
        <v>0.24339196981791184</v>
      </c>
      <c r="M282" s="10">
        <f t="shared" si="34"/>
        <v>0.24542889240240515</v>
      </c>
      <c r="P282" s="8">
        <f t="shared" si="35"/>
        <v>-3.7444707217554307</v>
      </c>
    </row>
    <row r="283" spans="1:16" x14ac:dyDescent="0.2">
      <c r="A283" s="8">
        <v>140.5</v>
      </c>
      <c r="B283" s="8">
        <v>281</v>
      </c>
      <c r="D283">
        <v>629.87094155843999</v>
      </c>
      <c r="E283">
        <v>238.75081168830999</v>
      </c>
      <c r="F283">
        <v>148.01957585644001</v>
      </c>
      <c r="G283">
        <v>122.21207177814</v>
      </c>
      <c r="I283" s="9">
        <f t="shared" si="32"/>
        <v>116.53873991016999</v>
      </c>
      <c r="J283" s="9">
        <f t="shared" si="33"/>
        <v>481.85136570199995</v>
      </c>
      <c r="K283" s="9">
        <f t="shared" si="31"/>
        <v>116.53873991016999</v>
      </c>
      <c r="L283" s="10">
        <f t="shared" si="30"/>
        <v>0.24185619924597901</v>
      </c>
      <c r="M283" s="10">
        <f t="shared" si="34"/>
        <v>0.24390039655398837</v>
      </c>
      <c r="P283" s="8">
        <f t="shared" si="35"/>
        <v>-4.3439363162451281</v>
      </c>
    </row>
    <row r="284" spans="1:16" x14ac:dyDescent="0.2">
      <c r="A284" s="8">
        <v>141</v>
      </c>
      <c r="B284" s="8">
        <v>282</v>
      </c>
      <c r="D284">
        <v>611.55004068348001</v>
      </c>
      <c r="E284">
        <v>235.89991863303999</v>
      </c>
      <c r="F284">
        <v>147.77079934746999</v>
      </c>
      <c r="G284">
        <v>122.43066884176</v>
      </c>
      <c r="I284" s="9">
        <f t="shared" si="32"/>
        <v>113.46924979127999</v>
      </c>
      <c r="J284" s="9">
        <f t="shared" si="33"/>
        <v>463.77924133601005</v>
      </c>
      <c r="K284" s="9">
        <f t="shared" si="31"/>
        <v>113.46924979127999</v>
      </c>
      <c r="L284" s="10">
        <f t="shared" si="30"/>
        <v>0.24466220062892172</v>
      </c>
      <c r="M284" s="10">
        <f t="shared" si="34"/>
        <v>0.24671367266044714</v>
      </c>
      <c r="P284" s="8">
        <f t="shared" si="35"/>
        <v>-3.2405887112327796</v>
      </c>
    </row>
    <row r="285" spans="1:16" x14ac:dyDescent="0.2">
      <c r="A285" s="8">
        <v>141.5</v>
      </c>
      <c r="B285" s="8">
        <v>283</v>
      </c>
      <c r="D285">
        <v>583.01545972334998</v>
      </c>
      <c r="E285">
        <v>228.59397884459</v>
      </c>
      <c r="F285">
        <v>148.77732463295001</v>
      </c>
      <c r="G285">
        <v>122.23164763458</v>
      </c>
      <c r="I285" s="9">
        <f t="shared" si="32"/>
        <v>106.36233121001</v>
      </c>
      <c r="J285" s="9">
        <f t="shared" si="33"/>
        <v>434.23813509039996</v>
      </c>
      <c r="K285" s="9">
        <f t="shared" si="31"/>
        <v>106.36233121001</v>
      </c>
      <c r="L285" s="10">
        <f t="shared" si="30"/>
        <v>0.24494009764450425</v>
      </c>
      <c r="M285" s="10">
        <f t="shared" si="34"/>
        <v>0.2469988443995457</v>
      </c>
      <c r="P285" s="8">
        <f t="shared" si="35"/>
        <v>-3.1287463099024442</v>
      </c>
    </row>
    <row r="286" spans="1:16" x14ac:dyDescent="0.2">
      <c r="A286" s="8">
        <v>142</v>
      </c>
      <c r="B286" s="8">
        <v>284</v>
      </c>
      <c r="D286">
        <v>588.36620856911998</v>
      </c>
      <c r="E286">
        <v>231.86337914308999</v>
      </c>
      <c r="F286">
        <v>148.28955954323001</v>
      </c>
      <c r="G286">
        <v>121.88417618270999</v>
      </c>
      <c r="I286" s="9">
        <f t="shared" si="32"/>
        <v>109.97920296037999</v>
      </c>
      <c r="J286" s="9">
        <f t="shared" si="33"/>
        <v>440.07664902588999</v>
      </c>
      <c r="K286" s="9">
        <f t="shared" si="31"/>
        <v>109.97920296037999</v>
      </c>
      <c r="L286" s="10">
        <f t="shared" si="30"/>
        <v>0.24990919923567642</v>
      </c>
      <c r="M286" s="10">
        <f t="shared" si="34"/>
        <v>0.25197522071423395</v>
      </c>
      <c r="P286" s="8">
        <f t="shared" si="35"/>
        <v>-1.1770456304540626</v>
      </c>
    </row>
    <row r="287" spans="1:16" x14ac:dyDescent="0.2">
      <c r="A287" s="8">
        <v>142.5</v>
      </c>
      <c r="B287" s="8">
        <v>285</v>
      </c>
      <c r="D287">
        <v>583.02979066022999</v>
      </c>
      <c r="E287">
        <v>229.19887278582999</v>
      </c>
      <c r="F287">
        <v>148.15008156607001</v>
      </c>
      <c r="G287">
        <v>122.27650897226999</v>
      </c>
      <c r="I287" s="9">
        <f t="shared" si="32"/>
        <v>106.92236381356</v>
      </c>
      <c r="J287" s="9">
        <f t="shared" si="33"/>
        <v>434.87970909415998</v>
      </c>
      <c r="K287" s="9">
        <f t="shared" si="31"/>
        <v>106.92236381356</v>
      </c>
      <c r="L287" s="10">
        <f t="shared" si="30"/>
        <v>0.24586652717432078</v>
      </c>
      <c r="M287" s="10">
        <f t="shared" si="34"/>
        <v>0.24793982337639434</v>
      </c>
      <c r="P287" s="8">
        <f t="shared" si="35"/>
        <v>-2.7597008052364291</v>
      </c>
    </row>
    <row r="288" spans="1:16" x14ac:dyDescent="0.2">
      <c r="A288" s="8">
        <v>143</v>
      </c>
      <c r="B288" s="8">
        <v>286</v>
      </c>
      <c r="D288">
        <v>596.13929146537998</v>
      </c>
      <c r="E288">
        <v>232.46457326891999</v>
      </c>
      <c r="F288">
        <v>148.15089722675</v>
      </c>
      <c r="G288">
        <v>122.06117455139</v>
      </c>
      <c r="I288" s="9">
        <f t="shared" si="32"/>
        <v>110.40339871753</v>
      </c>
      <c r="J288" s="9">
        <f t="shared" si="33"/>
        <v>447.98839423863001</v>
      </c>
      <c r="K288" s="9">
        <f t="shared" si="31"/>
        <v>110.40339871753</v>
      </c>
      <c r="L288" s="10">
        <f t="shared" si="30"/>
        <v>0.24644254212246716</v>
      </c>
      <c r="M288" s="10">
        <f t="shared" si="34"/>
        <v>0.24852311304805677</v>
      </c>
      <c r="P288" s="8">
        <f t="shared" si="35"/>
        <v>-2.5309385942399092</v>
      </c>
    </row>
    <row r="289" spans="1:16" x14ac:dyDescent="0.2">
      <c r="A289" s="8">
        <v>143.5</v>
      </c>
      <c r="B289" s="8">
        <v>287</v>
      </c>
      <c r="D289">
        <v>596.30917874396005</v>
      </c>
      <c r="E289">
        <v>232.7037037037</v>
      </c>
      <c r="F289">
        <v>147.73817292007001</v>
      </c>
      <c r="G289">
        <v>121.90619902121</v>
      </c>
      <c r="I289" s="9">
        <f t="shared" si="32"/>
        <v>110.79750468249</v>
      </c>
      <c r="J289" s="9">
        <f t="shared" si="33"/>
        <v>448.57100582389</v>
      </c>
      <c r="K289" s="9">
        <f t="shared" si="31"/>
        <v>110.79750468249</v>
      </c>
      <c r="L289" s="10">
        <f t="shared" si="30"/>
        <v>0.24700103939840765</v>
      </c>
      <c r="M289" s="10">
        <f t="shared" si="34"/>
        <v>0.24908888504751328</v>
      </c>
      <c r="P289" s="8">
        <f t="shared" si="35"/>
        <v>-2.3090466942055534</v>
      </c>
    </row>
    <row r="290" spans="1:16" x14ac:dyDescent="0.2">
      <c r="A290" s="8">
        <v>144</v>
      </c>
      <c r="B290" s="8">
        <v>288</v>
      </c>
      <c r="D290">
        <v>602.00402576490001</v>
      </c>
      <c r="E290">
        <v>235.11674718197</v>
      </c>
      <c r="F290">
        <v>148.06443719412999</v>
      </c>
      <c r="G290">
        <v>122.38254486133999</v>
      </c>
      <c r="I290" s="9">
        <f t="shared" si="32"/>
        <v>112.73420232063</v>
      </c>
      <c r="J290" s="9">
        <f t="shared" si="33"/>
        <v>453.93958857077001</v>
      </c>
      <c r="K290" s="9">
        <f t="shared" si="31"/>
        <v>112.73420232063</v>
      </c>
      <c r="L290" s="10">
        <f t="shared" si="30"/>
        <v>0.24834626712240265</v>
      </c>
      <c r="M290" s="10">
        <f t="shared" si="34"/>
        <v>0.25044138749502437</v>
      </c>
      <c r="P290" s="8">
        <f t="shared" si="35"/>
        <v>-1.7786045051830468</v>
      </c>
    </row>
    <row r="291" spans="1:16" x14ac:dyDescent="0.2">
      <c r="A291" s="8">
        <v>144.5</v>
      </c>
      <c r="B291" s="8">
        <v>289</v>
      </c>
      <c r="D291">
        <v>616.00405186386001</v>
      </c>
      <c r="E291">
        <v>237.38573743922001</v>
      </c>
      <c r="F291">
        <v>147.94371941271999</v>
      </c>
      <c r="G291">
        <v>122.19820554649</v>
      </c>
      <c r="I291" s="9">
        <f t="shared" si="32"/>
        <v>115.18753189273001</v>
      </c>
      <c r="J291" s="9">
        <f t="shared" si="33"/>
        <v>468.06033245114003</v>
      </c>
      <c r="K291" s="9">
        <f t="shared" si="31"/>
        <v>115.18753189273001</v>
      </c>
      <c r="L291" s="10">
        <f t="shared" si="30"/>
        <v>0.2460954793787278</v>
      </c>
      <c r="M291" s="10">
        <f t="shared" si="34"/>
        <v>0.24819787447486555</v>
      </c>
      <c r="P291" s="8">
        <f t="shared" si="35"/>
        <v>-2.6584949332584338</v>
      </c>
    </row>
    <row r="292" spans="1:16" x14ac:dyDescent="0.2">
      <c r="A292" s="8">
        <v>145</v>
      </c>
      <c r="B292" s="8">
        <v>290</v>
      </c>
      <c r="D292">
        <v>623.64505672609005</v>
      </c>
      <c r="E292">
        <v>240.16612641814999</v>
      </c>
      <c r="F292">
        <v>148.16068515498</v>
      </c>
      <c r="G292">
        <v>121.93474714519</v>
      </c>
      <c r="I292" s="9">
        <f>E292-G292</f>
        <v>118.23137927295998</v>
      </c>
      <c r="J292" s="9">
        <f>D292-F292</f>
        <v>475.48437157111005</v>
      </c>
      <c r="K292" s="9">
        <f t="shared" si="31"/>
        <v>118.23137927295998</v>
      </c>
      <c r="L292" s="10">
        <f t="shared" si="30"/>
        <v>0.24865460642228099</v>
      </c>
      <c r="M292" s="10">
        <f>L292+ABS($N$2)*A292</f>
        <v>0.25076427624193476</v>
      </c>
      <c r="O292" s="11"/>
      <c r="P292" s="8">
        <f>(M292-$O$2)/$O$2*100</f>
        <v>-1.6519697519246974</v>
      </c>
    </row>
    <row r="293" spans="1:16" x14ac:dyDescent="0.2">
      <c r="A293" s="8">
        <v>145.5</v>
      </c>
      <c r="B293" s="8">
        <v>291</v>
      </c>
      <c r="D293">
        <v>621.50162074553998</v>
      </c>
      <c r="E293">
        <v>241.54213938411999</v>
      </c>
      <c r="F293">
        <v>147.40456769983999</v>
      </c>
      <c r="G293">
        <v>121.96247960848</v>
      </c>
      <c r="I293" s="9">
        <f t="shared" ref="I293:I301" si="36">E293-G293</f>
        <v>119.57965977564</v>
      </c>
      <c r="J293" s="9">
        <f t="shared" ref="J293:J301" si="37">D293-F293</f>
        <v>474.09705304570002</v>
      </c>
      <c r="K293" s="9">
        <f t="shared" si="31"/>
        <v>119.57965977564</v>
      </c>
      <c r="L293" s="10">
        <f t="shared" si="30"/>
        <v>0.25222611911935522</v>
      </c>
      <c r="M293" s="10">
        <f t="shared" ref="M293:M301" si="38">L293+ABS($N$2)*A293</f>
        <v>0.25434306366252507</v>
      </c>
      <c r="P293" s="8">
        <f t="shared" ref="P293:P301" si="39">(M293-$O$2)/$O$2*100</f>
        <v>-0.248393856799693</v>
      </c>
    </row>
    <row r="294" spans="1:16" x14ac:dyDescent="0.2">
      <c r="A294" s="8">
        <v>146</v>
      </c>
      <c r="B294" s="8">
        <v>292</v>
      </c>
      <c r="D294">
        <v>625.97312703582998</v>
      </c>
      <c r="E294">
        <v>242.19788273616001</v>
      </c>
      <c r="F294">
        <v>148.62153344209</v>
      </c>
      <c r="G294">
        <v>121.94698205547</v>
      </c>
      <c r="I294" s="9">
        <f t="shared" si="36"/>
        <v>120.25090068069001</v>
      </c>
      <c r="J294" s="9">
        <f t="shared" si="37"/>
        <v>477.35159359373995</v>
      </c>
      <c r="K294" s="9">
        <f t="shared" si="31"/>
        <v>120.25090068069001</v>
      </c>
      <c r="L294" s="10">
        <f t="shared" si="30"/>
        <v>0.25191264111088746</v>
      </c>
      <c r="M294" s="10">
        <f t="shared" si="38"/>
        <v>0.25403686037757334</v>
      </c>
      <c r="N294" s="1"/>
      <c r="P294" s="8">
        <f t="shared" si="39"/>
        <v>-0.36848468625037201</v>
      </c>
    </row>
    <row r="295" spans="1:16" x14ac:dyDescent="0.2">
      <c r="A295" s="8">
        <v>146.5</v>
      </c>
      <c r="B295" s="8">
        <v>293</v>
      </c>
      <c r="D295">
        <v>616.66123778502003</v>
      </c>
      <c r="E295">
        <v>241.50814332248001</v>
      </c>
      <c r="F295">
        <v>148.04649265904999</v>
      </c>
      <c r="G295">
        <v>122.25203915170999</v>
      </c>
      <c r="I295" s="9">
        <f t="shared" si="36"/>
        <v>119.25610417077002</v>
      </c>
      <c r="J295" s="9">
        <f t="shared" si="37"/>
        <v>468.61474512597005</v>
      </c>
      <c r="K295" s="9">
        <f t="shared" si="31"/>
        <v>119.25610417077002</v>
      </c>
      <c r="L295" s="10">
        <f t="shared" si="30"/>
        <v>0.25448645270159465</v>
      </c>
      <c r="M295" s="10">
        <f t="shared" si="38"/>
        <v>0.25661794669179655</v>
      </c>
      <c r="P295" s="8">
        <f t="shared" si="39"/>
        <v>0.6437996738201629</v>
      </c>
    </row>
    <row r="296" spans="1:16" x14ac:dyDescent="0.2">
      <c r="A296" s="8">
        <v>147</v>
      </c>
      <c r="B296" s="8">
        <v>294</v>
      </c>
      <c r="D296">
        <v>632.41646489104005</v>
      </c>
      <c r="E296">
        <v>245.46327683615999</v>
      </c>
      <c r="F296">
        <v>148.32218597063999</v>
      </c>
      <c r="G296">
        <v>122.0986949429</v>
      </c>
      <c r="I296" s="9">
        <f t="shared" si="36"/>
        <v>123.36458189326</v>
      </c>
      <c r="J296" s="9">
        <f t="shared" si="37"/>
        <v>484.09427892040003</v>
      </c>
      <c r="K296" s="9">
        <f t="shared" si="31"/>
        <v>123.36458189326</v>
      </c>
      <c r="L296" s="10">
        <f t="shared" si="30"/>
        <v>0.25483586000722996</v>
      </c>
      <c r="M296" s="10">
        <f t="shared" si="38"/>
        <v>0.25697462872094795</v>
      </c>
      <c r="P296" s="8">
        <f t="shared" si="39"/>
        <v>0.78368792073330373</v>
      </c>
    </row>
    <row r="297" spans="1:16" x14ac:dyDescent="0.2">
      <c r="A297" s="8">
        <v>147.5</v>
      </c>
      <c r="B297" s="8">
        <v>295</v>
      </c>
      <c r="D297">
        <v>639.33091202583</v>
      </c>
      <c r="E297">
        <v>247.33979015335001</v>
      </c>
      <c r="F297">
        <v>148.2911908646</v>
      </c>
      <c r="G297">
        <v>122.20391517129001</v>
      </c>
      <c r="I297" s="9">
        <f t="shared" si="36"/>
        <v>125.13587498206</v>
      </c>
      <c r="J297" s="9">
        <f t="shared" si="37"/>
        <v>491.03972116122998</v>
      </c>
      <c r="K297" s="9">
        <f t="shared" si="31"/>
        <v>125.13587498206</v>
      </c>
      <c r="L297" s="10">
        <f t="shared" si="30"/>
        <v>0.25483859979012247</v>
      </c>
      <c r="M297" s="10">
        <f t="shared" si="38"/>
        <v>0.25698464322735648</v>
      </c>
      <c r="P297" s="8">
        <f t="shared" si="39"/>
        <v>0.78761554150108526</v>
      </c>
    </row>
    <row r="298" spans="1:16" x14ac:dyDescent="0.2">
      <c r="A298" s="8">
        <v>148</v>
      </c>
      <c r="B298" s="8">
        <v>296</v>
      </c>
      <c r="D298">
        <v>634.43276283619002</v>
      </c>
      <c r="E298">
        <v>245.79543602282001</v>
      </c>
      <c r="F298">
        <v>147.93637846656</v>
      </c>
      <c r="G298">
        <v>121.76427406198999</v>
      </c>
      <c r="I298" s="9">
        <f t="shared" si="36"/>
        <v>124.03116196083002</v>
      </c>
      <c r="J298" s="9">
        <f t="shared" si="37"/>
        <v>486.49638436963005</v>
      </c>
      <c r="K298" s="9">
        <f t="shared" si="31"/>
        <v>124.03116196083002</v>
      </c>
      <c r="L298" s="10">
        <f t="shared" si="30"/>
        <v>0.25494775695309929</v>
      </c>
      <c r="M298" s="10">
        <f t="shared" si="38"/>
        <v>0.25710107511384939</v>
      </c>
      <c r="P298" s="8">
        <f t="shared" si="39"/>
        <v>0.83327932928717818</v>
      </c>
    </row>
    <row r="299" spans="1:16" x14ac:dyDescent="0.2">
      <c r="A299" s="8">
        <v>148.5</v>
      </c>
      <c r="B299" s="8">
        <v>297</v>
      </c>
      <c r="D299">
        <v>639.83292583537002</v>
      </c>
      <c r="E299">
        <v>246.29013854931</v>
      </c>
      <c r="F299">
        <v>147.67618270798999</v>
      </c>
      <c r="G299">
        <v>121.97308319739</v>
      </c>
      <c r="I299" s="9">
        <f t="shared" si="36"/>
        <v>124.31705535192</v>
      </c>
      <c r="J299" s="9">
        <f t="shared" si="37"/>
        <v>492.15674312738003</v>
      </c>
      <c r="K299" s="9">
        <f t="shared" si="31"/>
        <v>124.31705535192</v>
      </c>
      <c r="L299" s="10">
        <f t="shared" si="30"/>
        <v>0.2525964686818164</v>
      </c>
      <c r="M299" s="10">
        <f t="shared" si="38"/>
        <v>0.25475706156608252</v>
      </c>
      <c r="P299" s="8">
        <f t="shared" si="39"/>
        <v>-8.6026716823081537E-2</v>
      </c>
    </row>
    <row r="300" spans="1:16" x14ac:dyDescent="0.2">
      <c r="A300" s="8">
        <v>149</v>
      </c>
      <c r="B300" s="8">
        <v>298</v>
      </c>
      <c r="D300">
        <v>629.16152597403004</v>
      </c>
      <c r="E300">
        <v>245.13149350648999</v>
      </c>
      <c r="F300">
        <v>147.67944535072999</v>
      </c>
      <c r="G300">
        <v>121.68352365416</v>
      </c>
      <c r="I300" s="9">
        <f t="shared" si="36"/>
        <v>123.44796985232999</v>
      </c>
      <c r="J300" s="9">
        <f t="shared" si="37"/>
        <v>481.48208062330002</v>
      </c>
      <c r="K300" s="9">
        <f t="shared" si="31"/>
        <v>123.44796985232999</v>
      </c>
      <c r="L300" s="10">
        <f t="shared" si="30"/>
        <v>0.25639161833919361</v>
      </c>
      <c r="M300" s="10">
        <f t="shared" si="38"/>
        <v>0.25855948594697575</v>
      </c>
      <c r="P300" s="8">
        <f t="shared" si="39"/>
        <v>1.4052580611861791</v>
      </c>
    </row>
    <row r="301" spans="1:16" x14ac:dyDescent="0.2">
      <c r="A301" s="8">
        <v>149.5</v>
      </c>
      <c r="B301" s="8">
        <v>299</v>
      </c>
      <c r="D301">
        <v>618.46309813462994</v>
      </c>
      <c r="E301">
        <v>243.79399837794</v>
      </c>
      <c r="F301">
        <v>147.68841761826999</v>
      </c>
      <c r="G301">
        <v>122.25774877651</v>
      </c>
      <c r="I301" s="9">
        <f t="shared" si="36"/>
        <v>121.53624960143</v>
      </c>
      <c r="J301" s="9">
        <f t="shared" si="37"/>
        <v>470.77468051635992</v>
      </c>
      <c r="K301" s="9">
        <f t="shared" si="31"/>
        <v>121.53624960143</v>
      </c>
      <c r="L301" s="10">
        <f t="shared" si="30"/>
        <v>0.25816224752810701</v>
      </c>
      <c r="M301" s="10">
        <f t="shared" si="38"/>
        <v>0.26033738985940524</v>
      </c>
      <c r="P301" s="8">
        <f t="shared" si="39"/>
        <v>2.1025397887839739</v>
      </c>
    </row>
    <row r="302" spans="1:16" x14ac:dyDescent="0.2">
      <c r="A302" s="8">
        <v>150</v>
      </c>
      <c r="B302" s="8">
        <v>300</v>
      </c>
      <c r="D302">
        <v>614.92991035044997</v>
      </c>
      <c r="E302">
        <v>241.1695191524</v>
      </c>
      <c r="F302">
        <v>147.36296900489</v>
      </c>
      <c r="G302">
        <v>122.38091353997</v>
      </c>
      <c r="I302" s="9">
        <f>E302-G302</f>
        <v>118.78860561243</v>
      </c>
      <c r="J302" s="9">
        <f>D302-F302</f>
        <v>467.56694134555994</v>
      </c>
      <c r="K302" s="9">
        <f t="shared" si="31"/>
        <v>118.78860561243</v>
      </c>
      <c r="L302" s="10">
        <f t="shared" si="30"/>
        <v>0.25405689561922667</v>
      </c>
      <c r="M302" s="10">
        <f>L302+ABS($N$2)*A302</f>
        <v>0.25623931267404093</v>
      </c>
      <c r="O302" s="11"/>
      <c r="P302" s="8">
        <f>(M302-$O$2)/$O$2*100</f>
        <v>0.49530200744900427</v>
      </c>
    </row>
    <row r="303" spans="1:16" x14ac:dyDescent="0.2">
      <c r="A303" s="8">
        <v>150.5</v>
      </c>
      <c r="B303" s="8">
        <v>301</v>
      </c>
      <c r="D303">
        <v>622.24429967427</v>
      </c>
      <c r="E303">
        <v>243.92182410423999</v>
      </c>
      <c r="F303">
        <v>148.1810766721</v>
      </c>
      <c r="G303">
        <v>121.88907014682</v>
      </c>
      <c r="I303" s="9">
        <f t="shared" ref="I303:I309" si="40">E303-G303</f>
        <v>122.03275395741998</v>
      </c>
      <c r="J303" s="9">
        <f t="shared" ref="J303:J309" si="41">D303-F303</f>
        <v>474.06322300216999</v>
      </c>
      <c r="K303" s="9">
        <f t="shared" si="31"/>
        <v>122.03275395741998</v>
      </c>
      <c r="L303" s="10">
        <f t="shared" si="30"/>
        <v>0.25741873243109892</v>
      </c>
      <c r="M303" s="10">
        <f t="shared" ref="M303:M309" si="42">L303+ABS($N$2)*A303</f>
        <v>0.25960842420942926</v>
      </c>
      <c r="P303" s="8">
        <f t="shared" ref="P303:P309" si="43">(M303-$O$2)/$O$2*100</f>
        <v>1.8166444576464627</v>
      </c>
    </row>
    <row r="304" spans="1:16" x14ac:dyDescent="0.2">
      <c r="A304" s="8">
        <v>151</v>
      </c>
      <c r="B304" s="8">
        <v>302</v>
      </c>
      <c r="D304">
        <v>628.34800325998003</v>
      </c>
      <c r="E304">
        <v>243.81988590057</v>
      </c>
      <c r="F304">
        <v>147.80995106035999</v>
      </c>
      <c r="G304">
        <v>121.63132137031</v>
      </c>
      <c r="I304" s="9">
        <f t="shared" si="40"/>
        <v>122.18856453026</v>
      </c>
      <c r="J304" s="9">
        <f t="shared" si="41"/>
        <v>480.53805219962004</v>
      </c>
      <c r="K304" s="9">
        <f t="shared" si="31"/>
        <v>122.18856453026</v>
      </c>
      <c r="L304" s="10">
        <f t="shared" si="30"/>
        <v>0.25427448247012435</v>
      </c>
      <c r="M304" s="10">
        <f t="shared" si="42"/>
        <v>0.25647144897197072</v>
      </c>
      <c r="N304" s="1"/>
      <c r="P304" s="8">
        <f t="shared" si="43"/>
        <v>0.58634427229078145</v>
      </c>
    </row>
    <row r="305" spans="1:16" x14ac:dyDescent="0.2">
      <c r="A305" s="8">
        <v>151.5</v>
      </c>
      <c r="B305" s="8">
        <v>303</v>
      </c>
      <c r="D305">
        <v>616.57455429497998</v>
      </c>
      <c r="E305">
        <v>241.18800648298</v>
      </c>
      <c r="F305">
        <v>147.27079934746999</v>
      </c>
      <c r="G305">
        <v>122.48694942904</v>
      </c>
      <c r="I305" s="9">
        <f t="shared" si="40"/>
        <v>118.70105705394</v>
      </c>
      <c r="J305" s="9">
        <f t="shared" si="41"/>
        <v>469.30375494751001</v>
      </c>
      <c r="K305" s="9">
        <f t="shared" si="31"/>
        <v>118.70105705394</v>
      </c>
      <c r="L305" s="10">
        <f t="shared" si="30"/>
        <v>0.25293012425868255</v>
      </c>
      <c r="M305" s="10">
        <f t="shared" si="42"/>
        <v>0.25513436548404494</v>
      </c>
      <c r="P305" s="8">
        <f t="shared" si="43"/>
        <v>6.1949293526515611E-2</v>
      </c>
    </row>
    <row r="306" spans="1:16" x14ac:dyDescent="0.2">
      <c r="A306" s="8">
        <v>152</v>
      </c>
      <c r="B306" s="8">
        <v>304</v>
      </c>
      <c r="D306">
        <v>618.29828850855995</v>
      </c>
      <c r="E306">
        <v>241.06193969029999</v>
      </c>
      <c r="F306">
        <v>147.62398042414</v>
      </c>
      <c r="G306">
        <v>121.73980424144</v>
      </c>
      <c r="I306" s="9">
        <f t="shared" si="40"/>
        <v>119.32213544886</v>
      </c>
      <c r="J306" s="9">
        <f t="shared" si="41"/>
        <v>470.67430808441998</v>
      </c>
      <c r="K306" s="9">
        <f t="shared" si="31"/>
        <v>119.32213544886</v>
      </c>
      <c r="L306" s="10">
        <f t="shared" si="30"/>
        <v>0.25351316908391441</v>
      </c>
      <c r="M306" s="10">
        <f t="shared" si="42"/>
        <v>0.25572468503279289</v>
      </c>
      <c r="P306" s="8">
        <f t="shared" si="43"/>
        <v>0.29346857412882987</v>
      </c>
    </row>
    <row r="307" spans="1:16" x14ac:dyDescent="0.2">
      <c r="A307" s="8">
        <v>152.5</v>
      </c>
      <c r="B307" s="8">
        <v>305</v>
      </c>
      <c r="D307">
        <v>623.48084759576</v>
      </c>
      <c r="E307">
        <v>240.81988590057</v>
      </c>
      <c r="F307">
        <v>148.41353996737001</v>
      </c>
      <c r="G307">
        <v>122.00815660684999</v>
      </c>
      <c r="I307" s="9">
        <f t="shared" si="40"/>
        <v>118.81172929372001</v>
      </c>
      <c r="J307" s="9">
        <f t="shared" si="41"/>
        <v>475.06730762838998</v>
      </c>
      <c r="K307" s="9">
        <f t="shared" si="31"/>
        <v>118.81172929372001</v>
      </c>
      <c r="L307" s="10">
        <f t="shared" si="30"/>
        <v>0.2500945179470393</v>
      </c>
      <c r="M307" s="10">
        <f t="shared" si="42"/>
        <v>0.2523133086194338</v>
      </c>
      <c r="P307" s="8">
        <f t="shared" si="43"/>
        <v>-1.0444498714990533</v>
      </c>
    </row>
    <row r="308" spans="1:16" x14ac:dyDescent="0.2">
      <c r="A308" s="8">
        <v>153</v>
      </c>
      <c r="B308" s="8">
        <v>306</v>
      </c>
      <c r="D308">
        <v>603.25407166124</v>
      </c>
      <c r="E308">
        <v>238.45358306188999</v>
      </c>
      <c r="F308">
        <v>147.35073409462001</v>
      </c>
      <c r="G308">
        <v>121.68841761826999</v>
      </c>
      <c r="I308" s="9">
        <f t="shared" si="40"/>
        <v>116.76516544361999</v>
      </c>
      <c r="J308" s="9">
        <f t="shared" si="41"/>
        <v>455.90333756662</v>
      </c>
      <c r="K308" s="9">
        <f t="shared" si="31"/>
        <v>116.76516544361999</v>
      </c>
      <c r="L308" s="10">
        <f t="shared" si="30"/>
        <v>0.25611825100218177</v>
      </c>
      <c r="M308" s="10">
        <f t="shared" si="42"/>
        <v>0.2583443163980923</v>
      </c>
      <c r="P308" s="8">
        <f t="shared" si="43"/>
        <v>1.3208700390197434</v>
      </c>
    </row>
    <row r="309" spans="1:16" x14ac:dyDescent="0.2">
      <c r="A309" s="8">
        <v>153.5</v>
      </c>
      <c r="B309" s="8">
        <v>307</v>
      </c>
      <c r="D309">
        <v>604.54849225754003</v>
      </c>
      <c r="E309">
        <v>237.71801140994</v>
      </c>
      <c r="F309">
        <v>148.13866231648001</v>
      </c>
      <c r="G309">
        <v>122.2748776509</v>
      </c>
      <c r="I309" s="9">
        <f t="shared" si="40"/>
        <v>115.44313375904001</v>
      </c>
      <c r="J309" s="9">
        <f t="shared" si="41"/>
        <v>456.40982994106002</v>
      </c>
      <c r="K309" s="9">
        <f t="shared" si="31"/>
        <v>115.44313375904001</v>
      </c>
      <c r="L309" s="10">
        <f t="shared" si="30"/>
        <v>0.25293743952435938</v>
      </c>
      <c r="M309" s="10">
        <f t="shared" si="42"/>
        <v>0.25517077964378598</v>
      </c>
      <c r="P309" s="8">
        <f t="shared" si="43"/>
        <v>7.6230677371695865E-2</v>
      </c>
    </row>
    <row r="310" spans="1:16" x14ac:dyDescent="0.2">
      <c r="A310" s="8">
        <v>154</v>
      </c>
      <c r="B310" s="8">
        <v>308</v>
      </c>
      <c r="D310">
        <v>604.12837285364003</v>
      </c>
      <c r="E310">
        <v>237.69582992641</v>
      </c>
      <c r="F310">
        <v>147.23491027732999</v>
      </c>
      <c r="G310">
        <v>121.84828711256</v>
      </c>
      <c r="I310" s="9">
        <f>E310-G310</f>
        <v>115.84754281385</v>
      </c>
      <c r="J310" s="9">
        <f>D310-F310</f>
        <v>456.89346257631007</v>
      </c>
      <c r="K310" s="9">
        <f t="shared" si="31"/>
        <v>115.84754281385</v>
      </c>
      <c r="L310" s="10">
        <f t="shared" si="30"/>
        <v>0.2535548268968747</v>
      </c>
      <c r="M310" s="10">
        <f>L310+ABS($N$2)*A310</f>
        <v>0.25579544173981733</v>
      </c>
      <c r="O310" s="11"/>
      <c r="P310" s="8">
        <f>(M310-$O$2)/$O$2*100</f>
        <v>0.32121886961342466</v>
      </c>
    </row>
    <row r="311" spans="1:16" x14ac:dyDescent="0.2">
      <c r="A311" s="8">
        <v>154.5</v>
      </c>
      <c r="B311" s="8">
        <v>309</v>
      </c>
      <c r="D311">
        <v>602.13344182261994</v>
      </c>
      <c r="E311">
        <v>238.41090317331</v>
      </c>
      <c r="F311">
        <v>148.088091354</v>
      </c>
      <c r="G311">
        <v>121.91353996737</v>
      </c>
      <c r="I311" s="9">
        <f t="shared" ref="I311:I319" si="44">E311-G311</f>
        <v>116.49736320594</v>
      </c>
      <c r="J311" s="9">
        <f t="shared" ref="J311:J319" si="45">D311-F311</f>
        <v>454.04535046861997</v>
      </c>
      <c r="K311" s="9">
        <f t="shared" si="31"/>
        <v>116.49736320594</v>
      </c>
      <c r="L311" s="10">
        <f t="shared" si="30"/>
        <v>0.25657649194227655</v>
      </c>
      <c r="M311" s="10">
        <f t="shared" ref="M311:M319" si="46">L311+ABS($N$2)*A311</f>
        <v>0.25882438150873527</v>
      </c>
      <c r="P311" s="8">
        <f t="shared" ref="P311:P319" si="47">(M311-$O$2)/$O$2*100</f>
        <v>1.5091482847496465</v>
      </c>
    </row>
    <row r="312" spans="1:16" x14ac:dyDescent="0.2">
      <c r="A312" s="8">
        <v>155</v>
      </c>
      <c r="B312" s="8">
        <v>310</v>
      </c>
      <c r="D312">
        <v>613.98537774167005</v>
      </c>
      <c r="E312">
        <v>239.65150284321999</v>
      </c>
      <c r="F312">
        <v>147.84502446982</v>
      </c>
      <c r="G312">
        <v>121.63784665579</v>
      </c>
      <c r="I312" s="9">
        <f t="shared" si="44"/>
        <v>118.01365618742999</v>
      </c>
      <c r="J312" s="9">
        <f t="shared" si="45"/>
        <v>466.14035327185002</v>
      </c>
      <c r="K312" s="9">
        <f t="shared" si="31"/>
        <v>118.01365618742999</v>
      </c>
      <c r="L312" s="10">
        <f t="shared" si="30"/>
        <v>0.25317193707665381</v>
      </c>
      <c r="M312" s="10">
        <f t="shared" si="46"/>
        <v>0.25542710136662855</v>
      </c>
      <c r="N312" s="1"/>
      <c r="P312" s="8">
        <f t="shared" si="47"/>
        <v>0.17675830008235049</v>
      </c>
    </row>
    <row r="313" spans="1:16" x14ac:dyDescent="0.2">
      <c r="A313" s="8">
        <v>155.5</v>
      </c>
      <c r="B313" s="8">
        <v>311</v>
      </c>
      <c r="D313">
        <v>602.65312753858996</v>
      </c>
      <c r="E313">
        <v>237.15109666936999</v>
      </c>
      <c r="F313">
        <v>147.64029363784999</v>
      </c>
      <c r="G313">
        <v>121.82218597064001</v>
      </c>
      <c r="I313" s="9">
        <f t="shared" si="44"/>
        <v>115.32891069872998</v>
      </c>
      <c r="J313" s="9">
        <f t="shared" si="45"/>
        <v>455.01283390073996</v>
      </c>
      <c r="K313" s="9">
        <f t="shared" si="31"/>
        <v>115.32891069872998</v>
      </c>
      <c r="L313" s="10">
        <f t="shared" si="30"/>
        <v>0.25346298413175911</v>
      </c>
      <c r="M313" s="10">
        <f t="shared" si="46"/>
        <v>0.25572542314524987</v>
      </c>
      <c r="P313" s="8">
        <f t="shared" si="47"/>
        <v>0.29375805677497974</v>
      </c>
    </row>
    <row r="314" spans="1:16" x14ac:dyDescent="0.2">
      <c r="A314" s="8">
        <v>156</v>
      </c>
      <c r="B314" s="8">
        <v>312</v>
      </c>
      <c r="D314">
        <v>629.50730519480999</v>
      </c>
      <c r="E314">
        <v>241.06087662338001</v>
      </c>
      <c r="F314">
        <v>147.88907014681999</v>
      </c>
      <c r="G314">
        <v>121.88662316476</v>
      </c>
      <c r="I314" s="9">
        <f t="shared" si="44"/>
        <v>119.17425345862002</v>
      </c>
      <c r="J314" s="9">
        <f t="shared" si="45"/>
        <v>481.61823504798997</v>
      </c>
      <c r="K314" s="9">
        <f t="shared" si="31"/>
        <v>119.17425345862002</v>
      </c>
      <c r="L314" s="10">
        <f t="shared" si="30"/>
        <v>0.24744547607659648</v>
      </c>
      <c r="M314" s="10">
        <f t="shared" si="46"/>
        <v>0.2497151898136033</v>
      </c>
      <c r="P314" s="8">
        <f t="shared" si="47"/>
        <v>-2.0634142580266945</v>
      </c>
    </row>
    <row r="315" spans="1:16" x14ac:dyDescent="0.2">
      <c r="A315" s="8">
        <v>156.5</v>
      </c>
      <c r="B315" s="8">
        <v>313</v>
      </c>
      <c r="D315">
        <v>628.58360389610004</v>
      </c>
      <c r="E315">
        <v>242.14204545454999</v>
      </c>
      <c r="F315">
        <v>147.83523654160001</v>
      </c>
      <c r="G315">
        <v>121.78140293638</v>
      </c>
      <c r="I315" s="9">
        <f t="shared" si="44"/>
        <v>120.36064251816998</v>
      </c>
      <c r="J315" s="9">
        <f t="shared" si="45"/>
        <v>480.74836735450003</v>
      </c>
      <c r="K315" s="9">
        <f t="shared" si="31"/>
        <v>120.36064251816998</v>
      </c>
      <c r="L315" s="10">
        <f t="shared" si="30"/>
        <v>0.25036100107942122</v>
      </c>
      <c r="M315" s="10">
        <f t="shared" si="46"/>
        <v>0.2526379895399441</v>
      </c>
      <c r="P315" s="8">
        <f t="shared" si="47"/>
        <v>-0.91711224003948855</v>
      </c>
    </row>
    <row r="316" spans="1:16" x14ac:dyDescent="0.2">
      <c r="A316" s="8">
        <v>157</v>
      </c>
      <c r="B316" s="8">
        <v>314</v>
      </c>
      <c r="D316">
        <v>621.95941558441996</v>
      </c>
      <c r="E316">
        <v>241.25568181817999</v>
      </c>
      <c r="F316">
        <v>147.65905383360999</v>
      </c>
      <c r="G316">
        <v>121.68026101142</v>
      </c>
      <c r="I316" s="9">
        <f t="shared" si="44"/>
        <v>119.57542080675999</v>
      </c>
      <c r="J316" s="9">
        <f t="shared" si="45"/>
        <v>474.30036175081</v>
      </c>
      <c r="K316" s="9">
        <f t="shared" si="31"/>
        <v>119.57542080675999</v>
      </c>
      <c r="L316" s="10">
        <f t="shared" si="30"/>
        <v>0.25210906516150422</v>
      </c>
      <c r="M316" s="10">
        <f t="shared" si="46"/>
        <v>0.25439332834554312</v>
      </c>
      <c r="P316" s="8">
        <f t="shared" si="47"/>
        <v>-0.22868039266535187</v>
      </c>
    </row>
    <row r="317" spans="1:16" x14ac:dyDescent="0.2">
      <c r="A317" s="8">
        <v>157.5</v>
      </c>
      <c r="B317" s="8">
        <v>315</v>
      </c>
      <c r="D317">
        <v>626.39757085020005</v>
      </c>
      <c r="E317">
        <v>242.91255060729</v>
      </c>
      <c r="F317">
        <v>147.78466557912</v>
      </c>
      <c r="G317">
        <v>121.77243066884</v>
      </c>
      <c r="I317" s="9">
        <f t="shared" si="44"/>
        <v>121.14011993845</v>
      </c>
      <c r="J317" s="9">
        <f t="shared" si="45"/>
        <v>478.61290527108008</v>
      </c>
      <c r="K317" s="9">
        <f t="shared" si="31"/>
        <v>121.14011993845</v>
      </c>
      <c r="L317" s="10">
        <f t="shared" si="30"/>
        <v>0.2531066726456902</v>
      </c>
      <c r="M317" s="10">
        <f t="shared" si="46"/>
        <v>0.25539821055324519</v>
      </c>
      <c r="P317" s="8">
        <f t="shared" si="47"/>
        <v>0.16542752110896394</v>
      </c>
    </row>
    <row r="318" spans="1:16" x14ac:dyDescent="0.2">
      <c r="A318" s="8">
        <v>158</v>
      </c>
      <c r="B318" s="8">
        <v>316</v>
      </c>
      <c r="D318">
        <v>631.93036437246997</v>
      </c>
      <c r="E318">
        <v>243.05506072874999</v>
      </c>
      <c r="F318">
        <v>147.51060358890999</v>
      </c>
      <c r="G318">
        <v>121.5277324633</v>
      </c>
      <c r="I318" s="9">
        <f t="shared" si="44"/>
        <v>121.52732826545</v>
      </c>
      <c r="J318" s="9">
        <f t="shared" si="45"/>
        <v>484.41976078355998</v>
      </c>
      <c r="K318" s="9">
        <f t="shared" si="31"/>
        <v>121.52732826545</v>
      </c>
      <c r="L318" s="10">
        <f t="shared" si="30"/>
        <v>0.25087194640630839</v>
      </c>
      <c r="M318" s="10">
        <f t="shared" si="46"/>
        <v>0.2531707590373794</v>
      </c>
      <c r="P318" s="8">
        <f t="shared" si="47"/>
        <v>-0.70816369507821508</v>
      </c>
    </row>
    <row r="319" spans="1:16" x14ac:dyDescent="0.2">
      <c r="A319" s="8">
        <v>158.5</v>
      </c>
      <c r="B319" s="8">
        <v>317</v>
      </c>
      <c r="D319">
        <v>623.23319838057</v>
      </c>
      <c r="E319">
        <v>241.85748987854001</v>
      </c>
      <c r="F319">
        <v>147.67944535072999</v>
      </c>
      <c r="G319">
        <v>121.26508972268</v>
      </c>
      <c r="I319" s="9">
        <f t="shared" si="44"/>
        <v>120.59240015586001</v>
      </c>
      <c r="J319" s="9">
        <f t="shared" si="45"/>
        <v>475.55375302983998</v>
      </c>
      <c r="K319" s="9">
        <f t="shared" si="31"/>
        <v>120.59240015586001</v>
      </c>
      <c r="L319" s="10">
        <f t="shared" si="30"/>
        <v>0.25358311103117948</v>
      </c>
      <c r="M319" s="10">
        <f t="shared" si="46"/>
        <v>0.25588919838576657</v>
      </c>
      <c r="P319" s="8">
        <f t="shared" si="47"/>
        <v>0.35798958348846527</v>
      </c>
    </row>
    <row r="320" spans="1:16" x14ac:dyDescent="0.2">
      <c r="A320" s="8">
        <v>159</v>
      </c>
      <c r="B320" s="8">
        <v>318</v>
      </c>
      <c r="D320">
        <v>636.46047269763994</v>
      </c>
      <c r="E320">
        <v>242.84270578646999</v>
      </c>
      <c r="F320">
        <v>147.8515497553</v>
      </c>
      <c r="G320">
        <v>121.30179445351</v>
      </c>
      <c r="I320" s="9">
        <f t="shared" ref="I320:I322" si="48">E320-G320</f>
        <v>121.54091133295999</v>
      </c>
      <c r="J320" s="9">
        <f t="shared" ref="J320:J322" si="49">D320-F320</f>
        <v>488.60892294233997</v>
      </c>
      <c r="K320" s="9">
        <f t="shared" ref="K320:K322" si="50">I320*1</f>
        <v>121.54091133295999</v>
      </c>
      <c r="L320" s="10">
        <f t="shared" ref="L320:L322" si="51">K320/J320</f>
        <v>0.24874885747287684</v>
      </c>
      <c r="M320" s="10">
        <f t="shared" ref="M320:M322" si="52">L320+ABS($N$2)*A320</f>
        <v>0.25106221955097996</v>
      </c>
      <c r="P320" s="8">
        <f t="shared" ref="P320:P322" si="53">(M320-$O$2)/$O$2*100</f>
        <v>-1.5351184284055583</v>
      </c>
    </row>
    <row r="321" spans="1:16" x14ac:dyDescent="0.2">
      <c r="A321" s="8">
        <v>159.5</v>
      </c>
      <c r="B321" s="8">
        <v>319</v>
      </c>
      <c r="D321">
        <v>636.48127035830998</v>
      </c>
      <c r="E321">
        <v>243.10504885994001</v>
      </c>
      <c r="F321">
        <v>147.56199021206999</v>
      </c>
      <c r="G321">
        <v>121.54893964111</v>
      </c>
      <c r="I321" s="9">
        <f t="shared" si="48"/>
        <v>121.55610921883002</v>
      </c>
      <c r="J321" s="9">
        <f t="shared" si="49"/>
        <v>488.91928014624</v>
      </c>
      <c r="K321" s="9">
        <f t="shared" si="50"/>
        <v>121.55610921883002</v>
      </c>
      <c r="L321" s="10">
        <f t="shared" si="51"/>
        <v>0.24862204080491881</v>
      </c>
      <c r="M321" s="10">
        <f t="shared" si="52"/>
        <v>0.25094267760653799</v>
      </c>
      <c r="P321" s="8">
        <f t="shared" si="53"/>
        <v>-1.5820019596010058</v>
      </c>
    </row>
    <row r="322" spans="1:16" x14ac:dyDescent="0.2">
      <c r="A322" s="8">
        <v>160</v>
      </c>
      <c r="B322" s="8">
        <v>320</v>
      </c>
      <c r="D322">
        <v>628.27435064935003</v>
      </c>
      <c r="E322">
        <v>243.7012987013</v>
      </c>
      <c r="F322">
        <v>147.86378466558</v>
      </c>
      <c r="G322">
        <v>121.30424143556</v>
      </c>
      <c r="I322" s="9">
        <f t="shared" si="48"/>
        <v>122.39705726574</v>
      </c>
      <c r="J322" s="9">
        <f t="shared" si="49"/>
        <v>480.41056598377003</v>
      </c>
      <c r="K322" s="9">
        <f t="shared" si="50"/>
        <v>122.39705726574</v>
      </c>
      <c r="L322" s="10">
        <f t="shared" si="51"/>
        <v>0.25477594776688367</v>
      </c>
      <c r="M322" s="10">
        <f t="shared" si="52"/>
        <v>0.2571038592920189</v>
      </c>
      <c r="P322" s="8">
        <f t="shared" si="53"/>
        <v>0.83437126488077551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7E92-00D6-964E-851B-5E0899FC5561}">
  <dimension ref="A1:Y798"/>
  <sheetViews>
    <sheetView tabSelected="1" zoomScale="75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557.15255530130003</v>
      </c>
      <c r="E2">
        <v>276.57513348588998</v>
      </c>
      <c r="F2">
        <v>157.20383141763</v>
      </c>
      <c r="G2">
        <v>127.82068965517</v>
      </c>
      <c r="H2" s="4"/>
      <c r="I2" s="5">
        <f>E2-G2</f>
        <v>148.75444383071999</v>
      </c>
      <c r="J2" s="5">
        <f>D2-F2</f>
        <v>399.94872388367003</v>
      </c>
      <c r="K2" s="9">
        <f>I2*1</f>
        <v>148.75444383071999</v>
      </c>
      <c r="L2" s="6">
        <f t="shared" ref="L2:L65" si="0">K2/J2</f>
        <v>0.37193378787723558</v>
      </c>
      <c r="M2" s="6">
        <f>L2+ABS($N$2)*A2</f>
        <v>0.37193378787723558</v>
      </c>
      <c r="N2" s="4">
        <f>LINEST(V64:V103,U64:U103)</f>
        <v>-4.4071012377811875E-5</v>
      </c>
      <c r="O2" s="7">
        <f>AVERAGE(M62:M81)</f>
        <v>0.30468473671900964</v>
      </c>
      <c r="P2" s="4">
        <f>(M2-$O$2)/$O$2*100</f>
        <v>22.071683630232268</v>
      </c>
    </row>
    <row r="3" spans="1:16" x14ac:dyDescent="0.2">
      <c r="A3" s="8">
        <v>0.5</v>
      </c>
      <c r="B3" s="8">
        <v>1</v>
      </c>
      <c r="D3">
        <v>555.33867276887997</v>
      </c>
      <c r="E3">
        <v>277.03966437833998</v>
      </c>
      <c r="F3">
        <v>157.5724137931</v>
      </c>
      <c r="G3">
        <v>127.67049808429</v>
      </c>
      <c r="I3" s="9">
        <f t="shared" ref="I3:I66" si="1">E3-G3</f>
        <v>149.36916629404999</v>
      </c>
      <c r="J3" s="9">
        <f t="shared" ref="J3:J66" si="2">D3-F3</f>
        <v>397.76625897577998</v>
      </c>
      <c r="K3" s="9">
        <f t="shared" ref="K3:K66" si="3">I3*1</f>
        <v>149.36916629404999</v>
      </c>
      <c r="L3" s="10">
        <f t="shared" si="0"/>
        <v>0.37551995153803402</v>
      </c>
      <c r="M3" s="10">
        <f t="shared" ref="M3:M66" si="4">L3+ABS($N$2)*A3</f>
        <v>0.37554198704422292</v>
      </c>
      <c r="P3" s="8">
        <f t="shared" ref="P3:P66" si="5">(M3-$O$2)/$O$2*100</f>
        <v>23.255923840569732</v>
      </c>
    </row>
    <row r="4" spans="1:16" ht="16" x14ac:dyDescent="0.2">
      <c r="A4" s="8">
        <v>1</v>
      </c>
      <c r="B4" s="8">
        <v>2</v>
      </c>
      <c r="D4">
        <v>552.55987795576004</v>
      </c>
      <c r="E4">
        <v>276.33257055682998</v>
      </c>
      <c r="F4">
        <v>157.42835249042</v>
      </c>
      <c r="G4">
        <v>127.73639846743001</v>
      </c>
      <c r="I4" s="9">
        <f t="shared" si="1"/>
        <v>148.59617208939997</v>
      </c>
      <c r="J4" s="9">
        <f t="shared" si="2"/>
        <v>395.13152546534002</v>
      </c>
      <c r="K4" s="9">
        <f t="shared" si="3"/>
        <v>148.59617208939997</v>
      </c>
      <c r="L4" s="10">
        <f t="shared" si="0"/>
        <v>0.37606761929309657</v>
      </c>
      <c r="M4" s="10">
        <f t="shared" si="4"/>
        <v>0.37611169030547437</v>
      </c>
      <c r="N4" s="1" t="s">
        <v>7</v>
      </c>
      <c r="P4" s="8">
        <f t="shared" si="5"/>
        <v>23.442905068243387</v>
      </c>
    </row>
    <row r="5" spans="1:16" x14ac:dyDescent="0.2">
      <c r="A5" s="8">
        <v>1.5</v>
      </c>
      <c r="B5" s="8">
        <v>3</v>
      </c>
      <c r="D5">
        <v>549.35186595583002</v>
      </c>
      <c r="E5">
        <v>277.61309977152001</v>
      </c>
      <c r="F5">
        <v>157.60076628352999</v>
      </c>
      <c r="G5">
        <v>128.18390804597999</v>
      </c>
      <c r="I5" s="9">
        <f t="shared" si="1"/>
        <v>149.42919172554002</v>
      </c>
      <c r="J5" s="9">
        <f t="shared" si="2"/>
        <v>391.75109967230003</v>
      </c>
      <c r="K5" s="9">
        <f t="shared" si="3"/>
        <v>149.42919172554002</v>
      </c>
      <c r="L5" s="10">
        <f t="shared" si="0"/>
        <v>0.38143911236123551</v>
      </c>
      <c r="M5" s="10">
        <f t="shared" si="4"/>
        <v>0.38150521887980221</v>
      </c>
      <c r="N5" s="8">
        <f>RSQ(V64:V83,U64:U83)</f>
        <v>0.30669077826033353</v>
      </c>
      <c r="P5" s="8">
        <f t="shared" si="5"/>
        <v>25.213104859807583</v>
      </c>
    </row>
    <row r="6" spans="1:16" x14ac:dyDescent="0.2">
      <c r="A6" s="8">
        <v>2</v>
      </c>
      <c r="B6" s="8">
        <v>4</v>
      </c>
      <c r="D6">
        <v>544.11805026656998</v>
      </c>
      <c r="E6">
        <v>276.92916984006001</v>
      </c>
      <c r="F6">
        <v>157.69885057471001</v>
      </c>
      <c r="G6">
        <v>128.00383141763001</v>
      </c>
      <c r="I6" s="9">
        <f t="shared" si="1"/>
        <v>148.92533842243</v>
      </c>
      <c r="J6" s="9">
        <f t="shared" si="2"/>
        <v>386.41919969185994</v>
      </c>
      <c r="K6" s="9">
        <f t="shared" si="3"/>
        <v>148.92533842243</v>
      </c>
      <c r="L6" s="10">
        <f t="shared" si="0"/>
        <v>0.38539839257776703</v>
      </c>
      <c r="M6" s="10">
        <f t="shared" si="4"/>
        <v>0.38548653460252263</v>
      </c>
      <c r="P6" s="8">
        <f t="shared" si="5"/>
        <v>26.519804947771664</v>
      </c>
    </row>
    <row r="7" spans="1:16" x14ac:dyDescent="0.2">
      <c r="A7" s="8">
        <v>2.5</v>
      </c>
      <c r="B7" s="8">
        <v>5</v>
      </c>
      <c r="D7">
        <v>543.06925418569006</v>
      </c>
      <c r="E7">
        <v>276.3401826484</v>
      </c>
      <c r="F7">
        <v>157.87126436782</v>
      </c>
      <c r="G7">
        <v>128.17011494253001</v>
      </c>
      <c r="I7" s="9">
        <f t="shared" si="1"/>
        <v>148.17006770587</v>
      </c>
      <c r="J7" s="9">
        <f t="shared" si="2"/>
        <v>385.19798981787005</v>
      </c>
      <c r="K7" s="9">
        <f t="shared" si="3"/>
        <v>148.17006770587</v>
      </c>
      <c r="L7" s="10">
        <f t="shared" si="0"/>
        <v>0.38465950400189786</v>
      </c>
      <c r="M7" s="10">
        <f t="shared" si="4"/>
        <v>0.38476968153284241</v>
      </c>
      <c r="P7" s="8">
        <f t="shared" si="5"/>
        <v>26.284527960351934</v>
      </c>
    </row>
    <row r="8" spans="1:16" x14ac:dyDescent="0.2">
      <c r="A8" s="8">
        <v>3</v>
      </c>
      <c r="B8" s="8">
        <v>6</v>
      </c>
      <c r="D8">
        <v>546.06875477463996</v>
      </c>
      <c r="E8">
        <v>276.24980901452</v>
      </c>
      <c r="F8">
        <v>158.67126436781999</v>
      </c>
      <c r="G8">
        <v>127.86436781609</v>
      </c>
      <c r="I8" s="9">
        <f t="shared" si="1"/>
        <v>148.38544119842999</v>
      </c>
      <c r="J8" s="9">
        <f t="shared" si="2"/>
        <v>387.39749040682</v>
      </c>
      <c r="K8" s="9">
        <f t="shared" si="3"/>
        <v>148.38544119842999</v>
      </c>
      <c r="L8" s="10">
        <f t="shared" si="0"/>
        <v>0.38303149832644789</v>
      </c>
      <c r="M8" s="10">
        <f t="shared" si="4"/>
        <v>0.38316371136358135</v>
      </c>
      <c r="P8" s="8">
        <f t="shared" si="5"/>
        <v>25.757435534733602</v>
      </c>
    </row>
    <row r="9" spans="1:16" x14ac:dyDescent="0.2">
      <c r="A9" s="8">
        <v>3.5</v>
      </c>
      <c r="B9" s="8">
        <v>7</v>
      </c>
      <c r="D9">
        <v>496.63193916350002</v>
      </c>
      <c r="E9">
        <v>260.57490494297002</v>
      </c>
      <c r="F9">
        <v>158.46206896551999</v>
      </c>
      <c r="G9">
        <v>128.02452107280001</v>
      </c>
      <c r="I9" s="9">
        <f t="shared" si="1"/>
        <v>132.55038387017001</v>
      </c>
      <c r="J9" s="9">
        <f t="shared" si="2"/>
        <v>338.16987019798</v>
      </c>
      <c r="K9" s="9">
        <f t="shared" si="3"/>
        <v>132.55038387017001</v>
      </c>
      <c r="L9" s="10">
        <f t="shared" si="0"/>
        <v>0.39196390793942992</v>
      </c>
      <c r="M9" s="10">
        <f t="shared" si="4"/>
        <v>0.39211815648275228</v>
      </c>
      <c r="P9" s="8">
        <f t="shared" si="5"/>
        <v>28.69635699683133</v>
      </c>
    </row>
    <row r="10" spans="1:16" x14ac:dyDescent="0.2">
      <c r="A10" s="8">
        <v>4</v>
      </c>
      <c r="B10" s="8">
        <v>8</v>
      </c>
      <c r="D10">
        <v>488.01825095057001</v>
      </c>
      <c r="E10">
        <v>257.41064638783001</v>
      </c>
      <c r="F10">
        <v>158.58620689655001</v>
      </c>
      <c r="G10">
        <v>128.41685823755</v>
      </c>
      <c r="I10" s="9">
        <f t="shared" si="1"/>
        <v>128.99378815028001</v>
      </c>
      <c r="J10" s="9">
        <f t="shared" si="2"/>
        <v>329.43204405402003</v>
      </c>
      <c r="K10" s="9">
        <f t="shared" si="3"/>
        <v>128.99378815028001</v>
      </c>
      <c r="L10" s="10">
        <f t="shared" si="0"/>
        <v>0.39156417986201641</v>
      </c>
      <c r="M10" s="10">
        <f t="shared" si="4"/>
        <v>0.39174046391152767</v>
      </c>
      <c r="P10" s="8">
        <f t="shared" si="5"/>
        <v>28.572395233832705</v>
      </c>
    </row>
    <row r="11" spans="1:16" x14ac:dyDescent="0.2">
      <c r="A11" s="8">
        <v>4.5</v>
      </c>
      <c r="B11" s="8">
        <v>9</v>
      </c>
      <c r="D11">
        <v>568.68376722818005</v>
      </c>
      <c r="E11">
        <v>280.32312404288001</v>
      </c>
      <c r="F11">
        <v>158.71647509579</v>
      </c>
      <c r="G11">
        <v>127.71877394636</v>
      </c>
      <c r="I11" s="9">
        <f t="shared" si="1"/>
        <v>152.60435009652002</v>
      </c>
      <c r="J11" s="9">
        <f t="shared" si="2"/>
        <v>409.96729213239007</v>
      </c>
      <c r="K11" s="9">
        <f t="shared" si="3"/>
        <v>152.60435009652002</v>
      </c>
      <c r="L11" s="10">
        <f t="shared" si="0"/>
        <v>0.37223542713070812</v>
      </c>
      <c r="M11" s="10">
        <f t="shared" si="4"/>
        <v>0.37243374668640827</v>
      </c>
      <c r="P11" s="8">
        <f t="shared" si="5"/>
        <v>22.23577416346885</v>
      </c>
    </row>
    <row r="12" spans="1:16" x14ac:dyDescent="0.2">
      <c r="A12" s="8">
        <v>5</v>
      </c>
      <c r="B12" s="8">
        <v>10</v>
      </c>
      <c r="D12">
        <v>572.66921898928001</v>
      </c>
      <c r="E12">
        <v>279.80091883614</v>
      </c>
      <c r="F12">
        <v>158.47126436782</v>
      </c>
      <c r="G12">
        <v>127.83065134100001</v>
      </c>
      <c r="I12" s="9">
        <f t="shared" si="1"/>
        <v>151.97026749513998</v>
      </c>
      <c r="J12" s="9">
        <f t="shared" si="2"/>
        <v>414.19795462145998</v>
      </c>
      <c r="K12" s="9">
        <f t="shared" si="3"/>
        <v>151.97026749513998</v>
      </c>
      <c r="L12" s="10">
        <f t="shared" si="0"/>
        <v>0.36690250591417639</v>
      </c>
      <c r="M12" s="10">
        <f t="shared" si="4"/>
        <v>0.36712286097606545</v>
      </c>
      <c r="P12" s="8">
        <f t="shared" si="5"/>
        <v>20.492698429668405</v>
      </c>
    </row>
    <row r="13" spans="1:16" x14ac:dyDescent="0.2">
      <c r="A13" s="8">
        <v>5.5</v>
      </c>
      <c r="B13" s="8">
        <v>11</v>
      </c>
      <c r="D13">
        <v>580.12633996936995</v>
      </c>
      <c r="E13">
        <v>280.00918836141</v>
      </c>
      <c r="F13">
        <v>158.74636015326001</v>
      </c>
      <c r="G13">
        <v>128.07126436781999</v>
      </c>
      <c r="I13" s="9">
        <f t="shared" si="1"/>
        <v>151.93792399359</v>
      </c>
      <c r="J13" s="9">
        <f t="shared" si="2"/>
        <v>421.37997981610994</v>
      </c>
      <c r="K13" s="9">
        <f t="shared" si="3"/>
        <v>151.93792399359</v>
      </c>
      <c r="L13" s="10">
        <f t="shared" si="0"/>
        <v>0.36057224185139419</v>
      </c>
      <c r="M13" s="10">
        <f t="shared" si="4"/>
        <v>0.36081463241947215</v>
      </c>
      <c r="P13" s="8">
        <f t="shared" si="5"/>
        <v>18.422286690464365</v>
      </c>
    </row>
    <row r="14" spans="1:16" x14ac:dyDescent="0.2">
      <c r="A14" s="8">
        <v>6</v>
      </c>
      <c r="B14" s="8">
        <v>12</v>
      </c>
      <c r="D14">
        <v>577.40045941807</v>
      </c>
      <c r="E14">
        <v>280.18147013782999</v>
      </c>
      <c r="F14">
        <v>159.67356321839</v>
      </c>
      <c r="G14">
        <v>128.03371647509999</v>
      </c>
      <c r="I14" s="9">
        <f t="shared" si="1"/>
        <v>152.14775366273</v>
      </c>
      <c r="J14" s="9">
        <f t="shared" si="2"/>
        <v>417.72689619968003</v>
      </c>
      <c r="K14" s="9">
        <f t="shared" si="3"/>
        <v>152.14775366273</v>
      </c>
      <c r="L14" s="10">
        <f t="shared" si="0"/>
        <v>0.36422781258978587</v>
      </c>
      <c r="M14" s="10">
        <f t="shared" si="4"/>
        <v>0.36449223866405273</v>
      </c>
      <c r="P14" s="8">
        <f t="shared" si="5"/>
        <v>19.629306866198402</v>
      </c>
    </row>
    <row r="15" spans="1:16" x14ac:dyDescent="0.2">
      <c r="A15" s="8">
        <v>6.5</v>
      </c>
      <c r="B15" s="8">
        <v>13</v>
      </c>
      <c r="D15">
        <v>571.26646248086001</v>
      </c>
      <c r="E15">
        <v>278.35145482388998</v>
      </c>
      <c r="F15">
        <v>159.01072796935</v>
      </c>
      <c r="G15">
        <v>128.38084291187999</v>
      </c>
      <c r="I15" s="9">
        <f t="shared" si="1"/>
        <v>149.97061191200999</v>
      </c>
      <c r="J15" s="9">
        <f t="shared" si="2"/>
        <v>412.25573451151001</v>
      </c>
      <c r="K15" s="9">
        <f t="shared" si="3"/>
        <v>149.97061191200999</v>
      </c>
      <c r="L15" s="10">
        <f t="shared" si="0"/>
        <v>0.36378053561756546</v>
      </c>
      <c r="M15" s="10">
        <f t="shared" si="4"/>
        <v>0.36406699719802121</v>
      </c>
      <c r="P15" s="8">
        <f t="shared" si="5"/>
        <v>19.489739170549871</v>
      </c>
    </row>
    <row r="16" spans="1:16" x14ac:dyDescent="0.2">
      <c r="A16" s="8">
        <v>7</v>
      </c>
      <c r="B16" s="8">
        <v>14</v>
      </c>
      <c r="D16">
        <v>573.30351681956995</v>
      </c>
      <c r="E16">
        <v>277.34785932722002</v>
      </c>
      <c r="F16">
        <v>158.51187739464001</v>
      </c>
      <c r="G16">
        <v>127.9938697318</v>
      </c>
      <c r="I16" s="9">
        <f t="shared" si="1"/>
        <v>149.35398959542002</v>
      </c>
      <c r="J16" s="9">
        <f t="shared" si="2"/>
        <v>414.79163942492994</v>
      </c>
      <c r="K16" s="9">
        <f t="shared" si="3"/>
        <v>149.35398959542002</v>
      </c>
      <c r="L16" s="10">
        <f t="shared" si="0"/>
        <v>0.3600699131797484</v>
      </c>
      <c r="M16" s="10">
        <f t="shared" si="4"/>
        <v>0.36037841026639311</v>
      </c>
      <c r="P16" s="8">
        <f t="shared" si="5"/>
        <v>18.279115044330567</v>
      </c>
    </row>
    <row r="17" spans="1:16" x14ac:dyDescent="0.2">
      <c r="A17" s="8">
        <v>7.5</v>
      </c>
      <c r="B17" s="8">
        <v>15</v>
      </c>
      <c r="D17">
        <v>564.87414708111999</v>
      </c>
      <c r="E17">
        <v>273.64973464745998</v>
      </c>
      <c r="F17">
        <v>158.99923371648001</v>
      </c>
      <c r="G17">
        <v>128.55325670497999</v>
      </c>
      <c r="I17" s="9">
        <f t="shared" si="1"/>
        <v>145.09647794247999</v>
      </c>
      <c r="J17" s="9">
        <f t="shared" si="2"/>
        <v>405.87491336463995</v>
      </c>
      <c r="K17" s="9">
        <f t="shared" si="3"/>
        <v>145.09647794247999</v>
      </c>
      <c r="L17" s="10">
        <f t="shared" si="0"/>
        <v>0.3574906286758468</v>
      </c>
      <c r="M17" s="10">
        <f t="shared" si="4"/>
        <v>0.35782116126868041</v>
      </c>
      <c r="P17" s="8">
        <f t="shared" si="5"/>
        <v>17.439805197289861</v>
      </c>
    </row>
    <row r="18" spans="1:16" x14ac:dyDescent="0.2">
      <c r="A18" s="8">
        <v>8</v>
      </c>
      <c r="B18" s="8">
        <v>16</v>
      </c>
      <c r="D18">
        <v>567.06392694064004</v>
      </c>
      <c r="E18">
        <v>272.99467275494999</v>
      </c>
      <c r="F18">
        <v>158.97931034483</v>
      </c>
      <c r="G18">
        <v>128.27126436782001</v>
      </c>
      <c r="I18" s="9">
        <f t="shared" si="1"/>
        <v>144.72340838712998</v>
      </c>
      <c r="J18" s="9">
        <f t="shared" si="2"/>
        <v>408.08461659581008</v>
      </c>
      <c r="K18" s="9">
        <f t="shared" si="3"/>
        <v>144.72340838712998</v>
      </c>
      <c r="L18" s="10">
        <f t="shared" si="0"/>
        <v>0.35464068602829046</v>
      </c>
      <c r="M18" s="10">
        <f t="shared" si="4"/>
        <v>0.35499325412731297</v>
      </c>
      <c r="P18" s="8">
        <f t="shared" si="5"/>
        <v>16.511663153871574</v>
      </c>
    </row>
    <row r="19" spans="1:16" x14ac:dyDescent="0.2">
      <c r="A19" s="8">
        <v>8.5</v>
      </c>
      <c r="B19" s="8">
        <v>17</v>
      </c>
      <c r="D19">
        <v>565.82267884323005</v>
      </c>
      <c r="E19">
        <v>271.62861491629002</v>
      </c>
      <c r="F19">
        <v>159.40076628353</v>
      </c>
      <c r="G19">
        <v>128.6153256705</v>
      </c>
      <c r="I19" s="9">
        <f t="shared" si="1"/>
        <v>143.01328924579002</v>
      </c>
      <c r="J19" s="9">
        <f t="shared" si="2"/>
        <v>406.42191255970005</v>
      </c>
      <c r="K19" s="9">
        <f t="shared" si="3"/>
        <v>143.01328924579002</v>
      </c>
      <c r="L19" s="10">
        <f t="shared" si="0"/>
        <v>0.35188380553861631</v>
      </c>
      <c r="M19" s="10">
        <f t="shared" si="4"/>
        <v>0.35225840914382772</v>
      </c>
      <c r="P19" s="8">
        <f t="shared" si="5"/>
        <v>15.61406486492039</v>
      </c>
    </row>
    <row r="20" spans="1:16" x14ac:dyDescent="0.2">
      <c r="A20" s="8">
        <v>9</v>
      </c>
      <c r="B20" s="8">
        <v>18</v>
      </c>
      <c r="D20">
        <v>574.95129375951001</v>
      </c>
      <c r="E20">
        <v>274.94520547945001</v>
      </c>
      <c r="F20">
        <v>159.33333333332999</v>
      </c>
      <c r="G20">
        <v>128.36015325670999</v>
      </c>
      <c r="I20" s="9">
        <f t="shared" si="1"/>
        <v>146.58505222274002</v>
      </c>
      <c r="J20" s="9">
        <f t="shared" si="2"/>
        <v>415.61796042618005</v>
      </c>
      <c r="K20" s="9">
        <f t="shared" si="3"/>
        <v>146.58505222274002</v>
      </c>
      <c r="L20" s="10">
        <f t="shared" si="0"/>
        <v>0.35269181358868562</v>
      </c>
      <c r="M20" s="10">
        <f t="shared" si="4"/>
        <v>0.35308845270008593</v>
      </c>
      <c r="P20" s="8">
        <f t="shared" si="5"/>
        <v>15.886491887421258</v>
      </c>
    </row>
    <row r="21" spans="1:16" x14ac:dyDescent="0.2">
      <c r="A21" s="8">
        <v>9.5</v>
      </c>
      <c r="B21" s="8">
        <v>19</v>
      </c>
      <c r="D21">
        <v>559.26103500760996</v>
      </c>
      <c r="E21">
        <v>271.17884322678998</v>
      </c>
      <c r="F21">
        <v>158.74712643678001</v>
      </c>
      <c r="G21">
        <v>128.48505747126001</v>
      </c>
      <c r="I21" s="9">
        <f t="shared" si="1"/>
        <v>142.69378575552997</v>
      </c>
      <c r="J21" s="9">
        <f t="shared" si="2"/>
        <v>400.51390857082993</v>
      </c>
      <c r="K21" s="9">
        <f t="shared" si="3"/>
        <v>142.69378575552997</v>
      </c>
      <c r="L21" s="10">
        <f t="shared" si="0"/>
        <v>0.35627673022569933</v>
      </c>
      <c r="M21" s="10">
        <f t="shared" si="4"/>
        <v>0.35669540484328854</v>
      </c>
      <c r="P21" s="8">
        <f t="shared" si="5"/>
        <v>17.070322814445696</v>
      </c>
    </row>
    <row r="22" spans="1:16" x14ac:dyDescent="0.2">
      <c r="A22" s="8">
        <v>10</v>
      </c>
      <c r="B22" s="8">
        <v>20</v>
      </c>
      <c r="D22">
        <v>559.36225266361998</v>
      </c>
      <c r="E22">
        <v>268.1598173516</v>
      </c>
      <c r="F22">
        <v>158.59233716475001</v>
      </c>
      <c r="G22">
        <v>127.9846743295</v>
      </c>
      <c r="I22" s="9">
        <f t="shared" si="1"/>
        <v>140.1751430221</v>
      </c>
      <c r="J22" s="9">
        <f t="shared" si="2"/>
        <v>400.76991549886998</v>
      </c>
      <c r="K22" s="9">
        <f t="shared" si="3"/>
        <v>140.1751430221</v>
      </c>
      <c r="L22" s="10">
        <f t="shared" si="0"/>
        <v>0.34976463452256124</v>
      </c>
      <c r="M22" s="10">
        <f t="shared" si="4"/>
        <v>0.35020534464633934</v>
      </c>
      <c r="P22" s="8">
        <f t="shared" si="5"/>
        <v>14.94023245716779</v>
      </c>
    </row>
    <row r="23" spans="1:16" x14ac:dyDescent="0.2">
      <c r="A23" s="8">
        <v>10.5</v>
      </c>
      <c r="B23" s="8">
        <v>21</v>
      </c>
      <c r="D23">
        <v>569.58371385084001</v>
      </c>
      <c r="E23">
        <v>272.54185692542001</v>
      </c>
      <c r="F23">
        <v>159.05287356322</v>
      </c>
      <c r="G23">
        <v>128.09425287356001</v>
      </c>
      <c r="I23" s="9">
        <f t="shared" si="1"/>
        <v>144.44760405186</v>
      </c>
      <c r="J23" s="9">
        <f t="shared" si="2"/>
        <v>410.53084028761998</v>
      </c>
      <c r="K23" s="9">
        <f t="shared" si="3"/>
        <v>144.44760405186</v>
      </c>
      <c r="L23" s="10">
        <f t="shared" si="0"/>
        <v>0.35185567045501204</v>
      </c>
      <c r="M23" s="10">
        <f t="shared" si="4"/>
        <v>0.35231841608497905</v>
      </c>
      <c r="P23" s="8">
        <f t="shared" si="5"/>
        <v>15.633759629350505</v>
      </c>
    </row>
    <row r="24" spans="1:16" x14ac:dyDescent="0.2">
      <c r="A24" s="8">
        <v>11</v>
      </c>
      <c r="B24" s="8">
        <v>22</v>
      </c>
      <c r="D24">
        <v>575.01522070015005</v>
      </c>
      <c r="E24">
        <v>271.10197869102001</v>
      </c>
      <c r="F24">
        <v>159.35095785441001</v>
      </c>
      <c r="G24">
        <v>129.10957854406001</v>
      </c>
      <c r="I24" s="9">
        <f t="shared" si="1"/>
        <v>141.99240014695999</v>
      </c>
      <c r="J24" s="9">
        <f t="shared" si="2"/>
        <v>415.66426284574004</v>
      </c>
      <c r="K24" s="9">
        <f t="shared" si="3"/>
        <v>141.99240014695999</v>
      </c>
      <c r="L24" s="10">
        <f t="shared" si="0"/>
        <v>0.34160357971321614</v>
      </c>
      <c r="M24" s="10">
        <f t="shared" si="4"/>
        <v>0.34208836084937205</v>
      </c>
      <c r="P24" s="8">
        <f t="shared" si="5"/>
        <v>12.276172588473729</v>
      </c>
    </row>
    <row r="25" spans="1:16" x14ac:dyDescent="0.2">
      <c r="A25" s="8">
        <v>11.5</v>
      </c>
      <c r="B25" s="8">
        <v>23</v>
      </c>
      <c r="D25">
        <v>567.87290715373001</v>
      </c>
      <c r="E25">
        <v>268.60958904109998</v>
      </c>
      <c r="F25">
        <v>158.84980842912</v>
      </c>
      <c r="G25">
        <v>128.41992337164999</v>
      </c>
      <c r="I25" s="9">
        <f t="shared" si="1"/>
        <v>140.18966566944999</v>
      </c>
      <c r="J25" s="9">
        <f t="shared" si="2"/>
        <v>409.02309872461001</v>
      </c>
      <c r="K25" s="9">
        <f t="shared" si="3"/>
        <v>140.18966566944999</v>
      </c>
      <c r="L25" s="10">
        <f t="shared" si="0"/>
        <v>0.34274266198310205</v>
      </c>
      <c r="M25" s="10">
        <f t="shared" si="4"/>
        <v>0.34324947862544686</v>
      </c>
      <c r="P25" s="8">
        <f t="shared" si="5"/>
        <v>12.657260853208705</v>
      </c>
    </row>
    <row r="26" spans="1:16" x14ac:dyDescent="0.2">
      <c r="A26" s="8">
        <v>12</v>
      </c>
      <c r="B26" s="8">
        <v>24</v>
      </c>
      <c r="D26">
        <v>577.69786910198002</v>
      </c>
      <c r="E26">
        <v>272.05327245053002</v>
      </c>
      <c r="F26">
        <v>158.94022988506001</v>
      </c>
      <c r="G26">
        <v>128.49501915709001</v>
      </c>
      <c r="I26" s="9">
        <f t="shared" si="1"/>
        <v>143.55825329344</v>
      </c>
      <c r="J26" s="9">
        <f t="shared" si="2"/>
        <v>418.75763921691998</v>
      </c>
      <c r="K26" s="9">
        <f t="shared" si="3"/>
        <v>143.55825329344</v>
      </c>
      <c r="L26" s="10">
        <f t="shared" si="0"/>
        <v>0.34281942548414174</v>
      </c>
      <c r="M26" s="10">
        <f t="shared" si="4"/>
        <v>0.3433482776326755</v>
      </c>
      <c r="P26" s="8">
        <f t="shared" si="5"/>
        <v>12.68968748812733</v>
      </c>
    </row>
    <row r="27" spans="1:16" x14ac:dyDescent="0.2">
      <c r="A27" s="8">
        <v>12.5</v>
      </c>
      <c r="B27" s="8">
        <v>25</v>
      </c>
      <c r="D27">
        <v>575.94444444444002</v>
      </c>
      <c r="E27">
        <v>273.5601217656</v>
      </c>
      <c r="F27">
        <v>158.95402298850999</v>
      </c>
      <c r="G27">
        <v>128.3908045977</v>
      </c>
      <c r="I27" s="9">
        <f t="shared" si="1"/>
        <v>145.1693171679</v>
      </c>
      <c r="J27" s="9">
        <f t="shared" si="2"/>
        <v>416.99042145593</v>
      </c>
      <c r="K27" s="9">
        <f t="shared" si="3"/>
        <v>145.1693171679</v>
      </c>
      <c r="L27" s="10">
        <f t="shared" si="0"/>
        <v>0.34813585564157223</v>
      </c>
      <c r="M27" s="10">
        <f t="shared" si="4"/>
        <v>0.3486867432962949</v>
      </c>
      <c r="P27" s="8">
        <f t="shared" si="5"/>
        <v>14.441815186123144</v>
      </c>
    </row>
    <row r="28" spans="1:16" x14ac:dyDescent="0.2">
      <c r="A28" s="8">
        <v>13</v>
      </c>
      <c r="B28" s="8">
        <v>26</v>
      </c>
      <c r="D28">
        <v>574.16286149163</v>
      </c>
      <c r="E28">
        <v>275.30517503804998</v>
      </c>
      <c r="F28">
        <v>159.49961685823999</v>
      </c>
      <c r="G28">
        <v>128.28199233717001</v>
      </c>
      <c r="I28" s="9">
        <f t="shared" si="1"/>
        <v>147.02318270087997</v>
      </c>
      <c r="J28" s="9">
        <f t="shared" si="2"/>
        <v>414.66324463339004</v>
      </c>
      <c r="K28" s="9">
        <f t="shared" si="3"/>
        <v>147.02318270087997</v>
      </c>
      <c r="L28" s="10">
        <f t="shared" si="0"/>
        <v>0.35456044055909841</v>
      </c>
      <c r="M28" s="10">
        <f t="shared" si="4"/>
        <v>0.35513336372000998</v>
      </c>
      <c r="P28" s="8">
        <f t="shared" si="5"/>
        <v>16.557648257754941</v>
      </c>
    </row>
    <row r="29" spans="1:16" x14ac:dyDescent="0.2">
      <c r="A29" s="8">
        <v>13.5</v>
      </c>
      <c r="B29" s="8">
        <v>27</v>
      </c>
      <c r="D29">
        <v>568.50989345510004</v>
      </c>
      <c r="E29">
        <v>270.57838660578</v>
      </c>
      <c r="F29">
        <v>159.61072796934999</v>
      </c>
      <c r="G29">
        <v>128.55938697318001</v>
      </c>
      <c r="I29" s="9">
        <f t="shared" si="1"/>
        <v>142.01899963259999</v>
      </c>
      <c r="J29" s="9">
        <f t="shared" si="2"/>
        <v>408.89916548575002</v>
      </c>
      <c r="K29" s="9">
        <f t="shared" si="3"/>
        <v>142.01899963259999</v>
      </c>
      <c r="L29" s="10">
        <f t="shared" si="0"/>
        <v>0.34732034599260952</v>
      </c>
      <c r="M29" s="10">
        <f t="shared" si="4"/>
        <v>0.34791530465970999</v>
      </c>
      <c r="P29" s="8">
        <f t="shared" si="5"/>
        <v>14.188622773240201</v>
      </c>
    </row>
    <row r="30" spans="1:16" x14ac:dyDescent="0.2">
      <c r="A30" s="8">
        <v>14</v>
      </c>
      <c r="B30" s="8">
        <v>28</v>
      </c>
      <c r="D30">
        <v>573.75951293759999</v>
      </c>
      <c r="E30">
        <v>274.15677321157</v>
      </c>
      <c r="F30">
        <v>159.21685823755001</v>
      </c>
      <c r="G30">
        <v>128.52260536399001</v>
      </c>
      <c r="I30" s="9">
        <f t="shared" si="1"/>
        <v>145.63416784757999</v>
      </c>
      <c r="J30" s="9">
        <f t="shared" si="2"/>
        <v>414.54265470004998</v>
      </c>
      <c r="K30" s="9">
        <f t="shared" si="3"/>
        <v>145.63416784757999</v>
      </c>
      <c r="L30" s="10">
        <f t="shared" si="0"/>
        <v>0.35131286538644929</v>
      </c>
      <c r="M30" s="10">
        <f t="shared" si="4"/>
        <v>0.35192985955973866</v>
      </c>
      <c r="P30" s="8">
        <f t="shared" si="5"/>
        <v>15.506232228593724</v>
      </c>
    </row>
    <row r="31" spans="1:16" x14ac:dyDescent="0.2">
      <c r="A31" s="8">
        <v>14.5</v>
      </c>
      <c r="B31" s="8">
        <v>29</v>
      </c>
      <c r="D31">
        <v>574.66590563166005</v>
      </c>
      <c r="E31">
        <v>270.77777777777999</v>
      </c>
      <c r="F31">
        <v>159.33180076628</v>
      </c>
      <c r="G31">
        <v>128.95632183908</v>
      </c>
      <c r="I31" s="9">
        <f t="shared" si="1"/>
        <v>141.82145593869998</v>
      </c>
      <c r="J31" s="9">
        <f t="shared" si="2"/>
        <v>415.33410486538003</v>
      </c>
      <c r="K31" s="9">
        <f t="shared" si="3"/>
        <v>141.82145593869998</v>
      </c>
      <c r="L31" s="10">
        <f t="shared" si="0"/>
        <v>0.34146354531773354</v>
      </c>
      <c r="M31" s="10">
        <f t="shared" si="4"/>
        <v>0.34210257499721181</v>
      </c>
      <c r="P31" s="8">
        <f t="shared" si="5"/>
        <v>12.28083778699756</v>
      </c>
    </row>
    <row r="32" spans="1:16" x14ac:dyDescent="0.2">
      <c r="A32" s="8">
        <v>15</v>
      </c>
      <c r="B32" s="8">
        <v>30</v>
      </c>
      <c r="D32">
        <v>559.87442922373998</v>
      </c>
      <c r="E32">
        <v>265.29832572298</v>
      </c>
      <c r="F32">
        <v>159.25670498084</v>
      </c>
      <c r="G32">
        <v>128.50038314176001</v>
      </c>
      <c r="I32" s="9">
        <f t="shared" si="1"/>
        <v>136.79794258121998</v>
      </c>
      <c r="J32" s="9">
        <f t="shared" si="2"/>
        <v>400.61772424289995</v>
      </c>
      <c r="K32" s="9">
        <f t="shared" si="3"/>
        <v>136.79794258121998</v>
      </c>
      <c r="L32" s="10">
        <f t="shared" si="0"/>
        <v>0.34146752453288248</v>
      </c>
      <c r="M32" s="10">
        <f t="shared" si="4"/>
        <v>0.34212858971854965</v>
      </c>
      <c r="P32" s="8">
        <f t="shared" si="5"/>
        <v>12.28937602938475</v>
      </c>
    </row>
    <row r="33" spans="1:16" x14ac:dyDescent="0.2">
      <c r="A33" s="8">
        <v>15.5</v>
      </c>
      <c r="B33" s="8">
        <v>31</v>
      </c>
      <c r="D33">
        <v>566.02283105023002</v>
      </c>
      <c r="E33">
        <v>267.48554033485999</v>
      </c>
      <c r="F33">
        <v>159.17318007662999</v>
      </c>
      <c r="G33">
        <v>128.81072796935001</v>
      </c>
      <c r="I33" s="9">
        <f t="shared" si="1"/>
        <v>138.67481236550998</v>
      </c>
      <c r="J33" s="9">
        <f t="shared" si="2"/>
        <v>406.84965097360003</v>
      </c>
      <c r="K33" s="9">
        <f t="shared" si="3"/>
        <v>138.67481236550998</v>
      </c>
      <c r="L33" s="10">
        <f t="shared" si="0"/>
        <v>0.34085026749723918</v>
      </c>
      <c r="M33" s="10">
        <f t="shared" si="4"/>
        <v>0.34153336818909524</v>
      </c>
      <c r="P33" s="8">
        <f t="shared" si="5"/>
        <v>12.094019499266427</v>
      </c>
    </row>
    <row r="34" spans="1:16" x14ac:dyDescent="0.2">
      <c r="A34" s="8">
        <v>16</v>
      </c>
      <c r="B34" s="8">
        <v>32</v>
      </c>
      <c r="D34">
        <v>574.98706240487002</v>
      </c>
      <c r="E34">
        <v>270.36529680364998</v>
      </c>
      <c r="F34">
        <v>159.52260536399001</v>
      </c>
      <c r="G34">
        <v>129.05977011493999</v>
      </c>
      <c r="I34" s="9">
        <f t="shared" si="1"/>
        <v>141.30552668870999</v>
      </c>
      <c r="J34" s="9">
        <f t="shared" si="2"/>
        <v>415.46445704088001</v>
      </c>
      <c r="K34" s="9">
        <f t="shared" si="3"/>
        <v>141.30552668870999</v>
      </c>
      <c r="L34" s="10">
        <f t="shared" si="0"/>
        <v>0.34011459775680908</v>
      </c>
      <c r="M34" s="10">
        <f t="shared" si="4"/>
        <v>0.34081973395485404</v>
      </c>
      <c r="P34" s="8">
        <f t="shared" si="5"/>
        <v>11.859798959725801</v>
      </c>
    </row>
    <row r="35" spans="1:16" x14ac:dyDescent="0.2">
      <c r="A35" s="8">
        <v>16.5</v>
      </c>
      <c r="B35" s="8">
        <v>33</v>
      </c>
      <c r="D35">
        <v>573.72070015221004</v>
      </c>
      <c r="E35">
        <v>268.96575342466002</v>
      </c>
      <c r="F35">
        <v>159.57777777778</v>
      </c>
      <c r="G35">
        <v>128.32413793103001</v>
      </c>
      <c r="I35" s="9">
        <f t="shared" si="1"/>
        <v>140.64161549363001</v>
      </c>
      <c r="J35" s="9">
        <f t="shared" si="2"/>
        <v>414.14292237443004</v>
      </c>
      <c r="K35" s="9">
        <f t="shared" si="3"/>
        <v>140.64161549363001</v>
      </c>
      <c r="L35" s="10">
        <f t="shared" si="0"/>
        <v>0.33959681041337408</v>
      </c>
      <c r="M35" s="10">
        <f t="shared" si="4"/>
        <v>0.340323982117608</v>
      </c>
      <c r="P35" s="8">
        <f t="shared" si="5"/>
        <v>11.697089188772214</v>
      </c>
    </row>
    <row r="36" spans="1:16" x14ac:dyDescent="0.2">
      <c r="A36" s="8">
        <v>17</v>
      </c>
      <c r="B36" s="8">
        <v>34</v>
      </c>
      <c r="D36">
        <v>573.07838660578</v>
      </c>
      <c r="E36">
        <v>265.69178082192002</v>
      </c>
      <c r="F36">
        <v>158.99923371648001</v>
      </c>
      <c r="G36">
        <v>128.34789272031</v>
      </c>
      <c r="I36" s="9">
        <f t="shared" si="1"/>
        <v>137.34388810161002</v>
      </c>
      <c r="J36" s="9">
        <f t="shared" si="2"/>
        <v>414.07915288929996</v>
      </c>
      <c r="K36" s="9">
        <f t="shared" si="3"/>
        <v>137.34388810161002</v>
      </c>
      <c r="L36" s="10">
        <f t="shared" si="0"/>
        <v>0.3316851069252636</v>
      </c>
      <c r="M36" s="10">
        <f t="shared" si="4"/>
        <v>0.33243431413568642</v>
      </c>
      <c r="P36" s="8">
        <f t="shared" si="5"/>
        <v>9.1076362129253479</v>
      </c>
    </row>
    <row r="37" spans="1:16" x14ac:dyDescent="0.2">
      <c r="A37" s="8">
        <v>17.5</v>
      </c>
      <c r="B37" s="8">
        <v>35</v>
      </c>
      <c r="D37">
        <v>574.83409436833995</v>
      </c>
      <c r="E37">
        <v>264.78767123287997</v>
      </c>
      <c r="F37">
        <v>159.46819923371999</v>
      </c>
      <c r="G37">
        <v>128.85134099616999</v>
      </c>
      <c r="I37" s="9">
        <f t="shared" si="1"/>
        <v>135.93633023670998</v>
      </c>
      <c r="J37" s="9">
        <f t="shared" si="2"/>
        <v>415.36589513461996</v>
      </c>
      <c r="K37" s="9">
        <f t="shared" si="3"/>
        <v>135.93633023670998</v>
      </c>
      <c r="L37" s="10">
        <f t="shared" si="0"/>
        <v>0.32726887746200983</v>
      </c>
      <c r="M37" s="10">
        <f t="shared" si="4"/>
        <v>0.32804012017862155</v>
      </c>
      <c r="P37" s="8">
        <f t="shared" si="5"/>
        <v>7.6654261421539545</v>
      </c>
    </row>
    <row r="38" spans="1:16" x14ac:dyDescent="0.2">
      <c r="A38" s="8">
        <v>18</v>
      </c>
      <c r="B38" s="8">
        <v>36</v>
      </c>
      <c r="D38">
        <v>555.69786910198002</v>
      </c>
      <c r="E38">
        <v>256.92465753425</v>
      </c>
      <c r="F38">
        <v>159.34176245211</v>
      </c>
      <c r="G38">
        <v>128.58160919540001</v>
      </c>
      <c r="I38" s="9">
        <f t="shared" si="1"/>
        <v>128.34304833885</v>
      </c>
      <c r="J38" s="9">
        <f t="shared" si="2"/>
        <v>396.35610664987001</v>
      </c>
      <c r="K38" s="9">
        <f t="shared" si="3"/>
        <v>128.34304833885</v>
      </c>
      <c r="L38" s="10">
        <f t="shared" si="0"/>
        <v>0.32380742010927233</v>
      </c>
      <c r="M38" s="10">
        <f t="shared" si="4"/>
        <v>0.32460069833207295</v>
      </c>
      <c r="P38" s="8">
        <f t="shared" si="5"/>
        <v>6.536580016290892</v>
      </c>
    </row>
    <row r="39" spans="1:16" x14ac:dyDescent="0.2">
      <c r="A39" s="8">
        <v>18.5</v>
      </c>
      <c r="B39" s="8">
        <v>37</v>
      </c>
      <c r="D39">
        <v>554.55631659055996</v>
      </c>
      <c r="E39">
        <v>254.15525114155</v>
      </c>
      <c r="F39">
        <v>159.52183908046001</v>
      </c>
      <c r="G39">
        <v>128.82758620690001</v>
      </c>
      <c r="I39" s="9">
        <f t="shared" si="1"/>
        <v>125.32766493464999</v>
      </c>
      <c r="J39" s="9">
        <f t="shared" si="2"/>
        <v>395.03447751009992</v>
      </c>
      <c r="K39" s="9">
        <f t="shared" si="3"/>
        <v>125.32766493464999</v>
      </c>
      <c r="L39" s="10">
        <f t="shared" si="0"/>
        <v>0.31725753591076289</v>
      </c>
      <c r="M39" s="10">
        <f t="shared" si="4"/>
        <v>0.31807284963975241</v>
      </c>
      <c r="P39" s="8">
        <f t="shared" si="5"/>
        <v>4.3940871685639209</v>
      </c>
    </row>
    <row r="40" spans="1:16" x14ac:dyDescent="0.2">
      <c r="A40" s="8">
        <v>19</v>
      </c>
      <c r="B40" s="8">
        <v>38</v>
      </c>
      <c r="D40">
        <v>565.83181126331999</v>
      </c>
      <c r="E40">
        <v>257.32952815829998</v>
      </c>
      <c r="F40">
        <v>160.01072796935</v>
      </c>
      <c r="G40">
        <v>128.85210727968999</v>
      </c>
      <c r="I40" s="9">
        <f t="shared" si="1"/>
        <v>128.47742087860999</v>
      </c>
      <c r="J40" s="9">
        <f t="shared" si="2"/>
        <v>405.82108329396999</v>
      </c>
      <c r="K40" s="9">
        <f t="shared" si="3"/>
        <v>128.47742087860999</v>
      </c>
      <c r="L40" s="10">
        <f t="shared" si="0"/>
        <v>0.31658636322140782</v>
      </c>
      <c r="M40" s="10">
        <f t="shared" si="4"/>
        <v>0.31742371245658624</v>
      </c>
      <c r="P40" s="8">
        <f t="shared" si="5"/>
        <v>4.1810350839218122</v>
      </c>
    </row>
    <row r="41" spans="1:16" x14ac:dyDescent="0.2">
      <c r="A41" s="8">
        <v>19.5</v>
      </c>
      <c r="B41" s="8">
        <v>39</v>
      </c>
      <c r="D41">
        <v>568.31623277181995</v>
      </c>
      <c r="E41">
        <v>257.81546707503998</v>
      </c>
      <c r="F41">
        <v>159.80076628353001</v>
      </c>
      <c r="G41">
        <v>128.46360153257001</v>
      </c>
      <c r="I41" s="9">
        <f t="shared" si="1"/>
        <v>129.35186554246997</v>
      </c>
      <c r="J41" s="9">
        <f t="shared" si="2"/>
        <v>408.51546648828992</v>
      </c>
      <c r="K41" s="9">
        <f t="shared" si="3"/>
        <v>129.35186554246997</v>
      </c>
      <c r="L41" s="10">
        <f t="shared" si="0"/>
        <v>0.31663884516885932</v>
      </c>
      <c r="M41" s="10">
        <f t="shared" si="4"/>
        <v>0.31749822991022664</v>
      </c>
      <c r="P41" s="8">
        <f t="shared" si="5"/>
        <v>4.2054923161556408</v>
      </c>
    </row>
    <row r="42" spans="1:16" x14ac:dyDescent="0.2">
      <c r="A42" s="8">
        <v>20</v>
      </c>
      <c r="B42" s="8">
        <v>40</v>
      </c>
      <c r="D42">
        <v>569.76993865031</v>
      </c>
      <c r="E42">
        <v>259.20628834356</v>
      </c>
      <c r="F42">
        <v>159.62375478927001</v>
      </c>
      <c r="G42">
        <v>128.52107279693999</v>
      </c>
      <c r="I42" s="9">
        <f t="shared" si="1"/>
        <v>130.68521554662001</v>
      </c>
      <c r="J42" s="9">
        <f t="shared" si="2"/>
        <v>410.14618386103996</v>
      </c>
      <c r="K42" s="9">
        <f t="shared" si="3"/>
        <v>130.68521554662001</v>
      </c>
      <c r="L42" s="10">
        <f t="shared" si="0"/>
        <v>0.31863082161675549</v>
      </c>
      <c r="M42" s="10">
        <f t="shared" si="4"/>
        <v>0.31951224186431171</v>
      </c>
      <c r="P42" s="8">
        <f t="shared" si="5"/>
        <v>4.8665073626502275</v>
      </c>
    </row>
    <row r="43" spans="1:16" x14ac:dyDescent="0.2">
      <c r="A43" s="8">
        <v>20.5</v>
      </c>
      <c r="B43" s="8">
        <v>41</v>
      </c>
      <c r="D43">
        <v>559.58135981664998</v>
      </c>
      <c r="E43">
        <v>255.72880061115001</v>
      </c>
      <c r="F43">
        <v>159.5724137931</v>
      </c>
      <c r="G43">
        <v>128.65593869732001</v>
      </c>
      <c r="I43" s="9">
        <f t="shared" si="1"/>
        <v>127.07286191383</v>
      </c>
      <c r="J43" s="9">
        <f t="shared" si="2"/>
        <v>400.00894602354998</v>
      </c>
      <c r="K43" s="9">
        <f t="shared" si="3"/>
        <v>127.07286191383</v>
      </c>
      <c r="L43" s="10">
        <f t="shared" si="0"/>
        <v>0.31767504996337947</v>
      </c>
      <c r="M43" s="10">
        <f t="shared" si="4"/>
        <v>0.31857850571712459</v>
      </c>
      <c r="P43" s="8">
        <f t="shared" si="5"/>
        <v>4.560047591398793</v>
      </c>
    </row>
    <row r="44" spans="1:16" x14ac:dyDescent="0.2">
      <c r="A44" s="8">
        <v>21</v>
      </c>
      <c r="B44" s="8">
        <v>42</v>
      </c>
      <c r="D44">
        <v>564.93964858670995</v>
      </c>
      <c r="E44">
        <v>257.10847975553997</v>
      </c>
      <c r="F44">
        <v>159.41762452107</v>
      </c>
      <c r="G44">
        <v>128.60306513410001</v>
      </c>
      <c r="I44" s="9">
        <f t="shared" si="1"/>
        <v>128.50541462143997</v>
      </c>
      <c r="J44" s="9">
        <f t="shared" si="2"/>
        <v>405.52202406563993</v>
      </c>
      <c r="K44" s="9">
        <f t="shared" si="3"/>
        <v>128.50541462143997</v>
      </c>
      <c r="L44" s="10">
        <f t="shared" si="0"/>
        <v>0.31688886668369809</v>
      </c>
      <c r="M44" s="10">
        <f t="shared" si="4"/>
        <v>0.31781435794363216</v>
      </c>
      <c r="P44" s="8">
        <f t="shared" si="5"/>
        <v>4.3092480988737858</v>
      </c>
    </row>
    <row r="45" spans="1:16" x14ac:dyDescent="0.2">
      <c r="A45" s="8">
        <v>21.5</v>
      </c>
      <c r="B45" s="8">
        <v>43</v>
      </c>
      <c r="D45">
        <v>567.43009931245001</v>
      </c>
      <c r="E45">
        <v>257.17647058824002</v>
      </c>
      <c r="F45">
        <v>159.86360153256999</v>
      </c>
      <c r="G45">
        <v>128.95862068965999</v>
      </c>
      <c r="I45" s="9">
        <f t="shared" si="1"/>
        <v>128.21784989858003</v>
      </c>
      <c r="J45" s="9">
        <f t="shared" si="2"/>
        <v>407.56649777988002</v>
      </c>
      <c r="K45" s="9">
        <f t="shared" si="3"/>
        <v>128.21784989858003</v>
      </c>
      <c r="L45" s="10">
        <f t="shared" si="0"/>
        <v>0.31459369353716699</v>
      </c>
      <c r="M45" s="10">
        <f t="shared" si="4"/>
        <v>0.31554122030328996</v>
      </c>
      <c r="P45" s="8">
        <f t="shared" si="5"/>
        <v>3.5631859019877741</v>
      </c>
    </row>
    <row r="46" spans="1:16" x14ac:dyDescent="0.2">
      <c r="A46" s="8">
        <v>22</v>
      </c>
      <c r="B46" s="8">
        <v>44</v>
      </c>
      <c r="D46">
        <v>569.05198776758004</v>
      </c>
      <c r="E46">
        <v>257.23929663608999</v>
      </c>
      <c r="F46">
        <v>159.87126436782</v>
      </c>
      <c r="G46">
        <v>128.48199233717</v>
      </c>
      <c r="I46" s="9">
        <f t="shared" si="1"/>
        <v>128.75730429891999</v>
      </c>
      <c r="J46" s="9">
        <f t="shared" si="2"/>
        <v>409.18072339976004</v>
      </c>
      <c r="K46" s="9">
        <f t="shared" si="3"/>
        <v>128.75730429891999</v>
      </c>
      <c r="L46" s="10">
        <f t="shared" si="0"/>
        <v>0.3146709923896564</v>
      </c>
      <c r="M46" s="10">
        <f t="shared" si="4"/>
        <v>0.31564055466196828</v>
      </c>
      <c r="P46" s="8">
        <f t="shared" si="5"/>
        <v>3.5957882435910973</v>
      </c>
    </row>
    <row r="47" spans="1:16" x14ac:dyDescent="0.2">
      <c r="A47" s="8">
        <v>22.5</v>
      </c>
      <c r="B47" s="8">
        <v>45</v>
      </c>
      <c r="D47">
        <v>568.68730886850005</v>
      </c>
      <c r="E47">
        <v>256.80963302752002</v>
      </c>
      <c r="F47">
        <v>159.8122605364</v>
      </c>
      <c r="G47">
        <v>128.92260536398999</v>
      </c>
      <c r="I47" s="9">
        <f t="shared" si="1"/>
        <v>127.88702766353003</v>
      </c>
      <c r="J47" s="9">
        <f t="shared" si="2"/>
        <v>408.87504833210005</v>
      </c>
      <c r="K47" s="9">
        <f t="shared" si="3"/>
        <v>127.88702766353003</v>
      </c>
      <c r="L47" s="10">
        <f t="shared" si="0"/>
        <v>0.3127777744942179</v>
      </c>
      <c r="M47" s="10">
        <f t="shared" si="4"/>
        <v>0.31376937227271867</v>
      </c>
      <c r="P47" s="8">
        <f t="shared" si="5"/>
        <v>2.981651017880552</v>
      </c>
    </row>
    <row r="48" spans="1:16" x14ac:dyDescent="0.2">
      <c r="A48" s="8">
        <v>23</v>
      </c>
      <c r="B48" s="8">
        <v>46</v>
      </c>
      <c r="D48">
        <v>569.98318042814003</v>
      </c>
      <c r="E48">
        <v>256.35550458716</v>
      </c>
      <c r="F48">
        <v>160.05747126437001</v>
      </c>
      <c r="G48">
        <v>128.62681992336999</v>
      </c>
      <c r="I48" s="9">
        <f t="shared" si="1"/>
        <v>127.72868466379001</v>
      </c>
      <c r="J48" s="9">
        <f t="shared" si="2"/>
        <v>409.92570916377002</v>
      </c>
      <c r="K48" s="9">
        <f t="shared" si="3"/>
        <v>127.72868466379001</v>
      </c>
      <c r="L48" s="10">
        <f t="shared" si="0"/>
        <v>0.31158983642267951</v>
      </c>
      <c r="M48" s="10">
        <f t="shared" si="4"/>
        <v>0.31260346970736919</v>
      </c>
      <c r="P48" s="8">
        <f t="shared" si="5"/>
        <v>2.5989923465258657</v>
      </c>
    </row>
    <row r="49" spans="1:25" x14ac:dyDescent="0.2">
      <c r="A49" s="8">
        <v>23.5</v>
      </c>
      <c r="B49" s="8">
        <v>47</v>
      </c>
      <c r="D49">
        <v>565.73312883435995</v>
      </c>
      <c r="E49">
        <v>253.67638036810001</v>
      </c>
      <c r="F49">
        <v>159.90651340996001</v>
      </c>
      <c r="G49">
        <v>128.85977011494001</v>
      </c>
      <c r="I49" s="9">
        <f t="shared" si="1"/>
        <v>124.81661025316001</v>
      </c>
      <c r="J49" s="9">
        <f t="shared" si="2"/>
        <v>405.82661542439996</v>
      </c>
      <c r="K49" s="9">
        <f t="shared" si="3"/>
        <v>124.81661025316001</v>
      </c>
      <c r="L49" s="10">
        <f t="shared" si="0"/>
        <v>0.30756142034358924</v>
      </c>
      <c r="M49" s="10">
        <f t="shared" si="4"/>
        <v>0.30859708913446782</v>
      </c>
      <c r="P49" s="8">
        <f t="shared" si="5"/>
        <v>1.2840657715868047</v>
      </c>
    </row>
    <row r="50" spans="1:25" x14ac:dyDescent="0.2">
      <c r="A50" s="8">
        <v>24</v>
      </c>
      <c r="B50" s="8">
        <v>48</v>
      </c>
      <c r="D50">
        <v>564.59585889570997</v>
      </c>
      <c r="E50">
        <v>253.35046012270001</v>
      </c>
      <c r="F50">
        <v>159.85517241379</v>
      </c>
      <c r="G50">
        <v>128.89118773946001</v>
      </c>
      <c r="I50" s="9">
        <f t="shared" si="1"/>
        <v>124.45927238324001</v>
      </c>
      <c r="J50" s="9">
        <f t="shared" si="2"/>
        <v>404.74068648191997</v>
      </c>
      <c r="K50" s="9">
        <f t="shared" si="3"/>
        <v>124.45927238324001</v>
      </c>
      <c r="L50" s="10">
        <f t="shared" si="0"/>
        <v>0.30750373397115754</v>
      </c>
      <c r="M50" s="10">
        <f t="shared" si="4"/>
        <v>0.30856143826822502</v>
      </c>
      <c r="P50" s="8">
        <f t="shared" si="5"/>
        <v>1.2723648683427817</v>
      </c>
    </row>
    <row r="51" spans="1:25" x14ac:dyDescent="0.2">
      <c r="A51" s="8">
        <v>24.5</v>
      </c>
      <c r="B51" s="8">
        <v>49</v>
      </c>
      <c r="D51">
        <v>559.79801829268001</v>
      </c>
      <c r="E51">
        <v>252.88109756098001</v>
      </c>
      <c r="F51">
        <v>160.18544061303001</v>
      </c>
      <c r="G51">
        <v>128.76551724138</v>
      </c>
      <c r="I51" s="9">
        <f t="shared" si="1"/>
        <v>124.11558031960001</v>
      </c>
      <c r="J51" s="9">
        <f t="shared" si="2"/>
        <v>399.61257767965003</v>
      </c>
      <c r="K51" s="9">
        <f t="shared" si="3"/>
        <v>124.11558031960001</v>
      </c>
      <c r="L51" s="10">
        <f t="shared" si="0"/>
        <v>0.3105897743266165</v>
      </c>
      <c r="M51" s="10">
        <f t="shared" si="4"/>
        <v>0.31166951412987287</v>
      </c>
      <c r="P51" s="8">
        <f t="shared" si="5"/>
        <v>2.2924605564685123</v>
      </c>
    </row>
    <row r="52" spans="1:25" x14ac:dyDescent="0.2">
      <c r="A52" s="8">
        <v>25</v>
      </c>
      <c r="B52" s="8">
        <v>50</v>
      </c>
      <c r="D52">
        <v>563.49161585366005</v>
      </c>
      <c r="E52">
        <v>252.96951219511999</v>
      </c>
      <c r="F52">
        <v>159.48582375479</v>
      </c>
      <c r="G52">
        <v>129.10114942529</v>
      </c>
      <c r="I52" s="9">
        <f t="shared" si="1"/>
        <v>123.86836276982999</v>
      </c>
      <c r="J52" s="9">
        <f t="shared" si="2"/>
        <v>404.00579209887007</v>
      </c>
      <c r="K52" s="9">
        <f t="shared" si="3"/>
        <v>123.86836276982999</v>
      </c>
      <c r="L52" s="10">
        <f t="shared" si="0"/>
        <v>0.30660046264761565</v>
      </c>
      <c r="M52" s="10">
        <f t="shared" si="4"/>
        <v>0.30770223795706092</v>
      </c>
      <c r="P52" s="8">
        <f t="shared" si="5"/>
        <v>0.99036836257213579</v>
      </c>
    </row>
    <row r="53" spans="1:25" x14ac:dyDescent="0.2">
      <c r="A53" s="8">
        <v>25.5</v>
      </c>
      <c r="B53" s="8">
        <v>51</v>
      </c>
      <c r="D53">
        <v>565.51829268293</v>
      </c>
      <c r="E53">
        <v>254.02210365854</v>
      </c>
      <c r="F53">
        <v>160.10268199234</v>
      </c>
      <c r="G53">
        <v>129.03371647509999</v>
      </c>
      <c r="I53" s="9">
        <f t="shared" si="1"/>
        <v>124.98838718344001</v>
      </c>
      <c r="J53" s="9">
        <f t="shared" si="2"/>
        <v>405.41561069059003</v>
      </c>
      <c r="K53" s="9">
        <f t="shared" si="3"/>
        <v>124.98838718344001</v>
      </c>
      <c r="L53" s="10">
        <f t="shared" si="0"/>
        <v>0.30829692761591798</v>
      </c>
      <c r="M53" s="10">
        <f t="shared" si="4"/>
        <v>0.30942073843155221</v>
      </c>
      <c r="P53" s="8">
        <f t="shared" si="5"/>
        <v>1.5543941464026365</v>
      </c>
      <c r="S53" s="11"/>
      <c r="U53" s="12"/>
    </row>
    <row r="54" spans="1:25" x14ac:dyDescent="0.2">
      <c r="A54" s="8">
        <v>26</v>
      </c>
      <c r="B54" s="8">
        <v>52</v>
      </c>
      <c r="D54">
        <v>570.98856707316997</v>
      </c>
      <c r="E54">
        <v>252.99695121951001</v>
      </c>
      <c r="F54">
        <v>160.11724137931</v>
      </c>
      <c r="G54">
        <v>128.93869731800999</v>
      </c>
      <c r="I54" s="9">
        <f t="shared" si="1"/>
        <v>124.05825390150002</v>
      </c>
      <c r="J54" s="9">
        <f t="shared" si="2"/>
        <v>410.87132569385994</v>
      </c>
      <c r="K54" s="9">
        <f t="shared" si="3"/>
        <v>124.05825390150002</v>
      </c>
      <c r="L54" s="10">
        <f t="shared" si="0"/>
        <v>0.30193943004417828</v>
      </c>
      <c r="M54" s="10">
        <f t="shared" si="4"/>
        <v>0.30308527636600141</v>
      </c>
      <c r="P54" s="8">
        <f t="shared" si="5"/>
        <v>-0.52495585116339649</v>
      </c>
      <c r="S54" s="11"/>
    </row>
    <row r="55" spans="1:25" x14ac:dyDescent="0.2">
      <c r="A55" s="8">
        <v>26.5</v>
      </c>
      <c r="B55" s="8">
        <v>53</v>
      </c>
      <c r="D55">
        <v>565.05182926829002</v>
      </c>
      <c r="E55">
        <v>251.13643292683</v>
      </c>
      <c r="F55">
        <v>159.63601532567</v>
      </c>
      <c r="G55">
        <v>128.86283524903999</v>
      </c>
      <c r="I55" s="9">
        <f t="shared" si="1"/>
        <v>122.27359767779001</v>
      </c>
      <c r="J55" s="9">
        <f t="shared" si="2"/>
        <v>405.41581394262005</v>
      </c>
      <c r="K55" s="9">
        <f t="shared" si="3"/>
        <v>122.27359767779001</v>
      </c>
      <c r="L55" s="10">
        <f t="shared" si="0"/>
        <v>0.3016004641967317</v>
      </c>
      <c r="M55" s="10">
        <f t="shared" si="4"/>
        <v>0.30276834602474373</v>
      </c>
      <c r="P55" s="8">
        <f t="shared" si="5"/>
        <v>-0.62897495782116308</v>
      </c>
      <c r="S55" s="11"/>
    </row>
    <row r="56" spans="1:25" x14ac:dyDescent="0.2">
      <c r="A56" s="8">
        <v>27</v>
      </c>
      <c r="B56" s="8">
        <v>54</v>
      </c>
      <c r="D56">
        <v>551.34222560976002</v>
      </c>
      <c r="E56">
        <v>247.24923780488001</v>
      </c>
      <c r="F56">
        <v>160.11034482759001</v>
      </c>
      <c r="G56">
        <v>128.76015325671</v>
      </c>
      <c r="I56" s="9">
        <f t="shared" si="1"/>
        <v>118.48908454817001</v>
      </c>
      <c r="J56" s="9">
        <f t="shared" si="2"/>
        <v>391.23188078217004</v>
      </c>
      <c r="K56" s="9">
        <f t="shared" si="3"/>
        <v>118.48908454817001</v>
      </c>
      <c r="L56" s="10">
        <f t="shared" si="0"/>
        <v>0.3028615262930025</v>
      </c>
      <c r="M56" s="10">
        <f t="shared" si="4"/>
        <v>0.30405144362720343</v>
      </c>
      <c r="P56" s="8">
        <f t="shared" si="5"/>
        <v>-0.20785192544457926</v>
      </c>
      <c r="S56" s="11"/>
    </row>
    <row r="57" spans="1:25" x14ac:dyDescent="0.2">
      <c r="A57" s="8">
        <v>27.5</v>
      </c>
      <c r="B57" s="8">
        <v>55</v>
      </c>
      <c r="D57">
        <v>554.55351681956995</v>
      </c>
      <c r="E57">
        <v>248.59480122324001</v>
      </c>
      <c r="F57">
        <v>160.42452107279999</v>
      </c>
      <c r="G57">
        <v>128.50727969349001</v>
      </c>
      <c r="I57" s="9">
        <f t="shared" si="1"/>
        <v>120.08752152975001</v>
      </c>
      <c r="J57" s="9">
        <f t="shared" si="2"/>
        <v>394.12899574676999</v>
      </c>
      <c r="K57" s="9">
        <f t="shared" si="3"/>
        <v>120.08752152975001</v>
      </c>
      <c r="L57" s="10">
        <f t="shared" si="0"/>
        <v>0.30469090786435538</v>
      </c>
      <c r="M57" s="10">
        <f t="shared" si="4"/>
        <v>0.30590286070474521</v>
      </c>
      <c r="P57" s="8">
        <f t="shared" si="5"/>
        <v>0.39979816476955926</v>
      </c>
      <c r="S57" s="11"/>
    </row>
    <row r="58" spans="1:25" x14ac:dyDescent="0.2">
      <c r="A58" s="8">
        <v>28</v>
      </c>
      <c r="B58" s="8">
        <v>56</v>
      </c>
      <c r="D58">
        <v>561.77088122605005</v>
      </c>
      <c r="E58">
        <v>250.19080459770001</v>
      </c>
      <c r="F58">
        <v>159.73563218391001</v>
      </c>
      <c r="G58">
        <v>129.13486590037999</v>
      </c>
      <c r="I58" s="9">
        <f t="shared" si="1"/>
        <v>121.05593869732002</v>
      </c>
      <c r="J58" s="9">
        <f t="shared" si="2"/>
        <v>402.03524904214004</v>
      </c>
      <c r="K58" s="9">
        <f t="shared" si="3"/>
        <v>121.05593869732002</v>
      </c>
      <c r="L58" s="10">
        <f t="shared" si="0"/>
        <v>0.30110777347443812</v>
      </c>
      <c r="M58" s="10">
        <f t="shared" si="4"/>
        <v>0.30234176182101685</v>
      </c>
      <c r="P58" s="8">
        <f t="shared" si="5"/>
        <v>-0.76898335086393188</v>
      </c>
      <c r="S58" s="11"/>
    </row>
    <row r="59" spans="1:25" x14ac:dyDescent="0.2">
      <c r="A59" s="8">
        <v>28.5</v>
      </c>
      <c r="B59" s="8">
        <v>57</v>
      </c>
      <c r="D59">
        <v>563.75361216730005</v>
      </c>
      <c r="E59">
        <v>251.68060836501999</v>
      </c>
      <c r="F59">
        <v>161.24597701149</v>
      </c>
      <c r="G59">
        <v>128.87816091953999</v>
      </c>
      <c r="I59" s="9">
        <f t="shared" si="1"/>
        <v>122.80244744548</v>
      </c>
      <c r="J59" s="9">
        <f t="shared" si="2"/>
        <v>402.50763515581002</v>
      </c>
      <c r="K59" s="9">
        <f t="shared" si="3"/>
        <v>122.80244744548</v>
      </c>
      <c r="L59" s="10">
        <f t="shared" si="0"/>
        <v>0.30509346089284339</v>
      </c>
      <c r="M59" s="10">
        <f t="shared" si="4"/>
        <v>0.30634948474561102</v>
      </c>
      <c r="P59" s="8">
        <f t="shared" si="5"/>
        <v>0.54638379478019838</v>
      </c>
      <c r="R59" s="1"/>
      <c r="S59" s="11"/>
    </row>
    <row r="60" spans="1:25" x14ac:dyDescent="0.2">
      <c r="A60" s="8">
        <v>29</v>
      </c>
      <c r="B60" s="8">
        <v>58</v>
      </c>
      <c r="D60">
        <v>558.18098859316001</v>
      </c>
      <c r="E60">
        <v>249.40684410646</v>
      </c>
      <c r="F60">
        <v>159.42452107279999</v>
      </c>
      <c r="G60">
        <v>128.64214559387</v>
      </c>
      <c r="I60" s="9">
        <f t="shared" si="1"/>
        <v>120.76469851259</v>
      </c>
      <c r="J60" s="9">
        <f t="shared" si="2"/>
        <v>398.75646752036005</v>
      </c>
      <c r="K60" s="9">
        <f t="shared" si="3"/>
        <v>120.76469851259</v>
      </c>
      <c r="L60" s="10">
        <f t="shared" si="0"/>
        <v>0.30285326596345147</v>
      </c>
      <c r="M60" s="10">
        <f t="shared" si="4"/>
        <v>0.304131325322408</v>
      </c>
      <c r="P60" s="8">
        <f t="shared" si="5"/>
        <v>-0.18163410565328661</v>
      </c>
      <c r="S60" s="11"/>
    </row>
    <row r="61" spans="1:25" x14ac:dyDescent="0.2">
      <c r="A61" s="8">
        <v>29.5</v>
      </c>
      <c r="B61" s="8">
        <v>59</v>
      </c>
      <c r="C61" s="2"/>
      <c r="D61">
        <v>564.03371647510005</v>
      </c>
      <c r="E61">
        <v>251.19386973179999</v>
      </c>
      <c r="F61">
        <v>160.12107279694001</v>
      </c>
      <c r="G61">
        <v>128.51034482758999</v>
      </c>
      <c r="I61" s="9">
        <f t="shared" si="1"/>
        <v>122.68352490421</v>
      </c>
      <c r="J61" s="9">
        <f t="shared" si="2"/>
        <v>403.91264367816007</v>
      </c>
      <c r="K61" s="9">
        <f t="shared" si="3"/>
        <v>122.68352490421</v>
      </c>
      <c r="L61" s="10">
        <f t="shared" si="0"/>
        <v>0.30373776811494158</v>
      </c>
      <c r="M61" s="10">
        <f t="shared" si="4"/>
        <v>0.305037862980087</v>
      </c>
      <c r="P61" s="8">
        <f t="shared" si="5"/>
        <v>0.11589890090327304</v>
      </c>
      <c r="S61" s="11"/>
    </row>
    <row r="62" spans="1:25" x14ac:dyDescent="0.2">
      <c r="A62" s="8">
        <v>30</v>
      </c>
      <c r="B62" s="8">
        <v>60</v>
      </c>
      <c r="D62">
        <v>572.22298850574998</v>
      </c>
      <c r="E62">
        <v>255.55095785441</v>
      </c>
      <c r="F62">
        <v>160.19386973179999</v>
      </c>
      <c r="G62">
        <v>128.47739463601999</v>
      </c>
      <c r="I62" s="9">
        <f t="shared" si="1"/>
        <v>127.07356321839001</v>
      </c>
      <c r="J62" s="9">
        <f t="shared" si="2"/>
        <v>412.02911877395002</v>
      </c>
      <c r="K62" s="9">
        <f t="shared" si="3"/>
        <v>127.07356321839001</v>
      </c>
      <c r="L62" s="10">
        <f t="shared" si="0"/>
        <v>0.30840918136202383</v>
      </c>
      <c r="M62" s="10">
        <f t="shared" si="4"/>
        <v>0.30973131173335816</v>
      </c>
      <c r="P62" s="8">
        <f t="shared" si="5"/>
        <v>1.6563268211898119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573.04444444444005</v>
      </c>
      <c r="E63">
        <v>255.55172413792999</v>
      </c>
      <c r="F63">
        <v>160.19310344828</v>
      </c>
      <c r="G63">
        <v>128.12950191570999</v>
      </c>
      <c r="I63" s="9">
        <f t="shared" si="1"/>
        <v>127.42222222222</v>
      </c>
      <c r="J63" s="9">
        <f t="shared" si="2"/>
        <v>412.85134099616005</v>
      </c>
      <c r="K63" s="9">
        <f t="shared" si="3"/>
        <v>127.42222222222</v>
      </c>
      <c r="L63" s="10">
        <f t="shared" si="0"/>
        <v>0.30863947762593114</v>
      </c>
      <c r="M63" s="10">
        <f t="shared" si="4"/>
        <v>0.30998364350345442</v>
      </c>
      <c r="P63" s="8">
        <f t="shared" si="5"/>
        <v>1.7391441532339069</v>
      </c>
    </row>
    <row r="64" spans="1:25" x14ac:dyDescent="0.2">
      <c r="A64" s="8">
        <v>31</v>
      </c>
      <c r="B64" s="8">
        <v>62</v>
      </c>
      <c r="D64">
        <v>578.47969348659001</v>
      </c>
      <c r="E64">
        <v>258.07279693486998</v>
      </c>
      <c r="F64">
        <v>160.24214559386999</v>
      </c>
      <c r="G64">
        <v>128.69118773945999</v>
      </c>
      <c r="I64" s="9">
        <f t="shared" si="1"/>
        <v>129.38160919540999</v>
      </c>
      <c r="J64" s="9">
        <f t="shared" si="2"/>
        <v>418.23754789272004</v>
      </c>
      <c r="K64" s="9">
        <f t="shared" si="3"/>
        <v>129.38160919540999</v>
      </c>
      <c r="L64" s="10">
        <f t="shared" si="0"/>
        <v>0.30934957860023843</v>
      </c>
      <c r="M64" s="10">
        <f t="shared" si="4"/>
        <v>0.31071577998395061</v>
      </c>
      <c r="P64" s="8">
        <f t="shared" si="5"/>
        <v>1.9794372799524249</v>
      </c>
      <c r="U64" s="8">
        <v>30.5</v>
      </c>
      <c r="V64" s="10">
        <f>L62</f>
        <v>0.30840918136202383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575.17467581998994</v>
      </c>
      <c r="E65">
        <v>257.41418764302</v>
      </c>
      <c r="F65">
        <v>160.09195402299</v>
      </c>
      <c r="G65">
        <v>129.20229885058001</v>
      </c>
      <c r="I65" s="9">
        <f t="shared" si="1"/>
        <v>128.21188879243999</v>
      </c>
      <c r="J65" s="9">
        <f t="shared" si="2"/>
        <v>415.08272179699998</v>
      </c>
      <c r="K65" s="9">
        <f t="shared" si="3"/>
        <v>128.21188879243999</v>
      </c>
      <c r="L65" s="10">
        <f t="shared" si="0"/>
        <v>0.30888274086037049</v>
      </c>
      <c r="M65" s="10">
        <f t="shared" si="4"/>
        <v>0.31027097775027157</v>
      </c>
      <c r="P65" s="8">
        <f t="shared" si="5"/>
        <v>1.8334495818258678</v>
      </c>
      <c r="U65" s="8">
        <v>31</v>
      </c>
      <c r="V65" s="10">
        <f t="shared" ref="V65:V83" si="6">L63</f>
        <v>0.30863947762593114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575.31807780320003</v>
      </c>
      <c r="E66">
        <v>257.28146453088999</v>
      </c>
      <c r="F66">
        <v>159.95862068965999</v>
      </c>
      <c r="G66">
        <v>129.24444444444001</v>
      </c>
      <c r="I66" s="9">
        <f t="shared" si="1"/>
        <v>128.03702008644999</v>
      </c>
      <c r="J66" s="9">
        <f t="shared" si="2"/>
        <v>415.35945711354003</v>
      </c>
      <c r="K66" s="9">
        <f t="shared" si="3"/>
        <v>128.03702008644999</v>
      </c>
      <c r="L66" s="10">
        <f t="shared" ref="L66:L129" si="7">K66/J66</f>
        <v>0.30825594047194305</v>
      </c>
      <c r="M66" s="10">
        <f t="shared" si="4"/>
        <v>0.30966621286803303</v>
      </c>
      <c r="P66" s="8">
        <f t="shared" si="5"/>
        <v>1.6349608459768274</v>
      </c>
      <c r="U66" s="8">
        <v>31.5</v>
      </c>
      <c r="V66" s="10">
        <f t="shared" si="6"/>
        <v>0.30934957860023843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577.48893974066004</v>
      </c>
      <c r="E67">
        <v>257.58199847445002</v>
      </c>
      <c r="F67">
        <v>159.81455938696999</v>
      </c>
      <c r="G67">
        <v>129.32873563218001</v>
      </c>
      <c r="I67" s="9">
        <f t="shared" ref="I67:I130" si="8">E67-G67</f>
        <v>128.25326284227</v>
      </c>
      <c r="J67" s="9">
        <f t="shared" ref="J67:J130" si="9">D67-F67</f>
        <v>417.67438035369003</v>
      </c>
      <c r="K67" s="9">
        <f t="shared" ref="K67:K130" si="10">I67*1</f>
        <v>128.25326284227</v>
      </c>
      <c r="L67" s="10">
        <f t="shared" si="7"/>
        <v>0.3070651897146866</v>
      </c>
      <c r="M67" s="10">
        <f t="shared" ref="M67:M130" si="11">L67+ABS($N$2)*A67</f>
        <v>0.30849749761696549</v>
      </c>
      <c r="P67" s="8">
        <f t="shared" ref="P67:P130" si="12">(M67-$O$2)/$O$2*100</f>
        <v>1.2513790283732202</v>
      </c>
      <c r="U67" s="8">
        <v>32</v>
      </c>
      <c r="V67" s="10">
        <f t="shared" si="6"/>
        <v>0.30888274086037049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574.36656441718003</v>
      </c>
      <c r="E68">
        <v>254.62039877301001</v>
      </c>
      <c r="F68">
        <v>159.86819923371999</v>
      </c>
      <c r="G68">
        <v>128.76858237548001</v>
      </c>
      <c r="I68" s="9">
        <f t="shared" si="8"/>
        <v>125.85181639753</v>
      </c>
      <c r="J68" s="9">
        <f t="shared" si="9"/>
        <v>414.49836518346001</v>
      </c>
      <c r="K68" s="9">
        <f t="shared" si="10"/>
        <v>125.85181639753</v>
      </c>
      <c r="L68" s="10">
        <f t="shared" si="7"/>
        <v>0.30362439750957054</v>
      </c>
      <c r="M68" s="10">
        <f t="shared" si="11"/>
        <v>0.30507874091803833</v>
      </c>
      <c r="P68" s="8">
        <f t="shared" si="12"/>
        <v>0.12931537144640412</v>
      </c>
      <c r="U68" s="8">
        <v>32.5</v>
      </c>
      <c r="V68" s="10">
        <f t="shared" si="6"/>
        <v>0.30825594047194305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573.25383435583001</v>
      </c>
      <c r="E69">
        <v>254.08588957054999</v>
      </c>
      <c r="F69">
        <v>160.21226053640001</v>
      </c>
      <c r="G69">
        <v>128.91340996169001</v>
      </c>
      <c r="I69" s="9">
        <f t="shared" si="8"/>
        <v>125.17247960885999</v>
      </c>
      <c r="J69" s="9">
        <f t="shared" si="9"/>
        <v>413.04157381943003</v>
      </c>
      <c r="K69" s="9">
        <f t="shared" si="10"/>
        <v>125.17247960885999</v>
      </c>
      <c r="L69" s="10">
        <f t="shared" si="7"/>
        <v>0.30305055844955164</v>
      </c>
      <c r="M69" s="10">
        <f t="shared" si="11"/>
        <v>0.30452693736420833</v>
      </c>
      <c r="P69" s="8">
        <f t="shared" si="12"/>
        <v>-5.1791027177984714E-2</v>
      </c>
      <c r="U69" s="8">
        <v>33</v>
      </c>
      <c r="V69" s="10">
        <f t="shared" si="6"/>
        <v>0.3070651897146866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577.97162576687003</v>
      </c>
      <c r="E70">
        <v>254.16027607362</v>
      </c>
      <c r="F70">
        <v>160.23524904215</v>
      </c>
      <c r="G70">
        <v>129.25210727968999</v>
      </c>
      <c r="I70" s="9">
        <f t="shared" si="8"/>
        <v>124.90816879393</v>
      </c>
      <c r="J70" s="9">
        <f t="shared" si="9"/>
        <v>417.73637672472</v>
      </c>
      <c r="K70" s="9">
        <f t="shared" si="10"/>
        <v>124.90816879393</v>
      </c>
      <c r="L70" s="10">
        <f t="shared" si="7"/>
        <v>0.29901195048723755</v>
      </c>
      <c r="M70" s="10">
        <f t="shared" si="11"/>
        <v>0.30051036490808314</v>
      </c>
      <c r="P70" s="8">
        <f t="shared" si="12"/>
        <v>-1.3700626607942774</v>
      </c>
      <c r="U70" s="8">
        <v>33.5</v>
      </c>
      <c r="V70" s="10">
        <f t="shared" si="6"/>
        <v>0.30362439750957054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578.23984674329995</v>
      </c>
      <c r="E71">
        <v>254.25210727968999</v>
      </c>
      <c r="F71">
        <v>160.79846743294999</v>
      </c>
      <c r="G71">
        <v>128.80459770114999</v>
      </c>
      <c r="I71" s="9">
        <f t="shared" si="8"/>
        <v>125.44750957854001</v>
      </c>
      <c r="J71" s="9">
        <f t="shared" si="9"/>
        <v>417.44137931034993</v>
      </c>
      <c r="K71" s="9">
        <f t="shared" si="10"/>
        <v>125.44750957854001</v>
      </c>
      <c r="L71" s="10">
        <f t="shared" si="7"/>
        <v>0.30051527183479121</v>
      </c>
      <c r="M71" s="10">
        <f t="shared" si="11"/>
        <v>0.30203572176182569</v>
      </c>
      <c r="P71" s="8">
        <f t="shared" si="12"/>
        <v>-0.86942817868390887</v>
      </c>
      <c r="U71" s="8">
        <v>34</v>
      </c>
      <c r="V71" s="10">
        <f t="shared" si="6"/>
        <v>0.30305055844955164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572.49885057470999</v>
      </c>
      <c r="E72">
        <v>252.53639846742999</v>
      </c>
      <c r="F72">
        <v>160.0214559387</v>
      </c>
      <c r="G72">
        <v>129.05747126437001</v>
      </c>
      <c r="I72" s="9">
        <f t="shared" si="8"/>
        <v>123.47892720305998</v>
      </c>
      <c r="J72" s="9">
        <f t="shared" si="9"/>
        <v>412.47739463600999</v>
      </c>
      <c r="K72" s="9">
        <f t="shared" si="10"/>
        <v>123.47892720305998</v>
      </c>
      <c r="L72" s="10">
        <f t="shared" si="7"/>
        <v>0.29935925897714655</v>
      </c>
      <c r="M72" s="10">
        <f t="shared" si="11"/>
        <v>0.30090174441036999</v>
      </c>
      <c r="P72" s="8">
        <f t="shared" si="12"/>
        <v>-1.2416087360911865</v>
      </c>
      <c r="U72" s="8">
        <v>34.5</v>
      </c>
      <c r="V72" s="10">
        <f t="shared" si="6"/>
        <v>0.29901195048723755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577.78160919540005</v>
      </c>
      <c r="E73">
        <v>254.62605363985</v>
      </c>
      <c r="F73">
        <v>160.44214559387001</v>
      </c>
      <c r="G73">
        <v>129.37547892719999</v>
      </c>
      <c r="I73" s="9">
        <f t="shared" si="8"/>
        <v>125.25057471265001</v>
      </c>
      <c r="J73" s="9">
        <f t="shared" si="9"/>
        <v>417.33946360153004</v>
      </c>
      <c r="K73" s="9">
        <f t="shared" si="10"/>
        <v>125.25057471265001</v>
      </c>
      <c r="L73" s="10">
        <f t="shared" si="7"/>
        <v>0.30011677695603101</v>
      </c>
      <c r="M73" s="10">
        <f t="shared" si="11"/>
        <v>0.30168129789544335</v>
      </c>
      <c r="P73" s="8">
        <f t="shared" si="12"/>
        <v>-0.98575296416510905</v>
      </c>
      <c r="U73" s="8">
        <v>35</v>
      </c>
      <c r="V73" s="10">
        <f t="shared" si="6"/>
        <v>0.30051527183479121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578.95708812261</v>
      </c>
      <c r="E74">
        <v>254.49578544061001</v>
      </c>
      <c r="F74">
        <v>159.87126436782</v>
      </c>
      <c r="G74">
        <v>128.97394636014999</v>
      </c>
      <c r="I74" s="9">
        <f t="shared" si="8"/>
        <v>125.52183908046001</v>
      </c>
      <c r="J74" s="9">
        <f t="shared" si="9"/>
        <v>419.08582375479</v>
      </c>
      <c r="K74" s="9">
        <f t="shared" si="10"/>
        <v>125.52183908046001</v>
      </c>
      <c r="L74" s="10">
        <f t="shared" si="7"/>
        <v>0.29951344561323962</v>
      </c>
      <c r="M74" s="10">
        <f t="shared" si="11"/>
        <v>0.30110000205884085</v>
      </c>
      <c r="P74" s="8">
        <f t="shared" si="12"/>
        <v>-1.1765389690244799</v>
      </c>
      <c r="U74" s="8">
        <v>35.5</v>
      </c>
      <c r="V74" s="10">
        <f t="shared" si="6"/>
        <v>0.29935925897714655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578.73849693251998</v>
      </c>
      <c r="E75">
        <v>253.55061349693</v>
      </c>
      <c r="F75">
        <v>160.60153256704999</v>
      </c>
      <c r="G75">
        <v>129.0275862069</v>
      </c>
      <c r="I75" s="9">
        <f t="shared" si="8"/>
        <v>124.52302729003</v>
      </c>
      <c r="J75" s="9">
        <f t="shared" si="9"/>
        <v>418.13696436547002</v>
      </c>
      <c r="K75" s="9">
        <f t="shared" si="10"/>
        <v>124.52302729003</v>
      </c>
      <c r="L75" s="10">
        <f t="shared" si="7"/>
        <v>0.29780439880266463</v>
      </c>
      <c r="M75" s="10">
        <f t="shared" si="11"/>
        <v>0.29941299075445477</v>
      </c>
      <c r="P75" s="8">
        <f t="shared" si="12"/>
        <v>-1.7302297520130305</v>
      </c>
      <c r="U75" s="8">
        <v>36</v>
      </c>
      <c r="V75" s="10">
        <f t="shared" si="6"/>
        <v>0.30011677695603101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580.12193251533995</v>
      </c>
      <c r="E76">
        <v>253.50613496932999</v>
      </c>
      <c r="F76">
        <v>160.25363984673999</v>
      </c>
      <c r="G76">
        <v>128.75555555555999</v>
      </c>
      <c r="I76" s="9">
        <f t="shared" si="8"/>
        <v>124.75057941377</v>
      </c>
      <c r="J76" s="9">
        <f t="shared" si="9"/>
        <v>419.86829266859996</v>
      </c>
      <c r="K76" s="9">
        <f t="shared" si="10"/>
        <v>124.75057941377</v>
      </c>
      <c r="L76" s="10">
        <f t="shared" si="7"/>
        <v>0.29711836209607528</v>
      </c>
      <c r="M76" s="10">
        <f t="shared" si="11"/>
        <v>0.29874898955405432</v>
      </c>
      <c r="P76" s="8">
        <f t="shared" si="12"/>
        <v>-1.9481603275813126</v>
      </c>
      <c r="U76" s="8">
        <v>36.5</v>
      </c>
      <c r="V76" s="10">
        <f t="shared" si="6"/>
        <v>0.29951344561323962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579.71932515337005</v>
      </c>
      <c r="E77">
        <v>254.12039877301001</v>
      </c>
      <c r="F77">
        <v>161.09272030650999</v>
      </c>
      <c r="G77">
        <v>129.18620689655</v>
      </c>
      <c r="I77" s="9">
        <f t="shared" si="8"/>
        <v>124.93419187646001</v>
      </c>
      <c r="J77" s="9">
        <f t="shared" si="9"/>
        <v>418.62660484686006</v>
      </c>
      <c r="K77" s="9">
        <f t="shared" si="10"/>
        <v>124.93419187646001</v>
      </c>
      <c r="L77" s="10">
        <f t="shared" si="7"/>
        <v>0.29843825124818052</v>
      </c>
      <c r="M77" s="10">
        <f t="shared" si="11"/>
        <v>0.30009091421234846</v>
      </c>
      <c r="P77" s="8">
        <f t="shared" si="12"/>
        <v>-1.5077297786983528</v>
      </c>
      <c r="U77" s="8">
        <v>37</v>
      </c>
      <c r="V77" s="10">
        <f t="shared" si="6"/>
        <v>0.29780439880266463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577.50843558281997</v>
      </c>
      <c r="E78">
        <v>253.45552147238999</v>
      </c>
      <c r="F78">
        <v>160.61915708812001</v>
      </c>
      <c r="G78">
        <v>129.24750957853999</v>
      </c>
      <c r="I78" s="9">
        <f t="shared" si="8"/>
        <v>124.20801189385</v>
      </c>
      <c r="J78" s="9">
        <f t="shared" si="9"/>
        <v>416.88927849469997</v>
      </c>
      <c r="K78" s="9">
        <f t="shared" si="10"/>
        <v>124.20801189385</v>
      </c>
      <c r="L78" s="10">
        <f t="shared" si="7"/>
        <v>0.29794004859597051</v>
      </c>
      <c r="M78" s="10">
        <f t="shared" si="11"/>
        <v>0.29961474706632735</v>
      </c>
      <c r="P78" s="8">
        <f t="shared" si="12"/>
        <v>-1.6640116952619146</v>
      </c>
      <c r="U78" s="8">
        <v>37.5</v>
      </c>
      <c r="V78" s="10">
        <f t="shared" si="6"/>
        <v>0.29711836209607528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575.34509202454001</v>
      </c>
      <c r="E79">
        <v>253.84125766871</v>
      </c>
      <c r="F79">
        <v>160.58390804598</v>
      </c>
      <c r="G79">
        <v>128.84291187740001</v>
      </c>
      <c r="I79" s="9">
        <f t="shared" si="8"/>
        <v>124.99834579130999</v>
      </c>
      <c r="J79" s="9">
        <f t="shared" si="9"/>
        <v>414.76118397855998</v>
      </c>
      <c r="K79" s="9">
        <f t="shared" si="10"/>
        <v>124.99834579130999</v>
      </c>
      <c r="L79" s="10">
        <f t="shared" si="7"/>
        <v>0.30137426215316104</v>
      </c>
      <c r="M79" s="10">
        <f t="shared" si="11"/>
        <v>0.30307099612970678</v>
      </c>
      <c r="P79" s="8">
        <f t="shared" si="12"/>
        <v>-0.52964274045375104</v>
      </c>
      <c r="U79" s="8">
        <v>38</v>
      </c>
      <c r="V79" s="10">
        <f t="shared" si="6"/>
        <v>0.29843825124818052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577.70022883294996</v>
      </c>
      <c r="E80">
        <v>257.13577421815</v>
      </c>
      <c r="F80">
        <v>160.50574712644001</v>
      </c>
      <c r="G80">
        <v>128.98544061302999</v>
      </c>
      <c r="I80" s="9">
        <f t="shared" si="8"/>
        <v>128.15033360512001</v>
      </c>
      <c r="J80" s="9">
        <f t="shared" si="9"/>
        <v>417.19448170650992</v>
      </c>
      <c r="K80" s="9">
        <f t="shared" si="10"/>
        <v>128.15033360512001</v>
      </c>
      <c r="L80" s="10">
        <f t="shared" si="7"/>
        <v>0.30717168904279002</v>
      </c>
      <c r="M80" s="10">
        <f t="shared" si="11"/>
        <v>0.30889045852552466</v>
      </c>
      <c r="P80" s="8">
        <f t="shared" si="12"/>
        <v>1.3803519834318687</v>
      </c>
      <c r="U80" s="8">
        <v>38.5</v>
      </c>
      <c r="V80" s="10">
        <f t="shared" si="6"/>
        <v>0.29794004859597051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576.63908045976996</v>
      </c>
      <c r="E81">
        <v>256.96015325670999</v>
      </c>
      <c r="F81">
        <v>160.49118773946</v>
      </c>
      <c r="G81">
        <v>129.02605363985001</v>
      </c>
      <c r="I81" s="9">
        <f t="shared" si="8"/>
        <v>127.93409961685998</v>
      </c>
      <c r="J81" s="9">
        <f t="shared" si="9"/>
        <v>416.14789272030998</v>
      </c>
      <c r="K81" s="9">
        <f t="shared" si="10"/>
        <v>127.93409961685998</v>
      </c>
      <c r="L81" s="10">
        <f t="shared" si="7"/>
        <v>0.30742460037600999</v>
      </c>
      <c r="M81" s="10">
        <f t="shared" si="11"/>
        <v>0.30916540536493359</v>
      </c>
      <c r="P81" s="8">
        <f t="shared" si="12"/>
        <v>1.4705917645149935</v>
      </c>
      <c r="U81" s="8">
        <v>39</v>
      </c>
      <c r="V81" s="10">
        <f t="shared" si="6"/>
        <v>0.30137426215316104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565.13175932978004</v>
      </c>
      <c r="E82">
        <v>254.65346534654</v>
      </c>
      <c r="F82">
        <v>159.45977011494</v>
      </c>
      <c r="G82">
        <v>129.06283524904001</v>
      </c>
      <c r="H82" s="13"/>
      <c r="I82" s="14">
        <f t="shared" si="8"/>
        <v>125.5906300975</v>
      </c>
      <c r="J82" s="14">
        <f t="shared" si="9"/>
        <v>405.67198921484004</v>
      </c>
      <c r="K82" s="9">
        <f t="shared" si="10"/>
        <v>125.5906300975</v>
      </c>
      <c r="L82" s="15">
        <f t="shared" si="7"/>
        <v>0.30958664496549304</v>
      </c>
      <c r="M82" s="15">
        <f t="shared" si="11"/>
        <v>0.31134948546060554</v>
      </c>
      <c r="N82" s="13"/>
      <c r="O82" s="13"/>
      <c r="P82" s="13">
        <f t="shared" si="12"/>
        <v>2.1874245534466485</v>
      </c>
      <c r="U82" s="8">
        <v>39.5</v>
      </c>
      <c r="V82" s="10">
        <f t="shared" si="6"/>
        <v>0.30717168904279002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565.98172124905</v>
      </c>
      <c r="E83">
        <v>257.44402132520997</v>
      </c>
      <c r="F83">
        <v>161.33563218391001</v>
      </c>
      <c r="G83">
        <v>128.68122605363999</v>
      </c>
      <c r="I83" s="9">
        <f t="shared" si="8"/>
        <v>128.76279527156998</v>
      </c>
      <c r="J83" s="9">
        <f t="shared" si="9"/>
        <v>404.64608906514002</v>
      </c>
      <c r="K83" s="9">
        <f t="shared" si="10"/>
        <v>128.76279527156998</v>
      </c>
      <c r="L83" s="10">
        <f t="shared" si="7"/>
        <v>0.31821089774783839</v>
      </c>
      <c r="M83" s="10">
        <f t="shared" si="11"/>
        <v>0.31999577374913979</v>
      </c>
      <c r="P83" s="8">
        <f t="shared" si="12"/>
        <v>5.0252064461799719</v>
      </c>
      <c r="U83" s="8">
        <v>40</v>
      </c>
      <c r="V83" s="10">
        <f t="shared" si="6"/>
        <v>0.30742460037600999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571.91171993911996</v>
      </c>
      <c r="E84">
        <v>261.94748858448003</v>
      </c>
      <c r="F84">
        <v>159.98007662834999</v>
      </c>
      <c r="G84">
        <v>128.84444444444</v>
      </c>
      <c r="I84" s="9">
        <f t="shared" si="8"/>
        <v>133.10304414004003</v>
      </c>
      <c r="J84" s="9">
        <f t="shared" si="9"/>
        <v>411.93164331076997</v>
      </c>
      <c r="K84" s="9">
        <f t="shared" si="10"/>
        <v>133.10304414004003</v>
      </c>
      <c r="L84" s="10">
        <f t="shared" si="7"/>
        <v>0.32311925121912588</v>
      </c>
      <c r="M84" s="10">
        <f t="shared" si="11"/>
        <v>0.32492616272661617</v>
      </c>
      <c r="P84" s="8">
        <f t="shared" si="12"/>
        <v>6.6434000684037695</v>
      </c>
      <c r="U84" s="8">
        <v>150.5</v>
      </c>
      <c r="V84" s="10">
        <f>L302</f>
        <v>0.29127021623460098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576.81506849314997</v>
      </c>
      <c r="E85">
        <v>264.64764079148</v>
      </c>
      <c r="F85">
        <v>160.68275862069001</v>
      </c>
      <c r="G85">
        <v>128.85440613027001</v>
      </c>
      <c r="I85" s="9">
        <f t="shared" si="8"/>
        <v>135.79323466120999</v>
      </c>
      <c r="J85" s="9">
        <f t="shared" si="9"/>
        <v>416.13230987245993</v>
      </c>
      <c r="K85" s="9">
        <f t="shared" si="10"/>
        <v>135.79323466120999</v>
      </c>
      <c r="L85" s="10">
        <f t="shared" si="7"/>
        <v>0.32632225722349978</v>
      </c>
      <c r="M85" s="10">
        <f t="shared" si="11"/>
        <v>0.32815120423717897</v>
      </c>
      <c r="P85" s="8">
        <f t="shared" si="12"/>
        <v>7.7018848304865646</v>
      </c>
      <c r="U85" s="8">
        <v>151</v>
      </c>
      <c r="V85" s="10">
        <f t="shared" ref="V85:V103" si="13">L303</f>
        <v>0.28617160019139493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576.24277016742997</v>
      </c>
      <c r="E86">
        <v>265.95585996955998</v>
      </c>
      <c r="F86">
        <v>160.7754789272</v>
      </c>
      <c r="G86">
        <v>128.66436781608999</v>
      </c>
      <c r="I86" s="9">
        <f t="shared" si="8"/>
        <v>137.29149215346999</v>
      </c>
      <c r="J86" s="9">
        <f t="shared" si="9"/>
        <v>415.46729124023</v>
      </c>
      <c r="K86" s="9">
        <f t="shared" si="10"/>
        <v>137.29149215346999</v>
      </c>
      <c r="L86" s="10">
        <f t="shared" si="7"/>
        <v>0.33045078408852602</v>
      </c>
      <c r="M86" s="10">
        <f t="shared" si="11"/>
        <v>0.33230176660839411</v>
      </c>
      <c r="P86" s="8">
        <f t="shared" si="12"/>
        <v>9.064133040196829</v>
      </c>
      <c r="U86" s="8">
        <v>151.5</v>
      </c>
      <c r="V86" s="10">
        <f t="shared" si="13"/>
        <v>0.28756468827431458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574.17151607963001</v>
      </c>
      <c r="E87">
        <v>262.68683001531002</v>
      </c>
      <c r="F87">
        <v>160.54099616857999</v>
      </c>
      <c r="G87">
        <v>128.67969348659</v>
      </c>
      <c r="I87" s="9">
        <f t="shared" si="8"/>
        <v>134.00713652872003</v>
      </c>
      <c r="J87" s="9">
        <f t="shared" si="9"/>
        <v>413.63051991104999</v>
      </c>
      <c r="K87" s="9">
        <f t="shared" si="10"/>
        <v>134.00713652872003</v>
      </c>
      <c r="L87" s="10">
        <f t="shared" si="7"/>
        <v>0.32397787416058627</v>
      </c>
      <c r="M87" s="10">
        <f t="shared" si="11"/>
        <v>0.32585089218664326</v>
      </c>
      <c r="P87" s="8">
        <f t="shared" si="12"/>
        <v>6.9469037719318862</v>
      </c>
      <c r="U87" s="8">
        <v>152</v>
      </c>
      <c r="V87" s="10">
        <f t="shared" si="13"/>
        <v>0.28604079245580682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571.35681470138002</v>
      </c>
      <c r="E88">
        <v>259.50995405818998</v>
      </c>
      <c r="F88">
        <v>159.96321839081</v>
      </c>
      <c r="G88">
        <v>128.80919540229999</v>
      </c>
      <c r="I88" s="9">
        <f t="shared" si="8"/>
        <v>130.70075865588998</v>
      </c>
      <c r="J88" s="9">
        <f t="shared" si="9"/>
        <v>411.39359631057005</v>
      </c>
      <c r="K88" s="9">
        <f t="shared" si="10"/>
        <v>130.70075865588998</v>
      </c>
      <c r="L88" s="10">
        <f t="shared" si="7"/>
        <v>0.31770246262467616</v>
      </c>
      <c r="M88" s="10">
        <f t="shared" si="11"/>
        <v>0.31959751615692206</v>
      </c>
      <c r="P88" s="8">
        <f t="shared" si="12"/>
        <v>4.894495076616022</v>
      </c>
      <c r="U88" s="8">
        <v>152.5</v>
      </c>
      <c r="V88" s="10">
        <f t="shared" si="13"/>
        <v>0.2938254832464619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573.44257274119002</v>
      </c>
      <c r="E89">
        <v>259.41424196017999</v>
      </c>
      <c r="F89">
        <v>161.41455938697001</v>
      </c>
      <c r="G89">
        <v>128.71417624521001</v>
      </c>
      <c r="I89" s="9">
        <f t="shared" si="8"/>
        <v>130.70006571496998</v>
      </c>
      <c r="J89" s="9">
        <f t="shared" si="9"/>
        <v>412.02801335421998</v>
      </c>
      <c r="K89" s="9">
        <f t="shared" si="10"/>
        <v>130.70006571496998</v>
      </c>
      <c r="L89" s="10">
        <f t="shared" si="7"/>
        <v>0.317211600859302</v>
      </c>
      <c r="M89" s="10">
        <f t="shared" si="11"/>
        <v>0.31912868989773679</v>
      </c>
      <c r="P89" s="8">
        <f t="shared" si="12"/>
        <v>4.7406224986084045</v>
      </c>
      <c r="U89" s="8">
        <v>153</v>
      </c>
      <c r="V89" s="10">
        <f t="shared" si="13"/>
        <v>0.29653405036382791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571.62614678899001</v>
      </c>
      <c r="E90">
        <v>261.62691131499002</v>
      </c>
      <c r="F90">
        <v>160.58160919540001</v>
      </c>
      <c r="G90">
        <v>128.77854406130001</v>
      </c>
      <c r="I90" s="9">
        <f t="shared" si="8"/>
        <v>132.84836725369001</v>
      </c>
      <c r="J90" s="9">
        <f t="shared" si="9"/>
        <v>411.04453759359001</v>
      </c>
      <c r="K90" s="9">
        <f t="shared" si="10"/>
        <v>132.84836725369001</v>
      </c>
      <c r="L90" s="10">
        <f t="shared" si="7"/>
        <v>0.32319701420054026</v>
      </c>
      <c r="M90" s="10">
        <f t="shared" si="11"/>
        <v>0.32513613874516401</v>
      </c>
      <c r="P90" s="8">
        <f t="shared" si="12"/>
        <v>6.7123158995047811</v>
      </c>
      <c r="U90" s="8">
        <v>153.5</v>
      </c>
      <c r="V90" s="10">
        <f t="shared" si="13"/>
        <v>0.29556022868353637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566.39343009930997</v>
      </c>
      <c r="E91">
        <v>258.43621084798002</v>
      </c>
      <c r="F91">
        <v>160.08352490422001</v>
      </c>
      <c r="G91">
        <v>128.71340996168999</v>
      </c>
      <c r="I91" s="9">
        <f t="shared" si="8"/>
        <v>129.72280088629003</v>
      </c>
      <c r="J91" s="9">
        <f t="shared" si="9"/>
        <v>406.30990519508998</v>
      </c>
      <c r="K91" s="9">
        <f t="shared" si="10"/>
        <v>129.72280088629003</v>
      </c>
      <c r="L91" s="10">
        <f t="shared" si="7"/>
        <v>0.31927058441758521</v>
      </c>
      <c r="M91" s="10">
        <f t="shared" si="11"/>
        <v>0.32123174446839786</v>
      </c>
      <c r="P91" s="8">
        <f t="shared" si="12"/>
        <v>5.4308620535358223</v>
      </c>
      <c r="U91" s="8">
        <v>154</v>
      </c>
      <c r="V91" s="10">
        <f t="shared" si="13"/>
        <v>0.29811239584380739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564.51945080092003</v>
      </c>
      <c r="E92">
        <v>256.88939740656002</v>
      </c>
      <c r="F92">
        <v>160.47279693486999</v>
      </c>
      <c r="G92">
        <v>129.19923371647999</v>
      </c>
      <c r="I92" s="9">
        <f t="shared" si="8"/>
        <v>127.69016369008003</v>
      </c>
      <c r="J92" s="9">
        <f t="shared" si="9"/>
        <v>404.04665386605006</v>
      </c>
      <c r="K92" s="9">
        <f t="shared" si="10"/>
        <v>127.69016369008003</v>
      </c>
      <c r="L92" s="10">
        <f t="shared" si="7"/>
        <v>0.3160282667070719</v>
      </c>
      <c r="M92" s="10">
        <f t="shared" si="11"/>
        <v>0.31801146226407345</v>
      </c>
      <c r="P92" s="8">
        <f t="shared" si="12"/>
        <v>4.3739393343336914</v>
      </c>
      <c r="U92" s="8">
        <v>154.5</v>
      </c>
      <c r="V92" s="10">
        <f t="shared" si="13"/>
        <v>0.29888802040484314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568.46224256292999</v>
      </c>
      <c r="E93">
        <v>257.69870327993999</v>
      </c>
      <c r="F93">
        <v>159.9785440613</v>
      </c>
      <c r="G93">
        <v>128.84827586207001</v>
      </c>
      <c r="I93" s="9">
        <f t="shared" si="8"/>
        <v>128.85042741786998</v>
      </c>
      <c r="J93" s="9">
        <f t="shared" si="9"/>
        <v>408.48369850162999</v>
      </c>
      <c r="K93" s="9">
        <f t="shared" si="10"/>
        <v>128.85042741786998</v>
      </c>
      <c r="L93" s="10">
        <f t="shared" si="7"/>
        <v>0.3154359106385633</v>
      </c>
      <c r="M93" s="10">
        <f t="shared" si="11"/>
        <v>0.31744114170175375</v>
      </c>
      <c r="P93" s="8">
        <f t="shared" si="12"/>
        <v>4.1867555034463333</v>
      </c>
      <c r="U93" s="8">
        <v>155</v>
      </c>
      <c r="V93" s="10">
        <f t="shared" si="13"/>
        <v>0.30259078241063381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563.91068702289999</v>
      </c>
      <c r="E94">
        <v>255.60305343511999</v>
      </c>
      <c r="F94">
        <v>159.75785440613001</v>
      </c>
      <c r="G94">
        <v>129.18850574712999</v>
      </c>
      <c r="I94" s="9">
        <f t="shared" si="8"/>
        <v>126.41454768798999</v>
      </c>
      <c r="J94" s="9">
        <f t="shared" si="9"/>
        <v>404.15283261676996</v>
      </c>
      <c r="K94" s="9">
        <f t="shared" si="10"/>
        <v>126.41454768798999</v>
      </c>
      <c r="L94" s="10">
        <f t="shared" si="7"/>
        <v>0.31278896864211791</v>
      </c>
      <c r="M94" s="10">
        <f t="shared" si="11"/>
        <v>0.31481623521149726</v>
      </c>
      <c r="P94" s="8">
        <f t="shared" si="12"/>
        <v>3.3252399190023181</v>
      </c>
      <c r="U94" s="8">
        <v>155.5</v>
      </c>
      <c r="V94" s="10">
        <f t="shared" si="13"/>
        <v>0.30114000961545406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561.64198473281999</v>
      </c>
      <c r="E95">
        <v>256.36183206107</v>
      </c>
      <c r="F95">
        <v>160.13869731801</v>
      </c>
      <c r="G95">
        <v>128.74176245211001</v>
      </c>
      <c r="I95" s="9">
        <f t="shared" si="8"/>
        <v>127.62006960895999</v>
      </c>
      <c r="J95" s="9">
        <f t="shared" si="9"/>
        <v>401.50328741480996</v>
      </c>
      <c r="K95" s="9">
        <f t="shared" si="10"/>
        <v>127.62006960895999</v>
      </c>
      <c r="L95" s="10">
        <f t="shared" si="7"/>
        <v>0.31785560320234768</v>
      </c>
      <c r="M95" s="10">
        <f t="shared" si="11"/>
        <v>0.31990490527791593</v>
      </c>
      <c r="P95" s="8">
        <f t="shared" si="12"/>
        <v>4.9953826774535255</v>
      </c>
      <c r="U95" s="8">
        <v>156</v>
      </c>
      <c r="V95" s="10">
        <f t="shared" si="13"/>
        <v>0.30234414173006979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554.07480916031</v>
      </c>
      <c r="E96">
        <v>254.13435114504</v>
      </c>
      <c r="F96">
        <v>160.21839080460001</v>
      </c>
      <c r="G96">
        <v>128.40459770115001</v>
      </c>
      <c r="I96" s="9">
        <f t="shared" si="8"/>
        <v>125.72975344388999</v>
      </c>
      <c r="J96" s="9">
        <f t="shared" si="9"/>
        <v>393.85641835570999</v>
      </c>
      <c r="K96" s="9">
        <f t="shared" si="10"/>
        <v>125.72975344388999</v>
      </c>
      <c r="L96" s="10">
        <f t="shared" si="7"/>
        <v>0.3192273823257531</v>
      </c>
      <c r="M96" s="10">
        <f t="shared" si="11"/>
        <v>0.32129871990751024</v>
      </c>
      <c r="P96" s="8">
        <f t="shared" si="12"/>
        <v>5.4528439354750375</v>
      </c>
      <c r="U96" s="8">
        <v>156.5</v>
      </c>
      <c r="V96" s="10">
        <f t="shared" si="13"/>
        <v>0.30230172100472613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568.27633587785999</v>
      </c>
      <c r="E97">
        <v>258.36793893129999</v>
      </c>
      <c r="F97">
        <v>160.11570881226001</v>
      </c>
      <c r="G97">
        <v>128.86206896552</v>
      </c>
      <c r="I97" s="9">
        <f t="shared" si="8"/>
        <v>129.50586996577999</v>
      </c>
      <c r="J97" s="9">
        <f t="shared" si="9"/>
        <v>408.16062706560001</v>
      </c>
      <c r="K97" s="9">
        <f t="shared" si="10"/>
        <v>129.50586996577999</v>
      </c>
      <c r="L97" s="10">
        <f t="shared" si="7"/>
        <v>0.3172914322893905</v>
      </c>
      <c r="M97" s="10">
        <f t="shared" si="11"/>
        <v>0.31938480537733654</v>
      </c>
      <c r="P97" s="8">
        <f t="shared" si="12"/>
        <v>4.8246816747777537</v>
      </c>
      <c r="U97" s="8">
        <v>157</v>
      </c>
      <c r="V97" s="10">
        <f t="shared" si="13"/>
        <v>0.29971987278053569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563.92748091603005</v>
      </c>
      <c r="E98">
        <v>258.79694656488999</v>
      </c>
      <c r="F98">
        <v>160.53563218391</v>
      </c>
      <c r="G98">
        <v>128.8337164751</v>
      </c>
      <c r="I98" s="9">
        <f t="shared" si="8"/>
        <v>129.96323008978999</v>
      </c>
      <c r="J98" s="9">
        <f t="shared" si="9"/>
        <v>403.39184873212002</v>
      </c>
      <c r="K98" s="9">
        <f t="shared" si="10"/>
        <v>129.96323008978999</v>
      </c>
      <c r="L98" s="10">
        <f t="shared" si="7"/>
        <v>0.32217614336598688</v>
      </c>
      <c r="M98" s="10">
        <f t="shared" si="11"/>
        <v>0.32429155196012183</v>
      </c>
      <c r="P98" s="8">
        <f t="shared" si="12"/>
        <v>6.4351156714470541</v>
      </c>
      <c r="U98" s="8">
        <v>157.5</v>
      </c>
      <c r="V98" s="10">
        <f t="shared" si="13"/>
        <v>0.30495035935972714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561.00076394194002</v>
      </c>
      <c r="E99">
        <v>258.77463712757998</v>
      </c>
      <c r="F99">
        <v>160.17088122605</v>
      </c>
      <c r="G99">
        <v>128.90268199234001</v>
      </c>
      <c r="I99" s="9">
        <f t="shared" si="8"/>
        <v>129.87195513523997</v>
      </c>
      <c r="J99" s="9">
        <f t="shared" si="9"/>
        <v>400.82988271588999</v>
      </c>
      <c r="K99" s="9">
        <f t="shared" si="10"/>
        <v>129.87195513523997</v>
      </c>
      <c r="L99" s="10">
        <f t="shared" si="7"/>
        <v>0.324007666931594</v>
      </c>
      <c r="M99" s="10">
        <f t="shared" si="11"/>
        <v>0.32614511103191784</v>
      </c>
      <c r="P99" s="8">
        <f t="shared" si="12"/>
        <v>7.0434687815358705</v>
      </c>
      <c r="U99" s="8">
        <v>158</v>
      </c>
      <c r="V99" s="10">
        <f t="shared" si="13"/>
        <v>0.30410013392756863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549.86117467582005</v>
      </c>
      <c r="E100">
        <v>253.03432494278999</v>
      </c>
      <c r="F100">
        <v>160.10727969349</v>
      </c>
      <c r="G100">
        <v>128.54252873562999</v>
      </c>
      <c r="I100" s="9">
        <f t="shared" si="8"/>
        <v>124.49179620716001</v>
      </c>
      <c r="J100" s="9">
        <f t="shared" si="9"/>
        <v>389.75389498233005</v>
      </c>
      <c r="K100" s="9">
        <f t="shared" si="10"/>
        <v>124.49179620716001</v>
      </c>
      <c r="L100" s="10">
        <f t="shared" si="7"/>
        <v>0.31941129469098439</v>
      </c>
      <c r="M100" s="10">
        <f t="shared" si="11"/>
        <v>0.3215707742974972</v>
      </c>
      <c r="P100" s="8">
        <f t="shared" si="12"/>
        <v>5.5421343912151464</v>
      </c>
      <c r="U100" s="8">
        <v>158.5</v>
      </c>
      <c r="V100" s="10">
        <f t="shared" si="13"/>
        <v>0.30162882103658972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554.57437070937999</v>
      </c>
      <c r="E101">
        <v>254.13958810068999</v>
      </c>
      <c r="F101">
        <v>160.29808429119001</v>
      </c>
      <c r="G101">
        <v>128.82375478927</v>
      </c>
      <c r="I101" s="9">
        <f t="shared" si="8"/>
        <v>125.31583331141999</v>
      </c>
      <c r="J101" s="9">
        <f t="shared" si="9"/>
        <v>394.27628641819001</v>
      </c>
      <c r="K101" s="9">
        <f t="shared" si="10"/>
        <v>125.31583331141999</v>
      </c>
      <c r="L101" s="10">
        <f t="shared" si="7"/>
        <v>0.31783761191892601</v>
      </c>
      <c r="M101" s="10">
        <f t="shared" si="11"/>
        <v>0.32001912703162771</v>
      </c>
      <c r="P101" s="8">
        <f t="shared" si="12"/>
        <v>5.0328711827661898</v>
      </c>
      <c r="U101" s="8">
        <v>159</v>
      </c>
      <c r="V101" s="10">
        <f t="shared" si="13"/>
        <v>0.30143365080699247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560.71700991609998</v>
      </c>
      <c r="E102">
        <v>256.21357742181999</v>
      </c>
      <c r="F102">
        <v>159.92720306512999</v>
      </c>
      <c r="G102">
        <v>129.00536398467</v>
      </c>
      <c r="I102" s="9">
        <f t="shared" si="8"/>
        <v>127.20821343714999</v>
      </c>
      <c r="J102" s="9">
        <f t="shared" si="9"/>
        <v>400.78980685096997</v>
      </c>
      <c r="K102" s="9">
        <f t="shared" si="10"/>
        <v>127.20821343714999</v>
      </c>
      <c r="L102" s="10">
        <f t="shared" si="7"/>
        <v>0.31739383403144084</v>
      </c>
      <c r="M102" s="10">
        <f t="shared" si="11"/>
        <v>0.31959738465033144</v>
      </c>
      <c r="P102" s="8">
        <f t="shared" si="12"/>
        <v>4.8944519150871466</v>
      </c>
      <c r="U102" s="8">
        <v>159.5</v>
      </c>
      <c r="V102" s="10">
        <f t="shared" si="13"/>
        <v>0.30030036402815047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562.77421815408002</v>
      </c>
      <c r="E103">
        <v>256.99313501144002</v>
      </c>
      <c r="F103">
        <v>160.38237547892999</v>
      </c>
      <c r="G103">
        <v>129.25287356321999</v>
      </c>
      <c r="I103" s="9">
        <f t="shared" si="8"/>
        <v>127.74026144822002</v>
      </c>
      <c r="J103" s="9">
        <f t="shared" si="9"/>
        <v>402.39184267515003</v>
      </c>
      <c r="K103" s="9">
        <f t="shared" si="10"/>
        <v>127.74026144822002</v>
      </c>
      <c r="L103" s="10">
        <f t="shared" si="7"/>
        <v>0.31745241304840377</v>
      </c>
      <c r="M103" s="10">
        <f t="shared" si="11"/>
        <v>0.31967799917348327</v>
      </c>
      <c r="P103" s="8">
        <f t="shared" si="12"/>
        <v>4.9209102549501571</v>
      </c>
      <c r="U103" s="8">
        <v>160</v>
      </c>
      <c r="V103" s="10">
        <f t="shared" si="13"/>
        <v>0.30043420074806571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558.82379862699997</v>
      </c>
      <c r="E104">
        <v>254.15636918383001</v>
      </c>
      <c r="F104">
        <v>159.37547892719999</v>
      </c>
      <c r="G104">
        <v>128.75402298851</v>
      </c>
      <c r="I104" s="9">
        <f t="shared" si="8"/>
        <v>125.40234619532001</v>
      </c>
      <c r="J104" s="9">
        <f t="shared" si="9"/>
        <v>399.44831969979998</v>
      </c>
      <c r="K104" s="9">
        <f t="shared" si="10"/>
        <v>125.40234619532001</v>
      </c>
      <c r="L104" s="10">
        <f t="shared" si="7"/>
        <v>0.3139388501860878</v>
      </c>
      <c r="M104" s="10">
        <f t="shared" si="11"/>
        <v>0.31618647181735621</v>
      </c>
      <c r="P104" s="8">
        <f t="shared" si="12"/>
        <v>3.7749626785387171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559.15061162079996</v>
      </c>
      <c r="E105">
        <v>254.05733944954</v>
      </c>
      <c r="F105">
        <v>159.73409961685999</v>
      </c>
      <c r="G105">
        <v>128.59003831417999</v>
      </c>
      <c r="I105" s="9">
        <f t="shared" si="8"/>
        <v>125.46730113536</v>
      </c>
      <c r="J105" s="9">
        <f t="shared" si="9"/>
        <v>399.41651200393994</v>
      </c>
      <c r="K105" s="9">
        <f t="shared" si="10"/>
        <v>125.46730113536</v>
      </c>
      <c r="L105" s="10">
        <f t="shared" si="7"/>
        <v>0.31412647540751237</v>
      </c>
      <c r="M105" s="10">
        <f t="shared" si="11"/>
        <v>0.31639613254496968</v>
      </c>
      <c r="P105" s="8">
        <f t="shared" si="12"/>
        <v>3.8437750285997012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557.64908256880994</v>
      </c>
      <c r="E106">
        <v>253.31192660551</v>
      </c>
      <c r="F106">
        <v>159.81072796935001</v>
      </c>
      <c r="G106">
        <v>128.47586206897</v>
      </c>
      <c r="I106" s="9">
        <f t="shared" si="8"/>
        <v>124.83606453653999</v>
      </c>
      <c r="J106" s="9">
        <f t="shared" si="9"/>
        <v>397.83835459945993</v>
      </c>
      <c r="K106" s="9">
        <f t="shared" si="10"/>
        <v>124.83606453653999</v>
      </c>
      <c r="L106" s="10">
        <f t="shared" si="7"/>
        <v>0.31378589593812245</v>
      </c>
      <c r="M106" s="10">
        <f t="shared" si="11"/>
        <v>0.31607758858176865</v>
      </c>
      <c r="P106" s="8">
        <f t="shared" si="12"/>
        <v>3.7392263181420464</v>
      </c>
      <c r="X106" s="8">
        <v>-13</v>
      </c>
    </row>
    <row r="107" spans="1:25" x14ac:dyDescent="0.2">
      <c r="A107" s="8">
        <v>52.5</v>
      </c>
      <c r="B107" s="8">
        <v>105</v>
      </c>
      <c r="D107">
        <v>554.81116207951004</v>
      </c>
      <c r="E107">
        <v>252.11238532109999</v>
      </c>
      <c r="F107">
        <v>160.09655172414</v>
      </c>
      <c r="G107">
        <v>128.36781609195</v>
      </c>
      <c r="I107" s="9">
        <f t="shared" si="8"/>
        <v>123.74456922914999</v>
      </c>
      <c r="J107" s="9">
        <f t="shared" si="9"/>
        <v>394.71461035537004</v>
      </c>
      <c r="K107" s="9">
        <f t="shared" si="10"/>
        <v>123.74456922914999</v>
      </c>
      <c r="L107" s="10">
        <f t="shared" si="7"/>
        <v>0.31350389872252282</v>
      </c>
      <c r="M107" s="10">
        <f t="shared" si="11"/>
        <v>0.31581762687235793</v>
      </c>
      <c r="P107" s="8">
        <f t="shared" si="12"/>
        <v>3.6539047781758116</v>
      </c>
      <c r="X107" s="8">
        <v>-13</v>
      </c>
    </row>
    <row r="108" spans="1:25" x14ac:dyDescent="0.2">
      <c r="A108" s="8">
        <v>53</v>
      </c>
      <c r="B108" s="8">
        <v>106</v>
      </c>
      <c r="D108">
        <v>556.63914373089005</v>
      </c>
      <c r="E108">
        <v>251.68577981651001</v>
      </c>
      <c r="F108">
        <v>159.43754789272</v>
      </c>
      <c r="G108">
        <v>128.82835249042</v>
      </c>
      <c r="I108" s="9">
        <f t="shared" si="8"/>
        <v>122.85742732609</v>
      </c>
      <c r="J108" s="9">
        <f t="shared" si="9"/>
        <v>397.20159583817008</v>
      </c>
      <c r="K108" s="9">
        <f t="shared" si="10"/>
        <v>122.85742732609</v>
      </c>
      <c r="L108" s="10">
        <f t="shared" si="7"/>
        <v>0.30930748671046432</v>
      </c>
      <c r="M108" s="10">
        <f t="shared" si="11"/>
        <v>0.31164325036648832</v>
      </c>
      <c r="P108" s="8">
        <f t="shared" si="12"/>
        <v>2.2838405764631569</v>
      </c>
      <c r="X108" s="8">
        <v>-13</v>
      </c>
    </row>
    <row r="109" spans="1:25" x14ac:dyDescent="0.2">
      <c r="A109" s="8">
        <v>53.5</v>
      </c>
      <c r="B109" s="8">
        <v>107</v>
      </c>
      <c r="D109">
        <v>552.52290076335998</v>
      </c>
      <c r="E109">
        <v>249.23282442748001</v>
      </c>
      <c r="F109">
        <v>159.60689655172001</v>
      </c>
      <c r="G109">
        <v>128.29348659004</v>
      </c>
      <c r="I109" s="9">
        <f t="shared" si="8"/>
        <v>120.93933783744001</v>
      </c>
      <c r="J109" s="9">
        <f t="shared" si="9"/>
        <v>392.91600421163997</v>
      </c>
      <c r="K109" s="9">
        <f t="shared" si="10"/>
        <v>120.93933783744001</v>
      </c>
      <c r="L109" s="10">
        <f t="shared" si="7"/>
        <v>0.30779946996584373</v>
      </c>
      <c r="M109" s="10">
        <f t="shared" si="11"/>
        <v>0.31015726912805669</v>
      </c>
      <c r="P109" s="8">
        <f t="shared" si="12"/>
        <v>1.7961294904293152</v>
      </c>
      <c r="X109" s="8">
        <v>-13</v>
      </c>
    </row>
    <row r="110" spans="1:25" x14ac:dyDescent="0.2">
      <c r="A110" s="8">
        <v>54</v>
      </c>
      <c r="B110" s="8">
        <v>108</v>
      </c>
      <c r="D110">
        <v>560.02595419847</v>
      </c>
      <c r="E110">
        <v>251.18320610686999</v>
      </c>
      <c r="F110">
        <v>159.38314176245001</v>
      </c>
      <c r="G110">
        <v>128.58084291188001</v>
      </c>
      <c r="I110" s="9">
        <f t="shared" si="8"/>
        <v>122.60236319498998</v>
      </c>
      <c r="J110" s="9">
        <f t="shared" si="9"/>
        <v>400.64281243601999</v>
      </c>
      <c r="K110" s="9">
        <f t="shared" si="10"/>
        <v>122.60236319498998</v>
      </c>
      <c r="L110" s="10">
        <f t="shared" si="7"/>
        <v>0.30601413376052705</v>
      </c>
      <c r="M110" s="10">
        <f t="shared" si="11"/>
        <v>0.30839396842892891</v>
      </c>
      <c r="P110" s="8">
        <f t="shared" si="12"/>
        <v>1.2173999097762636</v>
      </c>
      <c r="X110" s="8">
        <v>-13</v>
      </c>
    </row>
    <row r="111" spans="1:25" x14ac:dyDescent="0.2">
      <c r="A111" s="8">
        <v>54.5</v>
      </c>
      <c r="B111" s="8">
        <v>109</v>
      </c>
      <c r="D111">
        <v>552.85430968725996</v>
      </c>
      <c r="E111">
        <v>248.49504195271001</v>
      </c>
      <c r="F111">
        <v>160.13333333333</v>
      </c>
      <c r="G111">
        <v>128.42605363985001</v>
      </c>
      <c r="I111" s="9">
        <f t="shared" si="8"/>
        <v>120.06898831286</v>
      </c>
      <c r="J111" s="9">
        <f t="shared" si="9"/>
        <v>392.72097635392993</v>
      </c>
      <c r="K111" s="9">
        <f t="shared" si="10"/>
        <v>120.06898831286</v>
      </c>
      <c r="L111" s="10">
        <f t="shared" si="7"/>
        <v>0.30573612193470112</v>
      </c>
      <c r="M111" s="10">
        <f t="shared" si="11"/>
        <v>0.30813799210929188</v>
      </c>
      <c r="P111" s="8">
        <f t="shared" si="12"/>
        <v>1.1333864070345427</v>
      </c>
      <c r="X111" s="8">
        <v>-13</v>
      </c>
    </row>
    <row r="112" spans="1:25" x14ac:dyDescent="0.2">
      <c r="A112" s="8">
        <v>55</v>
      </c>
      <c r="B112" s="8">
        <v>110</v>
      </c>
      <c r="D112">
        <v>534.34324942792</v>
      </c>
      <c r="E112">
        <v>242.65751334858999</v>
      </c>
      <c r="F112">
        <v>159.78773946359999</v>
      </c>
      <c r="G112">
        <v>128.70804597700999</v>
      </c>
      <c r="I112" s="9">
        <f t="shared" si="8"/>
        <v>113.94946737158</v>
      </c>
      <c r="J112" s="9">
        <f t="shared" si="9"/>
        <v>374.55550996431998</v>
      </c>
      <c r="K112" s="9">
        <f t="shared" si="10"/>
        <v>113.94946737158</v>
      </c>
      <c r="L112" s="10">
        <f t="shared" si="7"/>
        <v>0.30422584727811047</v>
      </c>
      <c r="M112" s="10">
        <f t="shared" si="11"/>
        <v>0.30664975295889013</v>
      </c>
      <c r="P112" s="8">
        <f t="shared" si="12"/>
        <v>0.64493425599218435</v>
      </c>
      <c r="X112" s="8">
        <v>-13</v>
      </c>
    </row>
    <row r="113" spans="1:24" x14ac:dyDescent="0.2">
      <c r="A113" s="8">
        <v>55.5</v>
      </c>
      <c r="B113" s="8">
        <v>111</v>
      </c>
      <c r="D113">
        <v>529.83105022831</v>
      </c>
      <c r="E113">
        <v>243.28691019786999</v>
      </c>
      <c r="F113">
        <v>160.13103448275999</v>
      </c>
      <c r="G113">
        <v>128.41915708811999</v>
      </c>
      <c r="I113" s="9">
        <f t="shared" si="8"/>
        <v>114.86775310975</v>
      </c>
      <c r="J113" s="9">
        <f t="shared" si="9"/>
        <v>369.70001574554999</v>
      </c>
      <c r="K113" s="9">
        <f t="shared" si="10"/>
        <v>114.86775310975</v>
      </c>
      <c r="L113" s="10">
        <f t="shared" si="7"/>
        <v>0.31070529677447717</v>
      </c>
      <c r="M113" s="10">
        <f t="shared" si="11"/>
        <v>0.31315123796144573</v>
      </c>
      <c r="P113" s="8">
        <f t="shared" si="12"/>
        <v>2.7787743270658729</v>
      </c>
      <c r="X113" s="8">
        <v>-13</v>
      </c>
    </row>
    <row r="114" spans="1:24" x14ac:dyDescent="0.2">
      <c r="A114" s="8">
        <v>56</v>
      </c>
      <c r="B114" s="8">
        <v>112</v>
      </c>
      <c r="D114">
        <v>535.46013667425996</v>
      </c>
      <c r="E114">
        <v>243.70539104023999</v>
      </c>
      <c r="F114">
        <v>160.17011494253001</v>
      </c>
      <c r="G114">
        <v>128.56858237547999</v>
      </c>
      <c r="I114" s="9">
        <f t="shared" si="8"/>
        <v>115.13680866476</v>
      </c>
      <c r="J114" s="9">
        <f t="shared" si="9"/>
        <v>375.29002173172995</v>
      </c>
      <c r="K114" s="9">
        <f t="shared" si="10"/>
        <v>115.13680866476</v>
      </c>
      <c r="L114" s="10">
        <f t="shared" si="7"/>
        <v>0.30679421779847826</v>
      </c>
      <c r="M114" s="10">
        <f t="shared" si="11"/>
        <v>0.30926219449163572</v>
      </c>
      <c r="P114" s="8">
        <f t="shared" si="12"/>
        <v>1.5023587403551377</v>
      </c>
      <c r="X114" s="8">
        <v>-13</v>
      </c>
    </row>
    <row r="115" spans="1:24" x14ac:dyDescent="0.2">
      <c r="A115" s="8">
        <v>56.5</v>
      </c>
      <c r="B115" s="8">
        <v>113</v>
      </c>
      <c r="D115">
        <v>540.21260440394997</v>
      </c>
      <c r="E115">
        <v>244.52923310553999</v>
      </c>
      <c r="F115">
        <v>159.68045977012</v>
      </c>
      <c r="G115">
        <v>128.49348659003999</v>
      </c>
      <c r="I115" s="9">
        <f t="shared" si="8"/>
        <v>116.03574651549999</v>
      </c>
      <c r="J115" s="9">
        <f t="shared" si="9"/>
        <v>380.53214463382994</v>
      </c>
      <c r="K115" s="9">
        <f t="shared" si="10"/>
        <v>116.03574651549999</v>
      </c>
      <c r="L115" s="10">
        <f t="shared" si="7"/>
        <v>0.30493020931820702</v>
      </c>
      <c r="M115" s="10">
        <f t="shared" si="11"/>
        <v>0.30742022151755338</v>
      </c>
      <c r="P115" s="8">
        <f t="shared" si="12"/>
        <v>0.89780828143895364</v>
      </c>
      <c r="X115" s="8">
        <v>-13</v>
      </c>
    </row>
    <row r="116" spans="1:24" x14ac:dyDescent="0.2">
      <c r="A116" s="8">
        <v>57</v>
      </c>
      <c r="B116" s="8">
        <v>114</v>
      </c>
      <c r="D116">
        <v>542.83295368260997</v>
      </c>
      <c r="E116">
        <v>245.29460895976001</v>
      </c>
      <c r="F116">
        <v>159.44750957854001</v>
      </c>
      <c r="G116">
        <v>128.4122605364</v>
      </c>
      <c r="I116" s="9">
        <f t="shared" si="8"/>
        <v>116.88234842336001</v>
      </c>
      <c r="J116" s="9">
        <f t="shared" si="9"/>
        <v>383.38544410406996</v>
      </c>
      <c r="K116" s="9">
        <f t="shared" si="10"/>
        <v>116.88234842336001</v>
      </c>
      <c r="L116" s="10">
        <f t="shared" si="7"/>
        <v>0.30486902990409909</v>
      </c>
      <c r="M116" s="10">
        <f t="shared" si="11"/>
        <v>0.30738107760963435</v>
      </c>
      <c r="P116" s="8">
        <f t="shared" si="12"/>
        <v>0.88496093360638517</v>
      </c>
      <c r="X116" s="8">
        <v>-13</v>
      </c>
    </row>
    <row r="117" spans="1:24" x14ac:dyDescent="0.2">
      <c r="A117" s="8">
        <v>57.5</v>
      </c>
      <c r="B117" s="8">
        <v>115</v>
      </c>
      <c r="D117">
        <v>545.89217919513999</v>
      </c>
      <c r="E117">
        <v>246.36598329537</v>
      </c>
      <c r="F117">
        <v>159.42298850575</v>
      </c>
      <c r="G117">
        <v>128.73869731801</v>
      </c>
      <c r="I117" s="9">
        <f t="shared" si="8"/>
        <v>117.62728597736</v>
      </c>
      <c r="J117" s="9">
        <f t="shared" si="9"/>
        <v>386.46919068938996</v>
      </c>
      <c r="K117" s="9">
        <f t="shared" si="10"/>
        <v>117.62728597736</v>
      </c>
      <c r="L117" s="10">
        <f t="shared" si="7"/>
        <v>0.30436394106224757</v>
      </c>
      <c r="M117" s="10">
        <f t="shared" si="11"/>
        <v>0.30689802427397173</v>
      </c>
      <c r="P117" s="8">
        <f t="shared" si="12"/>
        <v>0.72641891379129098</v>
      </c>
      <c r="X117" s="8">
        <v>-13</v>
      </c>
    </row>
    <row r="118" spans="1:24" x14ac:dyDescent="0.2">
      <c r="A118" s="8">
        <v>58</v>
      </c>
      <c r="B118" s="8">
        <v>116</v>
      </c>
      <c r="D118">
        <v>541.38192862565995</v>
      </c>
      <c r="E118">
        <v>244.13591495823999</v>
      </c>
      <c r="F118">
        <v>159.41915708811999</v>
      </c>
      <c r="G118">
        <v>128.53793103448001</v>
      </c>
      <c r="I118" s="9">
        <f t="shared" si="8"/>
        <v>115.59798392375998</v>
      </c>
      <c r="J118" s="9">
        <f t="shared" si="9"/>
        <v>381.96277153753999</v>
      </c>
      <c r="K118" s="9">
        <f t="shared" si="10"/>
        <v>115.59798392375998</v>
      </c>
      <c r="L118" s="10">
        <f t="shared" si="7"/>
        <v>0.30264201785539407</v>
      </c>
      <c r="M118" s="10">
        <f t="shared" si="11"/>
        <v>0.30519813657330719</v>
      </c>
      <c r="P118" s="8">
        <f t="shared" si="12"/>
        <v>0.16850199318353826</v>
      </c>
      <c r="X118" s="8">
        <v>-13</v>
      </c>
    </row>
    <row r="119" spans="1:24" x14ac:dyDescent="0.2">
      <c r="A119" s="8">
        <v>58.5</v>
      </c>
      <c r="B119" s="8">
        <v>117</v>
      </c>
      <c r="D119">
        <v>535.38502673796995</v>
      </c>
      <c r="E119">
        <v>241.70970206263999</v>
      </c>
      <c r="F119">
        <v>159.76321839081001</v>
      </c>
      <c r="G119">
        <v>128.45977011494</v>
      </c>
      <c r="I119" s="9">
        <f t="shared" si="8"/>
        <v>113.24993194769999</v>
      </c>
      <c r="J119" s="9">
        <f t="shared" si="9"/>
        <v>375.62180834715991</v>
      </c>
      <c r="K119" s="9">
        <f t="shared" si="10"/>
        <v>113.24993194769999</v>
      </c>
      <c r="L119" s="10">
        <f t="shared" si="7"/>
        <v>0.30149988480709117</v>
      </c>
      <c r="M119" s="10">
        <f t="shared" si="11"/>
        <v>0.30407803903119318</v>
      </c>
      <c r="P119" s="8">
        <f t="shared" si="12"/>
        <v>-0.19912309830471636</v>
      </c>
      <c r="X119" s="8">
        <v>-13</v>
      </c>
    </row>
    <row r="120" spans="1:24" x14ac:dyDescent="0.2">
      <c r="A120" s="8">
        <v>59</v>
      </c>
      <c r="B120" s="8">
        <v>118</v>
      </c>
      <c r="D120">
        <v>545.53394355453997</v>
      </c>
      <c r="E120">
        <v>244.94050343249</v>
      </c>
      <c r="F120">
        <v>159.09885057471001</v>
      </c>
      <c r="G120">
        <v>128.5938697318</v>
      </c>
      <c r="I120" s="9">
        <f t="shared" si="8"/>
        <v>116.34663370069001</v>
      </c>
      <c r="J120" s="9">
        <f t="shared" si="9"/>
        <v>386.43509297982996</v>
      </c>
      <c r="K120" s="9">
        <f t="shared" si="10"/>
        <v>116.34663370069001</v>
      </c>
      <c r="L120" s="10">
        <f t="shared" si="7"/>
        <v>0.30107678058825454</v>
      </c>
      <c r="M120" s="10">
        <f t="shared" si="11"/>
        <v>0.30367697031854546</v>
      </c>
      <c r="P120" s="8">
        <f t="shared" si="12"/>
        <v>-0.33075710037735773</v>
      </c>
      <c r="X120" s="8">
        <v>-13</v>
      </c>
    </row>
    <row r="121" spans="1:24" x14ac:dyDescent="0.2">
      <c r="A121" s="8">
        <v>59.5</v>
      </c>
      <c r="B121" s="8">
        <v>119</v>
      </c>
      <c r="D121">
        <v>545.21205186880002</v>
      </c>
      <c r="E121">
        <v>243.22120518688001</v>
      </c>
      <c r="F121">
        <v>159.16091954023</v>
      </c>
      <c r="G121">
        <v>127.91034482759</v>
      </c>
      <c r="I121" s="9">
        <f t="shared" si="8"/>
        <v>115.31086035929002</v>
      </c>
      <c r="J121" s="9">
        <f t="shared" si="9"/>
        <v>386.05113232857002</v>
      </c>
      <c r="K121" s="9">
        <f t="shared" si="10"/>
        <v>115.31086035929002</v>
      </c>
      <c r="L121" s="10">
        <f t="shared" si="7"/>
        <v>0.29869323181041307</v>
      </c>
      <c r="M121" s="10">
        <f t="shared" si="11"/>
        <v>0.30131545704689289</v>
      </c>
      <c r="P121" s="8">
        <f t="shared" si="12"/>
        <v>-1.1058248957262389</v>
      </c>
      <c r="X121" s="8">
        <v>-13</v>
      </c>
    </row>
    <row r="122" spans="1:24" x14ac:dyDescent="0.2">
      <c r="A122" s="8">
        <v>60</v>
      </c>
      <c r="B122" s="8">
        <v>120</v>
      </c>
      <c r="D122">
        <v>535.58747135218005</v>
      </c>
      <c r="E122">
        <v>242.69671504966001</v>
      </c>
      <c r="F122">
        <v>159.54942528736001</v>
      </c>
      <c r="G122">
        <v>128.65747126437</v>
      </c>
      <c r="I122" s="9">
        <f t="shared" si="8"/>
        <v>114.03924378529001</v>
      </c>
      <c r="J122" s="9">
        <f t="shared" si="9"/>
        <v>376.03804606482004</v>
      </c>
      <c r="K122" s="9">
        <f t="shared" si="10"/>
        <v>114.03924378529001</v>
      </c>
      <c r="L122" s="10">
        <f t="shared" si="7"/>
        <v>0.30326517483720877</v>
      </c>
      <c r="M122" s="10">
        <f t="shared" si="11"/>
        <v>0.30590943557987749</v>
      </c>
      <c r="P122" s="8">
        <f t="shared" si="12"/>
        <v>0.40195609207602129</v>
      </c>
      <c r="X122" s="8">
        <v>-13</v>
      </c>
    </row>
    <row r="123" spans="1:24" x14ac:dyDescent="0.2">
      <c r="A123" s="8">
        <v>60.5</v>
      </c>
      <c r="B123" s="8">
        <v>121</v>
      </c>
      <c r="D123">
        <v>536.06035141329005</v>
      </c>
      <c r="E123">
        <v>242.0320855615</v>
      </c>
      <c r="F123">
        <v>159.72873563217999</v>
      </c>
      <c r="G123">
        <v>128.52337164751</v>
      </c>
      <c r="I123" s="9">
        <f t="shared" si="8"/>
        <v>113.50871391398999</v>
      </c>
      <c r="J123" s="9">
        <f t="shared" si="9"/>
        <v>376.33161578111003</v>
      </c>
      <c r="K123" s="9">
        <f t="shared" si="10"/>
        <v>113.50871391398999</v>
      </c>
      <c r="L123" s="10">
        <f t="shared" si="7"/>
        <v>0.30161886260444121</v>
      </c>
      <c r="M123" s="10">
        <f t="shared" si="11"/>
        <v>0.30428515885329882</v>
      </c>
      <c r="P123" s="8">
        <f t="shared" si="12"/>
        <v>-0.13114469402493389</v>
      </c>
      <c r="X123" s="8">
        <v>-13</v>
      </c>
    </row>
    <row r="124" spans="1:24" x14ac:dyDescent="0.2">
      <c r="A124" s="8">
        <v>61</v>
      </c>
      <c r="B124" s="8">
        <v>122</v>
      </c>
      <c r="D124">
        <v>537.65011459129005</v>
      </c>
      <c r="E124">
        <v>241.48815889991999</v>
      </c>
      <c r="F124">
        <v>159.70727969348999</v>
      </c>
      <c r="G124">
        <v>128.48965517241001</v>
      </c>
      <c r="I124" s="9">
        <f t="shared" si="8"/>
        <v>112.99850372750998</v>
      </c>
      <c r="J124" s="9">
        <f t="shared" si="9"/>
        <v>377.94283489780003</v>
      </c>
      <c r="K124" s="9">
        <f t="shared" si="10"/>
        <v>112.99850372750998</v>
      </c>
      <c r="L124" s="10">
        <f t="shared" si="7"/>
        <v>0.29898305588480345</v>
      </c>
      <c r="M124" s="10">
        <f t="shared" si="11"/>
        <v>0.30167138763984996</v>
      </c>
      <c r="P124" s="8">
        <f t="shared" si="12"/>
        <v>-0.98900559037149516</v>
      </c>
      <c r="X124" s="8">
        <v>-13</v>
      </c>
    </row>
    <row r="125" spans="1:24" x14ac:dyDescent="0.2">
      <c r="A125" s="8">
        <v>61.5</v>
      </c>
      <c r="B125" s="8">
        <v>123</v>
      </c>
      <c r="D125">
        <v>538.23147440795003</v>
      </c>
      <c r="E125">
        <v>241.83575248280999</v>
      </c>
      <c r="F125">
        <v>159.48429118774001</v>
      </c>
      <c r="G125">
        <v>127.52413793103</v>
      </c>
      <c r="I125" s="9">
        <f t="shared" si="8"/>
        <v>114.31161455178</v>
      </c>
      <c r="J125" s="9">
        <f t="shared" si="9"/>
        <v>378.74718322020999</v>
      </c>
      <c r="K125" s="9">
        <f t="shared" si="10"/>
        <v>114.31161455178</v>
      </c>
      <c r="L125" s="10">
        <f t="shared" si="7"/>
        <v>0.3018150883126629</v>
      </c>
      <c r="M125" s="10">
        <f t="shared" si="11"/>
        <v>0.30452545557389832</v>
      </c>
      <c r="P125" s="8">
        <f t="shared" si="12"/>
        <v>-5.227736276734378E-2</v>
      </c>
      <c r="X125" s="8">
        <v>-13</v>
      </c>
    </row>
    <row r="126" spans="1:24" x14ac:dyDescent="0.2">
      <c r="A126" s="8">
        <v>62</v>
      </c>
      <c r="B126" s="8">
        <v>124</v>
      </c>
      <c r="D126">
        <v>522.10779816514003</v>
      </c>
      <c r="E126">
        <v>236.68042813456</v>
      </c>
      <c r="F126">
        <v>159.39003831418</v>
      </c>
      <c r="G126">
        <v>128.59233716475001</v>
      </c>
      <c r="I126" s="9">
        <f t="shared" si="8"/>
        <v>108.08809096981</v>
      </c>
      <c r="J126" s="9">
        <f t="shared" si="9"/>
        <v>362.71775985096002</v>
      </c>
      <c r="K126" s="9">
        <f t="shared" si="10"/>
        <v>108.08809096981</v>
      </c>
      <c r="L126" s="10">
        <f t="shared" si="7"/>
        <v>0.29799503342274491</v>
      </c>
      <c r="M126" s="10">
        <f t="shared" si="11"/>
        <v>0.30072743619016923</v>
      </c>
      <c r="P126" s="8">
        <f t="shared" si="12"/>
        <v>-1.2988181066943194</v>
      </c>
      <c r="X126" s="8">
        <v>-13</v>
      </c>
    </row>
    <row r="127" spans="1:24" x14ac:dyDescent="0.2">
      <c r="A127" s="8">
        <v>62.5</v>
      </c>
      <c r="B127" s="8">
        <v>125</v>
      </c>
      <c r="D127">
        <v>523.65902140672995</v>
      </c>
      <c r="E127">
        <v>238.09097859326999</v>
      </c>
      <c r="F127">
        <v>158.79770114943</v>
      </c>
      <c r="G127">
        <v>127.8337164751</v>
      </c>
      <c r="I127" s="9">
        <f t="shared" si="8"/>
        <v>110.25726211816999</v>
      </c>
      <c r="J127" s="9">
        <f t="shared" si="9"/>
        <v>364.86132025729995</v>
      </c>
      <c r="K127" s="9">
        <f t="shared" si="10"/>
        <v>110.25726211816999</v>
      </c>
      <c r="L127" s="10">
        <f t="shared" si="7"/>
        <v>0.3021895059756311</v>
      </c>
      <c r="M127" s="10">
        <f t="shared" si="11"/>
        <v>0.30494394424924437</v>
      </c>
      <c r="P127" s="8">
        <f t="shared" si="12"/>
        <v>8.507401224820077E-2</v>
      </c>
      <c r="X127" s="8">
        <v>-13</v>
      </c>
    </row>
    <row r="128" spans="1:24" x14ac:dyDescent="0.2">
      <c r="A128" s="8">
        <v>63</v>
      </c>
      <c r="B128" s="8">
        <v>126</v>
      </c>
      <c r="D128">
        <v>535.35321100916997</v>
      </c>
      <c r="E128">
        <v>241.31727828746</v>
      </c>
      <c r="F128">
        <v>159.64521072797001</v>
      </c>
      <c r="G128">
        <v>127.80076628353</v>
      </c>
      <c r="I128" s="9">
        <f t="shared" si="8"/>
        <v>113.51651200393</v>
      </c>
      <c r="J128" s="9">
        <f t="shared" si="9"/>
        <v>375.70800028119993</v>
      </c>
      <c r="K128" s="9">
        <f t="shared" si="10"/>
        <v>113.51651200393</v>
      </c>
      <c r="L128" s="10">
        <f t="shared" si="7"/>
        <v>0.30214025764414965</v>
      </c>
      <c r="M128" s="10">
        <f t="shared" si="11"/>
        <v>0.30491673142395181</v>
      </c>
      <c r="P128" s="8">
        <f t="shared" si="12"/>
        <v>7.6142542432680677E-2</v>
      </c>
      <c r="X128" s="8">
        <v>-13</v>
      </c>
    </row>
    <row r="129" spans="1:24" x14ac:dyDescent="0.2">
      <c r="A129" s="8">
        <v>63.5</v>
      </c>
      <c r="B129" s="8">
        <v>127</v>
      </c>
      <c r="D129">
        <v>541.88837920489004</v>
      </c>
      <c r="E129">
        <v>242.45030581040001</v>
      </c>
      <c r="F129">
        <v>158.84521072797</v>
      </c>
      <c r="G129">
        <v>128.00229885057999</v>
      </c>
      <c r="I129" s="9">
        <f t="shared" si="8"/>
        <v>114.44800695982002</v>
      </c>
      <c r="J129" s="9">
        <f t="shared" si="9"/>
        <v>383.04316847692007</v>
      </c>
      <c r="K129" s="9">
        <f t="shared" si="10"/>
        <v>114.44800695982002</v>
      </c>
      <c r="L129" s="10">
        <f t="shared" si="7"/>
        <v>0.29878618489632713</v>
      </c>
      <c r="M129" s="10">
        <f t="shared" si="11"/>
        <v>0.3015846941823182</v>
      </c>
      <c r="P129" s="8">
        <f t="shared" si="12"/>
        <v>-1.0174590857665444</v>
      </c>
      <c r="X129" s="8">
        <v>-13</v>
      </c>
    </row>
    <row r="130" spans="1:24" x14ac:dyDescent="0.2">
      <c r="A130" s="8">
        <v>64</v>
      </c>
      <c r="B130" s="8">
        <v>128</v>
      </c>
      <c r="D130">
        <v>544.31498470947997</v>
      </c>
      <c r="E130">
        <v>242.55198776757999</v>
      </c>
      <c r="F130">
        <v>158.94406130268001</v>
      </c>
      <c r="G130">
        <v>127.90957854406</v>
      </c>
      <c r="I130" s="9">
        <f t="shared" si="8"/>
        <v>114.64240922351999</v>
      </c>
      <c r="J130" s="9">
        <f t="shared" si="9"/>
        <v>385.37092340679999</v>
      </c>
      <c r="K130" s="9">
        <f t="shared" si="10"/>
        <v>114.64240922351999</v>
      </c>
      <c r="L130" s="10">
        <f t="shared" ref="L130:L193" si="14">K130/J130</f>
        <v>0.29748588245850283</v>
      </c>
      <c r="M130" s="10">
        <f t="shared" si="11"/>
        <v>0.30030642725068279</v>
      </c>
      <c r="P130" s="8">
        <f t="shared" si="12"/>
        <v>-1.4369966528269738</v>
      </c>
      <c r="X130" s="8">
        <v>-13</v>
      </c>
    </row>
    <row r="131" spans="1:24" x14ac:dyDescent="0.2">
      <c r="A131" s="8">
        <v>64.5</v>
      </c>
      <c r="B131" s="8">
        <v>129</v>
      </c>
      <c r="D131">
        <v>547.47782874617997</v>
      </c>
      <c r="E131">
        <v>243.78669724771001</v>
      </c>
      <c r="F131">
        <v>159.28965517240999</v>
      </c>
      <c r="G131">
        <v>128.20076628352999</v>
      </c>
      <c r="I131" s="9">
        <f t="shared" ref="I131:I194" si="15">E131-G131</f>
        <v>115.58593096418002</v>
      </c>
      <c r="J131" s="9">
        <f t="shared" ref="J131:J194" si="16">D131-F131</f>
        <v>388.18817357376997</v>
      </c>
      <c r="K131" s="9">
        <f t="shared" ref="K131:K194" si="17">I131*1</f>
        <v>115.58593096418002</v>
      </c>
      <c r="L131" s="10">
        <f t="shared" si="14"/>
        <v>0.29775747648379725</v>
      </c>
      <c r="M131" s="10">
        <f t="shared" ref="M131:M181" si="18">L131+ABS($N$2)*A131</f>
        <v>0.30060005678216611</v>
      </c>
      <c r="P131" s="8">
        <f t="shared" ref="P131:P194" si="19">(M131-$O$2)/$O$2*100</f>
        <v>-1.3406250607855537</v>
      </c>
      <c r="X131" s="8">
        <v>-13</v>
      </c>
    </row>
    <row r="132" spans="1:24" x14ac:dyDescent="0.2">
      <c r="A132" s="8">
        <v>65</v>
      </c>
      <c r="B132" s="8">
        <v>130</v>
      </c>
      <c r="D132">
        <v>542.29816513762</v>
      </c>
      <c r="E132">
        <v>242.42125382263001</v>
      </c>
      <c r="F132">
        <v>159.58927203064999</v>
      </c>
      <c r="G132">
        <v>128.20459770114999</v>
      </c>
      <c r="I132" s="9">
        <f t="shared" si="15"/>
        <v>114.21665612148001</v>
      </c>
      <c r="J132" s="9">
        <f t="shared" si="16"/>
        <v>382.70889310696998</v>
      </c>
      <c r="K132" s="9">
        <f t="shared" si="17"/>
        <v>114.21665612148001</v>
      </c>
      <c r="L132" s="10">
        <f t="shared" si="14"/>
        <v>0.29844264969707829</v>
      </c>
      <c r="M132" s="10">
        <f t="shared" si="18"/>
        <v>0.30130726550163606</v>
      </c>
      <c r="P132" s="8">
        <f t="shared" si="19"/>
        <v>-1.1085134272703658</v>
      </c>
      <c r="X132" s="8">
        <v>-13</v>
      </c>
    </row>
    <row r="133" spans="1:24" x14ac:dyDescent="0.2">
      <c r="A133" s="8">
        <v>65.5</v>
      </c>
      <c r="B133" s="8">
        <v>131</v>
      </c>
      <c r="D133">
        <v>531.93826219512005</v>
      </c>
      <c r="E133">
        <v>239.12423780488001</v>
      </c>
      <c r="F133">
        <v>159.6214559387</v>
      </c>
      <c r="G133">
        <v>127.73026819923</v>
      </c>
      <c r="I133" s="9">
        <f t="shared" si="15"/>
        <v>111.39396960565001</v>
      </c>
      <c r="J133" s="9">
        <f t="shared" si="16"/>
        <v>372.31680625642002</v>
      </c>
      <c r="K133" s="9">
        <f t="shared" si="17"/>
        <v>111.39396960565001</v>
      </c>
      <c r="L133" s="10">
        <f t="shared" si="14"/>
        <v>0.29919135460388369</v>
      </c>
      <c r="M133" s="10">
        <f t="shared" si="18"/>
        <v>0.30207800591463035</v>
      </c>
      <c r="P133" s="8">
        <f t="shared" si="19"/>
        <v>-0.85555017702882186</v>
      </c>
      <c r="X133" s="8">
        <v>-13</v>
      </c>
    </row>
    <row r="134" spans="1:24" x14ac:dyDescent="0.2">
      <c r="A134" s="8">
        <v>66</v>
      </c>
      <c r="B134" s="8">
        <v>132</v>
      </c>
      <c r="D134">
        <v>532.80258162490998</v>
      </c>
      <c r="E134">
        <v>240.3416856492</v>
      </c>
      <c r="F134">
        <v>158.92413793103</v>
      </c>
      <c r="G134">
        <v>127.8398467433</v>
      </c>
      <c r="I134" s="9">
        <f t="shared" si="15"/>
        <v>112.5018389059</v>
      </c>
      <c r="J134" s="9">
        <f t="shared" si="16"/>
        <v>373.87844369387994</v>
      </c>
      <c r="K134" s="9">
        <f t="shared" si="17"/>
        <v>112.5018389059</v>
      </c>
      <c r="L134" s="10">
        <f t="shared" si="14"/>
        <v>0.30090485504966158</v>
      </c>
      <c r="M134" s="10">
        <f t="shared" si="18"/>
        <v>0.30381354186659715</v>
      </c>
      <c r="P134" s="8">
        <f t="shared" si="19"/>
        <v>-0.28593321142172551</v>
      </c>
      <c r="X134" s="8">
        <v>-13</v>
      </c>
    </row>
    <row r="135" spans="1:24" x14ac:dyDescent="0.2">
      <c r="A135" s="8">
        <v>66.5</v>
      </c>
      <c r="B135" s="8">
        <v>133</v>
      </c>
      <c r="D135">
        <v>541.73515981735</v>
      </c>
      <c r="E135">
        <v>242.81582952816001</v>
      </c>
      <c r="F135">
        <v>159.38160919539999</v>
      </c>
      <c r="G135">
        <v>127.65900383141999</v>
      </c>
      <c r="I135" s="9">
        <f t="shared" si="15"/>
        <v>115.15682569674001</v>
      </c>
      <c r="J135" s="9">
        <f t="shared" si="16"/>
        <v>382.35355062195003</v>
      </c>
      <c r="K135" s="9">
        <f t="shared" si="17"/>
        <v>115.15682569674001</v>
      </c>
      <c r="L135" s="10">
        <f t="shared" si="14"/>
        <v>0.30117891022437682</v>
      </c>
      <c r="M135" s="10">
        <f t="shared" si="18"/>
        <v>0.30410963254750129</v>
      </c>
      <c r="P135" s="8">
        <f t="shared" si="19"/>
        <v>-0.18875385019326915</v>
      </c>
      <c r="X135" s="8">
        <v>-13</v>
      </c>
    </row>
    <row r="136" spans="1:24" x14ac:dyDescent="0.2">
      <c r="A136" s="8">
        <v>67</v>
      </c>
      <c r="B136" s="8">
        <v>134</v>
      </c>
      <c r="D136">
        <v>542.79452054795001</v>
      </c>
      <c r="E136">
        <v>243.23668188737</v>
      </c>
      <c r="F136">
        <v>158.70498084291</v>
      </c>
      <c r="G136">
        <v>127.74252873563</v>
      </c>
      <c r="I136" s="9">
        <f t="shared" si="15"/>
        <v>115.49415315173999</v>
      </c>
      <c r="J136" s="9">
        <f t="shared" si="16"/>
        <v>384.08953970504001</v>
      </c>
      <c r="K136" s="9">
        <f t="shared" si="17"/>
        <v>115.49415315173999</v>
      </c>
      <c r="L136" s="10">
        <f t="shared" si="14"/>
        <v>0.30069590866867463</v>
      </c>
      <c r="M136" s="10">
        <f t="shared" si="18"/>
        <v>0.303648666497988</v>
      </c>
      <c r="P136" s="8">
        <f t="shared" si="19"/>
        <v>-0.34004664368111875</v>
      </c>
      <c r="X136" s="8">
        <v>-13</v>
      </c>
    </row>
    <row r="137" spans="1:24" x14ac:dyDescent="0.2">
      <c r="A137" s="8">
        <v>67.5</v>
      </c>
      <c r="B137" s="8">
        <v>135</v>
      </c>
      <c r="D137">
        <v>540.81887366819001</v>
      </c>
      <c r="E137">
        <v>242.77092846271</v>
      </c>
      <c r="F137">
        <v>158.87203065134</v>
      </c>
      <c r="G137">
        <v>127.95249042146</v>
      </c>
      <c r="I137" s="9">
        <f t="shared" si="15"/>
        <v>114.81843804125</v>
      </c>
      <c r="J137" s="9">
        <f t="shared" si="16"/>
        <v>381.94684301685004</v>
      </c>
      <c r="K137" s="9">
        <f t="shared" si="17"/>
        <v>114.81843804125</v>
      </c>
      <c r="L137" s="10">
        <f t="shared" si="14"/>
        <v>0.30061365904832116</v>
      </c>
      <c r="M137" s="10">
        <f t="shared" si="18"/>
        <v>0.30358845238382348</v>
      </c>
      <c r="P137" s="8">
        <f t="shared" si="19"/>
        <v>-0.35980940397325817</v>
      </c>
      <c r="X137" s="8">
        <v>-13</v>
      </c>
    </row>
    <row r="138" spans="1:24" x14ac:dyDescent="0.2">
      <c r="A138" s="8">
        <v>68</v>
      </c>
      <c r="B138" s="8">
        <v>136</v>
      </c>
      <c r="D138">
        <v>542.30289193302997</v>
      </c>
      <c r="E138">
        <v>243.92313546423</v>
      </c>
      <c r="F138">
        <v>158.22758620690001</v>
      </c>
      <c r="G138">
        <v>127.63295019157</v>
      </c>
      <c r="I138" s="9">
        <f t="shared" si="15"/>
        <v>116.29018527266</v>
      </c>
      <c r="J138" s="9">
        <f t="shared" si="16"/>
        <v>384.07530572612995</v>
      </c>
      <c r="K138" s="9">
        <f t="shared" si="17"/>
        <v>116.29018527266</v>
      </c>
      <c r="L138" s="10">
        <f t="shared" si="14"/>
        <v>0.30277964643627014</v>
      </c>
      <c r="M138" s="10">
        <f t="shared" si="18"/>
        <v>0.30577647527796137</v>
      </c>
      <c r="P138" s="8">
        <f t="shared" si="19"/>
        <v>0.35831744337051069</v>
      </c>
      <c r="X138" s="8">
        <v>-13</v>
      </c>
    </row>
    <row r="139" spans="1:24" x14ac:dyDescent="0.2">
      <c r="A139" s="8">
        <v>68.5</v>
      </c>
      <c r="B139" s="8">
        <v>137</v>
      </c>
      <c r="D139">
        <v>542.55783866058005</v>
      </c>
      <c r="E139">
        <v>243.25494672754999</v>
      </c>
      <c r="F139">
        <v>158.96168582376001</v>
      </c>
      <c r="G139">
        <v>128.21302681992</v>
      </c>
      <c r="I139" s="9">
        <f t="shared" si="15"/>
        <v>115.04191990762999</v>
      </c>
      <c r="J139" s="9">
        <f t="shared" si="16"/>
        <v>383.59615283682001</v>
      </c>
      <c r="K139" s="9">
        <f t="shared" si="17"/>
        <v>115.04191990762999</v>
      </c>
      <c r="L139" s="10">
        <f t="shared" si="14"/>
        <v>0.29990373745111121</v>
      </c>
      <c r="M139" s="10">
        <f t="shared" si="18"/>
        <v>0.30292260179899133</v>
      </c>
      <c r="P139" s="8">
        <f t="shared" si="19"/>
        <v>-0.57834696250091755</v>
      </c>
      <c r="X139" s="8">
        <v>-13</v>
      </c>
    </row>
    <row r="140" spans="1:24" x14ac:dyDescent="0.2">
      <c r="A140" s="8">
        <v>69</v>
      </c>
      <c r="B140" s="8">
        <v>138</v>
      </c>
      <c r="D140">
        <v>537.39543726236002</v>
      </c>
      <c r="E140">
        <v>242.41216730037999</v>
      </c>
      <c r="F140">
        <v>158.9724137931</v>
      </c>
      <c r="G140">
        <v>127.51877394636</v>
      </c>
      <c r="I140" s="9">
        <f t="shared" si="15"/>
        <v>114.89339335401999</v>
      </c>
      <c r="J140" s="9">
        <f t="shared" si="16"/>
        <v>378.42302346925999</v>
      </c>
      <c r="K140" s="9">
        <f t="shared" si="17"/>
        <v>114.89339335401999</v>
      </c>
      <c r="L140" s="10">
        <f t="shared" si="14"/>
        <v>0.30361100204927938</v>
      </c>
      <c r="M140" s="10">
        <f t="shared" si="18"/>
        <v>0.3066519019033484</v>
      </c>
      <c r="P140" s="8">
        <f t="shared" si="19"/>
        <v>0.64563955698015296</v>
      </c>
      <c r="X140" s="8">
        <v>-13</v>
      </c>
    </row>
    <row r="141" spans="1:24" x14ac:dyDescent="0.2">
      <c r="A141" s="8">
        <v>69.5</v>
      </c>
      <c r="B141" s="8">
        <v>139</v>
      </c>
      <c r="D141">
        <v>537.09201520912995</v>
      </c>
      <c r="E141">
        <v>243.30114068441</v>
      </c>
      <c r="F141">
        <v>158.63908045977001</v>
      </c>
      <c r="G141">
        <v>127.46666666666999</v>
      </c>
      <c r="I141" s="9">
        <f t="shared" si="15"/>
        <v>115.83447401774001</v>
      </c>
      <c r="J141" s="9">
        <f t="shared" si="16"/>
        <v>378.45293474935994</v>
      </c>
      <c r="K141" s="9">
        <f t="shared" si="17"/>
        <v>115.83447401774001</v>
      </c>
      <c r="L141" s="10">
        <f t="shared" si="14"/>
        <v>0.30607365773092582</v>
      </c>
      <c r="M141" s="10">
        <f t="shared" si="18"/>
        <v>0.30913659309118374</v>
      </c>
      <c r="P141" s="8">
        <f t="shared" si="19"/>
        <v>1.4611353427525813</v>
      </c>
      <c r="X141" s="8">
        <v>-13</v>
      </c>
    </row>
    <row r="142" spans="1:24" x14ac:dyDescent="0.2">
      <c r="A142" s="8">
        <v>70</v>
      </c>
      <c r="B142" s="8">
        <v>140</v>
      </c>
      <c r="D142">
        <v>538.19847908744998</v>
      </c>
      <c r="E142">
        <v>243.03269961977</v>
      </c>
      <c r="F142">
        <v>158.86130268199</v>
      </c>
      <c r="G142">
        <v>127.93256704981</v>
      </c>
      <c r="I142" s="9">
        <f t="shared" si="15"/>
        <v>115.10013256996</v>
      </c>
      <c r="J142" s="9">
        <f t="shared" si="16"/>
        <v>379.33717640546001</v>
      </c>
      <c r="K142" s="9">
        <f t="shared" si="17"/>
        <v>115.10013256996</v>
      </c>
      <c r="L142" s="10">
        <f t="shared" si="14"/>
        <v>0.30342434047891359</v>
      </c>
      <c r="M142" s="10">
        <f t="shared" si="18"/>
        <v>0.30650931134536041</v>
      </c>
      <c r="P142" s="8">
        <f t="shared" si="19"/>
        <v>0.59884018018055674</v>
      </c>
      <c r="X142" s="8">
        <v>-13</v>
      </c>
    </row>
    <row r="143" spans="1:24" x14ac:dyDescent="0.2">
      <c r="A143" s="8">
        <v>70.5</v>
      </c>
      <c r="B143" s="8">
        <v>141</v>
      </c>
      <c r="D143">
        <v>535.15893536121996</v>
      </c>
      <c r="E143">
        <v>242.69429657795001</v>
      </c>
      <c r="F143">
        <v>158.84750957854001</v>
      </c>
      <c r="G143">
        <v>127.4061302682</v>
      </c>
      <c r="I143" s="9">
        <f t="shared" si="15"/>
        <v>115.28816630975001</v>
      </c>
      <c r="J143" s="9">
        <f t="shared" si="16"/>
        <v>376.31142578267998</v>
      </c>
      <c r="K143" s="9">
        <f t="shared" si="17"/>
        <v>115.28816630975001</v>
      </c>
      <c r="L143" s="10">
        <f t="shared" si="14"/>
        <v>0.30636371476089325</v>
      </c>
      <c r="M143" s="10">
        <f t="shared" si="18"/>
        <v>0.30947072113352897</v>
      </c>
      <c r="P143" s="8">
        <f t="shared" si="19"/>
        <v>1.570798874291206</v>
      </c>
      <c r="X143" s="8">
        <v>-13</v>
      </c>
    </row>
    <row r="144" spans="1:24" x14ac:dyDescent="0.2">
      <c r="A144" s="8">
        <v>71</v>
      </c>
      <c r="B144" s="8">
        <v>142</v>
      </c>
      <c r="D144">
        <v>536.01596958175003</v>
      </c>
      <c r="E144">
        <v>241.30950570342</v>
      </c>
      <c r="F144">
        <v>158.91111111110999</v>
      </c>
      <c r="G144">
        <v>127.87356321839</v>
      </c>
      <c r="I144" s="9">
        <f t="shared" si="15"/>
        <v>113.43594248503</v>
      </c>
      <c r="J144" s="9">
        <f t="shared" si="16"/>
        <v>377.10485847064001</v>
      </c>
      <c r="K144" s="9">
        <f t="shared" si="17"/>
        <v>113.43594248503</v>
      </c>
      <c r="L144" s="10">
        <f t="shared" si="14"/>
        <v>0.30080742779361913</v>
      </c>
      <c r="M144" s="10">
        <f t="shared" si="18"/>
        <v>0.30393646967244375</v>
      </c>
      <c r="P144" s="8">
        <f t="shared" si="19"/>
        <v>-0.24558730923760175</v>
      </c>
    </row>
    <row r="145" spans="1:16" x14ac:dyDescent="0.2">
      <c r="A145" s="8">
        <v>71.5</v>
      </c>
      <c r="B145" s="8">
        <v>143</v>
      </c>
      <c r="D145">
        <v>529.80152091255002</v>
      </c>
      <c r="E145">
        <v>240.34752851710999</v>
      </c>
      <c r="F145">
        <v>159.23524904215</v>
      </c>
      <c r="G145">
        <v>127.29961685824</v>
      </c>
      <c r="I145" s="9">
        <f t="shared" si="15"/>
        <v>113.04791165886999</v>
      </c>
      <c r="J145" s="9">
        <f t="shared" si="16"/>
        <v>370.56627187039999</v>
      </c>
      <c r="K145" s="9">
        <f t="shared" si="17"/>
        <v>113.04791165886999</v>
      </c>
      <c r="L145" s="10">
        <f t="shared" si="14"/>
        <v>0.30506800062582817</v>
      </c>
      <c r="M145" s="10">
        <f t="shared" si="18"/>
        <v>0.3082190780108417</v>
      </c>
      <c r="P145" s="8">
        <f t="shared" si="19"/>
        <v>1.1599994571081982</v>
      </c>
    </row>
    <row r="146" spans="1:16" x14ac:dyDescent="0.2">
      <c r="A146" s="8">
        <v>72</v>
      </c>
      <c r="B146" s="8">
        <v>144</v>
      </c>
      <c r="D146">
        <v>540.89353612166997</v>
      </c>
      <c r="E146">
        <v>241.28441064639</v>
      </c>
      <c r="F146">
        <v>158.30957854406</v>
      </c>
      <c r="G146">
        <v>127.43754789272</v>
      </c>
      <c r="I146" s="9">
        <f t="shared" si="15"/>
        <v>113.84686275367</v>
      </c>
      <c r="J146" s="9">
        <f t="shared" si="16"/>
        <v>382.58395757760997</v>
      </c>
      <c r="K146" s="9">
        <f t="shared" si="17"/>
        <v>113.84686275367</v>
      </c>
      <c r="L146" s="10">
        <f t="shared" si="14"/>
        <v>0.29757354039230804</v>
      </c>
      <c r="M146" s="10">
        <f t="shared" si="18"/>
        <v>0.30074665328351052</v>
      </c>
      <c r="P146" s="8">
        <f t="shared" si="19"/>
        <v>-1.2925109009090103</v>
      </c>
    </row>
    <row r="147" spans="1:16" x14ac:dyDescent="0.2">
      <c r="A147" s="8">
        <v>72.5</v>
      </c>
      <c r="B147" s="8">
        <v>145</v>
      </c>
      <c r="D147">
        <v>537.60760456273999</v>
      </c>
      <c r="E147">
        <v>240.95057034221</v>
      </c>
      <c r="F147">
        <v>158.44827586207001</v>
      </c>
      <c r="G147">
        <v>127.60076628353001</v>
      </c>
      <c r="I147" s="9">
        <f t="shared" si="15"/>
        <v>113.34980405867999</v>
      </c>
      <c r="J147" s="9">
        <f t="shared" si="16"/>
        <v>379.15932870067002</v>
      </c>
      <c r="K147" s="9">
        <f t="shared" si="17"/>
        <v>113.34980405867999</v>
      </c>
      <c r="L147" s="10">
        <f t="shared" si="14"/>
        <v>0.29895032372568836</v>
      </c>
      <c r="M147" s="10">
        <f t="shared" si="18"/>
        <v>0.30214547212307974</v>
      </c>
      <c r="P147" s="8">
        <f t="shared" si="19"/>
        <v>-0.8334072206156149</v>
      </c>
    </row>
    <row r="148" spans="1:16" x14ac:dyDescent="0.2">
      <c r="A148" s="8">
        <v>73</v>
      </c>
      <c r="B148" s="8">
        <v>146</v>
      </c>
      <c r="D148">
        <v>543.19619771862995</v>
      </c>
      <c r="E148">
        <v>242.06692015209001</v>
      </c>
      <c r="F148">
        <v>158.37164750957999</v>
      </c>
      <c r="G148">
        <v>127.78697318008</v>
      </c>
      <c r="I148" s="9">
        <f t="shared" si="15"/>
        <v>114.27994697201001</v>
      </c>
      <c r="J148" s="9">
        <f t="shared" si="16"/>
        <v>384.82455020904996</v>
      </c>
      <c r="K148" s="9">
        <f t="shared" si="17"/>
        <v>114.27994697201001</v>
      </c>
      <c r="L148" s="10">
        <f t="shared" si="14"/>
        <v>0.29696636274876226</v>
      </c>
      <c r="M148" s="10">
        <f t="shared" si="18"/>
        <v>0.30018354665234254</v>
      </c>
      <c r="P148" s="8">
        <f t="shared" si="19"/>
        <v>-1.4773270611249067</v>
      </c>
    </row>
    <row r="149" spans="1:16" x14ac:dyDescent="0.2">
      <c r="A149" s="8">
        <v>73.5</v>
      </c>
      <c r="B149" s="8">
        <v>147</v>
      </c>
      <c r="D149">
        <v>551.65247148288995</v>
      </c>
      <c r="E149">
        <v>245.33003802280999</v>
      </c>
      <c r="F149">
        <v>158.74942528736</v>
      </c>
      <c r="G149">
        <v>127.769348659</v>
      </c>
      <c r="I149" s="9">
        <f t="shared" si="15"/>
        <v>117.56068936380998</v>
      </c>
      <c r="J149" s="9">
        <f t="shared" si="16"/>
        <v>392.90304619552995</v>
      </c>
      <c r="K149" s="9">
        <f t="shared" si="17"/>
        <v>117.56068936380998</v>
      </c>
      <c r="L149" s="10">
        <f t="shared" si="14"/>
        <v>0.29921042990668334</v>
      </c>
      <c r="M149" s="10">
        <f t="shared" si="18"/>
        <v>0.30244964931645252</v>
      </c>
      <c r="P149" s="8">
        <f t="shared" si="19"/>
        <v>-0.73357380045538512</v>
      </c>
    </row>
    <row r="150" spans="1:16" x14ac:dyDescent="0.2">
      <c r="A150" s="8">
        <v>74</v>
      </c>
      <c r="B150" s="8">
        <v>148</v>
      </c>
      <c r="D150">
        <v>549.46920152091002</v>
      </c>
      <c r="E150">
        <v>244.56425855513001</v>
      </c>
      <c r="F150">
        <v>157.82145593870001</v>
      </c>
      <c r="G150">
        <v>127.53486590038</v>
      </c>
      <c r="I150" s="9">
        <f t="shared" si="15"/>
        <v>117.02939265475001</v>
      </c>
      <c r="J150" s="9">
        <f t="shared" si="16"/>
        <v>391.64774558221001</v>
      </c>
      <c r="K150" s="9">
        <f t="shared" si="17"/>
        <v>117.02939265475001</v>
      </c>
      <c r="L150" s="10">
        <f t="shared" si="14"/>
        <v>0.29881288472828604</v>
      </c>
      <c r="M150" s="10">
        <f t="shared" si="18"/>
        <v>0.30207413964424412</v>
      </c>
      <c r="P150" s="8">
        <f t="shared" si="19"/>
        <v>-0.85681911830493129</v>
      </c>
    </row>
    <row r="151" spans="1:16" x14ac:dyDescent="0.2">
      <c r="A151" s="8">
        <v>74.5</v>
      </c>
      <c r="B151" s="8">
        <v>149</v>
      </c>
      <c r="D151">
        <v>549.40030557678006</v>
      </c>
      <c r="E151">
        <v>244.05805958747001</v>
      </c>
      <c r="F151">
        <v>158.28735632184001</v>
      </c>
      <c r="G151">
        <v>127.11800766284</v>
      </c>
      <c r="I151" s="9">
        <f t="shared" si="15"/>
        <v>116.94005192463001</v>
      </c>
      <c r="J151" s="9">
        <f t="shared" si="16"/>
        <v>391.11294925494008</v>
      </c>
      <c r="K151" s="9">
        <f t="shared" si="17"/>
        <v>116.94005192463001</v>
      </c>
      <c r="L151" s="10">
        <f t="shared" si="14"/>
        <v>0.29899304573627067</v>
      </c>
      <c r="M151" s="10">
        <f t="shared" si="18"/>
        <v>0.30227633615841765</v>
      </c>
      <c r="P151" s="8">
        <f t="shared" si="19"/>
        <v>-0.7904565835908941</v>
      </c>
    </row>
    <row r="152" spans="1:16" x14ac:dyDescent="0.2">
      <c r="A152" s="8">
        <v>75</v>
      </c>
      <c r="B152" s="8">
        <v>150</v>
      </c>
      <c r="D152">
        <v>559.79679144385</v>
      </c>
      <c r="E152">
        <v>248.01375095493</v>
      </c>
      <c r="F152">
        <v>158.05900383142</v>
      </c>
      <c r="G152">
        <v>127.44980842912</v>
      </c>
      <c r="I152" s="9">
        <f t="shared" si="15"/>
        <v>120.56394252581001</v>
      </c>
      <c r="J152" s="9">
        <f t="shared" si="16"/>
        <v>401.73778761243</v>
      </c>
      <c r="K152" s="9">
        <f t="shared" si="17"/>
        <v>120.56394252581001</v>
      </c>
      <c r="L152" s="10">
        <f t="shared" si="14"/>
        <v>0.30010605485317732</v>
      </c>
      <c r="M152" s="10">
        <f t="shared" si="18"/>
        <v>0.3034113807815132</v>
      </c>
      <c r="P152" s="8">
        <f t="shared" si="19"/>
        <v>-0.41792573898139718</v>
      </c>
    </row>
    <row r="153" spans="1:16" x14ac:dyDescent="0.2">
      <c r="A153" s="8">
        <v>75.5</v>
      </c>
      <c r="B153" s="8">
        <v>151</v>
      </c>
      <c r="D153">
        <v>554.42193450113996</v>
      </c>
      <c r="E153">
        <v>248.33891850724001</v>
      </c>
      <c r="F153">
        <v>158.62452107280001</v>
      </c>
      <c r="G153">
        <v>127.5877394636</v>
      </c>
      <c r="I153" s="9">
        <f t="shared" si="15"/>
        <v>120.75117904364001</v>
      </c>
      <c r="J153" s="9">
        <f t="shared" si="16"/>
        <v>395.79741342833995</v>
      </c>
      <c r="K153" s="9">
        <f t="shared" si="17"/>
        <v>120.75117904364001</v>
      </c>
      <c r="L153" s="10">
        <f t="shared" si="14"/>
        <v>0.30508329500617692</v>
      </c>
      <c r="M153" s="10">
        <f t="shared" si="18"/>
        <v>0.3084106564407017</v>
      </c>
      <c r="P153" s="8">
        <f t="shared" si="19"/>
        <v>1.2228770504930899</v>
      </c>
    </row>
    <row r="154" spans="1:16" x14ac:dyDescent="0.2">
      <c r="A154" s="8">
        <v>76</v>
      </c>
      <c r="B154" s="8">
        <v>152</v>
      </c>
      <c r="D154">
        <v>554.31226199543005</v>
      </c>
      <c r="E154">
        <v>251.50038080730999</v>
      </c>
      <c r="F154">
        <v>158.07969348659</v>
      </c>
      <c r="G154">
        <v>127.13026819923</v>
      </c>
      <c r="I154" s="9">
        <f t="shared" si="15"/>
        <v>124.37011260807999</v>
      </c>
      <c r="J154" s="9">
        <f t="shared" si="16"/>
        <v>396.23256850884002</v>
      </c>
      <c r="K154" s="9">
        <f t="shared" si="17"/>
        <v>124.37011260807999</v>
      </c>
      <c r="L154" s="10">
        <f t="shared" si="14"/>
        <v>0.31388160008180971</v>
      </c>
      <c r="M154" s="10">
        <f t="shared" si="18"/>
        <v>0.31723099702252339</v>
      </c>
      <c r="P154" s="8">
        <f t="shared" si="19"/>
        <v>4.1177843165423544</v>
      </c>
    </row>
    <row r="155" spans="1:16" x14ac:dyDescent="0.2">
      <c r="A155" s="8">
        <v>76.5</v>
      </c>
      <c r="B155" s="8">
        <v>153</v>
      </c>
      <c r="D155">
        <v>550.85757806549998</v>
      </c>
      <c r="E155">
        <v>250.69078446306</v>
      </c>
      <c r="F155">
        <v>157.70191570880999</v>
      </c>
      <c r="G155">
        <v>127.4367816092</v>
      </c>
      <c r="I155" s="9">
        <f t="shared" si="15"/>
        <v>123.25400285386</v>
      </c>
      <c r="J155" s="9">
        <f t="shared" si="16"/>
        <v>393.15566235668996</v>
      </c>
      <c r="K155" s="9">
        <f t="shared" si="17"/>
        <v>123.25400285386</v>
      </c>
      <c r="L155" s="10">
        <f t="shared" si="14"/>
        <v>0.31349924382378086</v>
      </c>
      <c r="M155" s="10">
        <f t="shared" si="18"/>
        <v>0.31687067627068349</v>
      </c>
      <c r="P155" s="8">
        <f t="shared" si="19"/>
        <v>3.999524125460912</v>
      </c>
    </row>
    <row r="156" spans="1:16" x14ac:dyDescent="0.2">
      <c r="A156" s="8">
        <v>77</v>
      </c>
      <c r="B156" s="8">
        <v>154</v>
      </c>
      <c r="D156">
        <v>550.30159939070995</v>
      </c>
      <c r="E156">
        <v>250.78293983245001</v>
      </c>
      <c r="F156">
        <v>158.42681992337</v>
      </c>
      <c r="G156">
        <v>127.30344827586001</v>
      </c>
      <c r="I156" s="9">
        <f t="shared" si="15"/>
        <v>123.47949155659001</v>
      </c>
      <c r="J156" s="9">
        <f t="shared" si="16"/>
        <v>391.87477946733998</v>
      </c>
      <c r="K156" s="9">
        <f t="shared" si="17"/>
        <v>123.47949155659001</v>
      </c>
      <c r="L156" s="10">
        <f t="shared" si="14"/>
        <v>0.31509935833183966</v>
      </c>
      <c r="M156" s="10">
        <f t="shared" si="18"/>
        <v>0.3184928262849312</v>
      </c>
      <c r="P156" s="8">
        <f t="shared" si="19"/>
        <v>4.5319269073382671</v>
      </c>
    </row>
    <row r="157" spans="1:16" x14ac:dyDescent="0.2">
      <c r="A157" s="8">
        <v>77.5</v>
      </c>
      <c r="B157" s="8">
        <v>155</v>
      </c>
      <c r="D157">
        <v>552.91469916222002</v>
      </c>
      <c r="E157">
        <v>251.50799695353999</v>
      </c>
      <c r="F157">
        <v>158.10804597700999</v>
      </c>
      <c r="G157">
        <v>127.29195402299</v>
      </c>
      <c r="I157" s="9">
        <f t="shared" si="15"/>
        <v>124.21604293054999</v>
      </c>
      <c r="J157" s="9">
        <f t="shared" si="16"/>
        <v>394.80665318521005</v>
      </c>
      <c r="K157" s="9">
        <f t="shared" si="17"/>
        <v>124.21604293054999</v>
      </c>
      <c r="L157" s="10">
        <f t="shared" si="14"/>
        <v>0.31462499916960185</v>
      </c>
      <c r="M157" s="10">
        <f t="shared" si="18"/>
        <v>0.31804050262888228</v>
      </c>
      <c r="P157" s="8">
        <f t="shared" si="19"/>
        <v>4.3834706174302944</v>
      </c>
    </row>
    <row r="158" spans="1:16" x14ac:dyDescent="0.2">
      <c r="A158" s="8">
        <v>78</v>
      </c>
      <c r="B158" s="8">
        <v>156</v>
      </c>
      <c r="D158">
        <v>550.31987814165996</v>
      </c>
      <c r="E158">
        <v>249.9603960396</v>
      </c>
      <c r="F158">
        <v>158.02681992337</v>
      </c>
      <c r="G158">
        <v>127.25134099617</v>
      </c>
      <c r="I158" s="9">
        <f t="shared" si="15"/>
        <v>122.70905504343</v>
      </c>
      <c r="J158" s="9">
        <f t="shared" si="16"/>
        <v>392.29305821828996</v>
      </c>
      <c r="K158" s="9">
        <f t="shared" si="17"/>
        <v>122.70905504343</v>
      </c>
      <c r="L158" s="10">
        <f t="shared" si="14"/>
        <v>0.31279945559258154</v>
      </c>
      <c r="M158" s="10">
        <f t="shared" si="18"/>
        <v>0.31623699455805088</v>
      </c>
      <c r="P158" s="8">
        <f t="shared" si="19"/>
        <v>3.7915446515114115</v>
      </c>
    </row>
    <row r="159" spans="1:16" x14ac:dyDescent="0.2">
      <c r="A159" s="8">
        <v>78.5</v>
      </c>
      <c r="B159" s="8">
        <v>157</v>
      </c>
      <c r="D159">
        <v>542.38766184310998</v>
      </c>
      <c r="E159">
        <v>246.58568164509001</v>
      </c>
      <c r="F159">
        <v>158.41455938697001</v>
      </c>
      <c r="G159">
        <v>127.23984674330001</v>
      </c>
      <c r="I159" s="9">
        <f t="shared" si="15"/>
        <v>119.34583490179</v>
      </c>
      <c r="J159" s="9">
        <f t="shared" si="16"/>
        <v>383.97310245613994</v>
      </c>
      <c r="K159" s="9">
        <f t="shared" si="17"/>
        <v>119.34583490179</v>
      </c>
      <c r="L159" s="10">
        <f t="shared" si="14"/>
        <v>0.31081821653229602</v>
      </c>
      <c r="M159" s="10">
        <f t="shared" si="18"/>
        <v>0.31427779100395425</v>
      </c>
      <c r="P159" s="8">
        <f t="shared" si="19"/>
        <v>3.1485181661041479</v>
      </c>
    </row>
    <row r="160" spans="1:16" x14ac:dyDescent="0.2">
      <c r="A160" s="8">
        <v>79</v>
      </c>
      <c r="B160" s="8">
        <v>158</v>
      </c>
      <c r="D160">
        <v>536.55083459788</v>
      </c>
      <c r="E160">
        <v>243.53566009105</v>
      </c>
      <c r="F160">
        <v>157.80766283525</v>
      </c>
      <c r="G160">
        <v>127.35095785441</v>
      </c>
      <c r="I160" s="9">
        <f t="shared" si="15"/>
        <v>116.18470223664001</v>
      </c>
      <c r="J160" s="9">
        <f t="shared" si="16"/>
        <v>378.74317176263003</v>
      </c>
      <c r="K160" s="9">
        <f t="shared" si="17"/>
        <v>116.18470223664001</v>
      </c>
      <c r="L160" s="10">
        <f t="shared" si="14"/>
        <v>0.30676382017906456</v>
      </c>
      <c r="M160" s="10">
        <f t="shared" si="18"/>
        <v>0.31024543015691169</v>
      </c>
      <c r="P160" s="8">
        <f t="shared" si="19"/>
        <v>1.8250646546270251</v>
      </c>
    </row>
    <row r="161" spans="1:16" x14ac:dyDescent="0.2">
      <c r="A161" s="8">
        <v>79.5</v>
      </c>
      <c r="B161" s="8">
        <v>159</v>
      </c>
      <c r="D161">
        <v>535.31411229135006</v>
      </c>
      <c r="E161">
        <v>242.88694992412999</v>
      </c>
      <c r="F161">
        <v>158.47816091953999</v>
      </c>
      <c r="G161">
        <v>127.05517241379</v>
      </c>
      <c r="I161" s="9">
        <f t="shared" si="15"/>
        <v>115.83177751033999</v>
      </c>
      <c r="J161" s="9">
        <f t="shared" si="16"/>
        <v>376.8359513718101</v>
      </c>
      <c r="K161" s="9">
        <f t="shared" si="17"/>
        <v>115.83177751033999</v>
      </c>
      <c r="L161" s="10">
        <f t="shared" si="14"/>
        <v>0.30737984815056318</v>
      </c>
      <c r="M161" s="10">
        <f t="shared" si="18"/>
        <v>0.31088349363459922</v>
      </c>
      <c r="P161" s="8">
        <f t="shared" si="19"/>
        <v>2.0344822593808742</v>
      </c>
    </row>
    <row r="162" spans="1:16" x14ac:dyDescent="0.2">
      <c r="A162" s="8">
        <v>80</v>
      </c>
      <c r="B162" s="4">
        <v>160</v>
      </c>
      <c r="C162" s="4" t="s">
        <v>6</v>
      </c>
      <c r="D162">
        <v>531.20257966615998</v>
      </c>
      <c r="E162">
        <v>240.26631259484</v>
      </c>
      <c r="F162">
        <v>157.87969348659001</v>
      </c>
      <c r="G162">
        <v>127.07203065134</v>
      </c>
      <c r="H162" s="4"/>
      <c r="I162" s="5">
        <f t="shared" si="15"/>
        <v>113.1942819435</v>
      </c>
      <c r="J162" s="5">
        <f t="shared" si="16"/>
        <v>373.32288617956999</v>
      </c>
      <c r="K162" s="9">
        <f t="shared" si="17"/>
        <v>113.1942819435</v>
      </c>
      <c r="L162" s="6">
        <f t="shared" si="14"/>
        <v>0.30320745428142071</v>
      </c>
      <c r="M162" s="6">
        <f t="shared" si="18"/>
        <v>0.30673313527164564</v>
      </c>
      <c r="N162" s="4"/>
      <c r="O162" s="4"/>
      <c r="P162" s="4">
        <f t="shared" si="19"/>
        <v>0.67230100683550165</v>
      </c>
    </row>
    <row r="163" spans="1:16" x14ac:dyDescent="0.2">
      <c r="A163" s="8">
        <v>80.5</v>
      </c>
      <c r="B163" s="8">
        <v>161</v>
      </c>
      <c r="D163">
        <v>524.09408194234004</v>
      </c>
      <c r="E163">
        <v>241.32094081942</v>
      </c>
      <c r="F163">
        <v>157.79386973179999</v>
      </c>
      <c r="G163">
        <v>127.04214559387</v>
      </c>
      <c r="I163" s="9">
        <f t="shared" si="15"/>
        <v>114.27879522555</v>
      </c>
      <c r="J163" s="9">
        <f t="shared" si="16"/>
        <v>366.30021221054005</v>
      </c>
      <c r="K163" s="9">
        <f t="shared" si="17"/>
        <v>114.27879522555</v>
      </c>
      <c r="L163" s="10">
        <f t="shared" si="14"/>
        <v>0.31198124220541112</v>
      </c>
      <c r="M163" s="10">
        <f t="shared" si="18"/>
        <v>0.31552895870182496</v>
      </c>
      <c r="P163" s="8">
        <f t="shared" si="19"/>
        <v>3.5591615450091338</v>
      </c>
    </row>
    <row r="164" spans="1:16" x14ac:dyDescent="0.2">
      <c r="A164" s="8">
        <v>81</v>
      </c>
      <c r="B164" s="8">
        <v>162</v>
      </c>
      <c r="D164">
        <v>529.44688922609998</v>
      </c>
      <c r="E164">
        <v>242.43626707132</v>
      </c>
      <c r="F164">
        <v>157.36475095784999</v>
      </c>
      <c r="G164">
        <v>127.2429118774</v>
      </c>
      <c r="I164" s="9">
        <f t="shared" si="15"/>
        <v>115.19335519392</v>
      </c>
      <c r="J164" s="9">
        <f t="shared" si="16"/>
        <v>372.08213826824999</v>
      </c>
      <c r="K164" s="9">
        <f t="shared" si="17"/>
        <v>115.19335519392</v>
      </c>
      <c r="L164" s="10">
        <f t="shared" si="14"/>
        <v>0.30959119868009405</v>
      </c>
      <c r="M164" s="10">
        <f t="shared" si="18"/>
        <v>0.31316095068269684</v>
      </c>
      <c r="P164" s="8">
        <f t="shared" si="19"/>
        <v>2.781962120900149</v>
      </c>
    </row>
    <row r="165" spans="1:16" x14ac:dyDescent="0.2">
      <c r="A165" s="8">
        <v>81.5</v>
      </c>
      <c r="B165" s="8">
        <v>163</v>
      </c>
      <c r="D165">
        <v>536.33990895295995</v>
      </c>
      <c r="E165">
        <v>244.75341426404</v>
      </c>
      <c r="F165">
        <v>157.85747126436999</v>
      </c>
      <c r="G165">
        <v>127.52950191571</v>
      </c>
      <c r="I165" s="9">
        <f t="shared" si="15"/>
        <v>117.22391234833</v>
      </c>
      <c r="J165" s="9">
        <f t="shared" si="16"/>
        <v>378.48243768858993</v>
      </c>
      <c r="K165" s="9">
        <f t="shared" si="17"/>
        <v>117.22391234833</v>
      </c>
      <c r="L165" s="10">
        <f t="shared" si="14"/>
        <v>0.3097208765199832</v>
      </c>
      <c r="M165" s="10">
        <f t="shared" si="18"/>
        <v>0.31331266402877489</v>
      </c>
      <c r="P165" s="8">
        <f t="shared" si="19"/>
        <v>2.8317556706892768</v>
      </c>
    </row>
    <row r="166" spans="1:16" x14ac:dyDescent="0.2">
      <c r="A166" s="8">
        <v>82</v>
      </c>
      <c r="B166" s="8">
        <v>164</v>
      </c>
      <c r="D166">
        <v>533.01896813354006</v>
      </c>
      <c r="E166">
        <v>243.59559939302</v>
      </c>
      <c r="F166">
        <v>158.17088122605</v>
      </c>
      <c r="G166">
        <v>127.45287356322</v>
      </c>
      <c r="I166" s="9">
        <f t="shared" si="15"/>
        <v>116.1427258298</v>
      </c>
      <c r="J166" s="9">
        <f t="shared" si="16"/>
        <v>374.84808690749003</v>
      </c>
      <c r="K166" s="9">
        <f t="shared" si="17"/>
        <v>116.1427258298</v>
      </c>
      <c r="L166" s="10">
        <f t="shared" si="14"/>
        <v>0.30983945199769219</v>
      </c>
      <c r="M166" s="10">
        <f t="shared" si="18"/>
        <v>0.31345327501267278</v>
      </c>
      <c r="P166" s="8">
        <f t="shared" si="19"/>
        <v>2.8779053352284523</v>
      </c>
    </row>
    <row r="167" spans="1:16" x14ac:dyDescent="0.2">
      <c r="A167" s="8">
        <v>82.5</v>
      </c>
      <c r="B167" s="8">
        <v>165</v>
      </c>
      <c r="D167">
        <v>532.46358118361002</v>
      </c>
      <c r="E167">
        <v>244.60849772381999</v>
      </c>
      <c r="F167">
        <v>158.06053639846999</v>
      </c>
      <c r="G167">
        <v>126.75555555555999</v>
      </c>
      <c r="I167" s="9">
        <f t="shared" si="15"/>
        <v>117.85294216826</v>
      </c>
      <c r="J167" s="9">
        <f t="shared" si="16"/>
        <v>374.40304478514003</v>
      </c>
      <c r="K167" s="9">
        <f t="shared" si="17"/>
        <v>117.85294216826</v>
      </c>
      <c r="L167" s="10">
        <f t="shared" si="14"/>
        <v>0.31477559760736634</v>
      </c>
      <c r="M167" s="10">
        <f t="shared" si="18"/>
        <v>0.31841145612853583</v>
      </c>
      <c r="P167" s="8">
        <f t="shared" si="19"/>
        <v>4.5052205625204733</v>
      </c>
    </row>
    <row r="168" spans="1:16" x14ac:dyDescent="0.2">
      <c r="A168" s="8">
        <v>83</v>
      </c>
      <c r="B168" s="8">
        <v>166</v>
      </c>
      <c r="D168">
        <v>533.17830045523999</v>
      </c>
      <c r="E168">
        <v>242.75720789074001</v>
      </c>
      <c r="F168">
        <v>158.20383141763</v>
      </c>
      <c r="G168">
        <v>126.97164750958</v>
      </c>
      <c r="I168" s="9">
        <f t="shared" si="15"/>
        <v>115.78556038116001</v>
      </c>
      <c r="J168" s="9">
        <f t="shared" si="16"/>
        <v>374.97446903760999</v>
      </c>
      <c r="K168" s="9">
        <f t="shared" si="17"/>
        <v>115.78556038116001</v>
      </c>
      <c r="L168" s="10">
        <f t="shared" si="14"/>
        <v>0.30878251705597243</v>
      </c>
      <c r="M168" s="10">
        <f t="shared" si="18"/>
        <v>0.31244041108333082</v>
      </c>
      <c r="P168" s="8">
        <f t="shared" si="19"/>
        <v>2.5454751845589545</v>
      </c>
    </row>
    <row r="169" spans="1:16" x14ac:dyDescent="0.2">
      <c r="A169" s="8">
        <v>83.5</v>
      </c>
      <c r="B169" s="8">
        <v>167</v>
      </c>
      <c r="D169">
        <v>533.47192716236998</v>
      </c>
      <c r="E169">
        <v>242.83763277694001</v>
      </c>
      <c r="F169">
        <v>157.71570881226</v>
      </c>
      <c r="G169">
        <v>127.17777777777999</v>
      </c>
      <c r="I169" s="9">
        <f t="shared" si="15"/>
        <v>115.65985499916002</v>
      </c>
      <c r="J169" s="9">
        <f t="shared" si="16"/>
        <v>375.75621835010998</v>
      </c>
      <c r="K169" s="9">
        <f t="shared" si="17"/>
        <v>115.65985499916002</v>
      </c>
      <c r="L169" s="10">
        <f t="shared" si="14"/>
        <v>0.30780556475420512</v>
      </c>
      <c r="M169" s="10">
        <f t="shared" si="18"/>
        <v>0.31148549428775241</v>
      </c>
      <c r="P169" s="8">
        <f t="shared" si="19"/>
        <v>2.2320637528405793</v>
      </c>
    </row>
    <row r="170" spans="1:16" x14ac:dyDescent="0.2">
      <c r="A170" s="8">
        <v>84</v>
      </c>
      <c r="B170" s="8">
        <v>168</v>
      </c>
      <c r="D170">
        <v>536.21016691958005</v>
      </c>
      <c r="E170">
        <v>243.25720789074001</v>
      </c>
      <c r="F170">
        <v>157.52413793103</v>
      </c>
      <c r="G170">
        <v>127.19540229885</v>
      </c>
      <c r="I170" s="9">
        <f t="shared" si="15"/>
        <v>116.06180559189001</v>
      </c>
      <c r="J170" s="9">
        <f t="shared" si="16"/>
        <v>378.68602898855005</v>
      </c>
      <c r="K170" s="9">
        <f t="shared" si="17"/>
        <v>116.06180559189001</v>
      </c>
      <c r="L170" s="10">
        <f t="shared" si="14"/>
        <v>0.30648557566774998</v>
      </c>
      <c r="M170" s="10">
        <f t="shared" si="18"/>
        <v>0.31018754070748616</v>
      </c>
      <c r="P170" s="8">
        <f t="shared" si="19"/>
        <v>1.8060648681431626</v>
      </c>
    </row>
    <row r="171" spans="1:16" x14ac:dyDescent="0.2">
      <c r="A171" s="8">
        <v>84.5</v>
      </c>
      <c r="B171" s="8">
        <v>169</v>
      </c>
      <c r="D171">
        <v>536.40060698027003</v>
      </c>
      <c r="E171">
        <v>244.22230652504001</v>
      </c>
      <c r="F171">
        <v>157.36704980843001</v>
      </c>
      <c r="G171">
        <v>126.73180076628</v>
      </c>
      <c r="I171" s="9">
        <f t="shared" si="15"/>
        <v>117.49050575876001</v>
      </c>
      <c r="J171" s="9">
        <f t="shared" si="16"/>
        <v>379.03355717184002</v>
      </c>
      <c r="K171" s="9">
        <f t="shared" si="17"/>
        <v>117.49050575876001</v>
      </c>
      <c r="L171" s="10">
        <f t="shared" si="14"/>
        <v>0.30997388894908345</v>
      </c>
      <c r="M171" s="10">
        <f t="shared" si="18"/>
        <v>0.31369788949500854</v>
      </c>
      <c r="P171" s="8">
        <f t="shared" si="19"/>
        <v>2.9581897908824781</v>
      </c>
    </row>
    <row r="172" spans="1:16" x14ac:dyDescent="0.2">
      <c r="A172" s="8">
        <v>85</v>
      </c>
      <c r="B172" s="8">
        <v>170</v>
      </c>
      <c r="D172">
        <v>536.87784522003005</v>
      </c>
      <c r="E172">
        <v>246.15477996965001</v>
      </c>
      <c r="F172">
        <v>157.54789272030999</v>
      </c>
      <c r="G172">
        <v>127.30421455939</v>
      </c>
      <c r="I172" s="9">
        <f t="shared" si="15"/>
        <v>118.85056541026</v>
      </c>
      <c r="J172" s="9">
        <f t="shared" si="16"/>
        <v>379.32995249972009</v>
      </c>
      <c r="K172" s="9">
        <f t="shared" si="17"/>
        <v>118.85056541026</v>
      </c>
      <c r="L172" s="10">
        <f t="shared" si="14"/>
        <v>0.31331711252184258</v>
      </c>
      <c r="M172" s="10">
        <f t="shared" si="18"/>
        <v>0.31706314857395657</v>
      </c>
      <c r="P172" s="8">
        <f t="shared" si="19"/>
        <v>4.0626950953446368</v>
      </c>
    </row>
    <row r="173" spans="1:16" x14ac:dyDescent="0.2">
      <c r="A173" s="8">
        <v>85.5</v>
      </c>
      <c r="B173" s="8">
        <v>171</v>
      </c>
      <c r="D173">
        <v>537.41654021244005</v>
      </c>
      <c r="E173">
        <v>248.77617602428001</v>
      </c>
      <c r="F173">
        <v>158.07816091954001</v>
      </c>
      <c r="G173">
        <v>127.20536398467</v>
      </c>
      <c r="I173" s="9">
        <f t="shared" si="15"/>
        <v>121.57081203961</v>
      </c>
      <c r="J173" s="9">
        <f t="shared" si="16"/>
        <v>379.33837929290007</v>
      </c>
      <c r="K173" s="9">
        <f t="shared" si="17"/>
        <v>121.57081203961</v>
      </c>
      <c r="L173" s="10">
        <f t="shared" si="14"/>
        <v>0.32048118164637657</v>
      </c>
      <c r="M173" s="10">
        <f t="shared" si="18"/>
        <v>0.32424925320467946</v>
      </c>
      <c r="P173" s="8">
        <f t="shared" si="19"/>
        <v>6.4212328770879195</v>
      </c>
    </row>
    <row r="174" spans="1:16" x14ac:dyDescent="0.2">
      <c r="A174" s="8">
        <v>86</v>
      </c>
      <c r="B174" s="8">
        <v>172</v>
      </c>
      <c r="D174">
        <v>537.07359635811997</v>
      </c>
      <c r="E174">
        <v>252.58497723823999</v>
      </c>
      <c r="F174">
        <v>158.17931034482999</v>
      </c>
      <c r="G174">
        <v>127.02222222221999</v>
      </c>
      <c r="I174" s="9">
        <f t="shared" si="15"/>
        <v>125.56275501601999</v>
      </c>
      <c r="J174" s="9">
        <f t="shared" si="16"/>
        <v>378.89428601328996</v>
      </c>
      <c r="K174" s="9">
        <f t="shared" si="17"/>
        <v>125.56275501601999</v>
      </c>
      <c r="L174" s="10">
        <f t="shared" si="14"/>
        <v>0.33139258007077943</v>
      </c>
      <c r="M174" s="10">
        <f t="shared" si="18"/>
        <v>0.33518268713527127</v>
      </c>
      <c r="P174" s="8">
        <f t="shared" si="19"/>
        <v>10.009674506402286</v>
      </c>
    </row>
    <row r="175" spans="1:16" x14ac:dyDescent="0.2">
      <c r="A175" s="8">
        <v>86.5</v>
      </c>
      <c r="B175" s="8">
        <v>173</v>
      </c>
      <c r="D175">
        <v>537.11153262518997</v>
      </c>
      <c r="E175">
        <v>252.20333839150001</v>
      </c>
      <c r="F175">
        <v>157.68735632184001</v>
      </c>
      <c r="G175">
        <v>127.16858237548</v>
      </c>
      <c r="I175" s="9">
        <f t="shared" si="15"/>
        <v>125.03475601602001</v>
      </c>
      <c r="J175" s="9">
        <f t="shared" si="16"/>
        <v>379.42417630334995</v>
      </c>
      <c r="K175" s="9">
        <f t="shared" si="17"/>
        <v>125.03475601602001</v>
      </c>
      <c r="L175" s="10">
        <f t="shared" si="14"/>
        <v>0.32953818924826395</v>
      </c>
      <c r="M175" s="10">
        <f t="shared" si="18"/>
        <v>0.33335033181894469</v>
      </c>
      <c r="P175" s="8">
        <f t="shared" si="19"/>
        <v>9.408280640710732</v>
      </c>
    </row>
    <row r="176" spans="1:16" x14ac:dyDescent="0.2">
      <c r="A176" s="8">
        <v>87</v>
      </c>
      <c r="B176" s="8">
        <v>174</v>
      </c>
      <c r="D176">
        <v>535.6153262519</v>
      </c>
      <c r="E176">
        <v>251.69650986343001</v>
      </c>
      <c r="F176">
        <v>157.52567049807999</v>
      </c>
      <c r="G176">
        <v>126.83065134100001</v>
      </c>
      <c r="I176" s="9">
        <f t="shared" si="15"/>
        <v>124.86585852243</v>
      </c>
      <c r="J176" s="9">
        <f t="shared" si="16"/>
        <v>378.08965575382001</v>
      </c>
      <c r="K176" s="9">
        <f t="shared" si="17"/>
        <v>124.86585852243</v>
      </c>
      <c r="L176" s="10">
        <f t="shared" si="14"/>
        <v>0.33025462776408798</v>
      </c>
      <c r="M176" s="10">
        <f t="shared" si="18"/>
        <v>0.33408880584095763</v>
      </c>
      <c r="P176" s="8">
        <f t="shared" si="19"/>
        <v>9.6506537999195512</v>
      </c>
    </row>
    <row r="177" spans="1:16" x14ac:dyDescent="0.2">
      <c r="A177" s="8">
        <v>87.5</v>
      </c>
      <c r="B177" s="8">
        <v>175</v>
      </c>
      <c r="D177">
        <v>534.29286798178998</v>
      </c>
      <c r="E177">
        <v>253.66691957511</v>
      </c>
      <c r="F177">
        <v>157.74559386972999</v>
      </c>
      <c r="G177">
        <v>126.80996168582</v>
      </c>
      <c r="I177" s="9">
        <f t="shared" si="15"/>
        <v>126.85695788929</v>
      </c>
      <c r="J177" s="9">
        <f t="shared" si="16"/>
        <v>376.54727411205999</v>
      </c>
      <c r="K177" s="9">
        <f t="shared" si="17"/>
        <v>126.85695788929</v>
      </c>
      <c r="L177" s="10">
        <f t="shared" si="14"/>
        <v>0.33689516990511403</v>
      </c>
      <c r="M177" s="10">
        <f t="shared" si="18"/>
        <v>0.34075138348817258</v>
      </c>
      <c r="P177" s="8">
        <f t="shared" si="19"/>
        <v>11.837365782594089</v>
      </c>
    </row>
    <row r="178" spans="1:16" x14ac:dyDescent="0.2">
      <c r="A178" s="8">
        <v>88</v>
      </c>
      <c r="B178" s="8">
        <v>176</v>
      </c>
      <c r="D178">
        <v>533.98558421850998</v>
      </c>
      <c r="E178">
        <v>253.15250379362999</v>
      </c>
      <c r="F178">
        <v>157.69731800765999</v>
      </c>
      <c r="G178">
        <v>126.74482758620999</v>
      </c>
      <c r="I178" s="9">
        <f t="shared" si="15"/>
        <v>126.40767620742</v>
      </c>
      <c r="J178" s="9">
        <f t="shared" si="16"/>
        <v>376.28826621085</v>
      </c>
      <c r="K178" s="9">
        <f t="shared" si="17"/>
        <v>126.40767620742</v>
      </c>
      <c r="L178" s="10">
        <f t="shared" si="14"/>
        <v>0.33593307992385951</v>
      </c>
      <c r="M178" s="10">
        <f t="shared" si="18"/>
        <v>0.33981132901310696</v>
      </c>
      <c r="P178" s="8">
        <f t="shared" si="19"/>
        <v>11.528832284924146</v>
      </c>
    </row>
    <row r="179" spans="1:16" x14ac:dyDescent="0.2">
      <c r="A179" s="8">
        <v>88.5</v>
      </c>
      <c r="B179" s="8">
        <v>177</v>
      </c>
      <c r="D179">
        <v>535.65250379362999</v>
      </c>
      <c r="E179">
        <v>254.13125948407</v>
      </c>
      <c r="F179">
        <v>157.2030651341</v>
      </c>
      <c r="G179">
        <v>126.86666666667</v>
      </c>
      <c r="I179" s="9">
        <f t="shared" si="15"/>
        <v>127.2645928174</v>
      </c>
      <c r="J179" s="9">
        <f t="shared" si="16"/>
        <v>378.44943865952996</v>
      </c>
      <c r="K179" s="9">
        <f t="shared" si="17"/>
        <v>127.2645928174</v>
      </c>
      <c r="L179" s="10">
        <f t="shared" si="14"/>
        <v>0.33627898423676333</v>
      </c>
      <c r="M179" s="10">
        <f t="shared" si="18"/>
        <v>0.34017926883219968</v>
      </c>
      <c r="P179" s="8">
        <f t="shared" si="19"/>
        <v>11.649593115628983</v>
      </c>
    </row>
    <row r="180" spans="1:16" x14ac:dyDescent="0.2">
      <c r="A180" s="8">
        <v>89</v>
      </c>
      <c r="B180" s="8">
        <v>178</v>
      </c>
      <c r="D180">
        <v>535.28755690440005</v>
      </c>
      <c r="E180">
        <v>255.42336874052</v>
      </c>
      <c r="F180">
        <v>157.46896551724001</v>
      </c>
      <c r="G180">
        <v>127.27586206897</v>
      </c>
      <c r="I180" s="9">
        <f t="shared" si="15"/>
        <v>128.14750667154999</v>
      </c>
      <c r="J180" s="9">
        <f t="shared" si="16"/>
        <v>377.81859138716004</v>
      </c>
      <c r="K180" s="9">
        <f t="shared" si="17"/>
        <v>128.14750667154999</v>
      </c>
      <c r="L180" s="10">
        <f t="shared" si="14"/>
        <v>0.33917734487616591</v>
      </c>
      <c r="M180" s="10">
        <f t="shared" si="18"/>
        <v>0.34309966497779115</v>
      </c>
      <c r="P180" s="8">
        <f t="shared" si="19"/>
        <v>12.608090799838468</v>
      </c>
    </row>
    <row r="181" spans="1:16" x14ac:dyDescent="0.2">
      <c r="A181" s="8">
        <v>89.5</v>
      </c>
      <c r="B181" s="8">
        <v>179</v>
      </c>
      <c r="D181">
        <v>534.86418816389005</v>
      </c>
      <c r="E181">
        <v>258.79969650985998</v>
      </c>
      <c r="F181">
        <v>157.32796934865999</v>
      </c>
      <c r="G181">
        <v>127.57701149425</v>
      </c>
      <c r="I181" s="9">
        <f t="shared" si="15"/>
        <v>131.22268501560998</v>
      </c>
      <c r="J181" s="9">
        <f t="shared" si="16"/>
        <v>377.53621881523009</v>
      </c>
      <c r="K181" s="9">
        <f t="shared" si="17"/>
        <v>131.22268501560998</v>
      </c>
      <c r="L181" s="10">
        <f t="shared" si="14"/>
        <v>0.34757641380053034</v>
      </c>
      <c r="M181" s="10">
        <f t="shared" si="18"/>
        <v>0.35152076940834448</v>
      </c>
      <c r="P181" s="8">
        <f t="shared" si="19"/>
        <v>15.371965525312342</v>
      </c>
    </row>
    <row r="182" spans="1:16" x14ac:dyDescent="0.2">
      <c r="A182" s="8">
        <v>90</v>
      </c>
      <c r="B182" s="8">
        <v>180</v>
      </c>
      <c r="D182">
        <v>535.99165402124004</v>
      </c>
      <c r="E182">
        <v>260.65477996965001</v>
      </c>
      <c r="F182">
        <v>157.20153256705001</v>
      </c>
      <c r="G182">
        <v>126.53103448276001</v>
      </c>
      <c r="I182" s="9">
        <f t="shared" si="15"/>
        <v>134.12374548689002</v>
      </c>
      <c r="J182" s="9">
        <f t="shared" si="16"/>
        <v>378.79012145419006</v>
      </c>
      <c r="K182" s="9">
        <f t="shared" si="17"/>
        <v>134.12374548689002</v>
      </c>
      <c r="L182" s="10">
        <f t="shared" si="14"/>
        <v>0.35408459167832501</v>
      </c>
      <c r="M182" s="10">
        <f>L182+ABS($N$2)*A182</f>
        <v>0.35805098279232805</v>
      </c>
      <c r="P182" s="8">
        <f t="shared" si="19"/>
        <v>17.515234484008477</v>
      </c>
    </row>
    <row r="183" spans="1:16" x14ac:dyDescent="0.2">
      <c r="A183" s="8">
        <v>90.5</v>
      </c>
      <c r="B183" s="8">
        <v>181</v>
      </c>
      <c r="D183">
        <v>535.27693474961995</v>
      </c>
      <c r="E183">
        <v>262.86039453718001</v>
      </c>
      <c r="F183">
        <v>157.35708812261001</v>
      </c>
      <c r="G183">
        <v>126.58390804598</v>
      </c>
      <c r="I183" s="9">
        <f t="shared" si="15"/>
        <v>136.27648649120002</v>
      </c>
      <c r="J183" s="9">
        <f t="shared" si="16"/>
        <v>377.91984662700997</v>
      </c>
      <c r="K183" s="9">
        <f t="shared" si="17"/>
        <v>136.27648649120002</v>
      </c>
      <c r="L183" s="10">
        <f t="shared" si="14"/>
        <v>0.36059626851430965</v>
      </c>
      <c r="M183" s="10">
        <f t="shared" ref="M183:M241" si="20">L183+ABS($N$2)*A183</f>
        <v>0.36458469513450165</v>
      </c>
      <c r="P183" s="8">
        <f t="shared" si="19"/>
        <v>19.65965182914093</v>
      </c>
    </row>
    <row r="184" spans="1:16" x14ac:dyDescent="0.2">
      <c r="A184" s="8">
        <v>91</v>
      </c>
      <c r="B184" s="8">
        <v>182</v>
      </c>
      <c r="D184">
        <v>536.08497723823996</v>
      </c>
      <c r="E184">
        <v>260.90591805766002</v>
      </c>
      <c r="F184">
        <v>157.30498084291</v>
      </c>
      <c r="G184">
        <v>126.68199233717</v>
      </c>
      <c r="I184" s="9">
        <f t="shared" si="15"/>
        <v>134.22392572049</v>
      </c>
      <c r="J184" s="9">
        <f t="shared" si="16"/>
        <v>378.77999639532993</v>
      </c>
      <c r="K184" s="9">
        <f t="shared" si="17"/>
        <v>134.22392572049</v>
      </c>
      <c r="L184" s="10">
        <f t="shared" si="14"/>
        <v>0.354358537931875</v>
      </c>
      <c r="M184" s="10">
        <f t="shared" si="20"/>
        <v>0.35836900005825589</v>
      </c>
      <c r="P184" s="8">
        <f t="shared" si="19"/>
        <v>17.619610328152298</v>
      </c>
    </row>
    <row r="185" spans="1:16" x14ac:dyDescent="0.2">
      <c r="A185" s="8">
        <v>91.5</v>
      </c>
      <c r="B185" s="8">
        <v>183</v>
      </c>
      <c r="D185">
        <v>536.87708649469005</v>
      </c>
      <c r="E185">
        <v>260.52276176023997</v>
      </c>
      <c r="F185">
        <v>157.67662835249001</v>
      </c>
      <c r="G185">
        <v>126.62835249042</v>
      </c>
      <c r="I185" s="9">
        <f t="shared" si="15"/>
        <v>133.89440926981996</v>
      </c>
      <c r="J185" s="9">
        <f t="shared" si="16"/>
        <v>379.20045814220003</v>
      </c>
      <c r="K185" s="9">
        <f t="shared" si="17"/>
        <v>133.89440926981996</v>
      </c>
      <c r="L185" s="10">
        <f t="shared" si="14"/>
        <v>0.35309664425460585</v>
      </c>
      <c r="M185" s="10">
        <f t="shared" si="20"/>
        <v>0.35712914188717565</v>
      </c>
      <c r="P185" s="8">
        <f t="shared" si="19"/>
        <v>17.212678827601387</v>
      </c>
    </row>
    <row r="186" spans="1:16" x14ac:dyDescent="0.2">
      <c r="A186" s="8">
        <v>92</v>
      </c>
      <c r="B186" s="8">
        <v>184</v>
      </c>
      <c r="D186">
        <v>535.63732928679997</v>
      </c>
      <c r="E186">
        <v>261.37025796661999</v>
      </c>
      <c r="F186">
        <v>157.46513409962</v>
      </c>
      <c r="G186">
        <v>127.20229885057999</v>
      </c>
      <c r="I186" s="9">
        <f t="shared" si="15"/>
        <v>134.16795911603998</v>
      </c>
      <c r="J186" s="9">
        <f t="shared" si="16"/>
        <v>378.17219518717997</v>
      </c>
      <c r="K186" s="9">
        <f t="shared" si="17"/>
        <v>134.16795911603998</v>
      </c>
      <c r="L186" s="10">
        <f t="shared" si="14"/>
        <v>0.35478007326697369</v>
      </c>
      <c r="M186" s="10">
        <f t="shared" si="20"/>
        <v>0.35883460640573239</v>
      </c>
      <c r="P186" s="8">
        <f t="shared" si="19"/>
        <v>17.772426105040356</v>
      </c>
    </row>
    <row r="187" spans="1:16" x14ac:dyDescent="0.2">
      <c r="A187" s="8">
        <v>92.5</v>
      </c>
      <c r="B187" s="8">
        <v>185</v>
      </c>
      <c r="D187">
        <v>536.69499241275003</v>
      </c>
      <c r="E187">
        <v>262.56069802731002</v>
      </c>
      <c r="F187">
        <v>157.31340996169001</v>
      </c>
      <c r="G187">
        <v>127.11724137931</v>
      </c>
      <c r="I187" s="9">
        <f t="shared" si="15"/>
        <v>135.44345664800002</v>
      </c>
      <c r="J187" s="9">
        <f t="shared" si="16"/>
        <v>379.38158245106001</v>
      </c>
      <c r="K187" s="9">
        <f t="shared" si="17"/>
        <v>135.44345664800002</v>
      </c>
      <c r="L187" s="10">
        <f t="shared" si="14"/>
        <v>0.35701115423933932</v>
      </c>
      <c r="M187" s="10">
        <f t="shared" si="20"/>
        <v>0.36108772288428692</v>
      </c>
      <c r="P187" s="8">
        <f t="shared" si="19"/>
        <v>18.511917194360144</v>
      </c>
    </row>
    <row r="188" spans="1:16" x14ac:dyDescent="0.2">
      <c r="A188" s="8">
        <v>93</v>
      </c>
      <c r="B188" s="8">
        <v>186</v>
      </c>
      <c r="D188">
        <v>534.80045523521005</v>
      </c>
      <c r="E188">
        <v>262.99393019727</v>
      </c>
      <c r="F188">
        <v>156.8183908046</v>
      </c>
      <c r="G188">
        <v>127.15249042146</v>
      </c>
      <c r="I188" s="9">
        <f t="shared" si="15"/>
        <v>135.84143977580999</v>
      </c>
      <c r="J188" s="9">
        <f t="shared" si="16"/>
        <v>377.98206443061008</v>
      </c>
      <c r="K188" s="9">
        <f t="shared" si="17"/>
        <v>135.84143977580999</v>
      </c>
      <c r="L188" s="10">
        <f t="shared" si="14"/>
        <v>0.35938594065419671</v>
      </c>
      <c r="M188" s="10">
        <f t="shared" si="20"/>
        <v>0.36348454480533321</v>
      </c>
      <c r="P188" s="8">
        <f t="shared" si="19"/>
        <v>19.298573574609581</v>
      </c>
    </row>
    <row r="189" spans="1:16" x14ac:dyDescent="0.2">
      <c r="A189" s="8">
        <v>93.5</v>
      </c>
      <c r="B189" s="8">
        <v>187</v>
      </c>
      <c r="D189">
        <v>543.33003802280996</v>
      </c>
      <c r="E189">
        <v>266.73155893536</v>
      </c>
      <c r="F189">
        <v>157.97164750958001</v>
      </c>
      <c r="G189">
        <v>126.73180076628</v>
      </c>
      <c r="I189" s="9">
        <f t="shared" si="15"/>
        <v>139.99975816908</v>
      </c>
      <c r="J189" s="9">
        <f t="shared" si="16"/>
        <v>385.35839051322995</v>
      </c>
      <c r="K189" s="9">
        <f t="shared" si="17"/>
        <v>139.99975816908</v>
      </c>
      <c r="L189" s="10">
        <f t="shared" si="14"/>
        <v>0.36329754746646314</v>
      </c>
      <c r="M189" s="10">
        <f t="shared" si="20"/>
        <v>0.36741818712378854</v>
      </c>
      <c r="P189" s="8">
        <f t="shared" si="19"/>
        <v>20.589626864910457</v>
      </c>
    </row>
    <row r="190" spans="1:16" x14ac:dyDescent="0.2">
      <c r="A190" s="8">
        <v>94</v>
      </c>
      <c r="B190" s="8">
        <v>188</v>
      </c>
      <c r="D190">
        <v>541.69277566539995</v>
      </c>
      <c r="E190">
        <v>264.70342205322999</v>
      </c>
      <c r="F190">
        <v>156.72030651341001</v>
      </c>
      <c r="G190">
        <v>126.61302681991999</v>
      </c>
      <c r="I190" s="9">
        <f t="shared" si="15"/>
        <v>138.09039523331001</v>
      </c>
      <c r="J190" s="9">
        <f t="shared" si="16"/>
        <v>384.97246915198991</v>
      </c>
      <c r="K190" s="9">
        <f t="shared" si="17"/>
        <v>138.09039523331001</v>
      </c>
      <c r="L190" s="10">
        <f t="shared" si="14"/>
        <v>0.35870200156778204</v>
      </c>
      <c r="M190" s="10">
        <f t="shared" si="20"/>
        <v>0.36284467673129633</v>
      </c>
      <c r="P190" s="8">
        <f t="shared" si="19"/>
        <v>19.088563686707982</v>
      </c>
    </row>
    <row r="191" spans="1:16" x14ac:dyDescent="0.2">
      <c r="A191" s="8">
        <v>94.5</v>
      </c>
      <c r="B191" s="8">
        <v>189</v>
      </c>
      <c r="D191">
        <v>543.01216730038004</v>
      </c>
      <c r="E191">
        <v>262.15665399239998</v>
      </c>
      <c r="F191">
        <v>157.36168582376001</v>
      </c>
      <c r="G191">
        <v>127.26053639846999</v>
      </c>
      <c r="I191" s="9">
        <f t="shared" si="15"/>
        <v>134.89611759393</v>
      </c>
      <c r="J191" s="9">
        <f t="shared" si="16"/>
        <v>385.65048147662003</v>
      </c>
      <c r="K191" s="9">
        <f t="shared" si="17"/>
        <v>134.89611759393</v>
      </c>
      <c r="L191" s="10">
        <f t="shared" si="14"/>
        <v>0.34978853670148485</v>
      </c>
      <c r="M191" s="10">
        <f t="shared" si="20"/>
        <v>0.35395324737118805</v>
      </c>
      <c r="P191" s="8">
        <f t="shared" si="19"/>
        <v>16.170324507464731</v>
      </c>
    </row>
    <row r="192" spans="1:16" x14ac:dyDescent="0.2">
      <c r="A192" s="8">
        <v>95</v>
      </c>
      <c r="B192" s="8">
        <v>190</v>
      </c>
      <c r="D192">
        <v>541.27756653992003</v>
      </c>
      <c r="E192">
        <v>260.37490494296998</v>
      </c>
      <c r="F192">
        <v>157.03984674329999</v>
      </c>
      <c r="G192">
        <v>127.09195402299</v>
      </c>
      <c r="I192" s="9">
        <f t="shared" si="15"/>
        <v>133.28295091997998</v>
      </c>
      <c r="J192" s="9">
        <f t="shared" si="16"/>
        <v>384.23771979662001</v>
      </c>
      <c r="K192" s="9">
        <f t="shared" si="17"/>
        <v>133.28295091997998</v>
      </c>
      <c r="L192" s="10">
        <f t="shared" si="14"/>
        <v>0.34687628010734523</v>
      </c>
      <c r="M192" s="10">
        <f t="shared" si="20"/>
        <v>0.35106302628323738</v>
      </c>
      <c r="P192" s="8">
        <f t="shared" si="19"/>
        <v>15.221730521735759</v>
      </c>
    </row>
    <row r="193" spans="1:16" x14ac:dyDescent="0.2">
      <c r="A193" s="8">
        <v>95.5</v>
      </c>
      <c r="B193" s="8">
        <v>191</v>
      </c>
      <c r="D193">
        <v>541.85779467681004</v>
      </c>
      <c r="E193">
        <v>259.60380228137001</v>
      </c>
      <c r="F193">
        <v>157.70651340996</v>
      </c>
      <c r="G193">
        <v>126.98237547893</v>
      </c>
      <c r="I193" s="9">
        <f t="shared" si="15"/>
        <v>132.62142680244</v>
      </c>
      <c r="J193" s="9">
        <f t="shared" si="16"/>
        <v>384.15128126685005</v>
      </c>
      <c r="K193" s="9">
        <f t="shared" si="17"/>
        <v>132.62142680244</v>
      </c>
      <c r="L193" s="10">
        <f t="shared" si="14"/>
        <v>0.3452322906878833</v>
      </c>
      <c r="M193" s="10">
        <f t="shared" si="20"/>
        <v>0.34944107236996436</v>
      </c>
      <c r="P193" s="8">
        <f t="shared" si="19"/>
        <v>14.689392101787654</v>
      </c>
    </row>
    <row r="194" spans="1:16" x14ac:dyDescent="0.2">
      <c r="A194" s="8">
        <v>96</v>
      </c>
      <c r="B194" s="8">
        <v>192</v>
      </c>
      <c r="D194">
        <v>541.00380228136999</v>
      </c>
      <c r="E194">
        <v>260.24562737642998</v>
      </c>
      <c r="F194">
        <v>157.49118773946</v>
      </c>
      <c r="G194">
        <v>126.27279693487</v>
      </c>
      <c r="I194" s="9">
        <f t="shared" si="15"/>
        <v>133.97283044155998</v>
      </c>
      <c r="J194" s="9">
        <f t="shared" si="16"/>
        <v>383.51261454191001</v>
      </c>
      <c r="K194" s="9">
        <f t="shared" si="17"/>
        <v>133.97283044155998</v>
      </c>
      <c r="L194" s="10">
        <f t="shared" ref="L194:L257" si="21">K194/J194</f>
        <v>0.34933096164668531</v>
      </c>
      <c r="M194" s="10">
        <f t="shared" si="20"/>
        <v>0.35356177883495526</v>
      </c>
      <c r="P194" s="8">
        <f t="shared" si="19"/>
        <v>16.041841361098982</v>
      </c>
    </row>
    <row r="195" spans="1:16" x14ac:dyDescent="0.2">
      <c r="A195" s="8">
        <v>96.5</v>
      </c>
      <c r="B195" s="8">
        <v>193</v>
      </c>
      <c r="D195">
        <v>541.67452471483</v>
      </c>
      <c r="E195">
        <v>259.68593155894001</v>
      </c>
      <c r="F195">
        <v>157.46743295018999</v>
      </c>
      <c r="G195">
        <v>126.82068965517</v>
      </c>
      <c r="I195" s="9">
        <f t="shared" ref="I195:I241" si="22">E195-G195</f>
        <v>132.86524190377003</v>
      </c>
      <c r="J195" s="9">
        <f t="shared" ref="J195:J241" si="23">D195-F195</f>
        <v>384.20709176464004</v>
      </c>
      <c r="K195" s="9">
        <f t="shared" ref="K195:K258" si="24">I195*1</f>
        <v>132.86524190377003</v>
      </c>
      <c r="L195" s="10">
        <f t="shared" si="21"/>
        <v>0.34581673465090917</v>
      </c>
      <c r="M195" s="10">
        <f t="shared" si="20"/>
        <v>0.35006958734536803</v>
      </c>
      <c r="P195" s="8">
        <f t="shared" ref="P195:P241" si="25">(M195-$O$2)/$O$2*100</f>
        <v>14.895675810703246</v>
      </c>
    </row>
    <row r="196" spans="1:16" x14ac:dyDescent="0.2">
      <c r="A196" s="8">
        <v>97</v>
      </c>
      <c r="B196" s="8">
        <v>194</v>
      </c>
      <c r="D196">
        <v>524.44182509506004</v>
      </c>
      <c r="E196">
        <v>252.91406844106999</v>
      </c>
      <c r="F196">
        <v>156.88735632184</v>
      </c>
      <c r="G196">
        <v>126.71111111111</v>
      </c>
      <c r="I196" s="9">
        <f t="shared" si="22"/>
        <v>126.20295732995999</v>
      </c>
      <c r="J196" s="9">
        <f t="shared" si="23"/>
        <v>367.55446877322004</v>
      </c>
      <c r="K196" s="9">
        <f t="shared" si="24"/>
        <v>126.20295732995999</v>
      </c>
      <c r="L196" s="10">
        <f t="shared" si="21"/>
        <v>0.34335851704152948</v>
      </c>
      <c r="M196" s="10">
        <f t="shared" si="20"/>
        <v>0.34763340524217723</v>
      </c>
      <c r="P196" s="8">
        <f t="shared" si="25"/>
        <v>14.09610109966758</v>
      </c>
    </row>
    <row r="197" spans="1:16" x14ac:dyDescent="0.2">
      <c r="A197" s="8">
        <v>97.5</v>
      </c>
      <c r="B197" s="8">
        <v>195</v>
      </c>
      <c r="D197">
        <v>536.56064073227003</v>
      </c>
      <c r="E197">
        <v>257.34477498093003</v>
      </c>
      <c r="F197">
        <v>157.21685823755001</v>
      </c>
      <c r="G197">
        <v>126.47586206897</v>
      </c>
      <c r="I197" s="9">
        <f t="shared" si="22"/>
        <v>130.86891291196002</v>
      </c>
      <c r="J197" s="9">
        <f t="shared" si="23"/>
        <v>379.34378249472002</v>
      </c>
      <c r="K197" s="9">
        <f t="shared" si="24"/>
        <v>130.86891291196002</v>
      </c>
      <c r="L197" s="10">
        <f t="shared" si="21"/>
        <v>0.34498763114374109</v>
      </c>
      <c r="M197" s="10">
        <f t="shared" si="20"/>
        <v>0.34928455485057774</v>
      </c>
      <c r="P197" s="8">
        <f t="shared" si="25"/>
        <v>14.638021783381797</v>
      </c>
    </row>
    <row r="198" spans="1:16" x14ac:dyDescent="0.2">
      <c r="A198" s="8">
        <v>98</v>
      </c>
      <c r="B198" s="8">
        <v>196</v>
      </c>
      <c r="D198">
        <v>534.75743707094</v>
      </c>
      <c r="E198">
        <v>256.58962623950998</v>
      </c>
      <c r="F198">
        <v>157.71647509579</v>
      </c>
      <c r="G198">
        <v>126.97088122605</v>
      </c>
      <c r="I198" s="9">
        <f t="shared" si="22"/>
        <v>129.61874501346</v>
      </c>
      <c r="J198" s="9">
        <f t="shared" si="23"/>
        <v>377.04096197515003</v>
      </c>
      <c r="K198" s="9">
        <f t="shared" si="24"/>
        <v>129.61874501346</v>
      </c>
      <c r="L198" s="10">
        <f t="shared" si="21"/>
        <v>0.34377894734419573</v>
      </c>
      <c r="M198" s="10">
        <f t="shared" si="20"/>
        <v>0.34809790655722128</v>
      </c>
      <c r="P198" s="8">
        <f t="shared" si="25"/>
        <v>14.248554195955245</v>
      </c>
    </row>
    <row r="199" spans="1:16" x14ac:dyDescent="0.2">
      <c r="A199" s="8">
        <v>98.5</v>
      </c>
      <c r="B199" s="8">
        <v>197</v>
      </c>
      <c r="D199">
        <v>537.37376048817998</v>
      </c>
      <c r="E199">
        <v>257.98703279939002</v>
      </c>
      <c r="F199">
        <v>157.81762452107</v>
      </c>
      <c r="G199">
        <v>127.18620689655</v>
      </c>
      <c r="I199" s="9">
        <f t="shared" si="22"/>
        <v>130.80082590284002</v>
      </c>
      <c r="J199" s="9">
        <f t="shared" si="23"/>
        <v>379.55613596710998</v>
      </c>
      <c r="K199" s="9">
        <f t="shared" si="24"/>
        <v>130.80082590284002</v>
      </c>
      <c r="L199" s="10">
        <f t="shared" si="21"/>
        <v>0.34461523213044415</v>
      </c>
      <c r="M199" s="10">
        <f t="shared" si="20"/>
        <v>0.3489562268496586</v>
      </c>
      <c r="P199" s="8">
        <f t="shared" si="25"/>
        <v>14.530261872447387</v>
      </c>
    </row>
    <row r="200" spans="1:16" x14ac:dyDescent="0.2">
      <c r="A200" s="8">
        <v>99</v>
      </c>
      <c r="B200" s="8">
        <v>198</v>
      </c>
      <c r="D200">
        <v>536.75362318840996</v>
      </c>
      <c r="E200">
        <v>257.64225781846</v>
      </c>
      <c r="F200">
        <v>157.72260536399</v>
      </c>
      <c r="G200">
        <v>126.92950191571001</v>
      </c>
      <c r="I200" s="9">
        <f t="shared" si="22"/>
        <v>130.71275590274999</v>
      </c>
      <c r="J200" s="9">
        <f t="shared" si="23"/>
        <v>379.03101782441996</v>
      </c>
      <c r="K200" s="9">
        <f t="shared" si="24"/>
        <v>130.71275590274999</v>
      </c>
      <c r="L200" s="10">
        <f t="shared" si="21"/>
        <v>0.34486031421127805</v>
      </c>
      <c r="M200" s="10">
        <f t="shared" si="20"/>
        <v>0.3492233444366814</v>
      </c>
      <c r="P200" s="8">
        <f t="shared" si="25"/>
        <v>14.617932029442859</v>
      </c>
    </row>
    <row r="201" spans="1:16" x14ac:dyDescent="0.2">
      <c r="A201" s="8">
        <v>99.5</v>
      </c>
      <c r="B201" s="8">
        <v>199</v>
      </c>
      <c r="D201">
        <v>544.19679633866997</v>
      </c>
      <c r="E201">
        <v>258.23874904653002</v>
      </c>
      <c r="F201">
        <v>157.56015325671001</v>
      </c>
      <c r="G201">
        <v>126.7662835249</v>
      </c>
      <c r="I201" s="9">
        <f t="shared" si="22"/>
        <v>131.47246552163</v>
      </c>
      <c r="J201" s="9">
        <f t="shared" si="23"/>
        <v>386.63664308195996</v>
      </c>
      <c r="K201" s="9">
        <f t="shared" si="24"/>
        <v>131.47246552163</v>
      </c>
      <c r="L201" s="10">
        <f t="shared" si="21"/>
        <v>0.3400414003019373</v>
      </c>
      <c r="M201" s="10">
        <f t="shared" si="20"/>
        <v>0.34442646603352961</v>
      </c>
      <c r="P201" s="8">
        <f t="shared" si="25"/>
        <v>13.043557659788881</v>
      </c>
    </row>
    <row r="202" spans="1:16" x14ac:dyDescent="0.2">
      <c r="A202" s="8">
        <v>100</v>
      </c>
      <c r="B202" s="8">
        <v>200</v>
      </c>
      <c r="D202">
        <v>539.41888804265</v>
      </c>
      <c r="E202">
        <v>253.48971820259001</v>
      </c>
      <c r="F202">
        <v>157.31417624521001</v>
      </c>
      <c r="G202">
        <v>126.36091954023</v>
      </c>
      <c r="I202" s="9">
        <f t="shared" si="22"/>
        <v>127.12879866236001</v>
      </c>
      <c r="J202" s="9">
        <f t="shared" si="23"/>
        <v>382.10471179744002</v>
      </c>
      <c r="K202" s="9">
        <f t="shared" si="24"/>
        <v>127.12879866236001</v>
      </c>
      <c r="L202" s="10">
        <f t="shared" si="21"/>
        <v>0.33270670247519241</v>
      </c>
      <c r="M202" s="10">
        <f t="shared" si="20"/>
        <v>0.33711380371297361</v>
      </c>
      <c r="P202" s="8">
        <f t="shared" si="25"/>
        <v>10.643482618517623</v>
      </c>
    </row>
    <row r="203" spans="1:16" x14ac:dyDescent="0.2">
      <c r="A203" s="8">
        <v>100.5</v>
      </c>
      <c r="B203" s="8">
        <v>201</v>
      </c>
      <c r="D203">
        <v>539.58796648895998</v>
      </c>
      <c r="E203">
        <v>251.93754760090999</v>
      </c>
      <c r="F203">
        <v>157.02988505747001</v>
      </c>
      <c r="G203">
        <v>126.67586206897001</v>
      </c>
      <c r="I203" s="9">
        <f t="shared" si="22"/>
        <v>125.26168553193999</v>
      </c>
      <c r="J203" s="9">
        <f t="shared" si="23"/>
        <v>382.55808143149</v>
      </c>
      <c r="K203" s="9">
        <f t="shared" si="24"/>
        <v>125.26168553193999</v>
      </c>
      <c r="L203" s="10">
        <f t="shared" si="21"/>
        <v>0.32743181130359245</v>
      </c>
      <c r="M203" s="10">
        <f t="shared" si="20"/>
        <v>0.33186094804756255</v>
      </c>
      <c r="P203" s="8">
        <f t="shared" si="25"/>
        <v>8.9194528157856876</v>
      </c>
    </row>
    <row r="204" spans="1:16" x14ac:dyDescent="0.2">
      <c r="A204" s="8">
        <v>101</v>
      </c>
      <c r="B204" s="8">
        <v>202</v>
      </c>
      <c r="D204">
        <v>541.20106626047004</v>
      </c>
      <c r="E204">
        <v>252.44021325208999</v>
      </c>
      <c r="F204">
        <v>157.22375478927</v>
      </c>
      <c r="G204">
        <v>126.48429118774</v>
      </c>
      <c r="I204" s="9">
        <f t="shared" si="22"/>
        <v>125.95592206434999</v>
      </c>
      <c r="J204" s="9">
        <f t="shared" si="23"/>
        <v>383.97731147120004</v>
      </c>
      <c r="K204" s="9">
        <f t="shared" si="24"/>
        <v>125.95592206434999</v>
      </c>
      <c r="L204" s="10">
        <f t="shared" si="21"/>
        <v>0.32802959524288777</v>
      </c>
      <c r="M204" s="10">
        <f t="shared" si="20"/>
        <v>0.33248076749304678</v>
      </c>
      <c r="P204" s="8">
        <f t="shared" si="25"/>
        <v>9.1228825813061842</v>
      </c>
    </row>
    <row r="205" spans="1:16" x14ac:dyDescent="0.2">
      <c r="A205" s="8">
        <v>101.5</v>
      </c>
      <c r="B205" s="8">
        <v>203</v>
      </c>
      <c r="D205">
        <v>539.51180502666</v>
      </c>
      <c r="E205">
        <v>252.20715917746</v>
      </c>
      <c r="F205">
        <v>157.33563218391001</v>
      </c>
      <c r="G205">
        <v>126.47356321839</v>
      </c>
      <c r="I205" s="9">
        <f t="shared" si="22"/>
        <v>125.73359595907</v>
      </c>
      <c r="J205" s="9">
        <f t="shared" si="23"/>
        <v>382.17617284275002</v>
      </c>
      <c r="K205" s="9">
        <f t="shared" si="24"/>
        <v>125.73359595907</v>
      </c>
      <c r="L205" s="10">
        <f t="shared" si="21"/>
        <v>0.32899381199990263</v>
      </c>
      <c r="M205" s="10">
        <f t="shared" si="20"/>
        <v>0.33346701975625054</v>
      </c>
      <c r="P205" s="8">
        <f t="shared" si="25"/>
        <v>9.4465785674668936</v>
      </c>
    </row>
    <row r="206" spans="1:16" x14ac:dyDescent="0.2">
      <c r="A206" s="8">
        <v>102</v>
      </c>
      <c r="B206" s="8">
        <v>204</v>
      </c>
      <c r="D206">
        <v>539.20030464585</v>
      </c>
      <c r="E206">
        <v>254.83168316832001</v>
      </c>
      <c r="F206">
        <v>157.42222222222</v>
      </c>
      <c r="G206">
        <v>126.73716475096001</v>
      </c>
      <c r="I206" s="9">
        <f t="shared" si="22"/>
        <v>128.09451841736001</v>
      </c>
      <c r="J206" s="9">
        <f t="shared" si="23"/>
        <v>381.77808242363</v>
      </c>
      <c r="K206" s="9">
        <f t="shared" si="24"/>
        <v>128.09451841736001</v>
      </c>
      <c r="L206" s="10">
        <f t="shared" si="21"/>
        <v>0.33552088062306129</v>
      </c>
      <c r="M206" s="10">
        <f t="shared" si="20"/>
        <v>0.3400161238855981</v>
      </c>
      <c r="P206" s="8">
        <f t="shared" si="25"/>
        <v>11.596047621897199</v>
      </c>
    </row>
    <row r="207" spans="1:16" x14ac:dyDescent="0.2">
      <c r="A207" s="8">
        <v>102.5</v>
      </c>
      <c r="B207" s="8">
        <v>205</v>
      </c>
      <c r="D207">
        <v>539.85148514852006</v>
      </c>
      <c r="E207">
        <v>254.76389946686999</v>
      </c>
      <c r="F207">
        <v>157.39616858238</v>
      </c>
      <c r="G207">
        <v>127.27279693487</v>
      </c>
      <c r="I207" s="9">
        <f t="shared" si="22"/>
        <v>127.49110253199999</v>
      </c>
      <c r="J207" s="9">
        <f t="shared" si="23"/>
        <v>382.45531656614003</v>
      </c>
      <c r="K207" s="9">
        <f t="shared" si="24"/>
        <v>127.49110253199999</v>
      </c>
      <c r="L207" s="10">
        <f t="shared" si="21"/>
        <v>0.33334901362249014</v>
      </c>
      <c r="M207" s="10">
        <f t="shared" si="20"/>
        <v>0.33786629239121585</v>
      </c>
      <c r="P207" s="8">
        <f t="shared" si="25"/>
        <v>10.890455501486883</v>
      </c>
    </row>
    <row r="208" spans="1:16" x14ac:dyDescent="0.2">
      <c r="A208" s="8">
        <v>103</v>
      </c>
      <c r="B208" s="8">
        <v>206</v>
      </c>
      <c r="D208">
        <v>540.77608530084001</v>
      </c>
      <c r="E208">
        <v>253.19497334349001</v>
      </c>
      <c r="F208">
        <v>157.28659003831001</v>
      </c>
      <c r="G208">
        <v>126.64980842912</v>
      </c>
      <c r="I208" s="9">
        <f t="shared" si="22"/>
        <v>126.54516491437001</v>
      </c>
      <c r="J208" s="9">
        <f t="shared" si="23"/>
        <v>383.48949526253</v>
      </c>
      <c r="K208" s="9">
        <f t="shared" si="24"/>
        <v>126.54516491437001</v>
      </c>
      <c r="L208" s="10">
        <f t="shared" si="21"/>
        <v>0.32998339322890569</v>
      </c>
      <c r="M208" s="10">
        <f t="shared" si="20"/>
        <v>0.33452270750382029</v>
      </c>
      <c r="P208" s="8">
        <f t="shared" si="25"/>
        <v>9.7930638423572294</v>
      </c>
    </row>
    <row r="209" spans="1:16" x14ac:dyDescent="0.2">
      <c r="A209" s="8">
        <v>103.5</v>
      </c>
      <c r="B209" s="8">
        <v>207</v>
      </c>
      <c r="D209">
        <v>541.58035034272996</v>
      </c>
      <c r="E209">
        <v>254.55902513327999</v>
      </c>
      <c r="F209">
        <v>157.13409961686</v>
      </c>
      <c r="G209">
        <v>126.37471264368</v>
      </c>
      <c r="I209" s="9">
        <f t="shared" si="22"/>
        <v>128.18431248959999</v>
      </c>
      <c r="J209" s="9">
        <f t="shared" si="23"/>
        <v>384.44625072586996</v>
      </c>
      <c r="K209" s="9">
        <f t="shared" si="24"/>
        <v>128.18431248959999</v>
      </c>
      <c r="L209" s="10">
        <f t="shared" si="21"/>
        <v>0.33342583585501534</v>
      </c>
      <c r="M209" s="10">
        <f t="shared" si="20"/>
        <v>0.33798718563611885</v>
      </c>
      <c r="P209" s="8">
        <f t="shared" si="25"/>
        <v>10.930133644279605</v>
      </c>
    </row>
    <row r="210" spans="1:16" x14ac:dyDescent="0.2">
      <c r="A210" s="8">
        <v>104</v>
      </c>
      <c r="B210" s="8">
        <v>208</v>
      </c>
      <c r="D210">
        <v>542.04036557502002</v>
      </c>
      <c r="E210">
        <v>255.26580350342999</v>
      </c>
      <c r="F210">
        <v>157.05440613027</v>
      </c>
      <c r="G210">
        <v>126.60996168582</v>
      </c>
      <c r="I210" s="9">
        <f t="shared" si="22"/>
        <v>128.65584181761</v>
      </c>
      <c r="J210" s="9">
        <f t="shared" si="23"/>
        <v>384.98595944475005</v>
      </c>
      <c r="K210" s="9">
        <f t="shared" si="24"/>
        <v>128.65584181761</v>
      </c>
      <c r="L210" s="10">
        <f t="shared" si="21"/>
        <v>0.33418320502691889</v>
      </c>
      <c r="M210" s="10">
        <f t="shared" si="20"/>
        <v>0.3387665903142113</v>
      </c>
      <c r="P210" s="8">
        <f t="shared" si="25"/>
        <v>11.185940576548498</v>
      </c>
    </row>
    <row r="211" spans="1:16" x14ac:dyDescent="0.2">
      <c r="A211" s="8">
        <v>104.5</v>
      </c>
      <c r="B211" s="8">
        <v>209</v>
      </c>
      <c r="D211">
        <v>542.43335872048999</v>
      </c>
      <c r="E211">
        <v>256.05864432597002</v>
      </c>
      <c r="F211">
        <v>157.16781609194999</v>
      </c>
      <c r="G211">
        <v>126.26513409962</v>
      </c>
      <c r="I211" s="9">
        <f t="shared" si="22"/>
        <v>129.79351022635001</v>
      </c>
      <c r="J211" s="9">
        <f t="shared" si="23"/>
        <v>385.26554262854</v>
      </c>
      <c r="K211" s="9">
        <f t="shared" si="24"/>
        <v>129.79351022635001</v>
      </c>
      <c r="L211" s="10">
        <f t="shared" si="21"/>
        <v>0.33689363793297372</v>
      </c>
      <c r="M211" s="10">
        <f t="shared" si="20"/>
        <v>0.34149905872645508</v>
      </c>
      <c r="P211" s="8">
        <f t="shared" si="25"/>
        <v>12.082758855556598</v>
      </c>
    </row>
    <row r="212" spans="1:16" x14ac:dyDescent="0.2">
      <c r="A212" s="8">
        <v>105</v>
      </c>
      <c r="B212" s="8">
        <v>210</v>
      </c>
      <c r="D212">
        <v>540.12871287128996</v>
      </c>
      <c r="E212">
        <v>254.20487433359</v>
      </c>
      <c r="F212">
        <v>156.85134099616999</v>
      </c>
      <c r="G212">
        <v>126.59233716475001</v>
      </c>
      <c r="I212" s="9">
        <f t="shared" si="22"/>
        <v>127.61253716883999</v>
      </c>
      <c r="J212" s="9">
        <f t="shared" si="23"/>
        <v>383.27737187511997</v>
      </c>
      <c r="K212" s="9">
        <f t="shared" si="24"/>
        <v>127.61253716883999</v>
      </c>
      <c r="L212" s="10">
        <f t="shared" si="21"/>
        <v>0.33295087717940969</v>
      </c>
      <c r="M212" s="10">
        <f t="shared" si="20"/>
        <v>0.33757833347907995</v>
      </c>
      <c r="P212" s="8">
        <f t="shared" si="25"/>
        <v>10.79594505267452</v>
      </c>
    </row>
    <row r="213" spans="1:16" x14ac:dyDescent="0.2">
      <c r="A213" s="8">
        <v>105.5</v>
      </c>
      <c r="B213" s="8">
        <v>211</v>
      </c>
      <c r="D213">
        <v>541.79969535415</v>
      </c>
      <c r="E213">
        <v>255.64280274180999</v>
      </c>
      <c r="F213">
        <v>156.67203065134001</v>
      </c>
      <c r="G213">
        <v>126.08965517241</v>
      </c>
      <c r="I213" s="9">
        <f t="shared" si="22"/>
        <v>129.55314756939998</v>
      </c>
      <c r="J213" s="9">
        <f t="shared" si="23"/>
        <v>385.12766470280997</v>
      </c>
      <c r="K213" s="9">
        <f t="shared" si="24"/>
        <v>129.55314756939998</v>
      </c>
      <c r="L213" s="10">
        <f t="shared" si="21"/>
        <v>0.33639013616269758</v>
      </c>
      <c r="M213" s="10">
        <f t="shared" si="20"/>
        <v>0.34103962796855675</v>
      </c>
      <c r="P213" s="8">
        <f t="shared" si="25"/>
        <v>11.931969957220007</v>
      </c>
    </row>
    <row r="214" spans="1:16" x14ac:dyDescent="0.2">
      <c r="A214" s="8">
        <v>106</v>
      </c>
      <c r="B214" s="8">
        <v>212</v>
      </c>
      <c r="D214">
        <v>540.85072353389</v>
      </c>
      <c r="E214">
        <v>259.16984006093003</v>
      </c>
      <c r="F214">
        <v>156.87126436782</v>
      </c>
      <c r="G214">
        <v>126.49731800766</v>
      </c>
      <c r="I214" s="9">
        <f t="shared" si="22"/>
        <v>132.67252205327003</v>
      </c>
      <c r="J214" s="9">
        <f t="shared" si="23"/>
        <v>383.97945916607</v>
      </c>
      <c r="K214" s="9">
        <f t="shared" si="24"/>
        <v>132.67252205327003</v>
      </c>
      <c r="L214" s="10">
        <f t="shared" si="21"/>
        <v>0.34551984197646768</v>
      </c>
      <c r="M214" s="10">
        <f t="shared" si="20"/>
        <v>0.35019136928851574</v>
      </c>
      <c r="P214" s="8">
        <f t="shared" si="25"/>
        <v>14.935645631462604</v>
      </c>
    </row>
    <row r="215" spans="1:16" x14ac:dyDescent="0.2">
      <c r="A215" s="8">
        <v>106.5</v>
      </c>
      <c r="B215" s="8">
        <v>213</v>
      </c>
      <c r="D215">
        <v>545.76999238384997</v>
      </c>
      <c r="E215">
        <v>262.18431073877002</v>
      </c>
      <c r="F215">
        <v>157.22528735632</v>
      </c>
      <c r="G215">
        <v>126.25287356322001</v>
      </c>
      <c r="I215" s="9">
        <f t="shared" si="22"/>
        <v>135.93143717555</v>
      </c>
      <c r="J215" s="9">
        <f t="shared" si="23"/>
        <v>388.54470502752997</v>
      </c>
      <c r="K215" s="9">
        <f t="shared" si="24"/>
        <v>135.93143717555</v>
      </c>
      <c r="L215" s="10">
        <f t="shared" si="21"/>
        <v>0.34984761191358588</v>
      </c>
      <c r="M215" s="10">
        <f t="shared" si="20"/>
        <v>0.35454117473182284</v>
      </c>
      <c r="P215" s="8">
        <f t="shared" si="25"/>
        <v>16.363287032258679</v>
      </c>
    </row>
    <row r="216" spans="1:16" x14ac:dyDescent="0.2">
      <c r="A216" s="8">
        <v>107</v>
      </c>
      <c r="B216" s="8">
        <v>214</v>
      </c>
      <c r="D216">
        <v>543.14013709062999</v>
      </c>
      <c r="E216">
        <v>262.49200304646001</v>
      </c>
      <c r="F216">
        <v>157.36551724137999</v>
      </c>
      <c r="G216">
        <v>126.70804597701</v>
      </c>
      <c r="I216" s="9">
        <f t="shared" si="22"/>
        <v>135.78395706945003</v>
      </c>
      <c r="J216" s="9">
        <f t="shared" si="23"/>
        <v>385.77461984925003</v>
      </c>
      <c r="K216" s="9">
        <f t="shared" si="24"/>
        <v>135.78395706945003</v>
      </c>
      <c r="L216" s="10">
        <f t="shared" si="21"/>
        <v>0.35197742433784424</v>
      </c>
      <c r="M216" s="10">
        <f t="shared" si="20"/>
        <v>0.3566930226622701</v>
      </c>
      <c r="P216" s="8">
        <f t="shared" si="25"/>
        <v>17.069540963328343</v>
      </c>
    </row>
    <row r="217" spans="1:16" x14ac:dyDescent="0.2">
      <c r="A217" s="8">
        <v>107.5</v>
      </c>
      <c r="B217" s="8">
        <v>215</v>
      </c>
      <c r="D217">
        <v>538.25437928407996</v>
      </c>
      <c r="E217">
        <v>261.75628332064002</v>
      </c>
      <c r="F217">
        <v>157.07662835248999</v>
      </c>
      <c r="G217">
        <v>126.91954022989</v>
      </c>
      <c r="I217" s="9">
        <f t="shared" si="22"/>
        <v>134.83674309075002</v>
      </c>
      <c r="J217" s="9">
        <f t="shared" si="23"/>
        <v>381.17775093158997</v>
      </c>
      <c r="K217" s="9">
        <f t="shared" si="24"/>
        <v>134.83674309075002</v>
      </c>
      <c r="L217" s="10">
        <f t="shared" si="21"/>
        <v>0.35373718104273405</v>
      </c>
      <c r="M217" s="10">
        <f t="shared" si="20"/>
        <v>0.35847481487334881</v>
      </c>
      <c r="P217" s="8">
        <f t="shared" si="25"/>
        <v>17.654339608073695</v>
      </c>
    </row>
    <row r="218" spans="1:16" x14ac:dyDescent="0.2">
      <c r="A218" s="8">
        <v>108</v>
      </c>
      <c r="B218" s="8">
        <v>216</v>
      </c>
      <c r="D218">
        <v>538.09596344249996</v>
      </c>
      <c r="E218">
        <v>263.23914699161998</v>
      </c>
      <c r="F218">
        <v>156.51111111111001</v>
      </c>
      <c r="G218">
        <v>126.35402298851</v>
      </c>
      <c r="I218" s="9">
        <f t="shared" si="22"/>
        <v>136.88512400310998</v>
      </c>
      <c r="J218" s="9">
        <f t="shared" si="23"/>
        <v>381.58485233138992</v>
      </c>
      <c r="K218" s="9">
        <f t="shared" si="24"/>
        <v>136.88512400310998</v>
      </c>
      <c r="L218" s="10">
        <f t="shared" si="21"/>
        <v>0.35872787708100945</v>
      </c>
      <c r="M218" s="10">
        <f t="shared" si="20"/>
        <v>0.36348754641781311</v>
      </c>
      <c r="P218" s="8">
        <f t="shared" si="25"/>
        <v>19.299558728152952</v>
      </c>
    </row>
    <row r="219" spans="1:16" x14ac:dyDescent="0.2">
      <c r="A219" s="8">
        <v>108.5</v>
      </c>
      <c r="B219" s="8">
        <v>217</v>
      </c>
      <c r="D219">
        <v>539.50114242193001</v>
      </c>
      <c r="E219">
        <v>267.17364813403998</v>
      </c>
      <c r="F219">
        <v>157.25210727968999</v>
      </c>
      <c r="G219">
        <v>126.64214559387</v>
      </c>
      <c r="I219" s="9">
        <f t="shared" si="22"/>
        <v>140.53150254016998</v>
      </c>
      <c r="J219" s="9">
        <f t="shared" si="23"/>
        <v>382.24903514224002</v>
      </c>
      <c r="K219" s="9">
        <f t="shared" si="24"/>
        <v>140.53150254016998</v>
      </c>
      <c r="L219" s="10">
        <f t="shared" si="21"/>
        <v>0.36764383849360488</v>
      </c>
      <c r="M219" s="10">
        <f t="shared" si="20"/>
        <v>0.37242554333659744</v>
      </c>
      <c r="P219" s="8">
        <f t="shared" si="25"/>
        <v>22.233081757574428</v>
      </c>
    </row>
    <row r="220" spans="1:16" x14ac:dyDescent="0.2">
      <c r="A220" s="8">
        <v>109</v>
      </c>
      <c r="B220" s="8">
        <v>218</v>
      </c>
      <c r="D220">
        <v>546.11348057883004</v>
      </c>
      <c r="E220">
        <v>270.39527798934</v>
      </c>
      <c r="F220">
        <v>156.7908045977</v>
      </c>
      <c r="G220">
        <v>126.45517241379</v>
      </c>
      <c r="I220" s="9">
        <f t="shared" si="22"/>
        <v>143.94010557555001</v>
      </c>
      <c r="J220" s="9">
        <f t="shared" si="23"/>
        <v>389.32267598113003</v>
      </c>
      <c r="K220" s="9">
        <f t="shared" si="24"/>
        <v>143.94010557555001</v>
      </c>
      <c r="L220" s="10">
        <f t="shared" si="21"/>
        <v>0.36971929573022505</v>
      </c>
      <c r="M220" s="10">
        <f t="shared" si="20"/>
        <v>0.37452303607940657</v>
      </c>
      <c r="P220" s="8">
        <f t="shared" si="25"/>
        <v>22.921495875523334</v>
      </c>
    </row>
    <row r="221" spans="1:16" x14ac:dyDescent="0.2">
      <c r="A221" s="8">
        <v>109.5</v>
      </c>
      <c r="B221" s="8">
        <v>219</v>
      </c>
      <c r="D221">
        <v>549.03122619954001</v>
      </c>
      <c r="E221">
        <v>275.36405178978998</v>
      </c>
      <c r="F221">
        <v>157.39693486589999</v>
      </c>
      <c r="G221">
        <v>126.70804597701</v>
      </c>
      <c r="I221" s="9">
        <f t="shared" si="22"/>
        <v>148.65600581277999</v>
      </c>
      <c r="J221" s="9">
        <f t="shared" si="23"/>
        <v>391.63429133364002</v>
      </c>
      <c r="K221" s="9">
        <f t="shared" si="24"/>
        <v>148.65600581277999</v>
      </c>
      <c r="L221" s="10">
        <f t="shared" si="21"/>
        <v>0.37957862501406286</v>
      </c>
      <c r="M221" s="10">
        <f t="shared" si="20"/>
        <v>0.38440440086943328</v>
      </c>
      <c r="P221" s="8">
        <f t="shared" si="25"/>
        <v>26.164639886094378</v>
      </c>
    </row>
    <row r="222" spans="1:16" x14ac:dyDescent="0.2">
      <c r="A222" s="8">
        <v>110</v>
      </c>
      <c r="B222" s="8">
        <v>220</v>
      </c>
      <c r="D222">
        <v>547.73191165269998</v>
      </c>
      <c r="E222">
        <v>274.18354912413997</v>
      </c>
      <c r="F222">
        <v>156.67969348659</v>
      </c>
      <c r="G222">
        <v>126.67969348659</v>
      </c>
      <c r="I222" s="9">
        <f t="shared" si="22"/>
        <v>147.50385563754998</v>
      </c>
      <c r="J222" s="9">
        <f t="shared" si="23"/>
        <v>391.05221816610998</v>
      </c>
      <c r="K222" s="9">
        <f t="shared" si="24"/>
        <v>147.50385563754998</v>
      </c>
      <c r="L222" s="10">
        <f t="shared" si="21"/>
        <v>0.37719733781152914</v>
      </c>
      <c r="M222" s="10">
        <f t="shared" si="20"/>
        <v>0.38204514917308846</v>
      </c>
      <c r="P222" s="8">
        <f t="shared" si="25"/>
        <v>25.390314358091114</v>
      </c>
    </row>
    <row r="223" spans="1:16" x14ac:dyDescent="0.2">
      <c r="A223" s="8">
        <v>110.5</v>
      </c>
      <c r="B223" s="8">
        <v>221</v>
      </c>
      <c r="D223">
        <v>547.64965727341996</v>
      </c>
      <c r="E223">
        <v>273.72048743336001</v>
      </c>
      <c r="F223">
        <v>156.78007662835</v>
      </c>
      <c r="G223">
        <v>126.32490421455999</v>
      </c>
      <c r="I223" s="9">
        <f t="shared" si="22"/>
        <v>147.39558321880003</v>
      </c>
      <c r="J223" s="9">
        <f t="shared" si="23"/>
        <v>390.86958064506996</v>
      </c>
      <c r="K223" s="9">
        <f t="shared" si="24"/>
        <v>147.39558321880003</v>
      </c>
      <c r="L223" s="10">
        <f t="shared" si="21"/>
        <v>0.37709658289485293</v>
      </c>
      <c r="M223" s="10">
        <f t="shared" si="20"/>
        <v>0.38196642976260115</v>
      </c>
      <c r="P223" s="8">
        <f t="shared" si="25"/>
        <v>25.364478009564113</v>
      </c>
    </row>
    <row r="224" spans="1:16" x14ac:dyDescent="0.2">
      <c r="A224" s="8">
        <v>111</v>
      </c>
      <c r="B224" s="8">
        <v>222</v>
      </c>
      <c r="D224">
        <v>547.97101449274999</v>
      </c>
      <c r="E224">
        <v>273.38215102974999</v>
      </c>
      <c r="F224">
        <v>156.34482758620999</v>
      </c>
      <c r="G224">
        <v>126.34865900382999</v>
      </c>
      <c r="I224" s="9">
        <f t="shared" si="22"/>
        <v>147.03349202592</v>
      </c>
      <c r="J224" s="9">
        <f t="shared" si="23"/>
        <v>391.62618690654</v>
      </c>
      <c r="K224" s="9">
        <f t="shared" si="24"/>
        <v>147.03349202592</v>
      </c>
      <c r="L224" s="10">
        <f t="shared" si="21"/>
        <v>0.37544346354195396</v>
      </c>
      <c r="M224" s="10">
        <f t="shared" si="20"/>
        <v>0.38033534591589108</v>
      </c>
      <c r="P224" s="8">
        <f t="shared" si="25"/>
        <v>24.82914307146568</v>
      </c>
    </row>
    <row r="225" spans="1:16" x14ac:dyDescent="0.2">
      <c r="A225" s="8">
        <v>111.5</v>
      </c>
      <c r="B225" s="8">
        <v>223</v>
      </c>
      <c r="D225">
        <v>545.07322654461996</v>
      </c>
      <c r="E225">
        <v>273.90465293669001</v>
      </c>
      <c r="F225">
        <v>157.30804597701001</v>
      </c>
      <c r="G225">
        <v>126.43141762451999</v>
      </c>
      <c r="I225" s="9">
        <f t="shared" si="22"/>
        <v>147.47323531217</v>
      </c>
      <c r="J225" s="9">
        <f t="shared" si="23"/>
        <v>387.76518056760995</v>
      </c>
      <c r="K225" s="9">
        <f t="shared" si="24"/>
        <v>147.47323531217</v>
      </c>
      <c r="L225" s="10">
        <f t="shared" si="21"/>
        <v>0.3803158269556306</v>
      </c>
      <c r="M225" s="10">
        <f t="shared" si="20"/>
        <v>0.38522974483575662</v>
      </c>
      <c r="P225" s="8">
        <f t="shared" si="25"/>
        <v>26.435524465089383</v>
      </c>
    </row>
    <row r="226" spans="1:16" x14ac:dyDescent="0.2">
      <c r="A226" s="8">
        <v>112</v>
      </c>
      <c r="B226" s="8">
        <v>224</v>
      </c>
      <c r="D226">
        <v>543.06941266209003</v>
      </c>
      <c r="E226">
        <v>272.26315789474</v>
      </c>
      <c r="F226">
        <v>156.41685823755</v>
      </c>
      <c r="G226">
        <v>126.31724137931</v>
      </c>
      <c r="I226" s="9">
        <f t="shared" si="22"/>
        <v>145.94591651542999</v>
      </c>
      <c r="J226" s="9">
        <f t="shared" si="23"/>
        <v>386.65255442454003</v>
      </c>
      <c r="K226" s="9">
        <f t="shared" si="24"/>
        <v>145.94591651542999</v>
      </c>
      <c r="L226" s="10">
        <f t="shared" si="21"/>
        <v>0.37746011204463181</v>
      </c>
      <c r="M226" s="10">
        <f t="shared" si="20"/>
        <v>0.38239606543094673</v>
      </c>
      <c r="P226" s="8">
        <f t="shared" si="25"/>
        <v>25.505487918026247</v>
      </c>
    </row>
    <row r="227" spans="1:16" x14ac:dyDescent="0.2">
      <c r="A227" s="8">
        <v>112.5</v>
      </c>
      <c r="B227" s="8">
        <v>225</v>
      </c>
      <c r="D227">
        <v>536.40675364542994</v>
      </c>
      <c r="E227">
        <v>269.51189562548001</v>
      </c>
      <c r="F227">
        <v>156.93103448276</v>
      </c>
      <c r="G227">
        <v>126.24214559387001</v>
      </c>
      <c r="I227" s="9">
        <f t="shared" si="22"/>
        <v>143.26975003160999</v>
      </c>
      <c r="J227" s="9">
        <f t="shared" si="23"/>
        <v>379.47571916266998</v>
      </c>
      <c r="K227" s="9">
        <f t="shared" si="24"/>
        <v>143.26975003160999</v>
      </c>
      <c r="L227" s="10">
        <f t="shared" si="21"/>
        <v>0.37754655382890123</v>
      </c>
      <c r="M227" s="10">
        <f t="shared" si="20"/>
        <v>0.38250454272140505</v>
      </c>
      <c r="P227" s="8">
        <f t="shared" si="25"/>
        <v>25.5410910439414</v>
      </c>
    </row>
    <row r="228" spans="1:16" x14ac:dyDescent="0.2">
      <c r="A228" s="8">
        <v>113</v>
      </c>
      <c r="B228" s="8">
        <v>226</v>
      </c>
      <c r="D228">
        <v>531.70432145564996</v>
      </c>
      <c r="E228">
        <v>268.25852918878002</v>
      </c>
      <c r="F228">
        <v>156.05363984674</v>
      </c>
      <c r="G228">
        <v>125.75862068966001</v>
      </c>
      <c r="I228" s="9">
        <f t="shared" si="22"/>
        <v>142.49990849912001</v>
      </c>
      <c r="J228" s="9">
        <f t="shared" si="23"/>
        <v>375.65068160890996</v>
      </c>
      <c r="K228" s="9">
        <f t="shared" si="24"/>
        <v>142.49990849912001</v>
      </c>
      <c r="L228" s="10">
        <f t="shared" si="21"/>
        <v>0.37934154115944535</v>
      </c>
      <c r="M228" s="10">
        <f t="shared" si="20"/>
        <v>0.38432156555813807</v>
      </c>
      <c r="P228" s="8">
        <f t="shared" si="25"/>
        <v>26.137452665563664</v>
      </c>
    </row>
    <row r="229" spans="1:16" x14ac:dyDescent="0.2">
      <c r="A229" s="8">
        <v>113.5</v>
      </c>
      <c r="B229" s="8">
        <v>227</v>
      </c>
      <c r="D229">
        <v>533.36770280515998</v>
      </c>
      <c r="E229">
        <v>266.62168309325</v>
      </c>
      <c r="F229">
        <v>156.61149425286999</v>
      </c>
      <c r="G229">
        <v>125.96168582376001</v>
      </c>
      <c r="I229" s="9">
        <f t="shared" si="22"/>
        <v>140.65999726948999</v>
      </c>
      <c r="J229" s="9">
        <f t="shared" si="23"/>
        <v>376.75620855228999</v>
      </c>
      <c r="K229" s="9">
        <f t="shared" si="24"/>
        <v>140.65999726948999</v>
      </c>
      <c r="L229" s="10">
        <f t="shared" si="21"/>
        <v>0.37334486884764312</v>
      </c>
      <c r="M229" s="10">
        <f t="shared" si="20"/>
        <v>0.37834692875252479</v>
      </c>
      <c r="P229" s="8">
        <f t="shared" si="25"/>
        <v>24.176528442725655</v>
      </c>
    </row>
    <row r="230" spans="1:16" x14ac:dyDescent="0.2">
      <c r="A230" s="8">
        <v>114</v>
      </c>
      <c r="B230" s="8">
        <v>228</v>
      </c>
      <c r="D230">
        <v>543.62319939348004</v>
      </c>
      <c r="E230">
        <v>266.24791508718999</v>
      </c>
      <c r="F230">
        <v>157.44521072796999</v>
      </c>
      <c r="G230">
        <v>125.93716475095999</v>
      </c>
      <c r="I230" s="9">
        <f t="shared" si="22"/>
        <v>140.31075033623</v>
      </c>
      <c r="J230" s="9">
        <f t="shared" si="23"/>
        <v>386.17798866551004</v>
      </c>
      <c r="K230" s="9">
        <f t="shared" si="24"/>
        <v>140.31075033623</v>
      </c>
      <c r="L230" s="10">
        <f t="shared" si="21"/>
        <v>0.36333181707505563</v>
      </c>
      <c r="M230" s="10">
        <f t="shared" si="20"/>
        <v>0.3683559124861262</v>
      </c>
      <c r="P230" s="8">
        <f t="shared" si="25"/>
        <v>20.897395928906089</v>
      </c>
    </row>
    <row r="231" spans="1:16" x14ac:dyDescent="0.2">
      <c r="A231" s="8">
        <v>114.5</v>
      </c>
      <c r="B231" s="8">
        <v>229</v>
      </c>
      <c r="D231">
        <v>538.42213740457998</v>
      </c>
      <c r="E231">
        <v>260.49847328243999</v>
      </c>
      <c r="F231">
        <v>157.43141762452001</v>
      </c>
      <c r="G231">
        <v>126.30957854406</v>
      </c>
      <c r="I231" s="9">
        <f t="shared" si="22"/>
        <v>134.18889473837999</v>
      </c>
      <c r="J231" s="9">
        <f t="shared" si="23"/>
        <v>380.99071978005998</v>
      </c>
      <c r="K231" s="9">
        <f t="shared" si="24"/>
        <v>134.18889473837999</v>
      </c>
      <c r="L231" s="10">
        <f t="shared" si="21"/>
        <v>0.35221040243669227</v>
      </c>
      <c r="M231" s="10">
        <f t="shared" si="20"/>
        <v>0.35725653335395174</v>
      </c>
      <c r="P231" s="8">
        <f t="shared" si="25"/>
        <v>17.254489739479652</v>
      </c>
    </row>
    <row r="232" spans="1:16" x14ac:dyDescent="0.2">
      <c r="A232" s="8">
        <v>115</v>
      </c>
      <c r="B232" s="8">
        <v>230</v>
      </c>
      <c r="D232">
        <v>519.52322924600003</v>
      </c>
      <c r="E232">
        <v>254.42345773039</v>
      </c>
      <c r="F232">
        <v>156.40766283524999</v>
      </c>
      <c r="G232">
        <v>126.57394636015</v>
      </c>
      <c r="I232" s="9">
        <f t="shared" si="22"/>
        <v>127.84951137023999</v>
      </c>
      <c r="J232" s="9">
        <f t="shared" si="23"/>
        <v>363.11556641075003</v>
      </c>
      <c r="K232" s="9">
        <f t="shared" si="24"/>
        <v>127.84951137023999</v>
      </c>
      <c r="L232" s="10">
        <f t="shared" si="21"/>
        <v>0.35209041747777575</v>
      </c>
      <c r="M232" s="10">
        <f t="shared" si="20"/>
        <v>0.35715858390122412</v>
      </c>
      <c r="P232" s="8">
        <f t="shared" si="25"/>
        <v>17.222341935233732</v>
      </c>
    </row>
    <row r="233" spans="1:16" x14ac:dyDescent="0.2">
      <c r="A233" s="8">
        <v>115.5</v>
      </c>
      <c r="B233" s="8">
        <v>231</v>
      </c>
      <c r="D233">
        <v>528.52250190693997</v>
      </c>
      <c r="E233">
        <v>255.40274599541999</v>
      </c>
      <c r="F233">
        <v>157.09195402299</v>
      </c>
      <c r="G233">
        <v>126.42068965516999</v>
      </c>
      <c r="I233" s="9">
        <f t="shared" si="22"/>
        <v>128.98205634024998</v>
      </c>
      <c r="J233" s="9">
        <f t="shared" si="23"/>
        <v>371.43054788395</v>
      </c>
      <c r="K233" s="9">
        <f t="shared" si="24"/>
        <v>128.98205634024998</v>
      </c>
      <c r="L233" s="10">
        <f t="shared" si="21"/>
        <v>0.34725753461869058</v>
      </c>
      <c r="M233" s="10">
        <f t="shared" si="20"/>
        <v>0.35234773654832785</v>
      </c>
      <c r="P233" s="8">
        <f t="shared" si="25"/>
        <v>15.64338284305807</v>
      </c>
    </row>
    <row r="234" spans="1:16" x14ac:dyDescent="0.2">
      <c r="A234" s="8">
        <v>116</v>
      </c>
      <c r="B234" s="8">
        <v>232</v>
      </c>
      <c r="D234">
        <v>536.48436308162002</v>
      </c>
      <c r="E234">
        <v>255.13882532418</v>
      </c>
      <c r="F234">
        <v>156.33256704981</v>
      </c>
      <c r="G234">
        <v>126.16398467433</v>
      </c>
      <c r="I234" s="9">
        <f t="shared" si="22"/>
        <v>128.97484064985002</v>
      </c>
      <c r="J234" s="9">
        <f t="shared" si="23"/>
        <v>380.15179603181002</v>
      </c>
      <c r="K234" s="9">
        <f t="shared" si="24"/>
        <v>128.97484064985002</v>
      </c>
      <c r="L234" s="10">
        <f t="shared" si="21"/>
        <v>0.33927194872191996</v>
      </c>
      <c r="M234" s="10">
        <f t="shared" si="20"/>
        <v>0.34438418615774613</v>
      </c>
      <c r="P234" s="8">
        <f t="shared" si="25"/>
        <v>13.02968106188681</v>
      </c>
    </row>
    <row r="235" spans="1:16" x14ac:dyDescent="0.2">
      <c r="A235" s="8">
        <v>116.5</v>
      </c>
      <c r="B235" s="8">
        <v>233</v>
      </c>
      <c r="D235">
        <v>525.78337147215996</v>
      </c>
      <c r="E235">
        <v>250.66056445461999</v>
      </c>
      <c r="F235">
        <v>156.69961685824001</v>
      </c>
      <c r="G235">
        <v>126.28888888889</v>
      </c>
      <c r="I235" s="9">
        <f t="shared" si="22"/>
        <v>124.37167556572999</v>
      </c>
      <c r="J235" s="9">
        <f t="shared" si="23"/>
        <v>369.08375461391995</v>
      </c>
      <c r="K235" s="9">
        <f t="shared" si="24"/>
        <v>124.37167556572999</v>
      </c>
      <c r="L235" s="10">
        <f t="shared" si="21"/>
        <v>0.33697412582092368</v>
      </c>
      <c r="M235" s="10">
        <f t="shared" si="20"/>
        <v>0.34210839876293875</v>
      </c>
      <c r="P235" s="8">
        <f t="shared" si="25"/>
        <v>12.282749194109597</v>
      </c>
    </row>
    <row r="236" spans="1:16" x14ac:dyDescent="0.2">
      <c r="A236" s="8">
        <v>117</v>
      </c>
      <c r="B236" s="8">
        <v>234</v>
      </c>
      <c r="D236">
        <v>529.02059496567995</v>
      </c>
      <c r="E236">
        <v>249.24027459953999</v>
      </c>
      <c r="F236">
        <v>156.43754789272</v>
      </c>
      <c r="G236">
        <v>126.03141762452</v>
      </c>
      <c r="I236" s="9">
        <f t="shared" si="22"/>
        <v>123.20885697501998</v>
      </c>
      <c r="J236" s="9">
        <f t="shared" si="23"/>
        <v>372.58304707295997</v>
      </c>
      <c r="K236" s="9">
        <f t="shared" si="24"/>
        <v>123.20885697501998</v>
      </c>
      <c r="L236" s="10">
        <f t="shared" si="21"/>
        <v>0.33068830678947392</v>
      </c>
      <c r="M236" s="10">
        <f t="shared" si="20"/>
        <v>0.33584461523767789</v>
      </c>
      <c r="P236" s="8">
        <f t="shared" si="25"/>
        <v>10.22692467440695</v>
      </c>
    </row>
    <row r="237" spans="1:16" x14ac:dyDescent="0.2">
      <c r="A237" s="8">
        <v>117.5</v>
      </c>
      <c r="B237" s="8">
        <v>235</v>
      </c>
      <c r="D237">
        <v>532.81388253242005</v>
      </c>
      <c r="E237">
        <v>249.48054919909001</v>
      </c>
      <c r="F237">
        <v>156.51494252873999</v>
      </c>
      <c r="G237">
        <v>125.92183908046</v>
      </c>
      <c r="I237" s="9">
        <f t="shared" si="22"/>
        <v>123.55871011863</v>
      </c>
      <c r="J237" s="9">
        <f t="shared" si="23"/>
        <v>376.29894000368006</v>
      </c>
      <c r="K237" s="9">
        <f t="shared" si="24"/>
        <v>123.55871011863</v>
      </c>
      <c r="L237" s="10">
        <f t="shared" si="21"/>
        <v>0.32835253300852146</v>
      </c>
      <c r="M237" s="10">
        <f t="shared" si="20"/>
        <v>0.33353087696291434</v>
      </c>
      <c r="P237" s="8">
        <f t="shared" si="25"/>
        <v>9.4675370202438334</v>
      </c>
    </row>
    <row r="238" spans="1:16" x14ac:dyDescent="0.2">
      <c r="A238" s="8">
        <v>118</v>
      </c>
      <c r="B238" s="8">
        <v>236</v>
      </c>
      <c r="D238">
        <v>526.69260106789</v>
      </c>
      <c r="E238">
        <v>244.91228070175001</v>
      </c>
      <c r="F238">
        <v>155.79386973179999</v>
      </c>
      <c r="G238">
        <v>126.41379310345</v>
      </c>
      <c r="I238" s="9">
        <f t="shared" si="22"/>
        <v>118.4984875983</v>
      </c>
      <c r="J238" s="9">
        <f t="shared" si="23"/>
        <v>370.89873133609001</v>
      </c>
      <c r="K238" s="9">
        <f t="shared" si="24"/>
        <v>118.4984875983</v>
      </c>
      <c r="L238" s="10">
        <f t="shared" si="21"/>
        <v>0.31949013999436565</v>
      </c>
      <c r="M238" s="10">
        <f t="shared" si="20"/>
        <v>0.32469051945494748</v>
      </c>
      <c r="P238" s="8">
        <f t="shared" si="25"/>
        <v>6.5660600368005415</v>
      </c>
    </row>
    <row r="239" spans="1:16" x14ac:dyDescent="0.2">
      <c r="A239" s="8">
        <v>118.5</v>
      </c>
      <c r="B239" s="8">
        <v>237</v>
      </c>
      <c r="D239">
        <v>516.33180778031999</v>
      </c>
      <c r="E239">
        <v>240.53241800153</v>
      </c>
      <c r="F239">
        <v>156.21072796934999</v>
      </c>
      <c r="G239">
        <v>126.15095785441</v>
      </c>
      <c r="I239" s="9">
        <f t="shared" si="22"/>
        <v>114.38146014712001</v>
      </c>
      <c r="J239" s="9">
        <f t="shared" si="23"/>
        <v>360.12107981097</v>
      </c>
      <c r="K239" s="9">
        <f t="shared" si="24"/>
        <v>114.38146014712001</v>
      </c>
      <c r="L239" s="10">
        <f t="shared" si="21"/>
        <v>0.31761945234408273</v>
      </c>
      <c r="M239" s="10">
        <f t="shared" si="20"/>
        <v>0.32284186731085346</v>
      </c>
      <c r="P239" s="8">
        <f t="shared" si="25"/>
        <v>5.9593174201531882</v>
      </c>
    </row>
    <row r="240" spans="1:16" x14ac:dyDescent="0.2">
      <c r="A240" s="8">
        <v>119</v>
      </c>
      <c r="B240" s="8">
        <v>238</v>
      </c>
      <c r="D240">
        <v>526.31350114417</v>
      </c>
      <c r="E240">
        <v>243.49961861175001</v>
      </c>
      <c r="F240">
        <v>156.25977011494001</v>
      </c>
      <c r="G240">
        <v>126.03218390805</v>
      </c>
      <c r="I240" s="9">
        <f t="shared" si="22"/>
        <v>117.46743470370001</v>
      </c>
      <c r="J240" s="9">
        <f t="shared" si="23"/>
        <v>370.05373102922999</v>
      </c>
      <c r="K240" s="9">
        <f t="shared" si="24"/>
        <v>117.46743470370001</v>
      </c>
      <c r="L240" s="10">
        <f t="shared" si="21"/>
        <v>0.31743345588487371</v>
      </c>
      <c r="M240" s="10">
        <f t="shared" si="20"/>
        <v>0.32267790635783333</v>
      </c>
      <c r="P240" s="8">
        <f t="shared" si="25"/>
        <v>5.9055041065012688</v>
      </c>
    </row>
    <row r="241" spans="1:16" x14ac:dyDescent="0.2">
      <c r="A241" s="8">
        <v>119.5</v>
      </c>
      <c r="B241" s="8">
        <v>239</v>
      </c>
      <c r="D241">
        <v>524.52707856597999</v>
      </c>
      <c r="E241">
        <v>243.38443935927</v>
      </c>
      <c r="F241">
        <v>155.80459770114999</v>
      </c>
      <c r="G241">
        <v>125.91111111111</v>
      </c>
      <c r="I241" s="9">
        <f t="shared" si="22"/>
        <v>117.47332824816</v>
      </c>
      <c r="J241" s="9">
        <f t="shared" si="23"/>
        <v>368.72248086483</v>
      </c>
      <c r="K241" s="9">
        <f t="shared" si="24"/>
        <v>117.47332824816</v>
      </c>
      <c r="L241" s="10">
        <f t="shared" si="21"/>
        <v>0.31859551382012036</v>
      </c>
      <c r="M241" s="10">
        <f t="shared" si="20"/>
        <v>0.32386199979926888</v>
      </c>
      <c r="P241" s="8">
        <f t="shared" si="25"/>
        <v>6.2941331708208121</v>
      </c>
    </row>
    <row r="242" spans="1:16" x14ac:dyDescent="0.2">
      <c r="A242" s="8">
        <v>120</v>
      </c>
      <c r="B242" s="8">
        <v>240</v>
      </c>
      <c r="D242">
        <v>526.74329501915997</v>
      </c>
      <c r="E242">
        <v>241.49808429119</v>
      </c>
      <c r="F242">
        <v>156.52643678160999</v>
      </c>
      <c r="G242">
        <v>126.56704980843</v>
      </c>
      <c r="I242" s="9">
        <f>E242-G242</f>
        <v>114.93103448276</v>
      </c>
      <c r="J242" s="9">
        <f>D242-F242</f>
        <v>370.21685823755001</v>
      </c>
      <c r="K242" s="9">
        <f t="shared" si="24"/>
        <v>114.93103448276</v>
      </c>
      <c r="L242" s="10">
        <f t="shared" si="21"/>
        <v>0.31044246615321441</v>
      </c>
      <c r="M242" s="10">
        <f>L242+ABS($N$2)*A242</f>
        <v>0.31573098763855184</v>
      </c>
      <c r="O242" s="11"/>
      <c r="P242" s="8">
        <f>(M242-$O$2)/$O$2*100</f>
        <v>3.6254690794470017</v>
      </c>
    </row>
    <row r="243" spans="1:16" x14ac:dyDescent="0.2">
      <c r="A243" s="8">
        <v>120.5</v>
      </c>
      <c r="B243" s="8">
        <v>241</v>
      </c>
      <c r="D243">
        <v>529.57164750957998</v>
      </c>
      <c r="E243">
        <v>241.69808429119001</v>
      </c>
      <c r="F243">
        <v>156.22681992336999</v>
      </c>
      <c r="G243">
        <v>125.44291187739999</v>
      </c>
      <c r="I243" s="9">
        <f t="shared" ref="I243:I274" si="26">E243-G243</f>
        <v>116.25517241379002</v>
      </c>
      <c r="J243" s="9">
        <f t="shared" ref="J243:J274" si="27">D243-F243</f>
        <v>373.34482758620999</v>
      </c>
      <c r="K243" s="9">
        <f t="shared" si="24"/>
        <v>116.25517241379002</v>
      </c>
      <c r="L243" s="10">
        <f t="shared" si="21"/>
        <v>0.31138819617621527</v>
      </c>
      <c r="M243" s="10">
        <f t="shared" ref="M243:M274" si="28">L243+ABS($N$2)*A243</f>
        <v>0.3166987531677416</v>
      </c>
      <c r="P243" s="8">
        <f t="shared" ref="P243:P274" si="29">(M243-$O$2)/$O$2*100</f>
        <v>3.9430975696730362</v>
      </c>
    </row>
    <row r="244" spans="1:16" x14ac:dyDescent="0.2">
      <c r="A244" s="8">
        <v>121</v>
      </c>
      <c r="B244" s="8">
        <v>242</v>
      </c>
      <c r="D244">
        <v>500.45593869731999</v>
      </c>
      <c r="E244">
        <v>231.89961685823999</v>
      </c>
      <c r="F244">
        <v>156.40229885058</v>
      </c>
      <c r="G244">
        <v>125.78620689655</v>
      </c>
      <c r="I244" s="9">
        <f t="shared" si="26"/>
        <v>106.11340996169</v>
      </c>
      <c r="J244" s="9">
        <f t="shared" si="27"/>
        <v>344.05363984674</v>
      </c>
      <c r="K244" s="9">
        <f t="shared" si="24"/>
        <v>106.11340996169</v>
      </c>
      <c r="L244" s="10">
        <f t="shared" si="21"/>
        <v>0.30842112296489183</v>
      </c>
      <c r="M244" s="10">
        <f t="shared" si="28"/>
        <v>0.31375371546260705</v>
      </c>
      <c r="N244" s="1"/>
      <c r="P244" s="8">
        <f t="shared" si="29"/>
        <v>2.9765123259066053</v>
      </c>
    </row>
    <row r="245" spans="1:16" x14ac:dyDescent="0.2">
      <c r="A245" s="8">
        <v>121.5</v>
      </c>
      <c r="B245" s="8">
        <v>243</v>
      </c>
      <c r="D245">
        <v>523.03576864536001</v>
      </c>
      <c r="E245">
        <v>239.67199391171999</v>
      </c>
      <c r="F245">
        <v>156.16015325671</v>
      </c>
      <c r="G245">
        <v>125.75785440612999</v>
      </c>
      <c r="I245" s="9">
        <f t="shared" si="26"/>
        <v>113.91413950559</v>
      </c>
      <c r="J245" s="9">
        <f t="shared" si="27"/>
        <v>366.87561538864998</v>
      </c>
      <c r="K245" s="9">
        <f t="shared" si="24"/>
        <v>113.91413950559</v>
      </c>
      <c r="L245" s="10">
        <f t="shared" si="21"/>
        <v>0.31049798549547908</v>
      </c>
      <c r="M245" s="10">
        <f t="shared" si="28"/>
        <v>0.31585261349938321</v>
      </c>
      <c r="P245" s="8">
        <f t="shared" si="29"/>
        <v>3.6653876727251191</v>
      </c>
    </row>
    <row r="246" spans="1:16" x14ac:dyDescent="0.2">
      <c r="A246" s="8">
        <v>122</v>
      </c>
      <c r="B246" s="8">
        <v>244</v>
      </c>
      <c r="D246">
        <v>529.46042617959995</v>
      </c>
      <c r="E246">
        <v>239.87747336378001</v>
      </c>
      <c r="F246">
        <v>155.96321839081</v>
      </c>
      <c r="G246">
        <v>125.72413793103</v>
      </c>
      <c r="I246" s="9">
        <f t="shared" si="26"/>
        <v>114.15333543275001</v>
      </c>
      <c r="J246" s="9">
        <f t="shared" si="27"/>
        <v>373.49720778878998</v>
      </c>
      <c r="K246" s="9">
        <f t="shared" si="24"/>
        <v>114.15333543275001</v>
      </c>
      <c r="L246" s="10">
        <f t="shared" si="21"/>
        <v>0.30563370502438381</v>
      </c>
      <c r="M246" s="10">
        <f t="shared" si="28"/>
        <v>0.31101036853447683</v>
      </c>
      <c r="P246" s="8">
        <f t="shared" si="29"/>
        <v>2.0761236298163825</v>
      </c>
    </row>
    <row r="247" spans="1:16" x14ac:dyDescent="0.2">
      <c r="A247" s="8">
        <v>122.5</v>
      </c>
      <c r="B247" s="8">
        <v>245</v>
      </c>
      <c r="D247">
        <v>525.40715372907005</v>
      </c>
      <c r="E247">
        <v>238.56316590563</v>
      </c>
      <c r="F247">
        <v>156.38697318007999</v>
      </c>
      <c r="G247">
        <v>125.71034482759001</v>
      </c>
      <c r="I247" s="9">
        <f t="shared" si="26"/>
        <v>112.85282107803999</v>
      </c>
      <c r="J247" s="9">
        <f t="shared" si="27"/>
        <v>369.02018054899008</v>
      </c>
      <c r="K247" s="9">
        <f t="shared" si="24"/>
        <v>112.85282107803999</v>
      </c>
      <c r="L247" s="10">
        <f t="shared" si="21"/>
        <v>0.3058174783561951</v>
      </c>
      <c r="M247" s="10">
        <f t="shared" si="28"/>
        <v>0.31121617737247709</v>
      </c>
      <c r="P247" s="8">
        <f t="shared" si="29"/>
        <v>2.143671758487514</v>
      </c>
    </row>
    <row r="248" spans="1:16" x14ac:dyDescent="0.2">
      <c r="A248" s="8">
        <v>123</v>
      </c>
      <c r="B248" s="8">
        <v>246</v>
      </c>
      <c r="D248">
        <v>513.72358346094995</v>
      </c>
      <c r="E248">
        <v>233.16768759570999</v>
      </c>
      <c r="F248">
        <v>155.52720306513001</v>
      </c>
      <c r="G248">
        <v>126.09885057471</v>
      </c>
      <c r="I248" s="9">
        <f t="shared" si="26"/>
        <v>107.06883702099999</v>
      </c>
      <c r="J248" s="9">
        <f t="shared" si="27"/>
        <v>358.19638039581992</v>
      </c>
      <c r="K248" s="9">
        <f t="shared" si="24"/>
        <v>107.06883702099999</v>
      </c>
      <c r="L248" s="10">
        <f t="shared" si="21"/>
        <v>0.29891099653962183</v>
      </c>
      <c r="M248" s="10">
        <f t="shared" si="28"/>
        <v>0.30433173106209271</v>
      </c>
      <c r="P248" s="8">
        <f t="shared" si="29"/>
        <v>-0.11585931764034527</v>
      </c>
    </row>
    <row r="249" spans="1:16" x14ac:dyDescent="0.2">
      <c r="A249" s="8">
        <v>123.5</v>
      </c>
      <c r="B249" s="8">
        <v>247</v>
      </c>
      <c r="D249">
        <v>506.79785604901002</v>
      </c>
      <c r="E249">
        <v>230.51531393568001</v>
      </c>
      <c r="F249">
        <v>155.77777777777999</v>
      </c>
      <c r="G249">
        <v>125.61685823755001</v>
      </c>
      <c r="I249" s="9">
        <f t="shared" si="26"/>
        <v>104.89845569813001</v>
      </c>
      <c r="J249" s="9">
        <f t="shared" si="27"/>
        <v>351.02007827123003</v>
      </c>
      <c r="K249" s="9">
        <f t="shared" si="24"/>
        <v>104.89845569813001</v>
      </c>
      <c r="L249" s="10">
        <f t="shared" si="21"/>
        <v>0.29883890464258833</v>
      </c>
      <c r="M249" s="10">
        <f t="shared" si="28"/>
        <v>0.30428167467124811</v>
      </c>
      <c r="P249" s="8">
        <f t="shared" si="29"/>
        <v>-0.1322882308125739</v>
      </c>
    </row>
    <row r="250" spans="1:16" x14ac:dyDescent="0.2">
      <c r="A250" s="8">
        <v>124</v>
      </c>
      <c r="B250" s="8">
        <v>248</v>
      </c>
      <c r="D250">
        <v>517.04594180703998</v>
      </c>
      <c r="E250">
        <v>235.06584992342999</v>
      </c>
      <c r="F250">
        <v>156.06896551724</v>
      </c>
      <c r="G250">
        <v>125.70344827586</v>
      </c>
      <c r="I250" s="9">
        <f t="shared" si="26"/>
        <v>109.36240164757</v>
      </c>
      <c r="J250" s="9">
        <f t="shared" si="27"/>
        <v>360.97697628979995</v>
      </c>
      <c r="K250" s="9">
        <f t="shared" si="24"/>
        <v>109.36240164757</v>
      </c>
      <c r="L250" s="10">
        <f t="shared" si="21"/>
        <v>0.30296226305516932</v>
      </c>
      <c r="M250" s="10">
        <f t="shared" si="28"/>
        <v>0.30842706859001801</v>
      </c>
      <c r="P250" s="8">
        <f t="shared" si="29"/>
        <v>1.2282636509158864</v>
      </c>
    </row>
    <row r="251" spans="1:16" x14ac:dyDescent="0.2">
      <c r="A251" s="8">
        <v>124.5</v>
      </c>
      <c r="B251" s="8">
        <v>249</v>
      </c>
      <c r="D251">
        <v>517.03905053598999</v>
      </c>
      <c r="E251">
        <v>234.48468606431999</v>
      </c>
      <c r="F251">
        <v>155.7754789272</v>
      </c>
      <c r="G251">
        <v>126.39003831418</v>
      </c>
      <c r="I251" s="9">
        <f t="shared" si="26"/>
        <v>108.09464775013998</v>
      </c>
      <c r="J251" s="9">
        <f t="shared" si="27"/>
        <v>361.26357160879002</v>
      </c>
      <c r="K251" s="9">
        <f t="shared" si="24"/>
        <v>108.09464775013998</v>
      </c>
      <c r="L251" s="10">
        <f t="shared" si="21"/>
        <v>0.29921269744627055</v>
      </c>
      <c r="M251" s="10">
        <f t="shared" si="28"/>
        <v>0.30469953848730813</v>
      </c>
      <c r="P251" s="8">
        <f t="shared" si="29"/>
        <v>4.8580603209342245E-3</v>
      </c>
    </row>
    <row r="252" spans="1:16" x14ac:dyDescent="0.2">
      <c r="A252" s="8">
        <v>125</v>
      </c>
      <c r="B252" s="8">
        <v>250</v>
      </c>
      <c r="D252">
        <v>520.01148545176</v>
      </c>
      <c r="E252">
        <v>235.28483920368001</v>
      </c>
      <c r="F252">
        <v>155.83754789272001</v>
      </c>
      <c r="G252">
        <v>125.369348659</v>
      </c>
      <c r="I252" s="9">
        <f t="shared" si="26"/>
        <v>109.91549054468001</v>
      </c>
      <c r="J252" s="9">
        <f t="shared" si="27"/>
        <v>364.17393755903998</v>
      </c>
      <c r="K252" s="9">
        <f t="shared" si="24"/>
        <v>109.91549054468001</v>
      </c>
      <c r="L252" s="10">
        <f t="shared" si="21"/>
        <v>0.30182140787288075</v>
      </c>
      <c r="M252" s="10">
        <f t="shared" si="28"/>
        <v>0.30733028442010724</v>
      </c>
      <c r="P252" s="8">
        <f t="shared" si="29"/>
        <v>0.86829019713495081</v>
      </c>
    </row>
    <row r="253" spans="1:16" x14ac:dyDescent="0.2">
      <c r="A253" s="8">
        <v>125.5</v>
      </c>
      <c r="B253" s="8">
        <v>251</v>
      </c>
      <c r="D253">
        <v>515.99004594180997</v>
      </c>
      <c r="E253">
        <v>233.16539050535999</v>
      </c>
      <c r="F253">
        <v>155.71034482759001</v>
      </c>
      <c r="G253">
        <v>126.10421455939</v>
      </c>
      <c r="I253" s="9">
        <f t="shared" si="26"/>
        <v>107.06117594596999</v>
      </c>
      <c r="J253" s="9">
        <f t="shared" si="27"/>
        <v>360.27970111421996</v>
      </c>
      <c r="K253" s="9">
        <f t="shared" si="24"/>
        <v>107.06117594596999</v>
      </c>
      <c r="L253" s="10">
        <f t="shared" si="21"/>
        <v>0.29716127668271891</v>
      </c>
      <c r="M253" s="10">
        <f t="shared" si="28"/>
        <v>0.30269218873613429</v>
      </c>
      <c r="P253" s="8">
        <f t="shared" si="29"/>
        <v>-0.65397039718236416</v>
      </c>
    </row>
    <row r="254" spans="1:16" x14ac:dyDescent="0.2">
      <c r="A254" s="8">
        <v>126</v>
      </c>
      <c r="B254" s="8">
        <v>252</v>
      </c>
      <c r="D254">
        <v>513.93491577334999</v>
      </c>
      <c r="E254">
        <v>231.62940275650999</v>
      </c>
      <c r="F254">
        <v>155.60153256704999</v>
      </c>
      <c r="G254">
        <v>125.89425287356001</v>
      </c>
      <c r="I254" s="9">
        <f t="shared" si="26"/>
        <v>105.73514988294998</v>
      </c>
      <c r="J254" s="9">
        <f t="shared" si="27"/>
        <v>358.33338320630003</v>
      </c>
      <c r="K254" s="9">
        <f t="shared" si="24"/>
        <v>105.73514988294998</v>
      </c>
      <c r="L254" s="10">
        <f t="shared" si="21"/>
        <v>0.29507479581403123</v>
      </c>
      <c r="M254" s="10">
        <f t="shared" si="28"/>
        <v>0.30062774337363551</v>
      </c>
      <c r="P254" s="8">
        <f t="shared" si="29"/>
        <v>-1.3315380970710131</v>
      </c>
    </row>
    <row r="255" spans="1:16" x14ac:dyDescent="0.2">
      <c r="A255" s="8">
        <v>126.5</v>
      </c>
      <c r="B255" s="8">
        <v>253</v>
      </c>
      <c r="D255">
        <v>518.89816232772</v>
      </c>
      <c r="E255">
        <v>233.78101071975999</v>
      </c>
      <c r="F255">
        <v>155.80842911876999</v>
      </c>
      <c r="G255">
        <v>125.90421455939</v>
      </c>
      <c r="I255" s="9">
        <f t="shared" si="26"/>
        <v>107.87679616036999</v>
      </c>
      <c r="J255" s="9">
        <f t="shared" si="27"/>
        <v>363.08973320895001</v>
      </c>
      <c r="K255" s="9">
        <f t="shared" si="24"/>
        <v>107.87679616036999</v>
      </c>
      <c r="L255" s="10">
        <f t="shared" si="21"/>
        <v>0.29710781190909991</v>
      </c>
      <c r="M255" s="10">
        <f t="shared" si="28"/>
        <v>0.30268279497489309</v>
      </c>
      <c r="P255" s="8">
        <f t="shared" si="29"/>
        <v>-0.65705350575628285</v>
      </c>
    </row>
    <row r="256" spans="1:16" x14ac:dyDescent="0.2">
      <c r="A256" s="8">
        <v>127</v>
      </c>
      <c r="B256" s="8">
        <v>254</v>
      </c>
      <c r="D256">
        <v>517.20826952527</v>
      </c>
      <c r="E256">
        <v>232.88437978561001</v>
      </c>
      <c r="F256">
        <v>155.33793103447999</v>
      </c>
      <c r="G256">
        <v>125.48352490422</v>
      </c>
      <c r="I256" s="9">
        <f t="shared" si="26"/>
        <v>107.40085488139</v>
      </c>
      <c r="J256" s="9">
        <f t="shared" si="27"/>
        <v>361.87033849079</v>
      </c>
      <c r="K256" s="9">
        <f t="shared" si="24"/>
        <v>107.40085488139</v>
      </c>
      <c r="L256" s="10">
        <f t="shared" si="21"/>
        <v>0.29679375029551774</v>
      </c>
      <c r="M256" s="10">
        <f t="shared" si="28"/>
        <v>0.30239076886749983</v>
      </c>
      <c r="P256" s="8">
        <f t="shared" si="29"/>
        <v>-0.75289884101591487</v>
      </c>
    </row>
    <row r="257" spans="1:16" x14ac:dyDescent="0.2">
      <c r="A257" s="8">
        <v>127.5</v>
      </c>
      <c r="B257" s="8">
        <v>255</v>
      </c>
      <c r="D257">
        <v>517.39050535987997</v>
      </c>
      <c r="E257">
        <v>231.76646248086001</v>
      </c>
      <c r="F257">
        <v>155.94559386973</v>
      </c>
      <c r="G257">
        <v>125.59310344828</v>
      </c>
      <c r="I257" s="9">
        <f t="shared" si="26"/>
        <v>106.17335903258001</v>
      </c>
      <c r="J257" s="9">
        <f t="shared" si="27"/>
        <v>361.44491149014993</v>
      </c>
      <c r="K257" s="9">
        <f t="shared" si="24"/>
        <v>106.17335903258001</v>
      </c>
      <c r="L257" s="10">
        <f t="shared" si="21"/>
        <v>0.29374700170726692</v>
      </c>
      <c r="M257" s="10">
        <f t="shared" si="28"/>
        <v>0.29936605578543796</v>
      </c>
      <c r="P257" s="8">
        <f t="shared" si="29"/>
        <v>-1.7456341892428791</v>
      </c>
    </row>
    <row r="258" spans="1:16" x14ac:dyDescent="0.2">
      <c r="A258" s="8">
        <v>128</v>
      </c>
      <c r="B258" s="8">
        <v>256</v>
      </c>
      <c r="D258">
        <v>526.73889739663002</v>
      </c>
      <c r="E258">
        <v>232.74961715161001</v>
      </c>
      <c r="F258">
        <v>155.73563218391001</v>
      </c>
      <c r="G258">
        <v>125.75708812261</v>
      </c>
      <c r="I258" s="9">
        <f t="shared" si="26"/>
        <v>106.99252902900001</v>
      </c>
      <c r="J258" s="9">
        <f t="shared" si="27"/>
        <v>371.00326521272001</v>
      </c>
      <c r="K258" s="9">
        <f t="shared" si="24"/>
        <v>106.99252902900001</v>
      </c>
      <c r="L258" s="10">
        <f t="shared" ref="L258:L321" si="30">K258/J258</f>
        <v>0.28838702798923971</v>
      </c>
      <c r="M258" s="10">
        <f t="shared" si="28"/>
        <v>0.29402811757359965</v>
      </c>
      <c r="P258" s="8">
        <f t="shared" si="29"/>
        <v>-3.4975887732892517</v>
      </c>
    </row>
    <row r="259" spans="1:16" x14ac:dyDescent="0.2">
      <c r="A259" s="8">
        <v>128.5</v>
      </c>
      <c r="B259" s="8">
        <v>257</v>
      </c>
      <c r="D259">
        <v>526.91500765697003</v>
      </c>
      <c r="E259">
        <v>234.45482388974</v>
      </c>
      <c r="F259">
        <v>156.31187739463999</v>
      </c>
      <c r="G259">
        <v>125.33409961686</v>
      </c>
      <c r="I259" s="9">
        <f t="shared" si="26"/>
        <v>109.12072427288</v>
      </c>
      <c r="J259" s="9">
        <f t="shared" si="27"/>
        <v>370.60313026233007</v>
      </c>
      <c r="K259" s="9">
        <f t="shared" ref="K259:K322" si="31">I259*1</f>
        <v>109.12072427288</v>
      </c>
      <c r="L259" s="10">
        <f t="shared" si="30"/>
        <v>0.29444091364160713</v>
      </c>
      <c r="M259" s="10">
        <f t="shared" si="28"/>
        <v>0.30010403873215596</v>
      </c>
      <c r="P259" s="8">
        <f t="shared" si="29"/>
        <v>-1.5034222049259225</v>
      </c>
    </row>
    <row r="260" spans="1:16" x14ac:dyDescent="0.2">
      <c r="A260" s="8">
        <v>129</v>
      </c>
      <c r="B260" s="8">
        <v>258</v>
      </c>
      <c r="D260">
        <v>519.12681436211005</v>
      </c>
      <c r="E260">
        <v>229.91749427043999</v>
      </c>
      <c r="F260">
        <v>155.87816091953999</v>
      </c>
      <c r="G260">
        <v>125.37164750958</v>
      </c>
      <c r="I260" s="9">
        <f t="shared" si="26"/>
        <v>104.54584676085999</v>
      </c>
      <c r="J260" s="9">
        <f t="shared" si="27"/>
        <v>363.24865344257006</v>
      </c>
      <c r="K260" s="9">
        <f t="shared" si="31"/>
        <v>104.54584676085999</v>
      </c>
      <c r="L260" s="10">
        <f t="shared" si="30"/>
        <v>0.28780794029120543</v>
      </c>
      <c r="M260" s="10">
        <f t="shared" si="28"/>
        <v>0.29349310088794317</v>
      </c>
      <c r="P260" s="8">
        <f t="shared" si="29"/>
        <v>-3.673185585724883</v>
      </c>
    </row>
    <row r="261" spans="1:16" x14ac:dyDescent="0.2">
      <c r="A261" s="8">
        <v>129.5</v>
      </c>
      <c r="B261" s="8">
        <v>259</v>
      </c>
      <c r="D261">
        <v>510.94652406416998</v>
      </c>
      <c r="E261">
        <v>227.48739495798</v>
      </c>
      <c r="F261">
        <v>155.89961685823999</v>
      </c>
      <c r="G261">
        <v>125.47049808429</v>
      </c>
      <c r="I261" s="9">
        <f t="shared" si="26"/>
        <v>102.01689687369</v>
      </c>
      <c r="J261" s="9">
        <f t="shared" si="27"/>
        <v>355.04690720592998</v>
      </c>
      <c r="K261" s="9">
        <f t="shared" si="31"/>
        <v>102.01689687369</v>
      </c>
      <c r="L261" s="10">
        <f t="shared" si="30"/>
        <v>0.2873335742494425</v>
      </c>
      <c r="M261" s="10">
        <f t="shared" si="28"/>
        <v>0.29304077035236914</v>
      </c>
      <c r="P261" s="8">
        <f t="shared" si="29"/>
        <v>-3.8216441335487552</v>
      </c>
    </row>
    <row r="262" spans="1:16" x14ac:dyDescent="0.2">
      <c r="A262" s="8">
        <v>130</v>
      </c>
      <c r="B262" s="8">
        <v>260</v>
      </c>
      <c r="D262">
        <v>512.00840336135002</v>
      </c>
      <c r="E262">
        <v>226.34530175706999</v>
      </c>
      <c r="F262">
        <v>155.58697318008001</v>
      </c>
      <c r="G262">
        <v>125.68888888889001</v>
      </c>
      <c r="I262" s="9">
        <f t="shared" si="26"/>
        <v>100.65641286817998</v>
      </c>
      <c r="J262" s="9">
        <f t="shared" si="27"/>
        <v>356.42143018127001</v>
      </c>
      <c r="K262" s="9">
        <f t="shared" si="31"/>
        <v>100.65641286817998</v>
      </c>
      <c r="L262" s="10">
        <f t="shared" si="30"/>
        <v>0.28240841976585923</v>
      </c>
      <c r="M262" s="10">
        <f t="shared" si="28"/>
        <v>0.28813765137497477</v>
      </c>
      <c r="P262" s="8">
        <f t="shared" si="29"/>
        <v>-5.4308875207277421</v>
      </c>
    </row>
    <row r="263" spans="1:16" x14ac:dyDescent="0.2">
      <c r="A263" s="8">
        <v>130.5</v>
      </c>
      <c r="B263" s="8">
        <v>261</v>
      </c>
      <c r="D263">
        <v>513.10236822002003</v>
      </c>
      <c r="E263">
        <v>227.96027501910001</v>
      </c>
      <c r="F263">
        <v>155.21609195401999</v>
      </c>
      <c r="G263">
        <v>125.14789272031</v>
      </c>
      <c r="I263" s="9">
        <f t="shared" si="26"/>
        <v>102.81238229879001</v>
      </c>
      <c r="J263" s="9">
        <f t="shared" si="27"/>
        <v>357.88627626600004</v>
      </c>
      <c r="K263" s="9">
        <f t="shared" si="31"/>
        <v>102.81238229879001</v>
      </c>
      <c r="L263" s="10">
        <f t="shared" si="30"/>
        <v>0.28727668289346309</v>
      </c>
      <c r="M263" s="10">
        <f t="shared" si="28"/>
        <v>0.29302795000876752</v>
      </c>
      <c r="P263" s="8">
        <f t="shared" si="29"/>
        <v>-3.8258518742251244</v>
      </c>
    </row>
    <row r="264" spans="1:16" x14ac:dyDescent="0.2">
      <c r="A264" s="8">
        <v>131</v>
      </c>
      <c r="B264" s="8">
        <v>262</v>
      </c>
      <c r="D264">
        <v>515.43239113826996</v>
      </c>
      <c r="E264">
        <v>226.7012987013</v>
      </c>
      <c r="F264">
        <v>155.59540229884999</v>
      </c>
      <c r="G264">
        <v>125.79463601533</v>
      </c>
      <c r="I264" s="9">
        <f t="shared" si="26"/>
        <v>100.90666268597001</v>
      </c>
      <c r="J264" s="9">
        <f t="shared" si="27"/>
        <v>359.83698883941997</v>
      </c>
      <c r="K264" s="9">
        <f t="shared" si="31"/>
        <v>100.90666268597001</v>
      </c>
      <c r="L264" s="10">
        <f t="shared" si="30"/>
        <v>0.28042326335439732</v>
      </c>
      <c r="M264" s="10">
        <f t="shared" si="28"/>
        <v>0.28619656597589066</v>
      </c>
      <c r="P264" s="8">
        <f t="shared" si="29"/>
        <v>-6.067967480815879</v>
      </c>
    </row>
    <row r="265" spans="1:16" x14ac:dyDescent="0.2">
      <c r="A265" s="8">
        <v>131.5</v>
      </c>
      <c r="B265" s="8">
        <v>263</v>
      </c>
      <c r="D265">
        <v>506.24216959511</v>
      </c>
      <c r="E265">
        <v>223.7372039725</v>
      </c>
      <c r="F265">
        <v>155.61302681992001</v>
      </c>
      <c r="G265">
        <v>125.88965517241</v>
      </c>
      <c r="I265" s="9">
        <f t="shared" si="26"/>
        <v>97.847548800089996</v>
      </c>
      <c r="J265" s="9">
        <f t="shared" si="27"/>
        <v>350.62914277518996</v>
      </c>
      <c r="K265" s="9">
        <f t="shared" si="31"/>
        <v>97.847548800089996</v>
      </c>
      <c r="L265" s="10">
        <f t="shared" si="30"/>
        <v>0.27906279559547653</v>
      </c>
      <c r="M265" s="10">
        <f t="shared" si="28"/>
        <v>0.28485813372315877</v>
      </c>
      <c r="P265" s="8">
        <f t="shared" si="29"/>
        <v>-6.5072517938880621</v>
      </c>
    </row>
    <row r="266" spans="1:16" x14ac:dyDescent="0.2">
      <c r="A266" s="8">
        <v>132</v>
      </c>
      <c r="B266" s="8">
        <v>264</v>
      </c>
      <c r="D266">
        <v>512.46142093201001</v>
      </c>
      <c r="E266">
        <v>225.81970970206001</v>
      </c>
      <c r="F266">
        <v>155.27662835249001</v>
      </c>
      <c r="G266">
        <v>125.6</v>
      </c>
      <c r="I266" s="9">
        <f t="shared" si="26"/>
        <v>100.21970970206002</v>
      </c>
      <c r="J266" s="9">
        <f t="shared" si="27"/>
        <v>357.18479257952004</v>
      </c>
      <c r="K266" s="9">
        <f t="shared" si="31"/>
        <v>100.21970970206002</v>
      </c>
      <c r="L266" s="10">
        <f t="shared" si="30"/>
        <v>0.28058224141708976</v>
      </c>
      <c r="M266" s="10">
        <f t="shared" si="28"/>
        <v>0.28639961505096095</v>
      </c>
      <c r="P266" s="8">
        <f t="shared" si="29"/>
        <v>-6.0013251287056857</v>
      </c>
    </row>
    <row r="267" spans="1:16" x14ac:dyDescent="0.2">
      <c r="A267" s="8">
        <v>132.5</v>
      </c>
      <c r="B267" s="8">
        <v>265</v>
      </c>
      <c r="D267">
        <v>495.72421695950999</v>
      </c>
      <c r="E267">
        <v>220.89304812834001</v>
      </c>
      <c r="F267">
        <v>155.5877394636</v>
      </c>
      <c r="G267">
        <v>125.33026819923001</v>
      </c>
      <c r="I267" s="9">
        <f t="shared" si="26"/>
        <v>95.562779929110008</v>
      </c>
      <c r="J267" s="9">
        <f t="shared" si="27"/>
        <v>340.13647749590996</v>
      </c>
      <c r="K267" s="9">
        <f t="shared" si="31"/>
        <v>95.562779929110008</v>
      </c>
      <c r="L267" s="10">
        <f t="shared" si="30"/>
        <v>0.28095422353005089</v>
      </c>
      <c r="M267" s="10">
        <f t="shared" si="28"/>
        <v>0.28679363267011099</v>
      </c>
      <c r="P267" s="8">
        <f t="shared" si="29"/>
        <v>-5.8720053526666884</v>
      </c>
    </row>
    <row r="268" spans="1:16" x14ac:dyDescent="0.2">
      <c r="A268" s="8">
        <v>133</v>
      </c>
      <c r="B268" s="8">
        <v>266</v>
      </c>
      <c r="D268">
        <v>501.45301757067</v>
      </c>
      <c r="E268">
        <v>222.90985485102999</v>
      </c>
      <c r="F268">
        <v>155.51340996169</v>
      </c>
      <c r="G268">
        <v>125.65670498084</v>
      </c>
      <c r="I268" s="9">
        <f t="shared" si="26"/>
        <v>97.253149870189986</v>
      </c>
      <c r="J268" s="9">
        <f t="shared" si="27"/>
        <v>345.93960760898</v>
      </c>
      <c r="K268" s="9">
        <f t="shared" si="31"/>
        <v>97.253149870189986</v>
      </c>
      <c r="L268" s="10">
        <f t="shared" si="30"/>
        <v>0.28112753709345845</v>
      </c>
      <c r="M268" s="10">
        <f t="shared" si="28"/>
        <v>0.28698898173970744</v>
      </c>
      <c r="P268" s="8">
        <f t="shared" si="29"/>
        <v>-5.8078902047600156</v>
      </c>
    </row>
    <row r="269" spans="1:16" x14ac:dyDescent="0.2">
      <c r="A269" s="8">
        <v>133.5</v>
      </c>
      <c r="B269" s="8">
        <v>267</v>
      </c>
      <c r="D269">
        <v>496.37967914439002</v>
      </c>
      <c r="E269">
        <v>221.92818945760001</v>
      </c>
      <c r="F269">
        <v>155.38160919539999</v>
      </c>
      <c r="G269">
        <v>125.6214559387</v>
      </c>
      <c r="I269" s="9">
        <f t="shared" si="26"/>
        <v>96.306733518900018</v>
      </c>
      <c r="J269" s="9">
        <f t="shared" si="27"/>
        <v>340.99806994899006</v>
      </c>
      <c r="K269" s="9">
        <f t="shared" si="31"/>
        <v>96.306733518900018</v>
      </c>
      <c r="L269" s="10">
        <f t="shared" si="30"/>
        <v>0.28242603699577112</v>
      </c>
      <c r="M269" s="10">
        <f t="shared" si="28"/>
        <v>0.28830951714820902</v>
      </c>
      <c r="P269" s="8">
        <f t="shared" si="29"/>
        <v>-5.3744797810145624</v>
      </c>
    </row>
    <row r="270" spans="1:16" x14ac:dyDescent="0.2">
      <c r="A270" s="8">
        <v>134</v>
      </c>
      <c r="B270" s="8">
        <v>268</v>
      </c>
      <c r="D270">
        <v>490.90297937357002</v>
      </c>
      <c r="E270">
        <v>220.39419404124999</v>
      </c>
      <c r="F270">
        <v>155.08122605363999</v>
      </c>
      <c r="G270">
        <v>125.32796934866001</v>
      </c>
      <c r="I270" s="9">
        <f t="shared" si="26"/>
        <v>95.066224692589984</v>
      </c>
      <c r="J270" s="9">
        <f t="shared" si="27"/>
        <v>335.82175331993005</v>
      </c>
      <c r="K270" s="9">
        <f t="shared" si="31"/>
        <v>95.066224692589984</v>
      </c>
      <c r="L270" s="10">
        <f t="shared" si="30"/>
        <v>0.28308536821324515</v>
      </c>
      <c r="M270" s="10">
        <f t="shared" si="28"/>
        <v>0.28899088387187194</v>
      </c>
      <c r="P270" s="8">
        <f t="shared" si="29"/>
        <v>-5.1508496999674431</v>
      </c>
    </row>
    <row r="271" spans="1:16" x14ac:dyDescent="0.2">
      <c r="A271" s="8">
        <v>134.5</v>
      </c>
      <c r="B271" s="8">
        <v>269</v>
      </c>
      <c r="D271">
        <v>500.55767761649997</v>
      </c>
      <c r="E271">
        <v>223.02444614209</v>
      </c>
      <c r="F271">
        <v>155.34406130267999</v>
      </c>
      <c r="G271">
        <v>125.55632183908</v>
      </c>
      <c r="I271" s="9">
        <f t="shared" si="26"/>
        <v>97.468124303010001</v>
      </c>
      <c r="J271" s="9">
        <f t="shared" si="27"/>
        <v>345.21361631382001</v>
      </c>
      <c r="K271" s="9">
        <f t="shared" si="31"/>
        <v>97.468124303010001</v>
      </c>
      <c r="L271" s="10">
        <f t="shared" si="30"/>
        <v>0.28234148277165749</v>
      </c>
      <c r="M271" s="10">
        <f t="shared" si="28"/>
        <v>0.28826903393647318</v>
      </c>
      <c r="P271" s="8">
        <f t="shared" si="29"/>
        <v>-5.3877666992145929</v>
      </c>
    </row>
    <row r="272" spans="1:16" x14ac:dyDescent="0.2">
      <c r="A272" s="8">
        <v>135</v>
      </c>
      <c r="B272" s="8">
        <v>270</v>
      </c>
      <c r="D272">
        <v>495.97031963469999</v>
      </c>
      <c r="E272">
        <v>219.90487062405001</v>
      </c>
      <c r="F272">
        <v>155.21532567049999</v>
      </c>
      <c r="G272">
        <v>125.16934865899999</v>
      </c>
      <c r="I272" s="9">
        <f t="shared" si="26"/>
        <v>94.735521965050012</v>
      </c>
      <c r="J272" s="9">
        <f t="shared" si="27"/>
        <v>340.75499396420003</v>
      </c>
      <c r="K272" s="9">
        <f t="shared" si="31"/>
        <v>94.735521965050012</v>
      </c>
      <c r="L272" s="10">
        <f t="shared" si="30"/>
        <v>0.27801653282593708</v>
      </c>
      <c r="M272" s="10">
        <f t="shared" si="28"/>
        <v>0.28396611949694167</v>
      </c>
      <c r="P272" s="8">
        <f t="shared" si="29"/>
        <v>-6.8000180925293172</v>
      </c>
    </row>
    <row r="273" spans="1:16" x14ac:dyDescent="0.2">
      <c r="A273" s="8">
        <v>135.5</v>
      </c>
      <c r="B273" s="8">
        <v>271</v>
      </c>
      <c r="D273">
        <v>506.42694063927001</v>
      </c>
      <c r="E273">
        <v>222.07305936073001</v>
      </c>
      <c r="F273">
        <v>155.08965517241</v>
      </c>
      <c r="G273">
        <v>125.85977011494001</v>
      </c>
      <c r="I273" s="9">
        <f t="shared" si="26"/>
        <v>96.213289245790008</v>
      </c>
      <c r="J273" s="9">
        <f t="shared" si="27"/>
        <v>351.33728546686001</v>
      </c>
      <c r="K273" s="9">
        <f t="shared" si="31"/>
        <v>96.213289245790008</v>
      </c>
      <c r="L273" s="10">
        <f t="shared" si="30"/>
        <v>0.27384878641030358</v>
      </c>
      <c r="M273" s="10">
        <f t="shared" si="28"/>
        <v>0.27982040858749707</v>
      </c>
      <c r="P273" s="8">
        <f t="shared" si="29"/>
        <v>-8.1606740131663624</v>
      </c>
    </row>
    <row r="274" spans="1:16" x14ac:dyDescent="0.2">
      <c r="A274" s="8">
        <v>136</v>
      </c>
      <c r="B274" s="8">
        <v>272</v>
      </c>
      <c r="D274">
        <v>498.47072243346003</v>
      </c>
      <c r="E274">
        <v>220.47756653991999</v>
      </c>
      <c r="F274">
        <v>155.39923371648001</v>
      </c>
      <c r="G274">
        <v>125.62758620690001</v>
      </c>
      <c r="I274" s="9">
        <f t="shared" si="26"/>
        <v>94.849980333019985</v>
      </c>
      <c r="J274" s="9">
        <f t="shared" si="27"/>
        <v>343.07148871698001</v>
      </c>
      <c r="K274" s="9">
        <f t="shared" si="31"/>
        <v>94.849980333019985</v>
      </c>
      <c r="L274" s="10">
        <f t="shared" si="30"/>
        <v>0.27647293188874505</v>
      </c>
      <c r="M274" s="10">
        <f t="shared" si="28"/>
        <v>0.28246658957212745</v>
      </c>
      <c r="P274" s="8">
        <f t="shared" si="29"/>
        <v>-7.2921759672433168</v>
      </c>
    </row>
    <row r="275" spans="1:16" x14ac:dyDescent="0.2">
      <c r="A275" s="8">
        <v>136.5</v>
      </c>
      <c r="B275" s="8">
        <v>273</v>
      </c>
      <c r="D275">
        <v>469.08136882129003</v>
      </c>
      <c r="E275">
        <v>212.25551330798999</v>
      </c>
      <c r="F275">
        <v>155.51877394636</v>
      </c>
      <c r="G275">
        <v>124.73256704981</v>
      </c>
      <c r="I275" s="9">
        <f>E275-G275</f>
        <v>87.522946258179985</v>
      </c>
      <c r="J275" s="9">
        <f>D275-F275</f>
        <v>313.56259487493003</v>
      </c>
      <c r="K275" s="9">
        <f t="shared" si="31"/>
        <v>87.522946258179985</v>
      </c>
      <c r="L275" s="10">
        <f t="shared" si="30"/>
        <v>0.27912432059407488</v>
      </c>
      <c r="M275" s="10">
        <f>L275+ABS($N$2)*A275</f>
        <v>0.28514001378364623</v>
      </c>
      <c r="O275" s="11"/>
      <c r="P275" s="8">
        <f>(M275-$O$2)/$O$2*100</f>
        <v>-6.4147364734545933</v>
      </c>
    </row>
    <row r="276" spans="1:16" x14ac:dyDescent="0.2">
      <c r="A276" s="8">
        <v>137</v>
      </c>
      <c r="B276" s="8">
        <v>274</v>
      </c>
      <c r="D276">
        <v>493.16768759570999</v>
      </c>
      <c r="E276">
        <v>219.30091883614</v>
      </c>
      <c r="F276">
        <v>155.29272030651001</v>
      </c>
      <c r="G276">
        <v>125.57931034483001</v>
      </c>
      <c r="I276" s="9">
        <f t="shared" ref="I276:I291" si="32">E276-G276</f>
        <v>93.721608491309993</v>
      </c>
      <c r="J276" s="9">
        <f t="shared" ref="J276:J291" si="33">D276-F276</f>
        <v>337.87496728919996</v>
      </c>
      <c r="K276" s="9">
        <f t="shared" si="31"/>
        <v>93.721608491309993</v>
      </c>
      <c r="L276" s="10">
        <f t="shared" si="30"/>
        <v>0.2773854755895252</v>
      </c>
      <c r="M276" s="10">
        <f t="shared" ref="M276:M291" si="34">L276+ABS($N$2)*A276</f>
        <v>0.28342320428528545</v>
      </c>
      <c r="P276" s="8">
        <f t="shared" ref="P276:P291" si="35">(M276-$O$2)/$O$2*100</f>
        <v>-6.9782072652140386</v>
      </c>
    </row>
    <row r="277" spans="1:16" x14ac:dyDescent="0.2">
      <c r="A277" s="8">
        <v>137.5</v>
      </c>
      <c r="B277" s="8">
        <v>275</v>
      </c>
      <c r="D277">
        <v>488.13323124043001</v>
      </c>
      <c r="E277">
        <v>217.83537519142001</v>
      </c>
      <c r="F277">
        <v>155.01379310345001</v>
      </c>
      <c r="G277">
        <v>125.77624521073</v>
      </c>
      <c r="I277" s="9">
        <f t="shared" si="32"/>
        <v>92.059129980690017</v>
      </c>
      <c r="J277" s="9">
        <f t="shared" si="33"/>
        <v>333.11943813697997</v>
      </c>
      <c r="K277" s="9">
        <f t="shared" si="31"/>
        <v>92.059129980690017</v>
      </c>
      <c r="L277" s="10">
        <f t="shared" si="30"/>
        <v>0.27635472278515</v>
      </c>
      <c r="M277" s="10">
        <f t="shared" si="34"/>
        <v>0.28241448698709914</v>
      </c>
      <c r="N277" s="1"/>
      <c r="P277" s="8">
        <f t="shared" si="35"/>
        <v>-7.3092764579306317</v>
      </c>
    </row>
    <row r="278" spans="1:16" x14ac:dyDescent="0.2">
      <c r="A278" s="8">
        <v>138</v>
      </c>
      <c r="B278" s="8">
        <v>276</v>
      </c>
      <c r="D278">
        <v>504.71056661562</v>
      </c>
      <c r="E278">
        <v>223.26875957121001</v>
      </c>
      <c r="F278">
        <v>155.31494252874</v>
      </c>
      <c r="G278">
        <v>125.72337164751001</v>
      </c>
      <c r="I278" s="9">
        <f t="shared" si="32"/>
        <v>97.545387923700005</v>
      </c>
      <c r="J278" s="9">
        <f t="shared" si="33"/>
        <v>349.39562408687999</v>
      </c>
      <c r="K278" s="9">
        <f t="shared" si="31"/>
        <v>97.545387923700005</v>
      </c>
      <c r="L278" s="10">
        <f t="shared" si="30"/>
        <v>0.27918319864087526</v>
      </c>
      <c r="M278" s="10">
        <f t="shared" si="34"/>
        <v>0.28526499834901331</v>
      </c>
      <c r="P278" s="8">
        <f t="shared" si="35"/>
        <v>-6.3737155261262251</v>
      </c>
    </row>
    <row r="279" spans="1:16" x14ac:dyDescent="0.2">
      <c r="A279" s="8">
        <v>138.5</v>
      </c>
      <c r="B279" s="8">
        <v>277</v>
      </c>
      <c r="D279">
        <v>472.61485451761001</v>
      </c>
      <c r="E279">
        <v>215.27182235834999</v>
      </c>
      <c r="F279">
        <v>155.61455938697</v>
      </c>
      <c r="G279">
        <v>125.50727969349001</v>
      </c>
      <c r="I279" s="9">
        <f t="shared" si="32"/>
        <v>89.764542664859988</v>
      </c>
      <c r="J279" s="9">
        <f t="shared" si="33"/>
        <v>317.00029513063998</v>
      </c>
      <c r="K279" s="9">
        <f t="shared" si="31"/>
        <v>89.764542664859988</v>
      </c>
      <c r="L279" s="10">
        <f t="shared" si="30"/>
        <v>0.28316864067229602</v>
      </c>
      <c r="M279" s="10">
        <f t="shared" si="34"/>
        <v>0.28927247588662297</v>
      </c>
      <c r="P279" s="8">
        <f t="shared" si="35"/>
        <v>-5.0584289184792244</v>
      </c>
    </row>
    <row r="280" spans="1:16" x14ac:dyDescent="0.2">
      <c r="A280" s="8">
        <v>139</v>
      </c>
      <c r="B280" s="8">
        <v>278</v>
      </c>
      <c r="D280">
        <v>474.13935681470002</v>
      </c>
      <c r="E280">
        <v>215.32618683001999</v>
      </c>
      <c r="F280">
        <v>155.21226053640001</v>
      </c>
      <c r="G280">
        <v>125.31187739464001</v>
      </c>
      <c r="I280" s="9">
        <f t="shared" si="32"/>
        <v>90.014309435379985</v>
      </c>
      <c r="J280" s="9">
        <f t="shared" si="33"/>
        <v>318.92709627830004</v>
      </c>
      <c r="K280" s="9">
        <f t="shared" si="31"/>
        <v>90.014309435379985</v>
      </c>
      <c r="L280" s="10">
        <f t="shared" si="30"/>
        <v>0.28224102149298813</v>
      </c>
      <c r="M280" s="10">
        <f t="shared" si="34"/>
        <v>0.28836689221350398</v>
      </c>
      <c r="P280" s="8">
        <f t="shared" si="35"/>
        <v>-5.355648819571333</v>
      </c>
    </row>
    <row r="281" spans="1:16" x14ac:dyDescent="0.2">
      <c r="A281" s="8">
        <v>139.5</v>
      </c>
      <c r="B281" s="8">
        <v>279</v>
      </c>
      <c r="D281">
        <v>486.89509954058002</v>
      </c>
      <c r="E281">
        <v>218.49923430321999</v>
      </c>
      <c r="F281">
        <v>155.23371647510001</v>
      </c>
      <c r="G281">
        <v>125.94252873563001</v>
      </c>
      <c r="I281" s="9">
        <f t="shared" si="32"/>
        <v>92.556705567589987</v>
      </c>
      <c r="J281" s="9">
        <f t="shared" si="33"/>
        <v>331.66138306547998</v>
      </c>
      <c r="K281" s="9">
        <f t="shared" si="31"/>
        <v>92.556705567589987</v>
      </c>
      <c r="L281" s="10">
        <f t="shared" si="30"/>
        <v>0.27906988963293472</v>
      </c>
      <c r="M281" s="10">
        <f t="shared" si="34"/>
        <v>0.28521779585963947</v>
      </c>
      <c r="P281" s="8">
        <f t="shared" si="35"/>
        <v>-6.3892077657054518</v>
      </c>
    </row>
    <row r="282" spans="1:16" x14ac:dyDescent="0.2">
      <c r="A282" s="8">
        <v>140</v>
      </c>
      <c r="B282" s="8">
        <v>280</v>
      </c>
      <c r="D282">
        <v>497.12633996937001</v>
      </c>
      <c r="E282">
        <v>220.96094946401001</v>
      </c>
      <c r="F282">
        <v>155.66283524904</v>
      </c>
      <c r="G282">
        <v>124.91724137931</v>
      </c>
      <c r="I282" s="9">
        <f t="shared" si="32"/>
        <v>96.043708084700015</v>
      </c>
      <c r="J282" s="9">
        <f t="shared" si="33"/>
        <v>341.46350472032998</v>
      </c>
      <c r="K282" s="9">
        <f t="shared" si="31"/>
        <v>96.043708084700015</v>
      </c>
      <c r="L282" s="10">
        <f t="shared" si="30"/>
        <v>0.28127078518497317</v>
      </c>
      <c r="M282" s="10">
        <f t="shared" si="34"/>
        <v>0.28744072691786682</v>
      </c>
      <c r="P282" s="8">
        <f t="shared" si="35"/>
        <v>-5.6596237759838361</v>
      </c>
    </row>
    <row r="283" spans="1:16" x14ac:dyDescent="0.2">
      <c r="A283" s="8">
        <v>140.5</v>
      </c>
      <c r="B283" s="8">
        <v>281</v>
      </c>
      <c r="D283">
        <v>502.85145482388998</v>
      </c>
      <c r="E283">
        <v>222.08805513017001</v>
      </c>
      <c r="F283">
        <v>155.37931034483</v>
      </c>
      <c r="G283">
        <v>125.7938697318</v>
      </c>
      <c r="I283" s="9">
        <f t="shared" si="32"/>
        <v>96.294185398370004</v>
      </c>
      <c r="J283" s="9">
        <f t="shared" si="33"/>
        <v>347.47214447905998</v>
      </c>
      <c r="K283" s="9">
        <f t="shared" si="31"/>
        <v>96.294185398370004</v>
      </c>
      <c r="L283" s="10">
        <f t="shared" si="30"/>
        <v>0.27712778399182747</v>
      </c>
      <c r="M283" s="10">
        <f t="shared" si="34"/>
        <v>0.28331976123091002</v>
      </c>
      <c r="P283" s="8">
        <f t="shared" si="35"/>
        <v>-7.0121581140453095</v>
      </c>
    </row>
    <row r="284" spans="1:16" x14ac:dyDescent="0.2">
      <c r="A284" s="8">
        <v>141</v>
      </c>
      <c r="B284" s="8">
        <v>282</v>
      </c>
      <c r="D284">
        <v>505.17228177641999</v>
      </c>
      <c r="E284">
        <v>222.79632465544</v>
      </c>
      <c r="F284">
        <v>155.53256704981001</v>
      </c>
      <c r="G284">
        <v>124.95785440613</v>
      </c>
      <c r="I284" s="9">
        <f t="shared" si="32"/>
        <v>97.838470249310006</v>
      </c>
      <c r="J284" s="9">
        <f t="shared" si="33"/>
        <v>349.63971472661001</v>
      </c>
      <c r="K284" s="9">
        <f t="shared" si="31"/>
        <v>97.838470249310006</v>
      </c>
      <c r="L284" s="10">
        <f t="shared" si="30"/>
        <v>0.27982653608389935</v>
      </c>
      <c r="M284" s="10">
        <f t="shared" si="34"/>
        <v>0.28604054882917085</v>
      </c>
      <c r="P284" s="8">
        <f t="shared" si="35"/>
        <v>-6.1191735728570746</v>
      </c>
    </row>
    <row r="285" spans="1:16" x14ac:dyDescent="0.2">
      <c r="A285" s="8">
        <v>141.5</v>
      </c>
      <c r="B285" s="8">
        <v>283</v>
      </c>
      <c r="D285">
        <v>492.65340474368998</v>
      </c>
      <c r="E285">
        <v>218.81101759755001</v>
      </c>
      <c r="F285">
        <v>154.89348659004</v>
      </c>
      <c r="G285">
        <v>125.17777777777999</v>
      </c>
      <c r="I285" s="9">
        <f t="shared" si="32"/>
        <v>93.633239819770012</v>
      </c>
      <c r="J285" s="9">
        <f t="shared" si="33"/>
        <v>337.75991815365001</v>
      </c>
      <c r="K285" s="9">
        <f t="shared" si="31"/>
        <v>93.633239819770012</v>
      </c>
      <c r="L285" s="10">
        <f t="shared" si="30"/>
        <v>0.2772183281296729</v>
      </c>
      <c r="M285" s="10">
        <f t="shared" si="34"/>
        <v>0.2834543763811333</v>
      </c>
      <c r="P285" s="8">
        <f t="shared" si="35"/>
        <v>-6.9679763307131743</v>
      </c>
    </row>
    <row r="286" spans="1:16" x14ac:dyDescent="0.2">
      <c r="A286" s="8">
        <v>142</v>
      </c>
      <c r="B286" s="8">
        <v>284</v>
      </c>
      <c r="D286">
        <v>487.84355828220998</v>
      </c>
      <c r="E286">
        <v>217.60122699387</v>
      </c>
      <c r="F286">
        <v>154.70574712644</v>
      </c>
      <c r="G286">
        <v>125.26360153256999</v>
      </c>
      <c r="I286" s="9">
        <f t="shared" si="32"/>
        <v>92.337625461300007</v>
      </c>
      <c r="J286" s="9">
        <f t="shared" si="33"/>
        <v>333.13781115577001</v>
      </c>
      <c r="K286" s="9">
        <f t="shared" si="31"/>
        <v>92.337625461300007</v>
      </c>
      <c r="L286" s="10">
        <f t="shared" si="30"/>
        <v>0.27717545823138157</v>
      </c>
      <c r="M286" s="10">
        <f t="shared" si="34"/>
        <v>0.28343354198903087</v>
      </c>
      <c r="P286" s="8">
        <f t="shared" si="35"/>
        <v>-6.9748143470597697</v>
      </c>
    </row>
    <row r="287" spans="1:16" x14ac:dyDescent="0.2">
      <c r="A287" s="8">
        <v>142.5</v>
      </c>
      <c r="B287" s="8">
        <v>285</v>
      </c>
      <c r="D287">
        <v>483.80667172099999</v>
      </c>
      <c r="E287">
        <v>215.35936315390001</v>
      </c>
      <c r="F287">
        <v>155.07049808428999</v>
      </c>
      <c r="G287">
        <v>125.29885057471</v>
      </c>
      <c r="I287" s="9">
        <f t="shared" si="32"/>
        <v>90.060512579190004</v>
      </c>
      <c r="J287" s="9">
        <f t="shared" si="33"/>
        <v>328.73617363670996</v>
      </c>
      <c r="K287" s="9">
        <f t="shared" si="31"/>
        <v>90.060512579190004</v>
      </c>
      <c r="L287" s="10">
        <f t="shared" si="30"/>
        <v>0.27395984927024458</v>
      </c>
      <c r="M287" s="10">
        <f t="shared" si="34"/>
        <v>0.28023996853408278</v>
      </c>
      <c r="P287" s="8">
        <f t="shared" si="35"/>
        <v>-8.0229710382475226</v>
      </c>
    </row>
    <row r="288" spans="1:16" x14ac:dyDescent="0.2">
      <c r="A288" s="8">
        <v>143</v>
      </c>
      <c r="B288" s="8">
        <v>286</v>
      </c>
      <c r="D288">
        <v>498.05458680818998</v>
      </c>
      <c r="E288">
        <v>219.71493555724001</v>
      </c>
      <c r="F288">
        <v>154.51570881225999</v>
      </c>
      <c r="G288">
        <v>125.19616858238</v>
      </c>
      <c r="I288" s="9">
        <f t="shared" si="32"/>
        <v>94.518766974860014</v>
      </c>
      <c r="J288" s="9">
        <f t="shared" si="33"/>
        <v>343.53887799592997</v>
      </c>
      <c r="K288" s="9">
        <f t="shared" si="31"/>
        <v>94.518766974860014</v>
      </c>
      <c r="L288" s="10">
        <f t="shared" si="30"/>
        <v>0.27513266482747206</v>
      </c>
      <c r="M288" s="10">
        <f t="shared" si="34"/>
        <v>0.28143481959749916</v>
      </c>
      <c r="P288" s="8">
        <f t="shared" si="35"/>
        <v>-7.6308112352054982</v>
      </c>
    </row>
    <row r="289" spans="1:16" x14ac:dyDescent="0.2">
      <c r="A289" s="8">
        <v>143.5</v>
      </c>
      <c r="B289" s="8">
        <v>287</v>
      </c>
      <c r="D289">
        <v>489.49052312357998</v>
      </c>
      <c r="E289">
        <v>217.59135708869999</v>
      </c>
      <c r="F289">
        <v>154.76858237548001</v>
      </c>
      <c r="G289">
        <v>125.28352490422</v>
      </c>
      <c r="I289" s="9">
        <f t="shared" si="32"/>
        <v>92.307832184479992</v>
      </c>
      <c r="J289" s="9">
        <f t="shared" si="33"/>
        <v>334.7219407481</v>
      </c>
      <c r="K289" s="9">
        <f t="shared" si="31"/>
        <v>92.307832184479992</v>
      </c>
      <c r="L289" s="10">
        <f t="shared" si="30"/>
        <v>0.27577466830579722</v>
      </c>
      <c r="M289" s="10">
        <f t="shared" si="34"/>
        <v>0.28209885858201322</v>
      </c>
      <c r="P289" s="8">
        <f t="shared" si="35"/>
        <v>-7.4128682585848944</v>
      </c>
    </row>
    <row r="290" spans="1:16" x14ac:dyDescent="0.2">
      <c r="A290" s="8">
        <v>144</v>
      </c>
      <c r="B290" s="8">
        <v>288</v>
      </c>
      <c r="D290">
        <v>492.05686125852998</v>
      </c>
      <c r="E290">
        <v>218.70507960576001</v>
      </c>
      <c r="F290">
        <v>154.68045977012</v>
      </c>
      <c r="G290">
        <v>125.28735632183999</v>
      </c>
      <c r="I290" s="9">
        <f t="shared" si="32"/>
        <v>93.417723283920012</v>
      </c>
      <c r="J290" s="9">
        <f t="shared" si="33"/>
        <v>337.37640148841001</v>
      </c>
      <c r="K290" s="9">
        <f t="shared" si="31"/>
        <v>93.417723283920012</v>
      </c>
      <c r="L290" s="10">
        <f t="shared" si="30"/>
        <v>0.27689465793039236</v>
      </c>
      <c r="M290" s="10">
        <f t="shared" si="34"/>
        <v>0.28324088371279726</v>
      </c>
      <c r="P290" s="8">
        <f t="shared" si="35"/>
        <v>-7.0380463547764158</v>
      </c>
    </row>
    <row r="291" spans="1:16" x14ac:dyDescent="0.2">
      <c r="A291" s="8">
        <v>144.5</v>
      </c>
      <c r="B291" s="8">
        <v>289</v>
      </c>
      <c r="D291">
        <v>488.09552691432998</v>
      </c>
      <c r="E291">
        <v>218.23654283548001</v>
      </c>
      <c r="F291">
        <v>154.60536398466999</v>
      </c>
      <c r="G291">
        <v>125.63295019157</v>
      </c>
      <c r="I291" s="9">
        <f t="shared" si="32"/>
        <v>92.603592643910005</v>
      </c>
      <c r="J291" s="9">
        <f t="shared" si="33"/>
        <v>333.49016292965996</v>
      </c>
      <c r="K291" s="9">
        <f t="shared" si="31"/>
        <v>92.603592643910005</v>
      </c>
      <c r="L291" s="10">
        <f t="shared" si="30"/>
        <v>0.27768013254244633</v>
      </c>
      <c r="M291" s="10">
        <f t="shared" si="34"/>
        <v>0.28404839383104014</v>
      </c>
      <c r="P291" s="8">
        <f t="shared" si="35"/>
        <v>-6.7730149892611866</v>
      </c>
    </row>
    <row r="292" spans="1:16" x14ac:dyDescent="0.2">
      <c r="A292" s="8">
        <v>145</v>
      </c>
      <c r="B292" s="8">
        <v>290</v>
      </c>
      <c r="D292">
        <v>487.86353297953002</v>
      </c>
      <c r="E292">
        <v>219.46171341926001</v>
      </c>
      <c r="F292">
        <v>155.21302681992</v>
      </c>
      <c r="G292">
        <v>125.04367816092</v>
      </c>
      <c r="I292" s="9">
        <f>E292-G292</f>
        <v>94.418035258340012</v>
      </c>
      <c r="J292" s="9">
        <f>D292-F292</f>
        <v>332.65050615961002</v>
      </c>
      <c r="K292" s="9">
        <f t="shared" si="31"/>
        <v>94.418035258340012</v>
      </c>
      <c r="L292" s="10">
        <f t="shared" si="30"/>
        <v>0.28383553762890418</v>
      </c>
      <c r="M292" s="10">
        <f>L292+ABS($N$2)*A292</f>
        <v>0.29022583442368688</v>
      </c>
      <c r="O292" s="11"/>
      <c r="P292" s="8">
        <f>(M292-$O$2)/$O$2*100</f>
        <v>-4.7455289198346815</v>
      </c>
    </row>
    <row r="293" spans="1:16" x14ac:dyDescent="0.2">
      <c r="A293" s="8">
        <v>145.5</v>
      </c>
      <c r="B293" s="8">
        <v>291</v>
      </c>
      <c r="D293">
        <v>490.26383623957997</v>
      </c>
      <c r="E293">
        <v>221.17285822593001</v>
      </c>
      <c r="F293">
        <v>154.88659003831</v>
      </c>
      <c r="G293">
        <v>125.04674329501999</v>
      </c>
      <c r="I293" s="9">
        <f t="shared" ref="I293:I301" si="36">E293-G293</f>
        <v>96.12611493091002</v>
      </c>
      <c r="J293" s="9">
        <f t="shared" ref="J293:J301" si="37">D293-F293</f>
        <v>335.37724620126994</v>
      </c>
      <c r="K293" s="9">
        <f t="shared" si="31"/>
        <v>96.12611493091002</v>
      </c>
      <c r="L293" s="10">
        <f t="shared" si="30"/>
        <v>0.28662086059714931</v>
      </c>
      <c r="M293" s="10">
        <f t="shared" ref="M293:M301" si="38">L293+ABS($N$2)*A293</f>
        <v>0.29303319289812091</v>
      </c>
      <c r="P293" s="8">
        <f t="shared" ref="P293:P301" si="39">(M293-$O$2)/$O$2*100</f>
        <v>-3.8241311154467743</v>
      </c>
    </row>
    <row r="294" spans="1:16" x14ac:dyDescent="0.2">
      <c r="A294" s="8">
        <v>146</v>
      </c>
      <c r="B294" s="8">
        <v>292</v>
      </c>
      <c r="D294">
        <v>491.40409401060998</v>
      </c>
      <c r="E294">
        <v>220.91053828657999</v>
      </c>
      <c r="F294">
        <v>155.19080459770001</v>
      </c>
      <c r="G294">
        <v>125.57777777778</v>
      </c>
      <c r="I294" s="9">
        <f t="shared" si="36"/>
        <v>95.332760508799993</v>
      </c>
      <c r="J294" s="9">
        <f t="shared" si="37"/>
        <v>336.21328941290994</v>
      </c>
      <c r="K294" s="9">
        <f t="shared" si="31"/>
        <v>95.332760508799993</v>
      </c>
      <c r="L294" s="10">
        <f t="shared" si="30"/>
        <v>0.28354846019105456</v>
      </c>
      <c r="M294" s="10">
        <f t="shared" si="38"/>
        <v>0.28998282799821512</v>
      </c>
      <c r="N294" s="1"/>
      <c r="P294" s="8">
        <f t="shared" si="39"/>
        <v>-4.8252855981929637</v>
      </c>
    </row>
    <row r="295" spans="1:16" x14ac:dyDescent="0.2">
      <c r="A295" s="8">
        <v>146.5</v>
      </c>
      <c r="B295" s="8">
        <v>293</v>
      </c>
      <c r="D295">
        <v>489.59363153905002</v>
      </c>
      <c r="E295">
        <v>219.91963608795001</v>
      </c>
      <c r="F295">
        <v>154.66206896552001</v>
      </c>
      <c r="G295">
        <v>125.20383141763</v>
      </c>
      <c r="I295" s="9">
        <f t="shared" si="36"/>
        <v>94.715804670320011</v>
      </c>
      <c r="J295" s="9">
        <f t="shared" si="37"/>
        <v>334.93156257353002</v>
      </c>
      <c r="K295" s="9">
        <f t="shared" si="31"/>
        <v>94.715804670320011</v>
      </c>
      <c r="L295" s="10">
        <f t="shared" si="30"/>
        <v>0.28279151699692784</v>
      </c>
      <c r="M295" s="10">
        <f t="shared" si="38"/>
        <v>0.2892479203102773</v>
      </c>
      <c r="P295" s="8">
        <f t="shared" si="39"/>
        <v>-5.0664882576539068</v>
      </c>
    </row>
    <row r="296" spans="1:16" x14ac:dyDescent="0.2">
      <c r="A296" s="8">
        <v>147</v>
      </c>
      <c r="B296" s="8">
        <v>294</v>
      </c>
      <c r="D296">
        <v>479.11827141774</v>
      </c>
      <c r="E296">
        <v>217.72782410917</v>
      </c>
      <c r="F296">
        <v>155.03831417625</v>
      </c>
      <c r="G296">
        <v>124.85670498083999</v>
      </c>
      <c r="I296" s="9">
        <f t="shared" si="36"/>
        <v>92.871119128330008</v>
      </c>
      <c r="J296" s="9">
        <f t="shared" si="37"/>
        <v>324.07995724148998</v>
      </c>
      <c r="K296" s="9">
        <f t="shared" si="31"/>
        <v>92.871119128330008</v>
      </c>
      <c r="L296" s="10">
        <f t="shared" si="30"/>
        <v>0.28656853672418431</v>
      </c>
      <c r="M296" s="10">
        <f t="shared" si="38"/>
        <v>0.29304697554372267</v>
      </c>
      <c r="P296" s="8">
        <f t="shared" si="39"/>
        <v>-3.8196075394546938</v>
      </c>
    </row>
    <row r="297" spans="1:16" x14ac:dyDescent="0.2">
      <c r="A297" s="8">
        <v>147.5</v>
      </c>
      <c r="B297" s="8">
        <v>295</v>
      </c>
      <c r="D297">
        <v>475.79909021985998</v>
      </c>
      <c r="E297">
        <v>217.57240333586</v>
      </c>
      <c r="F297">
        <v>154.71647509579</v>
      </c>
      <c r="G297">
        <v>125.14712643678</v>
      </c>
      <c r="I297" s="9">
        <f t="shared" si="36"/>
        <v>92.425276899080004</v>
      </c>
      <c r="J297" s="9">
        <f t="shared" si="37"/>
        <v>321.08261512407</v>
      </c>
      <c r="K297" s="9">
        <f t="shared" si="31"/>
        <v>92.425276899080004</v>
      </c>
      <c r="L297" s="10">
        <f t="shared" si="30"/>
        <v>0.28785512682885622</v>
      </c>
      <c r="M297" s="10">
        <f t="shared" si="38"/>
        <v>0.29435560115458348</v>
      </c>
      <c r="P297" s="8">
        <f t="shared" si="39"/>
        <v>-3.390106007821466</v>
      </c>
    </row>
    <row r="298" spans="1:16" x14ac:dyDescent="0.2">
      <c r="A298" s="8">
        <v>148</v>
      </c>
      <c r="B298" s="8">
        <v>296</v>
      </c>
      <c r="D298">
        <v>487.32221379832998</v>
      </c>
      <c r="E298">
        <v>219.1326762699</v>
      </c>
      <c r="F298">
        <v>155.53639846742999</v>
      </c>
      <c r="G298">
        <v>125.02375478927</v>
      </c>
      <c r="I298" s="9">
        <f t="shared" si="36"/>
        <v>94.108921480630002</v>
      </c>
      <c r="J298" s="9">
        <f t="shared" si="37"/>
        <v>331.78581533089999</v>
      </c>
      <c r="K298" s="9">
        <f t="shared" si="31"/>
        <v>94.108921480630002</v>
      </c>
      <c r="L298" s="10">
        <f t="shared" si="30"/>
        <v>0.28364359515120419</v>
      </c>
      <c r="M298" s="10">
        <f t="shared" si="38"/>
        <v>0.29016610498312034</v>
      </c>
      <c r="P298" s="8">
        <f t="shared" si="39"/>
        <v>-4.7651326063237827</v>
      </c>
    </row>
    <row r="299" spans="1:16" x14ac:dyDescent="0.2">
      <c r="A299" s="8">
        <v>148.5</v>
      </c>
      <c r="B299" s="8">
        <v>297</v>
      </c>
      <c r="D299">
        <v>487.19105382866002</v>
      </c>
      <c r="E299">
        <v>219.72327520849001</v>
      </c>
      <c r="F299">
        <v>154.66436781608999</v>
      </c>
      <c r="G299">
        <v>125.46436781609</v>
      </c>
      <c r="I299" s="9">
        <f t="shared" si="36"/>
        <v>94.258907392400005</v>
      </c>
      <c r="J299" s="9">
        <f t="shared" si="37"/>
        <v>332.52668601257005</v>
      </c>
      <c r="K299" s="9">
        <f t="shared" si="31"/>
        <v>94.258907392400005</v>
      </c>
      <c r="L299" s="10">
        <f t="shared" si="30"/>
        <v>0.28346268542440189</v>
      </c>
      <c r="M299" s="10">
        <f t="shared" si="38"/>
        <v>0.29000723076250695</v>
      </c>
      <c r="P299" s="8">
        <f t="shared" si="39"/>
        <v>-4.8172764131728636</v>
      </c>
    </row>
    <row r="300" spans="1:16" x14ac:dyDescent="0.2">
      <c r="A300" s="8">
        <v>149</v>
      </c>
      <c r="B300" s="8">
        <v>298</v>
      </c>
      <c r="D300">
        <v>500.31993934798999</v>
      </c>
      <c r="E300">
        <v>224.61789234267999</v>
      </c>
      <c r="F300">
        <v>155.60766283525001</v>
      </c>
      <c r="G300">
        <v>125.40383141763</v>
      </c>
      <c r="I300" s="9">
        <f t="shared" si="36"/>
        <v>99.214060925049992</v>
      </c>
      <c r="J300" s="9">
        <f t="shared" si="37"/>
        <v>344.71227651274</v>
      </c>
      <c r="K300" s="9">
        <f t="shared" si="31"/>
        <v>99.214060925049992</v>
      </c>
      <c r="L300" s="10">
        <f t="shared" si="30"/>
        <v>0.28781702215175736</v>
      </c>
      <c r="M300" s="10">
        <f t="shared" si="38"/>
        <v>0.29438360299605132</v>
      </c>
      <c r="P300" s="8">
        <f t="shared" si="39"/>
        <v>-3.3809155765023995</v>
      </c>
    </row>
    <row r="301" spans="1:16" x14ac:dyDescent="0.2">
      <c r="A301" s="8">
        <v>149.5</v>
      </c>
      <c r="B301" s="8">
        <v>299</v>
      </c>
      <c r="D301">
        <v>501.92115238817001</v>
      </c>
      <c r="E301">
        <v>224.15617892342999</v>
      </c>
      <c r="F301">
        <v>155.12490421455999</v>
      </c>
      <c r="G301">
        <v>125.11111111111001</v>
      </c>
      <c r="I301" s="9">
        <f t="shared" si="36"/>
        <v>99.045067812319985</v>
      </c>
      <c r="J301" s="9">
        <f t="shared" si="37"/>
        <v>346.79624817361002</v>
      </c>
      <c r="K301" s="9">
        <f t="shared" si="31"/>
        <v>99.045067812319985</v>
      </c>
      <c r="L301" s="10">
        <f t="shared" si="30"/>
        <v>0.28560017109163455</v>
      </c>
      <c r="M301" s="10">
        <f t="shared" si="38"/>
        <v>0.2921887874421174</v>
      </c>
      <c r="P301" s="8">
        <f t="shared" si="39"/>
        <v>-4.1012718298443733</v>
      </c>
    </row>
    <row r="302" spans="1:16" x14ac:dyDescent="0.2">
      <c r="A302" s="8">
        <v>150</v>
      </c>
      <c r="B302" s="8">
        <v>300</v>
      </c>
      <c r="D302">
        <v>497.77328244274997</v>
      </c>
      <c r="E302">
        <v>224.49694656489001</v>
      </c>
      <c r="F302">
        <v>155.20842911877</v>
      </c>
      <c r="G302">
        <v>124.71800766283999</v>
      </c>
      <c r="I302" s="9">
        <f>E302-G302</f>
        <v>99.778938902050015</v>
      </c>
      <c r="J302" s="9">
        <f>D302-F302</f>
        <v>342.56485332397995</v>
      </c>
      <c r="K302" s="9">
        <f t="shared" si="31"/>
        <v>99.778938902050015</v>
      </c>
      <c r="L302" s="10">
        <f t="shared" si="30"/>
        <v>0.29127021623460098</v>
      </c>
      <c r="M302" s="10">
        <f>L302+ABS($N$2)*A302</f>
        <v>0.29788086809127273</v>
      </c>
      <c r="O302" s="11"/>
      <c r="P302" s="8">
        <f>(M302-$O$2)/$O$2*100</f>
        <v>-2.2330848276169677</v>
      </c>
    </row>
    <row r="303" spans="1:16" x14ac:dyDescent="0.2">
      <c r="A303" s="8">
        <v>150.5</v>
      </c>
      <c r="B303" s="8">
        <v>301</v>
      </c>
      <c r="D303">
        <v>498.92824427481003</v>
      </c>
      <c r="E303">
        <v>223.68244274809001</v>
      </c>
      <c r="F303">
        <v>154.61379310345001</v>
      </c>
      <c r="G303">
        <v>125.14942528736</v>
      </c>
      <c r="I303" s="9">
        <f t="shared" ref="I303:I309" si="40">E303-G303</f>
        <v>98.533017460730008</v>
      </c>
      <c r="J303" s="9">
        <f t="shared" ref="J303:J309" si="41">D303-F303</f>
        <v>344.31445117136002</v>
      </c>
      <c r="K303" s="9">
        <f t="shared" si="31"/>
        <v>98.533017460730008</v>
      </c>
      <c r="L303" s="10">
        <f t="shared" si="30"/>
        <v>0.28617160019139493</v>
      </c>
      <c r="M303" s="10">
        <f t="shared" ref="M303:M309" si="42">L303+ABS($N$2)*A303</f>
        <v>0.29280428755425564</v>
      </c>
      <c r="P303" s="8">
        <f t="shared" ref="P303:P309" si="43">(M303-$O$2)/$O$2*100</f>
        <v>-3.8992597045353627</v>
      </c>
    </row>
    <row r="304" spans="1:16" x14ac:dyDescent="0.2">
      <c r="A304" s="8">
        <v>151</v>
      </c>
      <c r="B304" s="8">
        <v>302</v>
      </c>
      <c r="D304">
        <v>499.12900763358999</v>
      </c>
      <c r="E304">
        <v>224.03587786259999</v>
      </c>
      <c r="F304">
        <v>154.34482758620999</v>
      </c>
      <c r="G304">
        <v>124.88812260536</v>
      </c>
      <c r="I304" s="9">
        <f t="shared" si="40"/>
        <v>99.147755257239993</v>
      </c>
      <c r="J304" s="9">
        <f t="shared" si="41"/>
        <v>344.78418004738</v>
      </c>
      <c r="K304" s="9">
        <f t="shared" si="31"/>
        <v>99.147755257239993</v>
      </c>
      <c r="L304" s="10">
        <f t="shared" si="30"/>
        <v>0.28756468827431458</v>
      </c>
      <c r="M304" s="10">
        <f t="shared" si="42"/>
        <v>0.2942194111433642</v>
      </c>
      <c r="N304" s="1"/>
      <c r="P304" s="8">
        <f t="shared" si="43"/>
        <v>-3.4348046732964232</v>
      </c>
    </row>
    <row r="305" spans="1:16" x14ac:dyDescent="0.2">
      <c r="A305" s="8">
        <v>151.5</v>
      </c>
      <c r="B305" s="8">
        <v>303</v>
      </c>
      <c r="D305">
        <v>502.75190839695</v>
      </c>
      <c r="E305">
        <v>224.89923664122</v>
      </c>
      <c r="F305">
        <v>154.72260536399</v>
      </c>
      <c r="G305">
        <v>125.34865900382999</v>
      </c>
      <c r="I305" s="9">
        <f t="shared" si="40"/>
        <v>99.550577637390006</v>
      </c>
      <c r="J305" s="9">
        <f t="shared" si="41"/>
        <v>348.02930303296</v>
      </c>
      <c r="K305" s="9">
        <f t="shared" si="31"/>
        <v>99.550577637390006</v>
      </c>
      <c r="L305" s="10">
        <f t="shared" si="30"/>
        <v>0.28604079245580682</v>
      </c>
      <c r="M305" s="10">
        <f t="shared" si="42"/>
        <v>0.29271755083104534</v>
      </c>
      <c r="P305" s="8">
        <f t="shared" si="43"/>
        <v>-3.9277274000767686</v>
      </c>
    </row>
    <row r="306" spans="1:16" x14ac:dyDescent="0.2">
      <c r="A306" s="8">
        <v>152</v>
      </c>
      <c r="B306" s="8">
        <v>304</v>
      </c>
      <c r="D306">
        <v>501.90763358778997</v>
      </c>
      <c r="E306">
        <v>226.86641221374001</v>
      </c>
      <c r="F306">
        <v>155.08965517241</v>
      </c>
      <c r="G306">
        <v>124.96245210728</v>
      </c>
      <c r="I306" s="9">
        <f t="shared" si="40"/>
        <v>101.90396010646</v>
      </c>
      <c r="J306" s="9">
        <f t="shared" si="41"/>
        <v>346.81797841537997</v>
      </c>
      <c r="K306" s="9">
        <f t="shared" si="31"/>
        <v>101.90396010646</v>
      </c>
      <c r="L306" s="10">
        <f t="shared" si="30"/>
        <v>0.2938254832464619</v>
      </c>
      <c r="M306" s="10">
        <f t="shared" si="42"/>
        <v>0.30052427712788932</v>
      </c>
      <c r="P306" s="8">
        <f t="shared" si="43"/>
        <v>-1.3654965574981324</v>
      </c>
    </row>
    <row r="307" spans="1:16" x14ac:dyDescent="0.2">
      <c r="A307" s="8">
        <v>152.5</v>
      </c>
      <c r="B307" s="8">
        <v>305</v>
      </c>
      <c r="D307">
        <v>504.04122137405</v>
      </c>
      <c r="E307">
        <v>228.7106870229</v>
      </c>
      <c r="F307">
        <v>155.27509578543999</v>
      </c>
      <c r="G307">
        <v>125.28965517240999</v>
      </c>
      <c r="I307" s="9">
        <f t="shared" si="40"/>
        <v>103.42103185049001</v>
      </c>
      <c r="J307" s="9">
        <f t="shared" si="41"/>
        <v>348.76612558861001</v>
      </c>
      <c r="K307" s="9">
        <f t="shared" si="31"/>
        <v>103.42103185049001</v>
      </c>
      <c r="L307" s="10">
        <f t="shared" si="30"/>
        <v>0.29653405036382791</v>
      </c>
      <c r="M307" s="10">
        <f t="shared" si="42"/>
        <v>0.30325487975144422</v>
      </c>
      <c r="P307" s="8">
        <f t="shared" si="43"/>
        <v>-0.46929064545956739</v>
      </c>
    </row>
    <row r="308" spans="1:16" x14ac:dyDescent="0.2">
      <c r="A308" s="8">
        <v>153</v>
      </c>
      <c r="B308" s="8">
        <v>306</v>
      </c>
      <c r="D308">
        <v>502.48778625953997</v>
      </c>
      <c r="E308">
        <v>227.73358778625999</v>
      </c>
      <c r="F308">
        <v>154.56398467432999</v>
      </c>
      <c r="G308">
        <v>124.90114942529</v>
      </c>
      <c r="I308" s="9">
        <f t="shared" si="40"/>
        <v>102.83243836096999</v>
      </c>
      <c r="J308" s="9">
        <f t="shared" si="41"/>
        <v>347.92380158520996</v>
      </c>
      <c r="K308" s="9">
        <f t="shared" si="31"/>
        <v>102.83243836096999</v>
      </c>
      <c r="L308" s="10">
        <f t="shared" si="30"/>
        <v>0.29556022868353637</v>
      </c>
      <c r="M308" s="10">
        <f t="shared" si="42"/>
        <v>0.30230309357734159</v>
      </c>
      <c r="P308" s="8">
        <f t="shared" si="43"/>
        <v>-0.78167458183653127</v>
      </c>
    </row>
    <row r="309" spans="1:16" x14ac:dyDescent="0.2">
      <c r="A309" s="8">
        <v>153.5</v>
      </c>
      <c r="B309" s="8">
        <v>307</v>
      </c>
      <c r="D309">
        <v>501.36564885496</v>
      </c>
      <c r="E309">
        <v>228.31526717557</v>
      </c>
      <c r="F309">
        <v>154.74942528736</v>
      </c>
      <c r="G309">
        <v>124.9846743295</v>
      </c>
      <c r="I309" s="9">
        <f t="shared" si="40"/>
        <v>103.33059284607</v>
      </c>
      <c r="J309" s="9">
        <f t="shared" si="41"/>
        <v>346.6162235676</v>
      </c>
      <c r="K309" s="9">
        <f t="shared" si="31"/>
        <v>103.33059284607</v>
      </c>
      <c r="L309" s="10">
        <f t="shared" si="30"/>
        <v>0.29811239584380739</v>
      </c>
      <c r="M309" s="10">
        <f t="shared" si="42"/>
        <v>0.3048772962438015</v>
      </c>
      <c r="P309" s="8">
        <f t="shared" si="43"/>
        <v>6.319959669310328E-2</v>
      </c>
    </row>
    <row r="310" spans="1:16" x14ac:dyDescent="0.2">
      <c r="A310" s="8">
        <v>154</v>
      </c>
      <c r="B310" s="8">
        <v>308</v>
      </c>
      <c r="D310">
        <v>503.52442748092</v>
      </c>
      <c r="E310">
        <v>229.65114503817</v>
      </c>
      <c r="F310">
        <v>154.71494252874001</v>
      </c>
      <c r="G310">
        <v>125.39616858238</v>
      </c>
      <c r="I310" s="9">
        <f>E310-G310</f>
        <v>104.25497645579</v>
      </c>
      <c r="J310" s="9">
        <f>D310-F310</f>
        <v>348.80948495218001</v>
      </c>
      <c r="K310" s="9">
        <f t="shared" si="31"/>
        <v>104.25497645579</v>
      </c>
      <c r="L310" s="10">
        <f t="shared" si="30"/>
        <v>0.29888802040484314</v>
      </c>
      <c r="M310" s="10">
        <f>L310+ABS($N$2)*A310</f>
        <v>0.30567495631102615</v>
      </c>
      <c r="O310" s="11"/>
      <c r="P310" s="8">
        <f>(M310-$O$2)/$O$2*100</f>
        <v>0.32499809563145893</v>
      </c>
    </row>
    <row r="311" spans="1:16" x14ac:dyDescent="0.2">
      <c r="A311" s="8">
        <v>154.5</v>
      </c>
      <c r="B311" s="8">
        <v>309</v>
      </c>
      <c r="D311">
        <v>501.93511450381999</v>
      </c>
      <c r="E311">
        <v>229.80076335877999</v>
      </c>
      <c r="F311">
        <v>154.75708812261001</v>
      </c>
      <c r="G311">
        <v>124.74789272031001</v>
      </c>
      <c r="I311" s="9">
        <f t="shared" ref="I311:I322" si="44">E311-G311</f>
        <v>105.05287063846998</v>
      </c>
      <c r="J311" s="9">
        <f t="shared" ref="J311:J322" si="45">D311-F311</f>
        <v>347.17802638120997</v>
      </c>
      <c r="K311" s="9">
        <f t="shared" si="31"/>
        <v>105.05287063846998</v>
      </c>
      <c r="L311" s="10">
        <f t="shared" si="30"/>
        <v>0.30259078241063381</v>
      </c>
      <c r="M311" s="10">
        <f t="shared" ref="M311:M322" si="46">L311+ABS($N$2)*A311</f>
        <v>0.30939975382300572</v>
      </c>
      <c r="P311" s="8">
        <f t="shared" ref="P311:P322" si="47">(M311-$O$2)/$O$2*100</f>
        <v>1.5475068278016246</v>
      </c>
    </row>
    <row r="312" spans="1:16" x14ac:dyDescent="0.2">
      <c r="A312" s="8">
        <v>155</v>
      </c>
      <c r="B312" s="8">
        <v>310</v>
      </c>
      <c r="D312">
        <v>501.01679389313</v>
      </c>
      <c r="E312">
        <v>229.23969465649</v>
      </c>
      <c r="F312">
        <v>154.09042145594</v>
      </c>
      <c r="G312">
        <v>124.7662835249</v>
      </c>
      <c r="I312" s="9">
        <f t="shared" si="44"/>
        <v>104.47341113159</v>
      </c>
      <c r="J312" s="9">
        <f t="shared" si="45"/>
        <v>346.92637243719003</v>
      </c>
      <c r="K312" s="9">
        <f t="shared" si="31"/>
        <v>104.47341113159</v>
      </c>
      <c r="L312" s="10">
        <f t="shared" si="30"/>
        <v>0.30114000961545406</v>
      </c>
      <c r="M312" s="10">
        <f t="shared" si="46"/>
        <v>0.30797101653401493</v>
      </c>
      <c r="N312" s="1"/>
      <c r="P312" s="8">
        <f t="shared" si="47"/>
        <v>1.0785836699250231</v>
      </c>
    </row>
    <row r="313" spans="1:16" x14ac:dyDescent="0.2">
      <c r="A313" s="8">
        <v>155.5</v>
      </c>
      <c r="B313" s="8">
        <v>311</v>
      </c>
      <c r="D313">
        <v>504.41908396947002</v>
      </c>
      <c r="E313">
        <v>230.99618320611</v>
      </c>
      <c r="F313">
        <v>153.90881226054</v>
      </c>
      <c r="G313">
        <v>125.0214559387</v>
      </c>
      <c r="I313" s="9">
        <f t="shared" si="44"/>
        <v>105.97472726741</v>
      </c>
      <c r="J313" s="9">
        <f t="shared" si="45"/>
        <v>350.51027170893002</v>
      </c>
      <c r="K313" s="9">
        <f t="shared" si="31"/>
        <v>105.97472726741</v>
      </c>
      <c r="L313" s="10">
        <f t="shared" si="30"/>
        <v>0.30234414173006979</v>
      </c>
      <c r="M313" s="10">
        <f t="shared" si="46"/>
        <v>0.30919718415481956</v>
      </c>
      <c r="P313" s="8">
        <f t="shared" si="47"/>
        <v>1.4810218209163026</v>
      </c>
    </row>
    <row r="314" spans="1:16" x14ac:dyDescent="0.2">
      <c r="A314" s="8">
        <v>156</v>
      </c>
      <c r="B314" s="8">
        <v>312</v>
      </c>
      <c r="D314">
        <v>504.14885496183001</v>
      </c>
      <c r="E314">
        <v>230.28702290076001</v>
      </c>
      <c r="F314">
        <v>154.58927203064999</v>
      </c>
      <c r="G314">
        <v>124.61455938697</v>
      </c>
      <c r="I314" s="9">
        <f t="shared" si="44"/>
        <v>105.67246351379001</v>
      </c>
      <c r="J314" s="9">
        <f t="shared" si="45"/>
        <v>349.55958293117999</v>
      </c>
      <c r="K314" s="9">
        <f t="shared" si="31"/>
        <v>105.67246351379001</v>
      </c>
      <c r="L314" s="10">
        <f t="shared" si="30"/>
        <v>0.30230172100472613</v>
      </c>
      <c r="M314" s="10">
        <f t="shared" si="46"/>
        <v>0.3091767989356648</v>
      </c>
      <c r="P314" s="8">
        <f t="shared" si="47"/>
        <v>1.4743312267715878</v>
      </c>
    </row>
    <row r="315" spans="1:16" x14ac:dyDescent="0.2">
      <c r="A315" s="8">
        <v>156.5</v>
      </c>
      <c r="B315" s="8">
        <v>313</v>
      </c>
      <c r="D315">
        <v>493.81949733434999</v>
      </c>
      <c r="E315">
        <v>226.51256664127999</v>
      </c>
      <c r="F315">
        <v>154.25363984673999</v>
      </c>
      <c r="G315">
        <v>124.73793103448</v>
      </c>
      <c r="I315" s="9">
        <f t="shared" si="44"/>
        <v>101.77463560679999</v>
      </c>
      <c r="J315" s="9">
        <f t="shared" si="45"/>
        <v>339.56585748761</v>
      </c>
      <c r="K315" s="9">
        <f t="shared" si="31"/>
        <v>101.77463560679999</v>
      </c>
      <c r="L315" s="10">
        <f t="shared" si="30"/>
        <v>0.29971987278053569</v>
      </c>
      <c r="M315" s="10">
        <f t="shared" si="46"/>
        <v>0.30661698621766326</v>
      </c>
      <c r="P315" s="8">
        <f t="shared" si="47"/>
        <v>0.63417994595364324</v>
      </c>
    </row>
    <row r="316" spans="1:16" x14ac:dyDescent="0.2">
      <c r="A316" s="8">
        <v>157</v>
      </c>
      <c r="B316" s="8">
        <v>314</v>
      </c>
      <c r="D316">
        <v>497.04265041888999</v>
      </c>
      <c r="E316">
        <v>229.17974105102999</v>
      </c>
      <c r="F316">
        <v>154.75325670498</v>
      </c>
      <c r="G316">
        <v>124.79846743295001</v>
      </c>
      <c r="I316" s="9">
        <f t="shared" si="44"/>
        <v>104.38127361807999</v>
      </c>
      <c r="J316" s="9">
        <f t="shared" si="45"/>
        <v>342.28939371390999</v>
      </c>
      <c r="K316" s="9">
        <f t="shared" si="31"/>
        <v>104.38127361807999</v>
      </c>
      <c r="L316" s="10">
        <f t="shared" si="30"/>
        <v>0.30495035935972714</v>
      </c>
      <c r="M316" s="10">
        <f t="shared" si="46"/>
        <v>0.31186950830304361</v>
      </c>
      <c r="P316" s="8">
        <f t="shared" si="47"/>
        <v>2.3581002650159011</v>
      </c>
    </row>
    <row r="317" spans="1:16" x14ac:dyDescent="0.2">
      <c r="A317" s="8">
        <v>157.5</v>
      </c>
      <c r="B317" s="8">
        <v>315</v>
      </c>
      <c r="D317">
        <v>496.16298552932</v>
      </c>
      <c r="E317">
        <v>228.49428789033001</v>
      </c>
      <c r="F317">
        <v>154.53563218391</v>
      </c>
      <c r="G317">
        <v>124.60536398467001</v>
      </c>
      <c r="I317" s="9">
        <f t="shared" si="44"/>
        <v>103.88892390566001</v>
      </c>
      <c r="J317" s="9">
        <f t="shared" si="45"/>
        <v>341.62735334541003</v>
      </c>
      <c r="K317" s="9">
        <f t="shared" si="31"/>
        <v>103.88892390566001</v>
      </c>
      <c r="L317" s="10">
        <f t="shared" si="30"/>
        <v>0.30410013392756863</v>
      </c>
      <c r="M317" s="10">
        <f t="shared" si="46"/>
        <v>0.31104131837707399</v>
      </c>
      <c r="P317" s="8">
        <f t="shared" si="47"/>
        <v>2.0862816189990521</v>
      </c>
    </row>
    <row r="318" spans="1:16" x14ac:dyDescent="0.2">
      <c r="A318" s="8">
        <v>158</v>
      </c>
      <c r="B318" s="8">
        <v>316</v>
      </c>
      <c r="D318">
        <v>495.70220868241</v>
      </c>
      <c r="E318">
        <v>227.56587966488999</v>
      </c>
      <c r="F318">
        <v>154.54942528736001</v>
      </c>
      <c r="G318">
        <v>124.66436781609001</v>
      </c>
      <c r="I318" s="9">
        <f t="shared" si="44"/>
        <v>102.90151184879998</v>
      </c>
      <c r="J318" s="9">
        <f t="shared" si="45"/>
        <v>341.15278339504999</v>
      </c>
      <c r="K318" s="9">
        <f t="shared" si="31"/>
        <v>102.90151184879998</v>
      </c>
      <c r="L318" s="10">
        <f t="shared" si="30"/>
        <v>0.30162882103658972</v>
      </c>
      <c r="M318" s="10">
        <f t="shared" si="46"/>
        <v>0.30859204099228399</v>
      </c>
      <c r="P318" s="8">
        <f t="shared" si="47"/>
        <v>1.2824089304078903</v>
      </c>
    </row>
    <row r="319" spans="1:16" x14ac:dyDescent="0.2">
      <c r="A319" s="8">
        <v>158.5</v>
      </c>
      <c r="B319" s="8">
        <v>317</v>
      </c>
      <c r="D319">
        <v>495.98476770754002</v>
      </c>
      <c r="E319">
        <v>227.58720487433001</v>
      </c>
      <c r="F319">
        <v>154.61915708812001</v>
      </c>
      <c r="G319">
        <v>124.68812260535999</v>
      </c>
      <c r="I319" s="9">
        <f t="shared" si="44"/>
        <v>102.89908226897002</v>
      </c>
      <c r="J319" s="9">
        <f t="shared" si="45"/>
        <v>341.36561061942001</v>
      </c>
      <c r="K319" s="9">
        <f t="shared" si="31"/>
        <v>102.89908226897002</v>
      </c>
      <c r="L319" s="10">
        <f t="shared" si="30"/>
        <v>0.30143365080699247</v>
      </c>
      <c r="M319" s="10">
        <f t="shared" si="46"/>
        <v>0.30841890626887564</v>
      </c>
      <c r="P319" s="8">
        <f t="shared" si="47"/>
        <v>1.2255847109629814</v>
      </c>
    </row>
    <row r="320" spans="1:16" x14ac:dyDescent="0.2">
      <c r="A320" s="8">
        <v>159</v>
      </c>
      <c r="B320" s="8">
        <v>318</v>
      </c>
      <c r="D320">
        <v>496.40365575019001</v>
      </c>
      <c r="E320">
        <v>227.22239146992001</v>
      </c>
      <c r="F320">
        <v>154.31647509579</v>
      </c>
      <c r="G320">
        <v>124.49348659004001</v>
      </c>
      <c r="I320" s="9">
        <f t="shared" si="44"/>
        <v>102.72890487988001</v>
      </c>
      <c r="J320" s="9">
        <f t="shared" si="45"/>
        <v>342.08718065440002</v>
      </c>
      <c r="K320" s="9">
        <f t="shared" si="31"/>
        <v>102.72890487988001</v>
      </c>
      <c r="L320" s="10">
        <f t="shared" si="30"/>
        <v>0.30030036402815047</v>
      </c>
      <c r="M320" s="10">
        <f t="shared" si="46"/>
        <v>0.30730765499622253</v>
      </c>
      <c r="P320" s="8">
        <f t="shared" si="47"/>
        <v>0.86086303680903953</v>
      </c>
    </row>
    <row r="321" spans="1:16" x14ac:dyDescent="0.2">
      <c r="A321" s="8">
        <v>159.5</v>
      </c>
      <c r="B321" s="8">
        <v>319</v>
      </c>
      <c r="D321">
        <v>495.38994668698001</v>
      </c>
      <c r="E321">
        <v>226.91469916221999</v>
      </c>
      <c r="F321">
        <v>154.21915708812</v>
      </c>
      <c r="G321">
        <v>124.4153256705</v>
      </c>
      <c r="I321" s="9">
        <f t="shared" si="44"/>
        <v>102.49937349171999</v>
      </c>
      <c r="J321" s="9">
        <f t="shared" si="45"/>
        <v>341.17078959885998</v>
      </c>
      <c r="K321" s="9">
        <f t="shared" si="31"/>
        <v>102.49937349171999</v>
      </c>
      <c r="L321" s="10">
        <f t="shared" si="30"/>
        <v>0.30043420074806571</v>
      </c>
      <c r="M321" s="10">
        <f t="shared" si="46"/>
        <v>0.30746352722232673</v>
      </c>
      <c r="P321" s="8">
        <f t="shared" si="47"/>
        <v>0.91202156472963669</v>
      </c>
    </row>
    <row r="322" spans="1:16" x14ac:dyDescent="0.2">
      <c r="A322" s="8">
        <v>160</v>
      </c>
      <c r="B322" s="8">
        <v>320</v>
      </c>
      <c r="D322">
        <v>494.03198781417001</v>
      </c>
      <c r="E322">
        <v>225.02894135567001</v>
      </c>
      <c r="F322">
        <v>153.65747126437</v>
      </c>
      <c r="G322">
        <v>124.98697318008</v>
      </c>
      <c r="I322" s="9">
        <f t="shared" si="44"/>
        <v>100.04196817559001</v>
      </c>
      <c r="J322" s="9">
        <f t="shared" si="45"/>
        <v>340.37451654979998</v>
      </c>
      <c r="K322" s="9">
        <f t="shared" si="31"/>
        <v>100.04196817559001</v>
      </c>
      <c r="L322" s="10">
        <f t="shared" ref="L322" si="48">K322/J322</f>
        <v>0.29391732727133507</v>
      </c>
      <c r="M322" s="10">
        <f t="shared" si="46"/>
        <v>0.30096868925178499</v>
      </c>
      <c r="P322" s="8">
        <f t="shared" si="47"/>
        <v>-1.2196368965642377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240807A001</vt:lpstr>
      <vt:lpstr>240807A002</vt:lpstr>
      <vt:lpstr>240807A003</vt:lpstr>
      <vt:lpstr>240807A004</vt:lpstr>
      <vt:lpstr>240807A006</vt:lpstr>
      <vt:lpstr>240807A007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Walsh, Breanna M. (Medical Student)</cp:lastModifiedBy>
  <dcterms:created xsi:type="dcterms:W3CDTF">2024-07-26T18:06:04Z</dcterms:created>
  <dcterms:modified xsi:type="dcterms:W3CDTF">2026-03-12T18:37:26Z</dcterms:modified>
</cp:coreProperties>
</file>